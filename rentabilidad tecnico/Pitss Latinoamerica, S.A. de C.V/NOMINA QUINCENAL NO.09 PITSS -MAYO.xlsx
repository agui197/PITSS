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Pitss Latinoamerica, S.A. de C.V\"/>
    </mc:Choice>
  </mc:AlternateContent>
  <xr:revisionPtr revIDLastSave="0" documentId="13_ncr:1_{1EDC367F-2BF5-44C6-B278-59DEB919A767}" xr6:coauthVersionLast="41" xr6:coauthVersionMax="41" xr10:uidLastSave="{00000000-0000-0000-0000-000000000000}"/>
  <bookViews>
    <workbookView xWindow="-120" yWindow="-120" windowWidth="20730" windowHeight="11160" activeTab="3" xr2:uid="{00000000-000D-0000-FFFF-FFFF00000000}"/>
  </bookViews>
  <sheets>
    <sheet name="CPD PITSS" sheetId="1" r:id="rId1"/>
    <sheet name="IP PITSS" sheetId="6" r:id="rId2"/>
    <sheet name="SIND PITS" sheetId="2" r:id="rId3"/>
    <sheet name="RESUMEN PITS" sheetId="3" r:id="rId4"/>
    <sheet name="FACTURACION" sheetId="4" r:id="rId5"/>
    <sheet name="ASIMILADOS" sheetId="5" state="hidden" r:id="rId6"/>
  </sheets>
  <externalReferences>
    <externalReference r:id="rId7"/>
    <externalReference r:id="rId8"/>
  </externalReferences>
  <definedNames>
    <definedName name="_xlnm._FilterDatabase" localSheetId="3" hidden="1">'RESUMEN PITS'!$A$2:$W$106</definedName>
    <definedName name="_xlnm._FilterDatabase" localSheetId="2" hidden="1">'SIND PITS'!$A$2:$N$110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4" i="3" l="1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3" i="3"/>
  <c r="P3" i="2"/>
  <c r="Q3" i="2"/>
  <c r="R3" i="2"/>
  <c r="P4" i="2"/>
  <c r="Q4" i="2" s="1"/>
  <c r="R4" i="2" s="1"/>
  <c r="P5" i="2"/>
  <c r="Q5" i="2"/>
  <c r="R5" i="2" s="1"/>
  <c r="P6" i="2"/>
  <c r="Q6" i="2"/>
  <c r="R6" i="2"/>
  <c r="P7" i="2"/>
  <c r="Q7" i="2"/>
  <c r="R7" i="2"/>
  <c r="P8" i="2"/>
  <c r="Q8" i="2" s="1"/>
  <c r="R8" i="2" s="1"/>
  <c r="P21" i="2"/>
  <c r="Q21" i="2"/>
  <c r="R21" i="2"/>
  <c r="P77" i="2"/>
  <c r="Q77" i="2"/>
  <c r="R77" i="2"/>
  <c r="P82" i="2"/>
  <c r="Q82" i="2"/>
  <c r="R82" i="2"/>
  <c r="P102" i="2"/>
  <c r="Q102" i="2"/>
  <c r="R102" i="2"/>
  <c r="AH10" i="1"/>
  <c r="AI10" i="1" s="1"/>
  <c r="AL10" i="1"/>
  <c r="AM10" i="1" s="1"/>
  <c r="AH11" i="1"/>
  <c r="AI11" i="1" s="1"/>
  <c r="AL11" i="1"/>
  <c r="AM11" i="1" s="1"/>
  <c r="AH12" i="1"/>
  <c r="AI12" i="1" s="1"/>
  <c r="AL12" i="1"/>
  <c r="AM12" i="1" s="1"/>
  <c r="AH13" i="1"/>
  <c r="AI13" i="1" s="1"/>
  <c r="AL13" i="1"/>
  <c r="AM13" i="1" s="1"/>
  <c r="AH14" i="1"/>
  <c r="AI14" i="1" s="1"/>
  <c r="AL14" i="1"/>
  <c r="AM14" i="1" s="1"/>
  <c r="AH15" i="1"/>
  <c r="AL15" i="1"/>
  <c r="AM15" i="1" s="1"/>
  <c r="AH16" i="1"/>
  <c r="AI16" i="1" s="1"/>
  <c r="AL16" i="1"/>
  <c r="AM16" i="1" s="1"/>
  <c r="AH17" i="1"/>
  <c r="AI17" i="1" s="1"/>
  <c r="AL17" i="1"/>
  <c r="AM17" i="1" s="1"/>
  <c r="AH18" i="1"/>
  <c r="AI18" i="1" s="1"/>
  <c r="AL18" i="1"/>
  <c r="AM18" i="1" s="1"/>
  <c r="AH19" i="1"/>
  <c r="AL19" i="1"/>
  <c r="AM19" i="1" s="1"/>
  <c r="AH20" i="1"/>
  <c r="AI20" i="1" s="1"/>
  <c r="AL20" i="1"/>
  <c r="AM20" i="1" s="1"/>
  <c r="AH21" i="1"/>
  <c r="AI21" i="1" s="1"/>
  <c r="AL21" i="1"/>
  <c r="AM21" i="1" s="1"/>
  <c r="AH22" i="1"/>
  <c r="AI22" i="1" s="1"/>
  <c r="AL22" i="1"/>
  <c r="AM22" i="1" s="1"/>
  <c r="AH23" i="1"/>
  <c r="AI23" i="1" s="1"/>
  <c r="AL23" i="1"/>
  <c r="AM23" i="1" s="1"/>
  <c r="AH24" i="1"/>
  <c r="AI24" i="1" s="1"/>
  <c r="AL24" i="1"/>
  <c r="AM24" i="1" s="1"/>
  <c r="AH25" i="1"/>
  <c r="AI25" i="1" s="1"/>
  <c r="AL25" i="1"/>
  <c r="AM25" i="1" s="1"/>
  <c r="AH26" i="1"/>
  <c r="AI26" i="1" s="1"/>
  <c r="AL26" i="1"/>
  <c r="AM26" i="1" s="1"/>
  <c r="AL9" i="1"/>
  <c r="AM9" i="1" s="1"/>
  <c r="AH9" i="1"/>
  <c r="AI9" i="1" s="1"/>
  <c r="AJ10" i="6"/>
  <c r="AK10" i="6"/>
  <c r="AJ11" i="6"/>
  <c r="AK11" i="6"/>
  <c r="AJ12" i="6"/>
  <c r="AK12" i="6"/>
  <c r="AJ13" i="6"/>
  <c r="AK13" i="6"/>
  <c r="AJ14" i="6"/>
  <c r="AK14" i="6"/>
  <c r="AJ15" i="6"/>
  <c r="AK15" i="6"/>
  <c r="AJ16" i="6"/>
  <c r="AK16" i="6"/>
  <c r="AJ17" i="6"/>
  <c r="AK17" i="6"/>
  <c r="AJ18" i="6"/>
  <c r="AK18" i="6"/>
  <c r="AJ19" i="6"/>
  <c r="AK19" i="6"/>
  <c r="AJ20" i="6"/>
  <c r="AK20" i="6"/>
  <c r="AJ21" i="6"/>
  <c r="AK21" i="6"/>
  <c r="AJ22" i="6"/>
  <c r="AK22" i="6"/>
  <c r="AJ23" i="6"/>
  <c r="AK23" i="6"/>
  <c r="AJ24" i="6"/>
  <c r="AK24" i="6"/>
  <c r="AJ25" i="6"/>
  <c r="AK25" i="6"/>
  <c r="AJ26" i="6"/>
  <c r="AK26" i="6"/>
  <c r="AJ27" i="6"/>
  <c r="AK27" i="6"/>
  <c r="AJ28" i="6"/>
  <c r="AK28" i="6"/>
  <c r="AJ29" i="6"/>
  <c r="AK29" i="6"/>
  <c r="AJ30" i="6"/>
  <c r="AK30" i="6"/>
  <c r="AJ31" i="6"/>
  <c r="AK31" i="6"/>
  <c r="AJ32" i="6"/>
  <c r="AK32" i="6"/>
  <c r="AJ33" i="6"/>
  <c r="AK33" i="6"/>
  <c r="AJ34" i="6"/>
  <c r="AK34" i="6"/>
  <c r="AJ35" i="6"/>
  <c r="AK35" i="6"/>
  <c r="AJ36" i="6"/>
  <c r="AK36" i="6"/>
  <c r="AJ37" i="6"/>
  <c r="AK37" i="6"/>
  <c r="AJ38" i="6"/>
  <c r="AK38" i="6"/>
  <c r="AJ39" i="6"/>
  <c r="AK39" i="6"/>
  <c r="AJ40" i="6"/>
  <c r="AK40" i="6"/>
  <c r="AJ41" i="6"/>
  <c r="AK41" i="6"/>
  <c r="AJ42" i="6"/>
  <c r="AK42" i="6"/>
  <c r="AJ43" i="6"/>
  <c r="AK43" i="6"/>
  <c r="AJ44" i="6"/>
  <c r="AK44" i="6"/>
  <c r="AJ45" i="6"/>
  <c r="AK45" i="6"/>
  <c r="AJ46" i="6"/>
  <c r="AK46" i="6"/>
  <c r="AJ47" i="6"/>
  <c r="AK47" i="6"/>
  <c r="AJ48" i="6"/>
  <c r="AK48" i="6"/>
  <c r="AJ49" i="6"/>
  <c r="AK49" i="6"/>
  <c r="AJ50" i="6"/>
  <c r="AK50" i="6"/>
  <c r="AJ51" i="6"/>
  <c r="AK51" i="6"/>
  <c r="AJ52" i="6"/>
  <c r="AK52" i="6"/>
  <c r="AJ53" i="6"/>
  <c r="AK53" i="6"/>
  <c r="AJ54" i="6"/>
  <c r="AK54" i="6"/>
  <c r="AJ55" i="6"/>
  <c r="AK55" i="6"/>
  <c r="AJ56" i="6"/>
  <c r="AK56" i="6"/>
  <c r="AJ57" i="6"/>
  <c r="AK57" i="6"/>
  <c r="AJ58" i="6"/>
  <c r="AK58" i="6"/>
  <c r="AJ59" i="6"/>
  <c r="AK59" i="6"/>
  <c r="AJ60" i="6"/>
  <c r="AK60" i="6"/>
  <c r="AJ61" i="6"/>
  <c r="AK61" i="6"/>
  <c r="AJ62" i="6"/>
  <c r="AK62" i="6"/>
  <c r="AJ63" i="6"/>
  <c r="AK63" i="6"/>
  <c r="AJ64" i="6"/>
  <c r="AK64" i="6"/>
  <c r="AJ65" i="6"/>
  <c r="AK65" i="6"/>
  <c r="AJ66" i="6"/>
  <c r="AK66" i="6"/>
  <c r="AJ67" i="6"/>
  <c r="AK67" i="6"/>
  <c r="AJ68" i="6"/>
  <c r="AK68" i="6"/>
  <c r="AJ69" i="6"/>
  <c r="AK69" i="6"/>
  <c r="AJ70" i="6"/>
  <c r="AK70" i="6"/>
  <c r="AJ71" i="6"/>
  <c r="AK71" i="6"/>
  <c r="AJ72" i="6"/>
  <c r="AK72" i="6"/>
  <c r="AJ73" i="6"/>
  <c r="AK73" i="6"/>
  <c r="AJ74" i="6"/>
  <c r="AK74" i="6"/>
  <c r="AJ75" i="6"/>
  <c r="AK75" i="6"/>
  <c r="AJ76" i="6"/>
  <c r="AK76" i="6"/>
  <c r="AJ77" i="6"/>
  <c r="AK77" i="6"/>
  <c r="AJ78" i="6"/>
  <c r="AK78" i="6"/>
  <c r="AJ79" i="6"/>
  <c r="AK79" i="6"/>
  <c r="AJ80" i="6"/>
  <c r="AK80" i="6"/>
  <c r="AJ81" i="6"/>
  <c r="AK81" i="6"/>
  <c r="AJ82" i="6"/>
  <c r="AK82" i="6"/>
  <c r="AJ83" i="6"/>
  <c r="AK83" i="6"/>
  <c r="AJ84" i="6"/>
  <c r="AK84" i="6"/>
  <c r="AJ85" i="6"/>
  <c r="AK85" i="6"/>
  <c r="AJ86" i="6"/>
  <c r="AK86" i="6"/>
  <c r="AJ87" i="6"/>
  <c r="AK87" i="6"/>
  <c r="AJ88" i="6"/>
  <c r="AJ89" i="6"/>
  <c r="AK89" i="6"/>
  <c r="AJ90" i="6"/>
  <c r="AK90" i="6"/>
  <c r="AK9" i="6"/>
  <c r="AJ9" i="6"/>
  <c r="AJ25" i="1" l="1"/>
  <c r="AK25" i="1" s="1"/>
  <c r="AN25" i="1" s="1"/>
  <c r="AO25" i="1" s="1"/>
  <c r="AJ23" i="1"/>
  <c r="AK23" i="1" s="1"/>
  <c r="AN23" i="1" s="1"/>
  <c r="AO23" i="1" s="1"/>
  <c r="AJ21" i="1"/>
  <c r="AK21" i="1" s="1"/>
  <c r="AN21" i="1" s="1"/>
  <c r="AO21" i="1" s="1"/>
  <c r="AJ17" i="1"/>
  <c r="AK17" i="1" s="1"/>
  <c r="AN17" i="1" s="1"/>
  <c r="AO17" i="1" s="1"/>
  <c r="AJ13" i="1"/>
  <c r="AK13" i="1" s="1"/>
  <c r="AN13" i="1" s="1"/>
  <c r="AO13" i="1" s="1"/>
  <c r="AJ11" i="1"/>
  <c r="AK11" i="1" s="1"/>
  <c r="AN11" i="1" s="1"/>
  <c r="AO11" i="1" s="1"/>
  <c r="AJ26" i="1"/>
  <c r="AK26" i="1" s="1"/>
  <c r="AN26" i="1" s="1"/>
  <c r="AO26" i="1" s="1"/>
  <c r="AJ24" i="1"/>
  <c r="AK24" i="1" s="1"/>
  <c r="AN24" i="1" s="1"/>
  <c r="AO24" i="1" s="1"/>
  <c r="AJ22" i="1"/>
  <c r="AK22" i="1" s="1"/>
  <c r="AN22" i="1" s="1"/>
  <c r="AO22" i="1" s="1"/>
  <c r="AJ20" i="1"/>
  <c r="AK20" i="1" s="1"/>
  <c r="AN20" i="1" s="1"/>
  <c r="AO20" i="1" s="1"/>
  <c r="AJ18" i="1"/>
  <c r="AK18" i="1" s="1"/>
  <c r="AN18" i="1" s="1"/>
  <c r="AO18" i="1" s="1"/>
  <c r="AJ16" i="1"/>
  <c r="AK16" i="1" s="1"/>
  <c r="AN16" i="1" s="1"/>
  <c r="AO16" i="1" s="1"/>
  <c r="AJ14" i="1"/>
  <c r="AK14" i="1" s="1"/>
  <c r="AN14" i="1" s="1"/>
  <c r="AO14" i="1" s="1"/>
  <c r="AJ12" i="1"/>
  <c r="AK12" i="1" s="1"/>
  <c r="AN12" i="1" s="1"/>
  <c r="AO12" i="1" s="1"/>
  <c r="AJ10" i="1"/>
  <c r="AK10" i="1" s="1"/>
  <c r="AN10" i="1" s="1"/>
  <c r="AO10" i="1" s="1"/>
  <c r="AJ9" i="1"/>
  <c r="AK9" i="1" s="1"/>
  <c r="AN9" i="1" s="1"/>
  <c r="AO9" i="1" s="1"/>
  <c r="F94" i="3" l="1"/>
  <c r="F37" i="3"/>
  <c r="F63" i="3"/>
  <c r="F86" i="3"/>
  <c r="F52" i="3"/>
  <c r="F35" i="3"/>
  <c r="F101" i="3"/>
  <c r="F100" i="3"/>
  <c r="F26" i="3"/>
  <c r="F67" i="3"/>
  <c r="F53" i="3"/>
  <c r="F92" i="3"/>
  <c r="F81" i="3"/>
  <c r="F28" i="3"/>
  <c r="F80" i="3"/>
  <c r="F33" i="3"/>
  <c r="F23" i="3"/>
  <c r="F95" i="3"/>
  <c r="F22" i="3"/>
  <c r="F60" i="3"/>
  <c r="F78" i="3"/>
  <c r="F76" i="3"/>
  <c r="F64" i="3"/>
  <c r="F72" i="3"/>
  <c r="F34" i="3"/>
  <c r="F39" i="3"/>
  <c r="F36" i="3"/>
  <c r="F84" i="3"/>
  <c r="F82" i="3"/>
  <c r="F91" i="3"/>
  <c r="F61" i="3"/>
  <c r="F43" i="3"/>
  <c r="F89" i="3"/>
  <c r="F46" i="3"/>
  <c r="F62" i="3"/>
  <c r="F54" i="3"/>
  <c r="F30" i="3"/>
  <c r="F45" i="3"/>
  <c r="F99" i="3"/>
  <c r="F21" i="3"/>
  <c r="F57" i="3"/>
  <c r="F41" i="3"/>
  <c r="F32" i="3"/>
  <c r="F65" i="3"/>
  <c r="F25" i="3"/>
  <c r="F77" i="3"/>
  <c r="F56" i="3"/>
  <c r="F24" i="3"/>
  <c r="F40" i="3"/>
  <c r="F97" i="3"/>
  <c r="F70" i="3"/>
  <c r="F42" i="3"/>
  <c r="F69" i="3"/>
  <c r="F74" i="3"/>
  <c r="F90" i="3"/>
  <c r="F85" i="3"/>
  <c r="F102" i="3"/>
  <c r="F96" i="3"/>
  <c r="F88" i="3"/>
  <c r="F87" i="3"/>
  <c r="F83" i="3"/>
  <c r="F79" i="3"/>
  <c r="F75" i="3"/>
  <c r="F73" i="3"/>
  <c r="F71" i="3"/>
  <c r="F68" i="3"/>
  <c r="F66" i="3"/>
  <c r="F59" i="3"/>
  <c r="F58" i="3"/>
  <c r="F55" i="3"/>
  <c r="F51" i="3"/>
  <c r="F50" i="3"/>
  <c r="F49" i="3"/>
  <c r="F48" i="3"/>
  <c r="F47" i="3"/>
  <c r="F44" i="3"/>
  <c r="F38" i="3"/>
  <c r="F31" i="3"/>
  <c r="F29" i="3"/>
  <c r="F27" i="3"/>
  <c r="U90" i="6"/>
  <c r="AG90" i="6" s="1"/>
  <c r="AH90" i="6" s="1"/>
  <c r="AI90" i="6" s="1"/>
  <c r="AL90" i="6" s="1"/>
  <c r="AM90" i="6" s="1"/>
  <c r="AN90" i="6" s="1"/>
  <c r="U89" i="6"/>
  <c r="AG89" i="6" s="1"/>
  <c r="U87" i="6"/>
  <c r="AG87" i="6" s="1"/>
  <c r="U86" i="6"/>
  <c r="AG86" i="6" s="1"/>
  <c r="AH86" i="6" s="1"/>
  <c r="AI86" i="6" s="1"/>
  <c r="AL86" i="6" s="1"/>
  <c r="AM86" i="6" s="1"/>
  <c r="AN86" i="6" s="1"/>
  <c r="U85" i="6"/>
  <c r="AG85" i="6" s="1"/>
  <c r="U84" i="6"/>
  <c r="AG84" i="6" s="1"/>
  <c r="U83" i="6"/>
  <c r="AG83" i="6" s="1"/>
  <c r="U82" i="6"/>
  <c r="AG82" i="6" s="1"/>
  <c r="U81" i="6"/>
  <c r="AG81" i="6" s="1"/>
  <c r="U80" i="6"/>
  <c r="AG80" i="6" s="1"/>
  <c r="U79" i="6"/>
  <c r="AG79" i="6" s="1"/>
  <c r="U78" i="6"/>
  <c r="AG78" i="6" s="1"/>
  <c r="U77" i="6"/>
  <c r="AG77" i="6" s="1"/>
  <c r="U76" i="6"/>
  <c r="AG76" i="6" s="1"/>
  <c r="U75" i="6"/>
  <c r="AG75" i="6" s="1"/>
  <c r="U74" i="6"/>
  <c r="AG74" i="6" s="1"/>
  <c r="U73" i="6"/>
  <c r="AG73" i="6" s="1"/>
  <c r="U72" i="6"/>
  <c r="AG72" i="6" s="1"/>
  <c r="U71" i="6"/>
  <c r="AG71" i="6" s="1"/>
  <c r="U70" i="6"/>
  <c r="AG70" i="6" s="1"/>
  <c r="U69" i="6"/>
  <c r="AG69" i="6" s="1"/>
  <c r="U68" i="6"/>
  <c r="AG68" i="6" s="1"/>
  <c r="U67" i="6"/>
  <c r="AG67" i="6" s="1"/>
  <c r="U66" i="6"/>
  <c r="AG66" i="6" s="1"/>
  <c r="U65" i="6"/>
  <c r="AG65" i="6" s="1"/>
  <c r="U64" i="6"/>
  <c r="AG64" i="6" s="1"/>
  <c r="U63" i="6"/>
  <c r="AG63" i="6" s="1"/>
  <c r="U62" i="6"/>
  <c r="AG62" i="6" s="1"/>
  <c r="U61" i="6"/>
  <c r="AG61" i="6" s="1"/>
  <c r="U60" i="6"/>
  <c r="AG60" i="6" s="1"/>
  <c r="U59" i="6"/>
  <c r="AG59" i="6" s="1"/>
  <c r="U58" i="6"/>
  <c r="AG58" i="6" s="1"/>
  <c r="U57" i="6"/>
  <c r="AG57" i="6" s="1"/>
  <c r="U56" i="6"/>
  <c r="AG56" i="6" s="1"/>
  <c r="U55" i="6"/>
  <c r="AG55" i="6" s="1"/>
  <c r="AH55" i="6" s="1"/>
  <c r="AI55" i="6" s="1"/>
  <c r="AL55" i="6" s="1"/>
  <c r="AM55" i="6" s="1"/>
  <c r="AN55" i="6" s="1"/>
  <c r="U54" i="6"/>
  <c r="AG54" i="6" s="1"/>
  <c r="AH54" i="6" s="1"/>
  <c r="AI54" i="6" s="1"/>
  <c r="AL54" i="6" s="1"/>
  <c r="U53" i="6"/>
  <c r="AG53" i="6" s="1"/>
  <c r="U52" i="6"/>
  <c r="AG52" i="6" s="1"/>
  <c r="U51" i="6"/>
  <c r="AG51" i="6" s="1"/>
  <c r="U50" i="6"/>
  <c r="AG50" i="6" s="1"/>
  <c r="U49" i="6"/>
  <c r="AG49" i="6" s="1"/>
  <c r="U48" i="6"/>
  <c r="AG48" i="6" s="1"/>
  <c r="U47" i="6"/>
  <c r="AG47" i="6" s="1"/>
  <c r="U46" i="6"/>
  <c r="AG46" i="6" s="1"/>
  <c r="U45" i="6"/>
  <c r="AG45" i="6" s="1"/>
  <c r="U44" i="6"/>
  <c r="AG44" i="6" s="1"/>
  <c r="U43" i="6"/>
  <c r="AG43" i="6" s="1"/>
  <c r="U42" i="6"/>
  <c r="AG42" i="6" s="1"/>
  <c r="U41" i="6"/>
  <c r="AG41" i="6" s="1"/>
  <c r="U40" i="6"/>
  <c r="AG40" i="6" s="1"/>
  <c r="U39" i="6"/>
  <c r="AG39" i="6" s="1"/>
  <c r="U38" i="6"/>
  <c r="AG38" i="6" s="1"/>
  <c r="U37" i="6"/>
  <c r="AG37" i="6" s="1"/>
  <c r="U36" i="6"/>
  <c r="AG36" i="6" s="1"/>
  <c r="U35" i="6"/>
  <c r="AG35" i="6" s="1"/>
  <c r="U34" i="6"/>
  <c r="AG34" i="6" s="1"/>
  <c r="U33" i="6"/>
  <c r="AG33" i="6" s="1"/>
  <c r="U32" i="6"/>
  <c r="AG32" i="6" s="1"/>
  <c r="U31" i="6"/>
  <c r="AG31" i="6" s="1"/>
  <c r="U30" i="6"/>
  <c r="AG30" i="6" s="1"/>
  <c r="U29" i="6"/>
  <c r="AG29" i="6" s="1"/>
  <c r="U28" i="6"/>
  <c r="AG28" i="6" s="1"/>
  <c r="U27" i="6"/>
  <c r="AG27" i="6" s="1"/>
  <c r="U26" i="6"/>
  <c r="AG26" i="6" s="1"/>
  <c r="U25" i="6"/>
  <c r="AG25" i="6" s="1"/>
  <c r="U24" i="6"/>
  <c r="AG24" i="6" s="1"/>
  <c r="U23" i="6"/>
  <c r="AG23" i="6" s="1"/>
  <c r="U22" i="6"/>
  <c r="AG22" i="6" s="1"/>
  <c r="U21" i="6"/>
  <c r="AG21" i="6" s="1"/>
  <c r="U20" i="6"/>
  <c r="AG20" i="6" s="1"/>
  <c r="U19" i="6"/>
  <c r="AG19" i="6" s="1"/>
  <c r="U18" i="6"/>
  <c r="AG18" i="6" s="1"/>
  <c r="U17" i="6"/>
  <c r="AG17" i="6" s="1"/>
  <c r="U16" i="6"/>
  <c r="AG16" i="6" s="1"/>
  <c r="U15" i="6"/>
  <c r="AG15" i="6" s="1"/>
  <c r="U14" i="6"/>
  <c r="AG14" i="6" s="1"/>
  <c r="U13" i="6"/>
  <c r="AG13" i="6" s="1"/>
  <c r="U12" i="6"/>
  <c r="AG12" i="6" s="1"/>
  <c r="U11" i="6"/>
  <c r="AG11" i="6" s="1"/>
  <c r="U10" i="6"/>
  <c r="AG10" i="6" s="1"/>
  <c r="AH10" i="6" s="1"/>
  <c r="AI10" i="6" s="1"/>
  <c r="AL10" i="6" s="1"/>
  <c r="U9" i="6"/>
  <c r="AG9" i="6" s="1"/>
  <c r="AH9" i="6" s="1"/>
  <c r="AI9" i="6" s="1"/>
  <c r="AL9" i="6" s="1"/>
  <c r="AM10" i="6" l="1"/>
  <c r="AN10" i="6" s="1"/>
  <c r="AH26" i="6"/>
  <c r="AI26" i="6"/>
  <c r="AL26" i="6" s="1"/>
  <c r="AM26" i="6" s="1"/>
  <c r="AN26" i="6" s="1"/>
  <c r="AH38" i="6"/>
  <c r="AI38" i="6"/>
  <c r="AL38" i="6" s="1"/>
  <c r="AM54" i="6"/>
  <c r="AN54" i="6" s="1"/>
  <c r="AH62" i="6"/>
  <c r="AI62" i="6"/>
  <c r="AL62" i="6" s="1"/>
  <c r="AH70" i="6"/>
  <c r="AI70" i="6"/>
  <c r="AL70" i="6" s="1"/>
  <c r="AH82" i="6"/>
  <c r="AI82" i="6"/>
  <c r="AL82" i="6" s="1"/>
  <c r="AH11" i="6"/>
  <c r="AI11" i="6"/>
  <c r="AL11" i="6" s="1"/>
  <c r="AH15" i="6"/>
  <c r="AI15" i="6"/>
  <c r="AL15" i="6" s="1"/>
  <c r="AH19" i="6"/>
  <c r="AI19" i="6"/>
  <c r="AL19" i="6" s="1"/>
  <c r="AH23" i="6"/>
  <c r="AI23" i="6"/>
  <c r="AL23" i="6" s="1"/>
  <c r="AH27" i="6"/>
  <c r="AI27" i="6"/>
  <c r="AL27" i="6" s="1"/>
  <c r="AH31" i="6"/>
  <c r="AI31" i="6"/>
  <c r="AL31" i="6" s="1"/>
  <c r="AH35" i="6"/>
  <c r="AI35" i="6"/>
  <c r="AL35" i="6" s="1"/>
  <c r="AH39" i="6"/>
  <c r="AI39" i="6"/>
  <c r="AL39" i="6" s="1"/>
  <c r="AH43" i="6"/>
  <c r="AI43" i="6"/>
  <c r="AL43" i="6" s="1"/>
  <c r="AH47" i="6"/>
  <c r="AI47" i="6"/>
  <c r="AL47" i="6" s="1"/>
  <c r="AH51" i="6"/>
  <c r="AI51" i="6"/>
  <c r="AL51" i="6" s="1"/>
  <c r="AH59" i="6"/>
  <c r="AI59" i="6" s="1"/>
  <c r="AL59" i="6" s="1"/>
  <c r="AH63" i="6"/>
  <c r="AI63" i="6" s="1"/>
  <c r="AL63" i="6" s="1"/>
  <c r="AH67" i="6"/>
  <c r="AI67" i="6" s="1"/>
  <c r="AL67" i="6" s="1"/>
  <c r="AM67" i="6" s="1"/>
  <c r="AN67" i="6" s="1"/>
  <c r="AH71" i="6"/>
  <c r="AI71" i="6" s="1"/>
  <c r="AL71" i="6" s="1"/>
  <c r="AH75" i="6"/>
  <c r="AI75" i="6" s="1"/>
  <c r="AL75" i="6" s="1"/>
  <c r="AH79" i="6"/>
  <c r="AI79" i="6" s="1"/>
  <c r="AL79" i="6" s="1"/>
  <c r="AM79" i="6" s="1"/>
  <c r="AN79" i="6" s="1"/>
  <c r="AH83" i="6"/>
  <c r="AI83" i="6" s="1"/>
  <c r="AL83" i="6" s="1"/>
  <c r="AH87" i="6"/>
  <c r="AI87" i="6"/>
  <c r="AL87" i="6" s="1"/>
  <c r="AH18" i="6"/>
  <c r="AI18" i="6"/>
  <c r="AL18" i="6" s="1"/>
  <c r="AM18" i="6" s="1"/>
  <c r="AN18" i="6" s="1"/>
  <c r="AH30" i="6"/>
  <c r="AI30" i="6"/>
  <c r="AL30" i="6" s="1"/>
  <c r="AM30" i="6" s="1"/>
  <c r="AN30" i="6" s="1"/>
  <c r="AH42" i="6"/>
  <c r="AI42" i="6"/>
  <c r="AL42" i="6" s="1"/>
  <c r="AM42" i="6" s="1"/>
  <c r="AN42" i="6" s="1"/>
  <c r="AH50" i="6"/>
  <c r="AI50" i="6"/>
  <c r="AL50" i="6" s="1"/>
  <c r="AH12" i="6"/>
  <c r="AI12" i="6"/>
  <c r="AL12" i="6" s="1"/>
  <c r="AH16" i="6"/>
  <c r="AI16" i="6"/>
  <c r="AL16" i="6" s="1"/>
  <c r="AH20" i="6"/>
  <c r="AI20" i="6"/>
  <c r="AL20" i="6" s="1"/>
  <c r="AM20" i="6" s="1"/>
  <c r="AN20" i="6" s="1"/>
  <c r="AH24" i="6"/>
  <c r="AI24" i="6"/>
  <c r="AL24" i="6" s="1"/>
  <c r="AM24" i="6" s="1"/>
  <c r="AN24" i="6" s="1"/>
  <c r="AH28" i="6"/>
  <c r="AI28" i="6"/>
  <c r="AL28" i="6" s="1"/>
  <c r="AH32" i="6"/>
  <c r="AI32" i="6"/>
  <c r="AL32" i="6" s="1"/>
  <c r="AH36" i="6"/>
  <c r="AI36" i="6"/>
  <c r="AL36" i="6" s="1"/>
  <c r="AM36" i="6" s="1"/>
  <c r="AN36" i="6" s="1"/>
  <c r="AH40" i="6"/>
  <c r="AI40" i="6"/>
  <c r="AL40" i="6" s="1"/>
  <c r="AM40" i="6" s="1"/>
  <c r="AN40" i="6" s="1"/>
  <c r="AH44" i="6"/>
  <c r="AI44" i="6"/>
  <c r="AL44" i="6" s="1"/>
  <c r="AH48" i="6"/>
  <c r="AI48" i="6"/>
  <c r="AL48" i="6" s="1"/>
  <c r="AH52" i="6"/>
  <c r="AI52" i="6"/>
  <c r="AL52" i="6" s="1"/>
  <c r="AM52" i="6" s="1"/>
  <c r="AN52" i="6" s="1"/>
  <c r="AH56" i="6"/>
  <c r="AI56" i="6"/>
  <c r="AL56" i="6" s="1"/>
  <c r="AM56" i="6" s="1"/>
  <c r="AN56" i="6" s="1"/>
  <c r="AH60" i="6"/>
  <c r="AI60" i="6"/>
  <c r="AL60" i="6" s="1"/>
  <c r="AM60" i="6" s="1"/>
  <c r="AN60" i="6" s="1"/>
  <c r="AH64" i="6"/>
  <c r="AI64" i="6"/>
  <c r="AL64" i="6" s="1"/>
  <c r="AM64" i="6" s="1"/>
  <c r="AN64" i="6" s="1"/>
  <c r="AH68" i="6"/>
  <c r="AI68" i="6"/>
  <c r="AL68" i="6" s="1"/>
  <c r="AM68" i="6" s="1"/>
  <c r="AN68" i="6" s="1"/>
  <c r="AH72" i="6"/>
  <c r="AI72" i="6"/>
  <c r="AL72" i="6" s="1"/>
  <c r="AM72" i="6" s="1"/>
  <c r="AN72" i="6" s="1"/>
  <c r="AH76" i="6"/>
  <c r="AI76" i="6"/>
  <c r="AL76" i="6" s="1"/>
  <c r="AM76" i="6" s="1"/>
  <c r="AN76" i="6" s="1"/>
  <c r="AH80" i="6"/>
  <c r="AI80" i="6"/>
  <c r="AL80" i="6" s="1"/>
  <c r="AM80" i="6" s="1"/>
  <c r="AN80" i="6" s="1"/>
  <c r="AH84" i="6"/>
  <c r="AI84" i="6"/>
  <c r="AL84" i="6" s="1"/>
  <c r="AM84" i="6" s="1"/>
  <c r="AN84" i="6" s="1"/>
  <c r="AH89" i="6"/>
  <c r="AI89" i="6"/>
  <c r="AL89" i="6" s="1"/>
  <c r="AH14" i="6"/>
  <c r="AI14" i="6"/>
  <c r="AL14" i="6" s="1"/>
  <c r="AM14" i="6" s="1"/>
  <c r="AN14" i="6" s="1"/>
  <c r="AH22" i="6"/>
  <c r="AI22" i="6"/>
  <c r="AL22" i="6" s="1"/>
  <c r="AH34" i="6"/>
  <c r="AI34" i="6"/>
  <c r="AL34" i="6" s="1"/>
  <c r="AH46" i="6"/>
  <c r="AI46" i="6"/>
  <c r="AL46" i="6" s="1"/>
  <c r="AM46" i="6" s="1"/>
  <c r="AN46" i="6" s="1"/>
  <c r="AH58" i="6"/>
  <c r="AI58" i="6"/>
  <c r="AL58" i="6" s="1"/>
  <c r="AH66" i="6"/>
  <c r="AI66" i="6"/>
  <c r="AL66" i="6" s="1"/>
  <c r="AH74" i="6"/>
  <c r="AI74" i="6"/>
  <c r="AL74" i="6" s="1"/>
  <c r="AH78" i="6"/>
  <c r="AI78" i="6"/>
  <c r="AL78" i="6" s="1"/>
  <c r="AM9" i="6"/>
  <c r="AN9" i="6"/>
  <c r="AH13" i="6"/>
  <c r="AI13" i="6"/>
  <c r="AL13" i="6" s="1"/>
  <c r="AH17" i="6"/>
  <c r="AI17" i="6"/>
  <c r="AL17" i="6" s="1"/>
  <c r="AH21" i="6"/>
  <c r="AI21" i="6"/>
  <c r="AL21" i="6" s="1"/>
  <c r="AH25" i="6"/>
  <c r="AI25" i="6"/>
  <c r="AL25" i="6" s="1"/>
  <c r="AH29" i="6"/>
  <c r="AI29" i="6"/>
  <c r="AL29" i="6" s="1"/>
  <c r="AH33" i="6"/>
  <c r="AI33" i="6"/>
  <c r="AL33" i="6" s="1"/>
  <c r="AH37" i="6"/>
  <c r="AI37" i="6"/>
  <c r="AL37" i="6" s="1"/>
  <c r="AH41" i="6"/>
  <c r="AI41" i="6"/>
  <c r="AL41" i="6" s="1"/>
  <c r="AH45" i="6"/>
  <c r="AI45" i="6"/>
  <c r="AL45" i="6" s="1"/>
  <c r="AH49" i="6"/>
  <c r="AI49" i="6"/>
  <c r="AL49" i="6" s="1"/>
  <c r="AH53" i="6"/>
  <c r="AI53" i="6" s="1"/>
  <c r="AL53" i="6" s="1"/>
  <c r="AH57" i="6"/>
  <c r="AI57" i="6" s="1"/>
  <c r="AL57" i="6" s="1"/>
  <c r="AM57" i="6" s="1"/>
  <c r="AN57" i="6" s="1"/>
  <c r="AH61" i="6"/>
  <c r="AI61" i="6" s="1"/>
  <c r="AL61" i="6" s="1"/>
  <c r="AH65" i="6"/>
  <c r="AI65" i="6" s="1"/>
  <c r="AL65" i="6" s="1"/>
  <c r="AM65" i="6" s="1"/>
  <c r="AN65" i="6" s="1"/>
  <c r="AH69" i="6"/>
  <c r="AI69" i="6" s="1"/>
  <c r="AL69" i="6" s="1"/>
  <c r="AM69" i="6" s="1"/>
  <c r="AN69" i="6" s="1"/>
  <c r="AH73" i="6"/>
  <c r="AI73" i="6" s="1"/>
  <c r="AL73" i="6" s="1"/>
  <c r="AH77" i="6"/>
  <c r="AI77" i="6" s="1"/>
  <c r="AL77" i="6" s="1"/>
  <c r="AM77" i="6" s="1"/>
  <c r="AN77" i="6" s="1"/>
  <c r="AH81" i="6"/>
  <c r="AI81" i="6" s="1"/>
  <c r="AL81" i="6" s="1"/>
  <c r="AH85" i="6"/>
  <c r="AI85" i="6"/>
  <c r="AL85" i="6" s="1"/>
  <c r="AM85" i="6" s="1"/>
  <c r="AN85" i="6" s="1"/>
  <c r="D104" i="2"/>
  <c r="H21" i="2"/>
  <c r="F98" i="3"/>
  <c r="AM61" i="6" l="1"/>
  <c r="AN61" i="6"/>
  <c r="AM63" i="6"/>
  <c r="AN63" i="6" s="1"/>
  <c r="AM73" i="6"/>
  <c r="AN73" i="6" s="1"/>
  <c r="AM75" i="6"/>
  <c r="AN75" i="6"/>
  <c r="AM59" i="6"/>
  <c r="AN59" i="6" s="1"/>
  <c r="AM53" i="6"/>
  <c r="AN53" i="6" s="1"/>
  <c r="AM71" i="6"/>
  <c r="AN71" i="6"/>
  <c r="AM81" i="6"/>
  <c r="AN81" i="6"/>
  <c r="AM83" i="6"/>
  <c r="AN83" i="6"/>
  <c r="AM37" i="6"/>
  <c r="AN37" i="6"/>
  <c r="AM21" i="6"/>
  <c r="AN21" i="6"/>
  <c r="AM66" i="6"/>
  <c r="AN66" i="6"/>
  <c r="AM16" i="6"/>
  <c r="AN16" i="6" s="1"/>
  <c r="AM87" i="6"/>
  <c r="AN87" i="6" s="1"/>
  <c r="AM51" i="6"/>
  <c r="AN51" i="6"/>
  <c r="AM43" i="6"/>
  <c r="AN43" i="6"/>
  <c r="AM35" i="6"/>
  <c r="AN35" i="6"/>
  <c r="AM27" i="6"/>
  <c r="AN27" i="6"/>
  <c r="AM19" i="6"/>
  <c r="AN19" i="6"/>
  <c r="AM11" i="6"/>
  <c r="AN11" i="6"/>
  <c r="AM70" i="6"/>
  <c r="AN70" i="6" s="1"/>
  <c r="AM45" i="6"/>
  <c r="AN45" i="6"/>
  <c r="AM78" i="6"/>
  <c r="AN78" i="6" s="1"/>
  <c r="AM22" i="6"/>
  <c r="AN22" i="6"/>
  <c r="AM49" i="6"/>
  <c r="AN49" i="6"/>
  <c r="AM33" i="6"/>
  <c r="AN33" i="6"/>
  <c r="AM12" i="6"/>
  <c r="AN12" i="6"/>
  <c r="AM47" i="6"/>
  <c r="AN47" i="6"/>
  <c r="AM39" i="6"/>
  <c r="AN39" i="6"/>
  <c r="AM31" i="6"/>
  <c r="AN31" i="6"/>
  <c r="AM23" i="6"/>
  <c r="AN23" i="6"/>
  <c r="AM15" i="6"/>
  <c r="AN15" i="6"/>
  <c r="AM82" i="6"/>
  <c r="AN82" i="6"/>
  <c r="AM62" i="6"/>
  <c r="AN62" i="6" s="1"/>
  <c r="AM38" i="6"/>
  <c r="AN38" i="6"/>
  <c r="AM29" i="6"/>
  <c r="AN29" i="6"/>
  <c r="AM13" i="6"/>
  <c r="AN13" i="6"/>
  <c r="AM89" i="6"/>
  <c r="AN89" i="6" s="1"/>
  <c r="AM48" i="6"/>
  <c r="AN48" i="6"/>
  <c r="AM32" i="6"/>
  <c r="AN32" i="6" s="1"/>
  <c r="AM50" i="6"/>
  <c r="AN50" i="6"/>
  <c r="AM41" i="6"/>
  <c r="AN41" i="6"/>
  <c r="AM25" i="6"/>
  <c r="AN25" i="6"/>
  <c r="AM17" i="6"/>
  <c r="AN17" i="6"/>
  <c r="AM74" i="6"/>
  <c r="AN74" i="6"/>
  <c r="AM58" i="6"/>
  <c r="AN58" i="6"/>
  <c r="AM34" i="6"/>
  <c r="AN34" i="6" s="1"/>
  <c r="AM44" i="6"/>
  <c r="AN44" i="6"/>
  <c r="AM28" i="6"/>
  <c r="AN28" i="6" s="1"/>
  <c r="J88" i="6"/>
  <c r="U88" i="6" l="1"/>
  <c r="AK88" i="6"/>
  <c r="S13" i="3"/>
  <c r="V19" i="1"/>
  <c r="AI19" i="1" s="1"/>
  <c r="AJ19" i="1" s="1"/>
  <c r="AK19" i="1" s="1"/>
  <c r="AN19" i="1" s="1"/>
  <c r="AO19" i="1" s="1"/>
  <c r="S9" i="3"/>
  <c r="V15" i="1"/>
  <c r="AI15" i="1" s="1"/>
  <c r="AJ15" i="1" s="1"/>
  <c r="AK15" i="1" s="1"/>
  <c r="AN15" i="1" s="1"/>
  <c r="AO15" i="1" s="1"/>
  <c r="S103" i="3"/>
  <c r="R103" i="3"/>
  <c r="Q103" i="3"/>
  <c r="S102" i="3"/>
  <c r="R102" i="3"/>
  <c r="Q102" i="3"/>
  <c r="S101" i="3"/>
  <c r="R101" i="3"/>
  <c r="Q101" i="3"/>
  <c r="S100" i="3"/>
  <c r="R100" i="3"/>
  <c r="Q100" i="3"/>
  <c r="S99" i="3"/>
  <c r="R99" i="3"/>
  <c r="Q99" i="3"/>
  <c r="S98" i="3"/>
  <c r="R98" i="3"/>
  <c r="Q98" i="3"/>
  <c r="S97" i="3"/>
  <c r="R97" i="3"/>
  <c r="Q97" i="3"/>
  <c r="S96" i="3"/>
  <c r="R96" i="3"/>
  <c r="Q96" i="3"/>
  <c r="S95" i="3"/>
  <c r="R95" i="3"/>
  <c r="Q95" i="3"/>
  <c r="S94" i="3"/>
  <c r="R94" i="3"/>
  <c r="Q94" i="3"/>
  <c r="S92" i="3"/>
  <c r="R92" i="3"/>
  <c r="Q92" i="3"/>
  <c r="S91" i="3"/>
  <c r="R91" i="3"/>
  <c r="Q91" i="3"/>
  <c r="S90" i="3"/>
  <c r="R90" i="3"/>
  <c r="Q90" i="3"/>
  <c r="S89" i="3"/>
  <c r="R89" i="3"/>
  <c r="Q89" i="3"/>
  <c r="S88" i="3"/>
  <c r="R88" i="3"/>
  <c r="Q88" i="3"/>
  <c r="S87" i="3"/>
  <c r="R87" i="3"/>
  <c r="Q87" i="3"/>
  <c r="S86" i="3"/>
  <c r="R86" i="3"/>
  <c r="Q86" i="3"/>
  <c r="S85" i="3"/>
  <c r="R85" i="3"/>
  <c r="Q85" i="3"/>
  <c r="S84" i="3"/>
  <c r="R84" i="3"/>
  <c r="Q84" i="3"/>
  <c r="S83" i="3"/>
  <c r="R83" i="3"/>
  <c r="Q83" i="3"/>
  <c r="S82" i="3"/>
  <c r="R82" i="3"/>
  <c r="Q82" i="3"/>
  <c r="S81" i="3"/>
  <c r="R81" i="3"/>
  <c r="Q81" i="3"/>
  <c r="S80" i="3"/>
  <c r="R80" i="3"/>
  <c r="Q80" i="3"/>
  <c r="S79" i="3"/>
  <c r="R79" i="3"/>
  <c r="Q79" i="3"/>
  <c r="S78" i="3"/>
  <c r="R78" i="3"/>
  <c r="Q78" i="3"/>
  <c r="S77" i="3"/>
  <c r="R77" i="3"/>
  <c r="Q77" i="3"/>
  <c r="S74" i="3"/>
  <c r="R74" i="3"/>
  <c r="Q74" i="3"/>
  <c r="S73" i="3"/>
  <c r="R73" i="3"/>
  <c r="Q73" i="3"/>
  <c r="S72" i="3"/>
  <c r="R72" i="3"/>
  <c r="Q72" i="3"/>
  <c r="S71" i="3"/>
  <c r="R71" i="3"/>
  <c r="Q71" i="3"/>
  <c r="S70" i="3"/>
  <c r="R70" i="3"/>
  <c r="Q70" i="3"/>
  <c r="S69" i="3"/>
  <c r="R69" i="3"/>
  <c r="Q69" i="3"/>
  <c r="S68" i="3"/>
  <c r="R68" i="3"/>
  <c r="Q68" i="3"/>
  <c r="S67" i="3"/>
  <c r="R67" i="3"/>
  <c r="Q67" i="3"/>
  <c r="S66" i="3"/>
  <c r="R66" i="3"/>
  <c r="Q66" i="3"/>
  <c r="S65" i="3"/>
  <c r="R65" i="3"/>
  <c r="Q65" i="3"/>
  <c r="S64" i="3"/>
  <c r="R64" i="3"/>
  <c r="Q64" i="3"/>
  <c r="S63" i="3"/>
  <c r="R63" i="3"/>
  <c r="Q63" i="3"/>
  <c r="S62" i="3"/>
  <c r="R62" i="3"/>
  <c r="Q62" i="3"/>
  <c r="S61" i="3"/>
  <c r="R61" i="3"/>
  <c r="Q61" i="3"/>
  <c r="S60" i="3"/>
  <c r="R60" i="3"/>
  <c r="Q60" i="3"/>
  <c r="S59" i="3"/>
  <c r="R59" i="3"/>
  <c r="Q59" i="3"/>
  <c r="S58" i="3"/>
  <c r="R58" i="3"/>
  <c r="Q58" i="3"/>
  <c r="S57" i="3"/>
  <c r="R57" i="3"/>
  <c r="Q57" i="3"/>
  <c r="S56" i="3"/>
  <c r="R56" i="3"/>
  <c r="Q56" i="3"/>
  <c r="S55" i="3"/>
  <c r="R55" i="3"/>
  <c r="Q55" i="3"/>
  <c r="S54" i="3"/>
  <c r="R54" i="3"/>
  <c r="Q54" i="3"/>
  <c r="S53" i="3"/>
  <c r="R53" i="3"/>
  <c r="Q53" i="3"/>
  <c r="S52" i="3"/>
  <c r="R52" i="3"/>
  <c r="Q52" i="3"/>
  <c r="S51" i="3"/>
  <c r="R51" i="3"/>
  <c r="Q51" i="3"/>
  <c r="S50" i="3"/>
  <c r="R50" i="3"/>
  <c r="Q50" i="3"/>
  <c r="S49" i="3"/>
  <c r="R49" i="3"/>
  <c r="Q49" i="3"/>
  <c r="S48" i="3"/>
  <c r="R48" i="3"/>
  <c r="Q48" i="3"/>
  <c r="S47" i="3"/>
  <c r="R47" i="3"/>
  <c r="Q47" i="3"/>
  <c r="S46" i="3"/>
  <c r="R46" i="3"/>
  <c r="Q46" i="3"/>
  <c r="S45" i="3"/>
  <c r="R45" i="3"/>
  <c r="Q45" i="3"/>
  <c r="S44" i="3"/>
  <c r="R44" i="3"/>
  <c r="Q44" i="3"/>
  <c r="S43" i="3"/>
  <c r="R43" i="3"/>
  <c r="Q43" i="3"/>
  <c r="S42" i="3"/>
  <c r="R42" i="3"/>
  <c r="Q42" i="3"/>
  <c r="S41" i="3"/>
  <c r="R41" i="3"/>
  <c r="Q41" i="3"/>
  <c r="S40" i="3"/>
  <c r="R40" i="3"/>
  <c r="Q40" i="3"/>
  <c r="S39" i="3"/>
  <c r="R39" i="3"/>
  <c r="Q39" i="3"/>
  <c r="S38" i="3"/>
  <c r="R38" i="3"/>
  <c r="Q38" i="3"/>
  <c r="S37" i="3"/>
  <c r="R37" i="3"/>
  <c r="Q37" i="3"/>
  <c r="S36" i="3"/>
  <c r="R36" i="3"/>
  <c r="Q36" i="3"/>
  <c r="S35" i="3"/>
  <c r="R35" i="3"/>
  <c r="Q35" i="3"/>
  <c r="S34" i="3"/>
  <c r="R34" i="3"/>
  <c r="Q34" i="3"/>
  <c r="S33" i="3"/>
  <c r="R33" i="3"/>
  <c r="Q33" i="3"/>
  <c r="S32" i="3"/>
  <c r="R32" i="3"/>
  <c r="Q32" i="3"/>
  <c r="S31" i="3"/>
  <c r="R31" i="3"/>
  <c r="Q31" i="3"/>
  <c r="S30" i="3"/>
  <c r="R30" i="3"/>
  <c r="Q30" i="3"/>
  <c r="S29" i="3"/>
  <c r="R29" i="3"/>
  <c r="Q29" i="3"/>
  <c r="S28" i="3"/>
  <c r="R28" i="3"/>
  <c r="Q28" i="3"/>
  <c r="S27" i="3"/>
  <c r="R27" i="3"/>
  <c r="Q27" i="3"/>
  <c r="S26" i="3"/>
  <c r="R26" i="3"/>
  <c r="Q26" i="3"/>
  <c r="S25" i="3"/>
  <c r="R25" i="3"/>
  <c r="Q25" i="3"/>
  <c r="S24" i="3"/>
  <c r="R24" i="3"/>
  <c r="Q24" i="3"/>
  <c r="S23" i="3"/>
  <c r="R23" i="3"/>
  <c r="Q23" i="3"/>
  <c r="S22" i="3"/>
  <c r="R22" i="3"/>
  <c r="Q22" i="3"/>
  <c r="Q21" i="3"/>
  <c r="S21" i="3"/>
  <c r="R21" i="3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D103" i="3"/>
  <c r="K103" i="3" s="1"/>
  <c r="M103" i="3"/>
  <c r="L104" i="3"/>
  <c r="D76" i="3"/>
  <c r="D75" i="3"/>
  <c r="D102" i="3"/>
  <c r="D101" i="3"/>
  <c r="D100" i="3"/>
  <c r="D99" i="3"/>
  <c r="D98" i="3"/>
  <c r="D97" i="3"/>
  <c r="D96" i="3"/>
  <c r="D95" i="3"/>
  <c r="D94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J72" i="2"/>
  <c r="J53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G103" i="2"/>
  <c r="H103" i="2" s="1"/>
  <c r="AF90" i="6"/>
  <c r="AF89" i="6"/>
  <c r="AF88" i="6"/>
  <c r="AF87" i="6"/>
  <c r="AF86" i="6"/>
  <c r="AF85" i="6"/>
  <c r="AF84" i="6"/>
  <c r="AF83" i="6"/>
  <c r="AF82" i="6"/>
  <c r="AF81" i="6"/>
  <c r="AF80" i="6"/>
  <c r="AF79" i="6"/>
  <c r="AF78" i="6"/>
  <c r="AF77" i="6"/>
  <c r="AF76" i="6"/>
  <c r="AF75" i="6"/>
  <c r="AF74" i="6"/>
  <c r="AF73" i="6"/>
  <c r="AF72" i="6"/>
  <c r="AF71" i="6"/>
  <c r="AF70" i="6"/>
  <c r="AF69" i="6"/>
  <c r="AF68" i="6"/>
  <c r="AF67" i="6"/>
  <c r="AF66" i="6"/>
  <c r="AF65" i="6"/>
  <c r="AF64" i="6"/>
  <c r="AF63" i="6"/>
  <c r="AF62" i="6"/>
  <c r="AF61" i="6"/>
  <c r="AF60" i="6"/>
  <c r="AF59" i="6"/>
  <c r="AF58" i="6"/>
  <c r="AF57" i="6"/>
  <c r="AF56" i="6"/>
  <c r="AF55" i="6"/>
  <c r="AF54" i="6"/>
  <c r="AF53" i="6"/>
  <c r="AF52" i="6"/>
  <c r="AF51" i="6"/>
  <c r="AF50" i="6"/>
  <c r="AF49" i="6"/>
  <c r="AF48" i="6"/>
  <c r="AF47" i="6"/>
  <c r="AF46" i="6"/>
  <c r="AF45" i="6"/>
  <c r="AF44" i="6"/>
  <c r="AF43" i="6"/>
  <c r="AF42" i="6"/>
  <c r="AF41" i="6"/>
  <c r="AF40" i="6"/>
  <c r="AF39" i="6"/>
  <c r="AF38" i="6"/>
  <c r="AF37" i="6"/>
  <c r="AF36" i="6"/>
  <c r="AF35" i="6"/>
  <c r="AF34" i="6"/>
  <c r="AF33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C92" i="6"/>
  <c r="AE92" i="6"/>
  <c r="AD92" i="6"/>
  <c r="AB92" i="6"/>
  <c r="AA92" i="6"/>
  <c r="Z92" i="6"/>
  <c r="Y92" i="6"/>
  <c r="X92" i="6"/>
  <c r="W92" i="6"/>
  <c r="V92" i="6"/>
  <c r="T92" i="6"/>
  <c r="S92" i="6"/>
  <c r="R92" i="6"/>
  <c r="J97" i="6" s="1"/>
  <c r="Q92" i="6"/>
  <c r="P92" i="6"/>
  <c r="O92" i="6"/>
  <c r="N92" i="6"/>
  <c r="M92" i="6"/>
  <c r="L92" i="6"/>
  <c r="K92" i="6"/>
  <c r="J92" i="6"/>
  <c r="J104" i="6" s="1"/>
  <c r="I92" i="6"/>
  <c r="H92" i="6"/>
  <c r="G92" i="6"/>
  <c r="F92" i="6"/>
  <c r="E92" i="6"/>
  <c r="D92" i="6"/>
  <c r="C92" i="6"/>
  <c r="U92" i="6" l="1"/>
  <c r="J96" i="6" s="1"/>
  <c r="AG88" i="6"/>
  <c r="AH88" i="6" s="1"/>
  <c r="AI88" i="6" s="1"/>
  <c r="AL88" i="6" s="1"/>
  <c r="J98" i="6"/>
  <c r="J100" i="6" s="1"/>
  <c r="J101" i="6" s="1"/>
  <c r="J102" i="6" s="1"/>
  <c r="J103" i="6"/>
  <c r="U103" i="3"/>
  <c r="V103" i="3" s="1"/>
  <c r="AF92" i="6"/>
  <c r="J111" i="6" s="1"/>
  <c r="J114" i="6" s="1"/>
  <c r="W104" i="3"/>
  <c r="K104" i="2"/>
  <c r="F104" i="2"/>
  <c r="E104" i="2"/>
  <c r="Q20" i="3"/>
  <c r="O20" i="3"/>
  <c r="Q19" i="3"/>
  <c r="O19" i="3"/>
  <c r="Q18" i="3"/>
  <c r="O18" i="3"/>
  <c r="Q17" i="3"/>
  <c r="O17" i="3"/>
  <c r="Q16" i="3"/>
  <c r="O16" i="3"/>
  <c r="Q15" i="3"/>
  <c r="O15" i="3"/>
  <c r="Q14" i="3"/>
  <c r="O14" i="3"/>
  <c r="Q13" i="3"/>
  <c r="O13" i="3"/>
  <c r="Q12" i="3"/>
  <c r="O12" i="3"/>
  <c r="Q11" i="3"/>
  <c r="O11" i="3"/>
  <c r="Q10" i="3"/>
  <c r="O10" i="3"/>
  <c r="Q9" i="3"/>
  <c r="O9" i="3"/>
  <c r="Q8" i="3"/>
  <c r="O8" i="3"/>
  <c r="Q7" i="3"/>
  <c r="O7" i="3"/>
  <c r="Q6" i="3"/>
  <c r="O6" i="3"/>
  <c r="Q5" i="3"/>
  <c r="O5" i="3"/>
  <c r="Q4" i="3"/>
  <c r="O4" i="3"/>
  <c r="Q3" i="3"/>
  <c r="O3" i="3"/>
  <c r="H20" i="3"/>
  <c r="G20" i="3"/>
  <c r="F20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H4" i="3"/>
  <c r="G4" i="3"/>
  <c r="F4" i="3"/>
  <c r="H3" i="3"/>
  <c r="G3" i="3"/>
  <c r="F3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J3" i="2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8" i="2"/>
  <c r="L8" i="2" s="1"/>
  <c r="J7" i="2"/>
  <c r="L7" i="2" s="1"/>
  <c r="J6" i="2"/>
  <c r="L6" i="2" s="1"/>
  <c r="J5" i="2"/>
  <c r="L5" i="2" s="1"/>
  <c r="C7" i="1"/>
  <c r="D7" i="1" s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D10" i="5"/>
  <c r="C10" i="5"/>
  <c r="B10" i="5"/>
  <c r="D8" i="5"/>
  <c r="E8" i="5" s="1"/>
  <c r="AF104" i="3"/>
  <c r="AE104" i="3"/>
  <c r="AD104" i="3"/>
  <c r="AC104" i="3"/>
  <c r="AB104" i="3"/>
  <c r="AA104" i="3"/>
  <c r="Z104" i="3"/>
  <c r="S104" i="3"/>
  <c r="R104" i="3"/>
  <c r="O102" i="3"/>
  <c r="M102" i="3"/>
  <c r="H102" i="3"/>
  <c r="G102" i="3"/>
  <c r="O101" i="3"/>
  <c r="M101" i="3"/>
  <c r="M106" i="3" s="1"/>
  <c r="M107" i="3" s="1"/>
  <c r="H101" i="3"/>
  <c r="G101" i="3"/>
  <c r="F107" i="3"/>
  <c r="O100" i="3"/>
  <c r="M100" i="3"/>
  <c r="H100" i="3"/>
  <c r="G100" i="3"/>
  <c r="O99" i="3"/>
  <c r="M99" i="3"/>
  <c r="H99" i="3"/>
  <c r="G99" i="3"/>
  <c r="O98" i="3"/>
  <c r="M98" i="3"/>
  <c r="I98" i="3"/>
  <c r="H98" i="3"/>
  <c r="G98" i="3"/>
  <c r="O97" i="3"/>
  <c r="M97" i="3"/>
  <c r="H97" i="3"/>
  <c r="G97" i="3"/>
  <c r="O96" i="3"/>
  <c r="M96" i="3"/>
  <c r="H96" i="3"/>
  <c r="G96" i="3"/>
  <c r="O95" i="3"/>
  <c r="M95" i="3"/>
  <c r="H95" i="3"/>
  <c r="G95" i="3"/>
  <c r="O94" i="3"/>
  <c r="M94" i="3"/>
  <c r="H94" i="3"/>
  <c r="G94" i="3"/>
  <c r="O93" i="3"/>
  <c r="M93" i="3"/>
  <c r="H93" i="3"/>
  <c r="G93" i="3"/>
  <c r="O92" i="3"/>
  <c r="M92" i="3"/>
  <c r="H92" i="3"/>
  <c r="G92" i="3"/>
  <c r="O91" i="3"/>
  <c r="M91" i="3"/>
  <c r="H91" i="3"/>
  <c r="G91" i="3"/>
  <c r="O90" i="3"/>
  <c r="M90" i="3"/>
  <c r="H90" i="3"/>
  <c r="G90" i="3"/>
  <c r="O89" i="3"/>
  <c r="M89" i="3"/>
  <c r="H89" i="3"/>
  <c r="G89" i="3"/>
  <c r="O88" i="3"/>
  <c r="M88" i="3"/>
  <c r="H88" i="3"/>
  <c r="G88" i="3"/>
  <c r="O87" i="3"/>
  <c r="M87" i="3"/>
  <c r="H87" i="3"/>
  <c r="G87" i="3"/>
  <c r="O86" i="3"/>
  <c r="M86" i="3"/>
  <c r="H86" i="3"/>
  <c r="G86" i="3"/>
  <c r="O85" i="3"/>
  <c r="M85" i="3"/>
  <c r="H85" i="3"/>
  <c r="G85" i="3"/>
  <c r="O84" i="3"/>
  <c r="M84" i="3"/>
  <c r="H84" i="3"/>
  <c r="G84" i="3"/>
  <c r="O83" i="3"/>
  <c r="M83" i="3"/>
  <c r="H83" i="3"/>
  <c r="G83" i="3"/>
  <c r="O82" i="3"/>
  <c r="M82" i="3"/>
  <c r="H82" i="3"/>
  <c r="G82" i="3"/>
  <c r="O81" i="3"/>
  <c r="M81" i="3"/>
  <c r="H81" i="3"/>
  <c r="G81" i="3"/>
  <c r="O80" i="3"/>
  <c r="M80" i="3"/>
  <c r="H80" i="3"/>
  <c r="G80" i="3"/>
  <c r="O79" i="3"/>
  <c r="M79" i="3"/>
  <c r="H79" i="3"/>
  <c r="G79" i="3"/>
  <c r="O78" i="3"/>
  <c r="M78" i="3"/>
  <c r="H78" i="3"/>
  <c r="G78" i="3"/>
  <c r="O77" i="3"/>
  <c r="M77" i="3"/>
  <c r="H77" i="3"/>
  <c r="G77" i="3"/>
  <c r="O76" i="3"/>
  <c r="M76" i="3"/>
  <c r="H76" i="3"/>
  <c r="G76" i="3"/>
  <c r="O75" i="3"/>
  <c r="M75" i="3"/>
  <c r="H75" i="3"/>
  <c r="G75" i="3"/>
  <c r="O74" i="3"/>
  <c r="M74" i="3"/>
  <c r="H74" i="3"/>
  <c r="G74" i="3"/>
  <c r="O73" i="3"/>
  <c r="M73" i="3"/>
  <c r="H73" i="3"/>
  <c r="G73" i="3"/>
  <c r="O72" i="3"/>
  <c r="M72" i="3"/>
  <c r="H72" i="3"/>
  <c r="G72" i="3"/>
  <c r="O71" i="3"/>
  <c r="M71" i="3"/>
  <c r="H71" i="3"/>
  <c r="G71" i="3"/>
  <c r="O70" i="3"/>
  <c r="M70" i="3"/>
  <c r="H70" i="3"/>
  <c r="G70" i="3"/>
  <c r="O69" i="3"/>
  <c r="M69" i="3"/>
  <c r="H69" i="3"/>
  <c r="G69" i="3"/>
  <c r="O68" i="3"/>
  <c r="M68" i="3"/>
  <c r="H68" i="3"/>
  <c r="G68" i="3"/>
  <c r="O67" i="3"/>
  <c r="M67" i="3"/>
  <c r="H67" i="3"/>
  <c r="G67" i="3"/>
  <c r="O66" i="3"/>
  <c r="M66" i="3"/>
  <c r="H66" i="3"/>
  <c r="G66" i="3"/>
  <c r="O65" i="3"/>
  <c r="M65" i="3"/>
  <c r="H65" i="3"/>
  <c r="G65" i="3"/>
  <c r="O64" i="3"/>
  <c r="M64" i="3"/>
  <c r="H64" i="3"/>
  <c r="G64" i="3"/>
  <c r="O63" i="3"/>
  <c r="M63" i="3"/>
  <c r="H63" i="3"/>
  <c r="G63" i="3"/>
  <c r="O62" i="3"/>
  <c r="M62" i="3"/>
  <c r="H62" i="3"/>
  <c r="G62" i="3"/>
  <c r="O61" i="3"/>
  <c r="M61" i="3"/>
  <c r="H61" i="3"/>
  <c r="G61" i="3"/>
  <c r="O60" i="3"/>
  <c r="M60" i="3"/>
  <c r="H60" i="3"/>
  <c r="G60" i="3"/>
  <c r="O59" i="3"/>
  <c r="M59" i="3"/>
  <c r="H59" i="3"/>
  <c r="G59" i="3"/>
  <c r="O58" i="3"/>
  <c r="M58" i="3"/>
  <c r="H58" i="3"/>
  <c r="G58" i="3"/>
  <c r="O57" i="3"/>
  <c r="M57" i="3"/>
  <c r="H57" i="3"/>
  <c r="G57" i="3"/>
  <c r="O56" i="3"/>
  <c r="M56" i="3"/>
  <c r="H56" i="3"/>
  <c r="G56" i="3"/>
  <c r="O55" i="3"/>
  <c r="M55" i="3"/>
  <c r="H55" i="3"/>
  <c r="G55" i="3"/>
  <c r="O54" i="3"/>
  <c r="M54" i="3"/>
  <c r="H54" i="3"/>
  <c r="G54" i="3"/>
  <c r="O53" i="3"/>
  <c r="M53" i="3"/>
  <c r="H53" i="3"/>
  <c r="G53" i="3"/>
  <c r="O52" i="3"/>
  <c r="M52" i="3"/>
  <c r="H52" i="3"/>
  <c r="G52" i="3"/>
  <c r="O51" i="3"/>
  <c r="M51" i="3"/>
  <c r="H51" i="3"/>
  <c r="G51" i="3"/>
  <c r="O50" i="3"/>
  <c r="M50" i="3"/>
  <c r="H50" i="3"/>
  <c r="G50" i="3"/>
  <c r="O49" i="3"/>
  <c r="M49" i="3"/>
  <c r="H49" i="3"/>
  <c r="G49" i="3"/>
  <c r="O48" i="3"/>
  <c r="M48" i="3"/>
  <c r="H48" i="3"/>
  <c r="G48" i="3"/>
  <c r="O47" i="3"/>
  <c r="M47" i="3"/>
  <c r="H47" i="3"/>
  <c r="G47" i="3"/>
  <c r="O46" i="3"/>
  <c r="M46" i="3"/>
  <c r="H46" i="3"/>
  <c r="G46" i="3"/>
  <c r="O45" i="3"/>
  <c r="M45" i="3"/>
  <c r="H45" i="3"/>
  <c r="G45" i="3"/>
  <c r="O44" i="3"/>
  <c r="M44" i="3"/>
  <c r="H44" i="3"/>
  <c r="G44" i="3"/>
  <c r="O43" i="3"/>
  <c r="M43" i="3"/>
  <c r="H43" i="3"/>
  <c r="G43" i="3"/>
  <c r="O42" i="3"/>
  <c r="M42" i="3"/>
  <c r="H42" i="3"/>
  <c r="G42" i="3"/>
  <c r="O41" i="3"/>
  <c r="M41" i="3"/>
  <c r="H41" i="3"/>
  <c r="G41" i="3"/>
  <c r="O40" i="3"/>
  <c r="M40" i="3"/>
  <c r="H40" i="3"/>
  <c r="G40" i="3"/>
  <c r="O39" i="3"/>
  <c r="M39" i="3"/>
  <c r="H39" i="3"/>
  <c r="G39" i="3"/>
  <c r="O38" i="3"/>
  <c r="M38" i="3"/>
  <c r="H38" i="3"/>
  <c r="G38" i="3"/>
  <c r="O37" i="3"/>
  <c r="M37" i="3"/>
  <c r="H37" i="3"/>
  <c r="G37" i="3"/>
  <c r="O36" i="3"/>
  <c r="M36" i="3"/>
  <c r="H36" i="3"/>
  <c r="G36" i="3"/>
  <c r="O35" i="3"/>
  <c r="M35" i="3"/>
  <c r="H35" i="3"/>
  <c r="G35" i="3"/>
  <c r="O34" i="3"/>
  <c r="M34" i="3"/>
  <c r="H34" i="3"/>
  <c r="G34" i="3"/>
  <c r="O33" i="3"/>
  <c r="M33" i="3"/>
  <c r="H33" i="3"/>
  <c r="G33" i="3"/>
  <c r="T32" i="3"/>
  <c r="O32" i="3"/>
  <c r="M32" i="3"/>
  <c r="H32" i="3"/>
  <c r="G32" i="3"/>
  <c r="O31" i="3"/>
  <c r="M31" i="3"/>
  <c r="H31" i="3"/>
  <c r="G31" i="3"/>
  <c r="O30" i="3"/>
  <c r="M30" i="3"/>
  <c r="H30" i="3"/>
  <c r="G30" i="3"/>
  <c r="O29" i="3"/>
  <c r="M29" i="3"/>
  <c r="H29" i="3"/>
  <c r="G29" i="3"/>
  <c r="O28" i="3"/>
  <c r="M28" i="3"/>
  <c r="H28" i="3"/>
  <c r="G28" i="3"/>
  <c r="O27" i="3"/>
  <c r="M27" i="3"/>
  <c r="H27" i="3"/>
  <c r="G27" i="3"/>
  <c r="O26" i="3"/>
  <c r="M26" i="3"/>
  <c r="H26" i="3"/>
  <c r="G26" i="3"/>
  <c r="O25" i="3"/>
  <c r="M25" i="3"/>
  <c r="H25" i="3"/>
  <c r="G25" i="3"/>
  <c r="O24" i="3"/>
  <c r="M24" i="3"/>
  <c r="H24" i="3"/>
  <c r="G24" i="3"/>
  <c r="O23" i="3"/>
  <c r="M23" i="3"/>
  <c r="H23" i="3"/>
  <c r="G23" i="3"/>
  <c r="O22" i="3"/>
  <c r="M22" i="3"/>
  <c r="I22" i="3"/>
  <c r="H22" i="3"/>
  <c r="G22" i="3"/>
  <c r="O21" i="3"/>
  <c r="M21" i="3"/>
  <c r="H21" i="3"/>
  <c r="G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G102" i="2"/>
  <c r="I101" i="3" s="1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G82" i="2"/>
  <c r="I102" i="3" s="1"/>
  <c r="L81" i="2"/>
  <c r="L80" i="2"/>
  <c r="L79" i="2"/>
  <c r="L78" i="2"/>
  <c r="L77" i="2"/>
  <c r="H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N63" i="2" s="1"/>
  <c r="G63" i="2" s="1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N47" i="2" s="1"/>
  <c r="G47" i="2" s="1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4" i="2"/>
  <c r="L25" i="2"/>
  <c r="L24" i="2"/>
  <c r="L23" i="2"/>
  <c r="L22" i="2"/>
  <c r="AM88" i="6" l="1"/>
  <c r="AN88" i="6" s="1"/>
  <c r="J105" i="6"/>
  <c r="J106" i="6" s="1"/>
  <c r="J107" i="6" s="1"/>
  <c r="M104" i="3"/>
  <c r="J112" i="6"/>
  <c r="J113" i="6" s="1"/>
  <c r="J115" i="6" s="1"/>
  <c r="Q104" i="3"/>
  <c r="D104" i="3"/>
  <c r="O104" i="3"/>
  <c r="G104" i="3"/>
  <c r="F104" i="3"/>
  <c r="H104" i="3"/>
  <c r="N22" i="2"/>
  <c r="G22" i="2" s="1"/>
  <c r="H22" i="2" s="1"/>
  <c r="N88" i="2"/>
  <c r="G88" i="2" s="1"/>
  <c r="I28" i="3" s="1"/>
  <c r="P28" i="3" s="1"/>
  <c r="J116" i="6"/>
  <c r="J117" i="6" s="1"/>
  <c r="I10" i="4" s="1"/>
  <c r="E10" i="4"/>
  <c r="N8" i="2"/>
  <c r="G8" i="2" s="1"/>
  <c r="I11" i="3" s="1"/>
  <c r="K11" i="3" s="1"/>
  <c r="N15" i="2"/>
  <c r="G15" i="2" s="1"/>
  <c r="I7" i="3" s="1"/>
  <c r="P7" i="3" s="1"/>
  <c r="M104" i="2"/>
  <c r="N7" i="2"/>
  <c r="G7" i="2" s="1"/>
  <c r="I18" i="3" s="1"/>
  <c r="P18" i="3" s="1"/>
  <c r="J104" i="2"/>
  <c r="L3" i="2"/>
  <c r="P101" i="3"/>
  <c r="N38" i="2"/>
  <c r="G38" i="2" s="1"/>
  <c r="I94" i="3" s="1"/>
  <c r="K94" i="3" s="1"/>
  <c r="N48" i="2"/>
  <c r="G48" i="2" s="1"/>
  <c r="I46" i="3" s="1"/>
  <c r="K46" i="3" s="1"/>
  <c r="N77" i="2"/>
  <c r="N29" i="2"/>
  <c r="G29" i="2" s="1"/>
  <c r="I38" i="3" s="1"/>
  <c r="K38" i="3" s="1"/>
  <c r="N33" i="2"/>
  <c r="G33" i="2" s="1"/>
  <c r="H33" i="2" s="1"/>
  <c r="N35" i="2"/>
  <c r="G35" i="2" s="1"/>
  <c r="I47" i="3" s="1"/>
  <c r="P47" i="3" s="1"/>
  <c r="N37" i="2"/>
  <c r="G37" i="2" s="1"/>
  <c r="H37" i="2" s="1"/>
  <c r="N66" i="2"/>
  <c r="G66" i="2" s="1"/>
  <c r="I72" i="3" s="1"/>
  <c r="K72" i="3" s="1"/>
  <c r="N74" i="2"/>
  <c r="G74" i="2" s="1"/>
  <c r="H74" i="2" s="1"/>
  <c r="N27" i="2"/>
  <c r="G27" i="2" s="1"/>
  <c r="H27" i="2" s="1"/>
  <c r="P27" i="2" s="1"/>
  <c r="Q27" i="2" s="1"/>
  <c r="R27" i="2" s="1"/>
  <c r="N28" i="2"/>
  <c r="G28" i="2" s="1"/>
  <c r="I45" i="3" s="1"/>
  <c r="P45" i="3" s="1"/>
  <c r="N43" i="2"/>
  <c r="G43" i="2" s="1"/>
  <c r="I97" i="3" s="1"/>
  <c r="P97" i="3" s="1"/>
  <c r="N59" i="2"/>
  <c r="G59" i="2" s="1"/>
  <c r="H59" i="2" s="1"/>
  <c r="P59" i="2" s="1"/>
  <c r="Q59" i="2" s="1"/>
  <c r="R59" i="2" s="1"/>
  <c r="N16" i="2"/>
  <c r="G16" i="2" s="1"/>
  <c r="N84" i="2"/>
  <c r="G84" i="2" s="1"/>
  <c r="H84" i="2" s="1"/>
  <c r="N87" i="2"/>
  <c r="G87" i="2" s="1"/>
  <c r="H87" i="2" s="1"/>
  <c r="P87" i="2" s="1"/>
  <c r="Q87" i="2" s="1"/>
  <c r="R87" i="2" s="1"/>
  <c r="N18" i="2"/>
  <c r="G18" i="2" s="1"/>
  <c r="N90" i="2"/>
  <c r="G90" i="2" s="1"/>
  <c r="H90" i="2" s="1"/>
  <c r="N93" i="2"/>
  <c r="G93" i="2" s="1"/>
  <c r="I68" i="3" s="1"/>
  <c r="P68" i="3" s="1"/>
  <c r="N95" i="2"/>
  <c r="G95" i="2" s="1"/>
  <c r="H95" i="2" s="1"/>
  <c r="P95" i="2" s="1"/>
  <c r="Q95" i="2" s="1"/>
  <c r="R95" i="2" s="1"/>
  <c r="N97" i="2"/>
  <c r="G97" i="2" s="1"/>
  <c r="I67" i="3" s="1"/>
  <c r="P67" i="3" s="1"/>
  <c r="N99" i="2"/>
  <c r="G99" i="2" s="1"/>
  <c r="H99" i="2" s="1"/>
  <c r="P99" i="2" s="1"/>
  <c r="Q99" i="2" s="1"/>
  <c r="R99" i="2" s="1"/>
  <c r="N100" i="2"/>
  <c r="G100" i="2" s="1"/>
  <c r="H100" i="2" s="1"/>
  <c r="N41" i="2"/>
  <c r="G41" i="2" s="1"/>
  <c r="I58" i="3" s="1"/>
  <c r="P58" i="3" s="1"/>
  <c r="N52" i="2"/>
  <c r="G52" i="2" s="1"/>
  <c r="I43" i="3" s="1"/>
  <c r="P43" i="3" s="1"/>
  <c r="N11" i="2"/>
  <c r="G11" i="2" s="1"/>
  <c r="I3" i="3" s="1"/>
  <c r="N55" i="2"/>
  <c r="G55" i="2" s="1"/>
  <c r="H55" i="2" s="1"/>
  <c r="P55" i="2" s="1"/>
  <c r="Q55" i="2" s="1"/>
  <c r="R55" i="2" s="1"/>
  <c r="N58" i="2"/>
  <c r="G58" i="2" s="1"/>
  <c r="I48" i="3" s="1"/>
  <c r="P48" i="3" s="1"/>
  <c r="N60" i="2"/>
  <c r="G60" i="2" s="1"/>
  <c r="H60" i="2" s="1"/>
  <c r="N14" i="2"/>
  <c r="G14" i="2" s="1"/>
  <c r="N79" i="2"/>
  <c r="G79" i="2" s="1"/>
  <c r="I55" i="3" s="1"/>
  <c r="P55" i="3" s="1"/>
  <c r="N80" i="2"/>
  <c r="G80" i="2" s="1"/>
  <c r="H80" i="2" s="1"/>
  <c r="N85" i="2"/>
  <c r="G85" i="2" s="1"/>
  <c r="H85" i="2" s="1"/>
  <c r="N89" i="2"/>
  <c r="G89" i="2" s="1"/>
  <c r="I81" i="3" s="1"/>
  <c r="P81" i="3" s="1"/>
  <c r="N91" i="2"/>
  <c r="G91" i="2" s="1"/>
  <c r="I57" i="3" s="1"/>
  <c r="P57" i="3" s="1"/>
  <c r="N94" i="2"/>
  <c r="G94" i="2" s="1"/>
  <c r="H94" i="2" s="1"/>
  <c r="N96" i="2"/>
  <c r="G96" i="2" s="1"/>
  <c r="H96" i="2" s="1"/>
  <c r="N98" i="2"/>
  <c r="G98" i="2" s="1"/>
  <c r="H98" i="2" s="1"/>
  <c r="N20" i="2"/>
  <c r="G20" i="2" s="1"/>
  <c r="P22" i="3"/>
  <c r="N26" i="2"/>
  <c r="G26" i="2" s="1"/>
  <c r="I52" i="3" s="1"/>
  <c r="P52" i="3" s="1"/>
  <c r="N23" i="2"/>
  <c r="G23" i="2" s="1"/>
  <c r="I85" i="3" s="1"/>
  <c r="K85" i="3" s="1"/>
  <c r="N25" i="2"/>
  <c r="G25" i="2" s="1"/>
  <c r="I29" i="3" s="1"/>
  <c r="N30" i="2"/>
  <c r="G30" i="2" s="1"/>
  <c r="I63" i="3" s="1"/>
  <c r="P63" i="3" s="1"/>
  <c r="N34" i="2"/>
  <c r="G34" i="2" s="1"/>
  <c r="H34" i="2" s="1"/>
  <c r="N36" i="2"/>
  <c r="G36" i="2" s="1"/>
  <c r="I42" i="3" s="1"/>
  <c r="K42" i="3" s="1"/>
  <c r="N42" i="2"/>
  <c r="G42" i="2" s="1"/>
  <c r="I87" i="3" s="1"/>
  <c r="P87" i="3" s="1"/>
  <c r="N44" i="2"/>
  <c r="G44" i="2" s="1"/>
  <c r="H44" i="2" s="1"/>
  <c r="N49" i="2"/>
  <c r="G49" i="2" s="1"/>
  <c r="I89" i="3" s="1"/>
  <c r="K89" i="3" s="1"/>
  <c r="N51" i="2"/>
  <c r="G51" i="2" s="1"/>
  <c r="I24" i="3" s="1"/>
  <c r="P24" i="3" s="1"/>
  <c r="N53" i="2"/>
  <c r="G53" i="2" s="1"/>
  <c r="H53" i="2" s="1"/>
  <c r="N54" i="2"/>
  <c r="G54" i="2" s="1"/>
  <c r="H54" i="2" s="1"/>
  <c r="N57" i="2"/>
  <c r="G57" i="2" s="1"/>
  <c r="H57" i="2" s="1"/>
  <c r="N62" i="2"/>
  <c r="G62" i="2" s="1"/>
  <c r="I79" i="3" s="1"/>
  <c r="P79" i="3" s="1"/>
  <c r="N65" i="2"/>
  <c r="G65" i="2" s="1"/>
  <c r="H65" i="2" s="1"/>
  <c r="N69" i="2"/>
  <c r="G69" i="2" s="1"/>
  <c r="I71" i="3" s="1"/>
  <c r="P71" i="3" s="1"/>
  <c r="N71" i="2"/>
  <c r="G71" i="2" s="1"/>
  <c r="H71" i="2" s="1"/>
  <c r="P71" i="2" s="1"/>
  <c r="Q71" i="2" s="1"/>
  <c r="R71" i="2" s="1"/>
  <c r="N73" i="2"/>
  <c r="G73" i="2" s="1"/>
  <c r="H73" i="2" s="1"/>
  <c r="N75" i="2"/>
  <c r="G75" i="2" s="1"/>
  <c r="I32" i="3" s="1"/>
  <c r="K32" i="3" s="1"/>
  <c r="N101" i="2"/>
  <c r="G101" i="2" s="1"/>
  <c r="I100" i="3" s="1"/>
  <c r="P100" i="3" s="1"/>
  <c r="N24" i="2"/>
  <c r="G24" i="2" s="1"/>
  <c r="H24" i="2" s="1"/>
  <c r="N50" i="2"/>
  <c r="G50" i="2" s="1"/>
  <c r="H50" i="2" s="1"/>
  <c r="N61" i="2"/>
  <c r="G61" i="2" s="1"/>
  <c r="I36" i="3" s="1"/>
  <c r="K36" i="3" s="1"/>
  <c r="P98" i="3"/>
  <c r="N78" i="2"/>
  <c r="G78" i="2" s="1"/>
  <c r="H78" i="2" s="1"/>
  <c r="N68" i="2"/>
  <c r="G68" i="2" s="1"/>
  <c r="N86" i="2"/>
  <c r="G86" i="2" s="1"/>
  <c r="I73" i="3" s="1"/>
  <c r="K73" i="3" s="1"/>
  <c r="N6" i="2"/>
  <c r="G6" i="2" s="1"/>
  <c r="I10" i="3" s="1"/>
  <c r="P10" i="3" s="1"/>
  <c r="N32" i="2"/>
  <c r="G32" i="2" s="1"/>
  <c r="H32" i="2" s="1"/>
  <c r="N40" i="2"/>
  <c r="G40" i="2" s="1"/>
  <c r="I70" i="3" s="1"/>
  <c r="N12" i="2"/>
  <c r="G12" i="2" s="1"/>
  <c r="N56" i="2"/>
  <c r="G56" i="2" s="1"/>
  <c r="I91" i="3" s="1"/>
  <c r="K91" i="3" s="1"/>
  <c r="N64" i="2"/>
  <c r="G64" i="2" s="1"/>
  <c r="N70" i="2"/>
  <c r="G70" i="2" s="1"/>
  <c r="H70" i="2" s="1"/>
  <c r="N76" i="2"/>
  <c r="G76" i="2" s="1"/>
  <c r="I60" i="3" s="1"/>
  <c r="K60" i="3" s="1"/>
  <c r="H82" i="2"/>
  <c r="N17" i="2"/>
  <c r="G17" i="2" s="1"/>
  <c r="N19" i="2"/>
  <c r="G19" i="2" s="1"/>
  <c r="I20" i="3" s="1"/>
  <c r="P20" i="3" s="1"/>
  <c r="I93" i="3"/>
  <c r="P93" i="3" s="1"/>
  <c r="H63" i="2"/>
  <c r="P63" i="2" s="1"/>
  <c r="Q63" i="2" s="1"/>
  <c r="R63" i="2" s="1"/>
  <c r="I25" i="3"/>
  <c r="P25" i="3" s="1"/>
  <c r="I40" i="3"/>
  <c r="K40" i="3" s="1"/>
  <c r="H47" i="2"/>
  <c r="P47" i="2" s="1"/>
  <c r="Q47" i="2" s="1"/>
  <c r="R47" i="2" s="1"/>
  <c r="H38" i="2"/>
  <c r="L21" i="2"/>
  <c r="N4" i="2"/>
  <c r="G4" i="2" s="1"/>
  <c r="I13" i="3" s="1"/>
  <c r="P13" i="3" s="1"/>
  <c r="N46" i="2"/>
  <c r="G46" i="2" s="1"/>
  <c r="N13" i="2"/>
  <c r="G13" i="2" s="1"/>
  <c r="I12" i="3" s="1"/>
  <c r="P12" i="3" s="1"/>
  <c r="N5" i="2"/>
  <c r="G5" i="2" s="1"/>
  <c r="I19" i="3" s="1"/>
  <c r="P19" i="3" s="1"/>
  <c r="N31" i="2"/>
  <c r="G31" i="2" s="1"/>
  <c r="N39" i="2"/>
  <c r="G39" i="2" s="1"/>
  <c r="N9" i="2"/>
  <c r="G9" i="2" s="1"/>
  <c r="I17" i="3" s="1"/>
  <c r="P17" i="3" s="1"/>
  <c r="N45" i="2"/>
  <c r="G45" i="2" s="1"/>
  <c r="N10" i="2"/>
  <c r="G10" i="2" s="1"/>
  <c r="I9" i="3" s="1"/>
  <c r="P9" i="3" s="1"/>
  <c r="N67" i="2"/>
  <c r="G67" i="2" s="1"/>
  <c r="N72" i="2"/>
  <c r="G72" i="2" s="1"/>
  <c r="N81" i="2"/>
  <c r="G81" i="2" s="1"/>
  <c r="N83" i="2"/>
  <c r="G83" i="2" s="1"/>
  <c r="N92" i="2"/>
  <c r="G92" i="2" s="1"/>
  <c r="K22" i="3"/>
  <c r="K102" i="3"/>
  <c r="H102" i="2"/>
  <c r="K101" i="3"/>
  <c r="P102" i="3"/>
  <c r="K98" i="3"/>
  <c r="F8" i="5"/>
  <c r="E10" i="5"/>
  <c r="P70" i="2" l="1"/>
  <c r="Q70" i="2"/>
  <c r="R70" i="2" s="1"/>
  <c r="P98" i="2"/>
  <c r="Q98" i="2" s="1"/>
  <c r="R98" i="2" s="1"/>
  <c r="P90" i="2"/>
  <c r="Q90" i="2" s="1"/>
  <c r="R90" i="2" s="1"/>
  <c r="P50" i="2"/>
  <c r="Q50" i="2" s="1"/>
  <c r="R50" i="2" s="1"/>
  <c r="P73" i="2"/>
  <c r="Q73" i="2"/>
  <c r="R73" i="2" s="1"/>
  <c r="P78" i="2"/>
  <c r="Q78" i="2"/>
  <c r="R78" i="2" s="1"/>
  <c r="P57" i="2"/>
  <c r="Q57" i="2"/>
  <c r="R57" i="2" s="1"/>
  <c r="P96" i="2"/>
  <c r="Q96" i="2"/>
  <c r="R96" i="2" s="1"/>
  <c r="P85" i="2"/>
  <c r="Q85" i="2" s="1"/>
  <c r="R85" i="2" s="1"/>
  <c r="P60" i="2"/>
  <c r="Q60" i="2" s="1"/>
  <c r="R60" i="2" s="1"/>
  <c r="P74" i="2"/>
  <c r="Q74" i="2" s="1"/>
  <c r="R74" i="2" s="1"/>
  <c r="P38" i="2"/>
  <c r="Q38" i="2"/>
  <c r="R38" i="2" s="1"/>
  <c r="P54" i="2"/>
  <c r="Q54" i="2"/>
  <c r="R54" i="2" s="1"/>
  <c r="P44" i="2"/>
  <c r="Q44" i="2" s="1"/>
  <c r="R44" i="2" s="1"/>
  <c r="P94" i="2"/>
  <c r="Q94" i="2"/>
  <c r="R94" i="2" s="1"/>
  <c r="P80" i="2"/>
  <c r="Q80" i="2"/>
  <c r="R80" i="2" s="1"/>
  <c r="P65" i="2"/>
  <c r="Q65" i="2"/>
  <c r="R65" i="2" s="1"/>
  <c r="P53" i="2"/>
  <c r="Q53" i="2" s="1"/>
  <c r="R53" i="2" s="1"/>
  <c r="P100" i="2"/>
  <c r="Q100" i="2" s="1"/>
  <c r="R100" i="2" s="1"/>
  <c r="P84" i="2"/>
  <c r="Q84" i="2" s="1"/>
  <c r="R84" i="2" s="1"/>
  <c r="P37" i="2"/>
  <c r="Q37" i="2" s="1"/>
  <c r="R37" i="2" s="1"/>
  <c r="P22" i="2"/>
  <c r="Q22" i="2" s="1"/>
  <c r="R22" i="2" s="1"/>
  <c r="P32" i="2"/>
  <c r="Q32" i="2"/>
  <c r="R32" i="2" s="1"/>
  <c r="P24" i="2"/>
  <c r="Q24" i="2" s="1"/>
  <c r="R24" i="2" s="1"/>
  <c r="P34" i="2"/>
  <c r="Q34" i="2"/>
  <c r="R34" i="2" s="1"/>
  <c r="P33" i="2"/>
  <c r="Q33" i="2" s="1"/>
  <c r="R33" i="2" s="1"/>
  <c r="H52" i="2"/>
  <c r="I59" i="3"/>
  <c r="K59" i="3" s="1"/>
  <c r="H42" i="2"/>
  <c r="H91" i="2"/>
  <c r="P91" i="2" s="1"/>
  <c r="Q91" i="2" s="1"/>
  <c r="R91" i="2" s="1"/>
  <c r="I26" i="3"/>
  <c r="K26" i="3" s="1"/>
  <c r="I56" i="3"/>
  <c r="K56" i="3" s="1"/>
  <c r="H49" i="2"/>
  <c r="I77" i="3"/>
  <c r="P77" i="3" s="1"/>
  <c r="I96" i="3"/>
  <c r="K96" i="3" s="1"/>
  <c r="I65" i="3"/>
  <c r="P65" i="3" s="1"/>
  <c r="H97" i="2"/>
  <c r="I80" i="3"/>
  <c r="K80" i="3" s="1"/>
  <c r="I41" i="3"/>
  <c r="K41" i="3" s="1"/>
  <c r="H43" i="2"/>
  <c r="P43" i="2" s="1"/>
  <c r="Q43" i="2" s="1"/>
  <c r="R43" i="2" s="1"/>
  <c r="H41" i="2"/>
  <c r="H75" i="2"/>
  <c r="P75" i="2" s="1"/>
  <c r="Q75" i="2" s="1"/>
  <c r="R75" i="2" s="1"/>
  <c r="H69" i="2"/>
  <c r="H101" i="2"/>
  <c r="H28" i="2"/>
  <c r="H56" i="2"/>
  <c r="I95" i="3"/>
  <c r="P95" i="3" s="1"/>
  <c r="I23" i="3"/>
  <c r="P23" i="3" s="1"/>
  <c r="H93" i="2"/>
  <c r="H29" i="2"/>
  <c r="I30" i="3"/>
  <c r="P30" i="3" s="1"/>
  <c r="H88" i="2"/>
  <c r="H58" i="2"/>
  <c r="I33" i="3"/>
  <c r="P33" i="3" s="1"/>
  <c r="I66" i="3"/>
  <c r="P66" i="3" s="1"/>
  <c r="I21" i="3"/>
  <c r="P21" i="3" s="1"/>
  <c r="H30" i="2"/>
  <c r="H76" i="2"/>
  <c r="H79" i="2"/>
  <c r="P79" i="2" s="1"/>
  <c r="Q79" i="2" s="1"/>
  <c r="R79" i="2" s="1"/>
  <c r="H66" i="2"/>
  <c r="I90" i="3"/>
  <c r="P90" i="3" s="1"/>
  <c r="I61" i="3"/>
  <c r="K61" i="3" s="1"/>
  <c r="K18" i="3"/>
  <c r="U18" i="3" s="1"/>
  <c r="V18" i="3" s="1"/>
  <c r="H15" i="2"/>
  <c r="P15" i="2" s="1"/>
  <c r="Q15" i="2" s="1"/>
  <c r="R15" i="2" s="1"/>
  <c r="I99" i="3"/>
  <c r="P99" i="3" s="1"/>
  <c r="H51" i="2"/>
  <c r="P51" i="2" s="1"/>
  <c r="Q51" i="2" s="1"/>
  <c r="R51" i="2" s="1"/>
  <c r="I35" i="3"/>
  <c r="K35" i="3" s="1"/>
  <c r="I84" i="3"/>
  <c r="K84" i="3" s="1"/>
  <c r="H8" i="2"/>
  <c r="P11" i="3"/>
  <c r="U11" i="3" s="1"/>
  <c r="V11" i="3" s="1"/>
  <c r="I37" i="3"/>
  <c r="K37" i="3" s="1"/>
  <c r="I53" i="3"/>
  <c r="K53" i="3" s="1"/>
  <c r="I88" i="3"/>
  <c r="K88" i="3" s="1"/>
  <c r="I82" i="3"/>
  <c r="K82" i="3" s="1"/>
  <c r="K63" i="3"/>
  <c r="U63" i="3" s="1"/>
  <c r="V63" i="3" s="1"/>
  <c r="U101" i="3"/>
  <c r="I75" i="3"/>
  <c r="K75" i="3" s="1"/>
  <c r="I49" i="3"/>
  <c r="K49" i="3" s="1"/>
  <c r="H62" i="2"/>
  <c r="I78" i="3"/>
  <c r="K78" i="3" s="1"/>
  <c r="I44" i="3"/>
  <c r="K44" i="3" s="1"/>
  <c r="H48" i="2"/>
  <c r="H35" i="2"/>
  <c r="P35" i="2" s="1"/>
  <c r="Q35" i="2" s="1"/>
  <c r="R35" i="2" s="1"/>
  <c r="H40" i="2"/>
  <c r="I50" i="3"/>
  <c r="K50" i="3" s="1"/>
  <c r="H36" i="2"/>
  <c r="I86" i="3"/>
  <c r="K86" i="3" s="1"/>
  <c r="H23" i="2"/>
  <c r="P23" i="2" s="1"/>
  <c r="Q23" i="2" s="1"/>
  <c r="R23" i="2" s="1"/>
  <c r="H7" i="2"/>
  <c r="H6" i="2"/>
  <c r="P94" i="3"/>
  <c r="U94" i="3" s="1"/>
  <c r="V94" i="3" s="1"/>
  <c r="U22" i="3"/>
  <c r="V22" i="3" s="1"/>
  <c r="H14" i="2"/>
  <c r="I5" i="3"/>
  <c r="P5" i="3" s="1"/>
  <c r="I15" i="3"/>
  <c r="P15" i="3" s="1"/>
  <c r="H17" i="2"/>
  <c r="I4" i="3"/>
  <c r="P4" i="3" s="1"/>
  <c r="H18" i="2"/>
  <c r="I16" i="3"/>
  <c r="P16" i="3" s="1"/>
  <c r="H16" i="2"/>
  <c r="N3" i="2"/>
  <c r="L104" i="2"/>
  <c r="H11" i="2"/>
  <c r="P11" i="2" s="1"/>
  <c r="Q11" i="2" s="1"/>
  <c r="R11" i="2" s="1"/>
  <c r="H12" i="2"/>
  <c r="I14" i="3"/>
  <c r="P14" i="3" s="1"/>
  <c r="H20" i="2"/>
  <c r="I6" i="3"/>
  <c r="U98" i="3"/>
  <c r="V98" i="3" s="1"/>
  <c r="H89" i="2"/>
  <c r="K93" i="3"/>
  <c r="U93" i="3" s="1"/>
  <c r="P60" i="3"/>
  <c r="U60" i="3" s="1"/>
  <c r="V60" i="3" s="1"/>
  <c r="K45" i="3"/>
  <c r="U45" i="3" s="1"/>
  <c r="V45" i="3" s="1"/>
  <c r="P85" i="3"/>
  <c r="U85" i="3" s="1"/>
  <c r="V85" i="3" s="1"/>
  <c r="P36" i="3"/>
  <c r="U36" i="3" s="1"/>
  <c r="V36" i="3" s="1"/>
  <c r="K81" i="3"/>
  <c r="U81" i="3" s="1"/>
  <c r="V81" i="3" s="1"/>
  <c r="K52" i="3"/>
  <c r="U52" i="3" s="1"/>
  <c r="V52" i="3" s="1"/>
  <c r="K55" i="3"/>
  <c r="U55" i="3" s="1"/>
  <c r="V55" i="3" s="1"/>
  <c r="P73" i="3"/>
  <c r="U73" i="3" s="1"/>
  <c r="V73" i="3" s="1"/>
  <c r="K58" i="3"/>
  <c r="U58" i="3" s="1"/>
  <c r="V58" i="3" s="1"/>
  <c r="K28" i="3"/>
  <c r="U28" i="3" s="1"/>
  <c r="V28" i="3" s="1"/>
  <c r="H26" i="2"/>
  <c r="K7" i="3"/>
  <c r="U7" i="3" s="1"/>
  <c r="V7" i="3" s="1"/>
  <c r="I34" i="3"/>
  <c r="P34" i="3" s="1"/>
  <c r="K47" i="3"/>
  <c r="U47" i="3" s="1"/>
  <c r="V47" i="3" s="1"/>
  <c r="P29" i="3"/>
  <c r="K29" i="3"/>
  <c r="P72" i="3"/>
  <c r="U72" i="3" s="1"/>
  <c r="V72" i="3" s="1"/>
  <c r="H61" i="2"/>
  <c r="H25" i="2"/>
  <c r="K67" i="3"/>
  <c r="U67" i="3" s="1"/>
  <c r="V67" i="3" s="1"/>
  <c r="K57" i="3"/>
  <c r="U57" i="3" s="1"/>
  <c r="V57" i="3" s="1"/>
  <c r="K10" i="3"/>
  <c r="U10" i="3" s="1"/>
  <c r="V10" i="3" s="1"/>
  <c r="I69" i="3"/>
  <c r="P69" i="3" s="1"/>
  <c r="P89" i="3"/>
  <c r="U89" i="3" s="1"/>
  <c r="V89" i="3" s="1"/>
  <c r="K48" i="3"/>
  <c r="U48" i="3" s="1"/>
  <c r="V48" i="3" s="1"/>
  <c r="H86" i="2"/>
  <c r="K70" i="3"/>
  <c r="P70" i="3"/>
  <c r="K87" i="3"/>
  <c r="U87" i="3" s="1"/>
  <c r="V87" i="3" s="1"/>
  <c r="I39" i="3"/>
  <c r="H64" i="2"/>
  <c r="K24" i="3"/>
  <c r="U24" i="3" s="1"/>
  <c r="V24" i="3" s="1"/>
  <c r="I64" i="3"/>
  <c r="H68" i="2"/>
  <c r="H19" i="2"/>
  <c r="P19" i="2" s="1"/>
  <c r="Q19" i="2" s="1"/>
  <c r="R19" i="2" s="1"/>
  <c r="P38" i="3"/>
  <c r="U38" i="3" s="1"/>
  <c r="V38" i="3" s="1"/>
  <c r="P42" i="3"/>
  <c r="U42" i="3" s="1"/>
  <c r="V42" i="3" s="1"/>
  <c r="P40" i="3"/>
  <c r="U40" i="3" s="1"/>
  <c r="V40" i="3" s="1"/>
  <c r="P32" i="3"/>
  <c r="U32" i="3" s="1"/>
  <c r="V32" i="3" s="1"/>
  <c r="I83" i="3"/>
  <c r="H83" i="2"/>
  <c r="P83" i="2" s="1"/>
  <c r="Q83" i="2" s="1"/>
  <c r="R83" i="2" s="1"/>
  <c r="F10" i="5"/>
  <c r="G8" i="5"/>
  <c r="G10" i="5" s="1"/>
  <c r="K79" i="3"/>
  <c r="U79" i="3" s="1"/>
  <c r="V79" i="3" s="1"/>
  <c r="U102" i="3"/>
  <c r="V102" i="3" s="1"/>
  <c r="H81" i="2"/>
  <c r="I27" i="3"/>
  <c r="I31" i="3"/>
  <c r="H39" i="2"/>
  <c r="P39" i="2" s="1"/>
  <c r="Q39" i="2" s="1"/>
  <c r="R39" i="2" s="1"/>
  <c r="H13" i="2"/>
  <c r="K68" i="3"/>
  <c r="U68" i="3" s="1"/>
  <c r="V68" i="3" s="1"/>
  <c r="I51" i="3"/>
  <c r="H67" i="2"/>
  <c r="P67" i="2" s="1"/>
  <c r="Q67" i="2" s="1"/>
  <c r="R67" i="2" s="1"/>
  <c r="H9" i="2"/>
  <c r="N21" i="2"/>
  <c r="K100" i="3"/>
  <c r="P46" i="3"/>
  <c r="U46" i="3" s="1"/>
  <c r="V46" i="3" s="1"/>
  <c r="P3" i="3"/>
  <c r="K3" i="3"/>
  <c r="I92" i="3"/>
  <c r="H92" i="2"/>
  <c r="H10" i="2"/>
  <c r="I74" i="3"/>
  <c r="H31" i="2"/>
  <c r="P31" i="2" s="1"/>
  <c r="Q31" i="2" s="1"/>
  <c r="R31" i="2" s="1"/>
  <c r="I62" i="3"/>
  <c r="H46" i="2"/>
  <c r="P91" i="3"/>
  <c r="U91" i="3" s="1"/>
  <c r="V91" i="3" s="1"/>
  <c r="K97" i="3"/>
  <c r="U97" i="3" s="1"/>
  <c r="V97" i="3" s="1"/>
  <c r="K71" i="3"/>
  <c r="U71" i="3" s="1"/>
  <c r="V71" i="3" s="1"/>
  <c r="K43" i="3"/>
  <c r="U43" i="3" s="1"/>
  <c r="V43" i="3" s="1"/>
  <c r="K25" i="3"/>
  <c r="U25" i="3" s="1"/>
  <c r="V25" i="3" s="1"/>
  <c r="I76" i="3"/>
  <c r="H72" i="2"/>
  <c r="I54" i="3"/>
  <c r="H45" i="2"/>
  <c r="H5" i="2"/>
  <c r="H4" i="2"/>
  <c r="Q76" i="2" l="1"/>
  <c r="R76" i="2" s="1"/>
  <c r="P76" i="2"/>
  <c r="P56" i="2"/>
  <c r="Q56" i="2"/>
  <c r="R56" i="2" s="1"/>
  <c r="Q36" i="2"/>
  <c r="R36" i="2" s="1"/>
  <c r="P36" i="2"/>
  <c r="P48" i="2"/>
  <c r="Q48" i="2"/>
  <c r="R48" i="2" s="1"/>
  <c r="Q45" i="2"/>
  <c r="R45" i="2" s="1"/>
  <c r="P45" i="2"/>
  <c r="P64" i="2"/>
  <c r="Q64" i="2"/>
  <c r="R64" i="2" s="1"/>
  <c r="P89" i="2"/>
  <c r="Q89" i="2" s="1"/>
  <c r="R89" i="2" s="1"/>
  <c r="P58" i="2"/>
  <c r="Q58" i="2" s="1"/>
  <c r="R58" i="2" s="1"/>
  <c r="Q93" i="2"/>
  <c r="R93" i="2" s="1"/>
  <c r="P93" i="2"/>
  <c r="P41" i="2"/>
  <c r="Q41" i="2"/>
  <c r="R41" i="2" s="1"/>
  <c r="P97" i="2"/>
  <c r="Q97" i="2" s="1"/>
  <c r="R97" i="2" s="1"/>
  <c r="P49" i="2"/>
  <c r="Q49" i="2"/>
  <c r="R49" i="2" s="1"/>
  <c r="Q42" i="2"/>
  <c r="R42" i="2" s="1"/>
  <c r="P42" i="2"/>
  <c r="P46" i="2"/>
  <c r="Q46" i="2"/>
  <c r="R46" i="2" s="1"/>
  <c r="P81" i="2"/>
  <c r="Q81" i="2" s="1"/>
  <c r="R81" i="2" s="1"/>
  <c r="P68" i="2"/>
  <c r="Q68" i="2" s="1"/>
  <c r="R68" i="2" s="1"/>
  <c r="P86" i="2"/>
  <c r="Q86" i="2" s="1"/>
  <c r="R86" i="2" s="1"/>
  <c r="P61" i="2"/>
  <c r="Q61" i="2" s="1"/>
  <c r="R61" i="2" s="1"/>
  <c r="P40" i="2"/>
  <c r="Q40" i="2" s="1"/>
  <c r="R40" i="2" s="1"/>
  <c r="P66" i="2"/>
  <c r="Q66" i="2" s="1"/>
  <c r="R66" i="2" s="1"/>
  <c r="P88" i="2"/>
  <c r="Q88" i="2" s="1"/>
  <c r="R88" i="2" s="1"/>
  <c r="P101" i="2"/>
  <c r="Q101" i="2" s="1"/>
  <c r="R101" i="2" s="1"/>
  <c r="P72" i="2"/>
  <c r="Q72" i="2" s="1"/>
  <c r="R72" i="2" s="1"/>
  <c r="P92" i="2"/>
  <c r="Q92" i="2" s="1"/>
  <c r="R92" i="2" s="1"/>
  <c r="P62" i="2"/>
  <c r="Q62" i="2" s="1"/>
  <c r="R62" i="2" s="1"/>
  <c r="P69" i="2"/>
  <c r="Q69" i="2" s="1"/>
  <c r="R69" i="2" s="1"/>
  <c r="Q52" i="2"/>
  <c r="R52" i="2" s="1"/>
  <c r="P52" i="2"/>
  <c r="P20" i="2"/>
  <c r="Q20" i="2"/>
  <c r="R20" i="2" s="1"/>
  <c r="P18" i="2"/>
  <c r="Q18" i="2"/>
  <c r="R18" i="2" s="1"/>
  <c r="P29" i="2"/>
  <c r="Q29" i="2"/>
  <c r="R29" i="2" s="1"/>
  <c r="P10" i="2"/>
  <c r="Q10" i="2"/>
  <c r="R10" i="2" s="1"/>
  <c r="P9" i="2"/>
  <c r="Q9" i="2" s="1"/>
  <c r="R9" i="2" s="1"/>
  <c r="P13" i="2"/>
  <c r="Q13" i="2"/>
  <c r="R13" i="2" s="1"/>
  <c r="P12" i="2"/>
  <c r="Q12" i="2"/>
  <c r="R12" i="2" s="1"/>
  <c r="P16" i="2"/>
  <c r="Q16" i="2"/>
  <c r="R16" i="2" s="1"/>
  <c r="P17" i="2"/>
  <c r="Q17" i="2" s="1"/>
  <c r="R17" i="2" s="1"/>
  <c r="P25" i="2"/>
  <c r="Q25" i="2"/>
  <c r="R25" i="2" s="1"/>
  <c r="P26" i="2"/>
  <c r="Q26" i="2" s="1"/>
  <c r="R26" i="2" s="1"/>
  <c r="P14" i="2"/>
  <c r="Q14" i="2"/>
  <c r="R14" i="2" s="1"/>
  <c r="P30" i="2"/>
  <c r="Q30" i="2" s="1"/>
  <c r="R30" i="2" s="1"/>
  <c r="P28" i="2"/>
  <c r="Q28" i="2"/>
  <c r="R28" i="2" s="1"/>
  <c r="P96" i="3"/>
  <c r="U96" i="3" s="1"/>
  <c r="V96" i="3" s="1"/>
  <c r="P59" i="3"/>
  <c r="U59" i="3" s="1"/>
  <c r="V59" i="3" s="1"/>
  <c r="K33" i="3"/>
  <c r="U33" i="3" s="1"/>
  <c r="V33" i="3" s="1"/>
  <c r="K77" i="3"/>
  <c r="U77" i="3" s="1"/>
  <c r="V77" i="3" s="1"/>
  <c r="P26" i="3"/>
  <c r="U26" i="3" s="1"/>
  <c r="V26" i="3" s="1"/>
  <c r="P35" i="3"/>
  <c r="U35" i="3" s="1"/>
  <c r="V35" i="3" s="1"/>
  <c r="P41" i="3"/>
  <c r="U41" i="3" s="1"/>
  <c r="V41" i="3" s="1"/>
  <c r="V101" i="3"/>
  <c r="X104" i="3"/>
  <c r="K95" i="3"/>
  <c r="U95" i="3" s="1"/>
  <c r="V95" i="3" s="1"/>
  <c r="P80" i="3"/>
  <c r="U80" i="3" s="1"/>
  <c r="V80" i="3" s="1"/>
  <c r="P61" i="3"/>
  <c r="U61" i="3" s="1"/>
  <c r="V61" i="3" s="1"/>
  <c r="P56" i="3"/>
  <c r="U56" i="3" s="1"/>
  <c r="V56" i="3" s="1"/>
  <c r="K30" i="3"/>
  <c r="U30" i="3" s="1"/>
  <c r="V30" i="3" s="1"/>
  <c r="K65" i="3"/>
  <c r="U65" i="3" s="1"/>
  <c r="V65" i="3" s="1"/>
  <c r="K66" i="3"/>
  <c r="U66" i="3" s="1"/>
  <c r="V66" i="3" s="1"/>
  <c r="K90" i="3"/>
  <c r="U90" i="3" s="1"/>
  <c r="V90" i="3" s="1"/>
  <c r="K23" i="3"/>
  <c r="U23" i="3" s="1"/>
  <c r="V23" i="3" s="1"/>
  <c r="P37" i="3"/>
  <c r="U37" i="3" s="1"/>
  <c r="V37" i="3" s="1"/>
  <c r="K21" i="3"/>
  <c r="U21" i="3" s="1"/>
  <c r="V21" i="3" s="1"/>
  <c r="K99" i="3"/>
  <c r="U99" i="3" s="1"/>
  <c r="V99" i="3" s="1"/>
  <c r="P75" i="3"/>
  <c r="U75" i="3" s="1"/>
  <c r="V75" i="3" s="1"/>
  <c r="P53" i="3"/>
  <c r="U53" i="3" s="1"/>
  <c r="V53" i="3" s="1"/>
  <c r="P84" i="3"/>
  <c r="U84" i="3" s="1"/>
  <c r="V84" i="3" s="1"/>
  <c r="P82" i="3"/>
  <c r="U82" i="3" s="1"/>
  <c r="V82" i="3" s="1"/>
  <c r="P88" i="3"/>
  <c r="U88" i="3" s="1"/>
  <c r="V88" i="3" s="1"/>
  <c r="U100" i="3"/>
  <c r="P78" i="3"/>
  <c r="U78" i="3" s="1"/>
  <c r="V78" i="3" s="1"/>
  <c r="P49" i="3"/>
  <c r="U49" i="3" s="1"/>
  <c r="V49" i="3" s="1"/>
  <c r="P86" i="3"/>
  <c r="U86" i="3" s="1"/>
  <c r="V86" i="3" s="1"/>
  <c r="P50" i="3"/>
  <c r="U50" i="3" s="1"/>
  <c r="V50" i="3" s="1"/>
  <c r="P44" i="3"/>
  <c r="U44" i="3" s="1"/>
  <c r="V44" i="3" s="1"/>
  <c r="K14" i="3"/>
  <c r="U14" i="3" s="1"/>
  <c r="V14" i="3" s="1"/>
  <c r="K15" i="3"/>
  <c r="U15" i="3" s="1"/>
  <c r="V15" i="3" s="1"/>
  <c r="G3" i="2"/>
  <c r="N104" i="2"/>
  <c r="P6" i="3"/>
  <c r="K6" i="3"/>
  <c r="K4" i="3"/>
  <c r="U4" i="3" s="1"/>
  <c r="V4" i="3" s="1"/>
  <c r="K34" i="3"/>
  <c r="U34" i="3" s="1"/>
  <c r="V34" i="3" s="1"/>
  <c r="K5" i="3"/>
  <c r="U70" i="3"/>
  <c r="V70" i="3" s="1"/>
  <c r="K69" i="3"/>
  <c r="U69" i="3" s="1"/>
  <c r="V69" i="3" s="1"/>
  <c r="U29" i="3"/>
  <c r="V29" i="3" s="1"/>
  <c r="K16" i="3"/>
  <c r="K64" i="3"/>
  <c r="P64" i="3"/>
  <c r="K20" i="3"/>
  <c r="P39" i="3"/>
  <c r="K39" i="3"/>
  <c r="P27" i="3"/>
  <c r="K27" i="3"/>
  <c r="K19" i="3"/>
  <c r="K74" i="3"/>
  <c r="P74" i="3"/>
  <c r="P92" i="3"/>
  <c r="K92" i="3"/>
  <c r="H8" i="5"/>
  <c r="H10" i="5" s="1"/>
  <c r="K83" i="3"/>
  <c r="P83" i="3"/>
  <c r="P51" i="3"/>
  <c r="K51" i="3"/>
  <c r="K12" i="3"/>
  <c r="K76" i="3"/>
  <c r="P76" i="3"/>
  <c r="K17" i="3"/>
  <c r="K13" i="3"/>
  <c r="K54" i="3"/>
  <c r="P54" i="3"/>
  <c r="K62" i="3"/>
  <c r="P62" i="3"/>
  <c r="K9" i="3"/>
  <c r="U3" i="3"/>
  <c r="P31" i="3"/>
  <c r="K31" i="3"/>
  <c r="V100" i="3" l="1"/>
  <c r="U6" i="3"/>
  <c r="V6" i="3" s="1"/>
  <c r="I8" i="3"/>
  <c r="I104" i="3" s="1"/>
  <c r="G104" i="2"/>
  <c r="H3" i="2"/>
  <c r="H104" i="2" s="1"/>
  <c r="H106" i="2" s="1"/>
  <c r="H108" i="2" s="1"/>
  <c r="H109" i="2" s="1"/>
  <c r="H110" i="2" s="1"/>
  <c r="H113" i="2" s="1"/>
  <c r="H114" i="2" s="1"/>
  <c r="H115" i="2" s="1"/>
  <c r="U5" i="3"/>
  <c r="V5" i="3" s="1"/>
  <c r="U16" i="3"/>
  <c r="V16" i="3" s="1"/>
  <c r="U20" i="3"/>
  <c r="V20" i="3" s="1"/>
  <c r="U27" i="3"/>
  <c r="V27" i="3" s="1"/>
  <c r="U39" i="3"/>
  <c r="V39" i="3" s="1"/>
  <c r="U13" i="3"/>
  <c r="V13" i="3" s="1"/>
  <c r="U51" i="3"/>
  <c r="V51" i="3" s="1"/>
  <c r="U64" i="3"/>
  <c r="V64" i="3" s="1"/>
  <c r="U92" i="3"/>
  <c r="V92" i="3" s="1"/>
  <c r="U31" i="3"/>
  <c r="V31" i="3" s="1"/>
  <c r="U9" i="3"/>
  <c r="U17" i="3"/>
  <c r="V17" i="3" s="1"/>
  <c r="U12" i="3"/>
  <c r="V12" i="3" s="1"/>
  <c r="V3" i="3"/>
  <c r="U62" i="3"/>
  <c r="V62" i="3" s="1"/>
  <c r="U74" i="3"/>
  <c r="V74" i="3" s="1"/>
  <c r="U76" i="3"/>
  <c r="V76" i="3" s="1"/>
  <c r="U54" i="3"/>
  <c r="V54" i="3" s="1"/>
  <c r="U83" i="3"/>
  <c r="V83" i="3" s="1"/>
  <c r="U19" i="3"/>
  <c r="V19" i="3" s="1"/>
  <c r="E11" i="4" l="1"/>
  <c r="P8" i="3"/>
  <c r="P104" i="3" s="1"/>
  <c r="K8" i="3"/>
  <c r="K104" i="3" s="1"/>
  <c r="V9" i="3"/>
  <c r="U8" i="3" l="1"/>
  <c r="U104" i="3" s="1"/>
  <c r="V8" i="3" l="1"/>
  <c r="V104" i="3" s="1"/>
  <c r="AF28" i="1" l="1"/>
  <c r="AE28" i="1"/>
  <c r="AD28" i="1"/>
  <c r="AC28" i="1"/>
  <c r="AB28" i="1"/>
  <c r="AA28" i="1"/>
  <c r="Z28" i="1"/>
  <c r="Y28" i="1"/>
  <c r="X28" i="1"/>
  <c r="W28" i="1"/>
  <c r="V28" i="1"/>
  <c r="M32" i="1" s="1"/>
  <c r="U28" i="1"/>
  <c r="T28" i="1"/>
  <c r="S28" i="1"/>
  <c r="M33" i="1" s="1"/>
  <c r="R28" i="1"/>
  <c r="Q28" i="1"/>
  <c r="P28" i="1"/>
  <c r="O28" i="1"/>
  <c r="N28" i="1"/>
  <c r="M28" i="1"/>
  <c r="M40" i="1" s="1"/>
  <c r="L28" i="1"/>
  <c r="K28" i="1"/>
  <c r="J28" i="1"/>
  <c r="I28" i="1"/>
  <c r="H28" i="1"/>
  <c r="G28" i="1"/>
  <c r="F28" i="1"/>
  <c r="E28" i="1"/>
  <c r="D28" i="1"/>
  <c r="C28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M39" i="1" l="1"/>
  <c r="AG28" i="1"/>
  <c r="M47" i="1" s="1"/>
  <c r="M48" i="1" s="1"/>
  <c r="M49" i="1" s="1"/>
  <c r="M34" i="1"/>
  <c r="M36" i="1" s="1"/>
  <c r="M37" i="1" s="1"/>
  <c r="M38" i="1" s="1"/>
  <c r="M41" i="1" s="1"/>
  <c r="M50" i="1"/>
  <c r="M51" i="1" l="1"/>
  <c r="M52" i="1" s="1"/>
  <c r="M53" i="1" s="1"/>
  <c r="I9" i="4" s="1"/>
  <c r="I12" i="4" s="1"/>
  <c r="I17" i="4" s="1"/>
  <c r="I18" i="4"/>
  <c r="I16" i="4"/>
  <c r="I15" i="4"/>
  <c r="M42" i="1"/>
  <c r="M43" i="1" s="1"/>
  <c r="E9" i="4" s="1"/>
  <c r="E12" i="4" s="1"/>
  <c r="I19" i="4" l="1"/>
  <c r="E18" i="4"/>
  <c r="E16" i="4"/>
  <c r="E17" i="4"/>
  <c r="E15" i="4"/>
  <c r="E19" i="4" l="1"/>
</calcChain>
</file>

<file path=xl/sharedStrings.xml><?xml version="1.0" encoding="utf-8"?>
<sst xmlns="http://schemas.openxmlformats.org/spreadsheetml/2006/main" count="1339" uniqueCount="457">
  <si>
    <t>CONSULTORIA EN PROYECTOS DINAMICOS S DE RL DE CV</t>
  </si>
  <si>
    <t>Lista de Raya (forma tabular)</t>
  </si>
  <si>
    <t>Periodo 9 al 9 QNA SEITON del 01/05/2019 al 15/05/2019</t>
  </si>
  <si>
    <t>Reg Pat IMSS: Z2940859106</t>
  </si>
  <si>
    <t xml:space="preserve">RFC: CPD -150911-FA3 </t>
  </si>
  <si>
    <t>Código</t>
  </si>
  <si>
    <t>Empleado</t>
  </si>
  <si>
    <t>Sueldo</t>
  </si>
  <si>
    <t>Vacaciones a tiempo</t>
  </si>
  <si>
    <t>Prima de vacaciones a tiempo</t>
  </si>
  <si>
    <t>Ayuda de Transporte</t>
  </si>
  <si>
    <t>Ayuda Alimentaria</t>
  </si>
  <si>
    <t>Ayuda de Renta</t>
  </si>
  <si>
    <t>*TOTAL* *PERCEPCIONES*</t>
  </si>
  <si>
    <t>Seguro de vivienda Infonavit</t>
  </si>
  <si>
    <t>Préstamo Infonavit (vsm)</t>
  </si>
  <si>
    <t>Subsidio al Empleo (sp)</t>
  </si>
  <si>
    <t>I.S.R. (sp)</t>
  </si>
  <si>
    <t>I.M.S.S.</t>
  </si>
  <si>
    <t>Ajuste al neto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</si>
  <si>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</si>
  <si>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</si>
  <si>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</si>
  <si>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</si>
  <si>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</si>
  <si>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</si>
  <si>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2% Impuesto estatal</t>
  </si>
  <si>
    <t>Riesgo de trabajo (9)</t>
  </si>
  <si>
    <t>I.M.S.S. empresa</t>
  </si>
  <si>
    <t>Infonavit empresa</t>
  </si>
  <si>
    <t>Guarderia I.M.S.S. (7)</t>
  </si>
  <si>
    <t>IVA</t>
  </si>
  <si>
    <t>Dias Laborados</t>
  </si>
  <si>
    <t>Dias Vacaciones</t>
  </si>
  <si>
    <t>Salario Diario</t>
  </si>
  <si>
    <t>Salario Diario Integrado</t>
  </si>
  <si>
    <t>Banco</t>
  </si>
  <si>
    <t>SEI0010</t>
  </si>
  <si>
    <t>SEI0449</t>
  </si>
  <si>
    <t>SEI0009</t>
  </si>
  <si>
    <t>Gutierrez Gutierrez Luis Arturo</t>
  </si>
  <si>
    <t>SEI0026</t>
  </si>
  <si>
    <t>Patricio Aguilar Jhonattan Cristian</t>
  </si>
  <si>
    <t>SEI0040</t>
  </si>
  <si>
    <t>Mora Ramirez Acal Aldo Isidro</t>
  </si>
  <si>
    <t>SEI0041</t>
  </si>
  <si>
    <t>Vazquez Perez Miguel Angel</t>
  </si>
  <si>
    <t>SEI0088</t>
  </si>
  <si>
    <t>Morgado Fernandez Martin</t>
  </si>
  <si>
    <t>SEI0097</t>
  </si>
  <si>
    <t>Arreola Jimenez Jose Nieves</t>
  </si>
  <si>
    <t>SEI0099</t>
  </si>
  <si>
    <t>Garcia Villicaña Ricardo Pascual</t>
  </si>
  <si>
    <t>SEI0108</t>
  </si>
  <si>
    <t>Caballero Diaz Francisco Javier</t>
  </si>
  <si>
    <t>SEI0116</t>
  </si>
  <si>
    <t>Casillas Cardona Cesar Alejandro</t>
  </si>
  <si>
    <t>SEI0117</t>
  </si>
  <si>
    <t>Mariscal Romero Luis Adrian</t>
  </si>
  <si>
    <t>SEI0118</t>
  </si>
  <si>
    <t>Arroyo Ramirez Hector Hugo</t>
  </si>
  <si>
    <t>SEI0127</t>
  </si>
  <si>
    <t>Hernandez Ochoa Eduardo</t>
  </si>
  <si>
    <t>SEI0173</t>
  </si>
  <si>
    <t>Nieto Ortiz Jose Luis</t>
  </si>
  <si>
    <t>SEI0221</t>
  </si>
  <si>
    <t>Rogel Teran Marco Antonio</t>
  </si>
  <si>
    <t>SEI0401</t>
  </si>
  <si>
    <t>De La Torre Zambara Francisco Ernesto</t>
  </si>
  <si>
    <t>SEI0425</t>
  </si>
  <si>
    <t>Carbajal Cabuto Jose Luis</t>
  </si>
  <si>
    <t>SEI0435</t>
  </si>
  <si>
    <t>Benavides Herrera Alejandra</t>
  </si>
  <si>
    <t>SEI0442</t>
  </si>
  <si>
    <t>Sierra Escamilla Daniela</t>
  </si>
  <si>
    <t xml:space="preserve">  =============</t>
  </si>
  <si>
    <t>Total Gral.</t>
  </si>
  <si>
    <t xml:space="preserve"> </t>
  </si>
  <si>
    <t>Aguinaldo</t>
  </si>
  <si>
    <t>SINDICATO</t>
  </si>
  <si>
    <t>PRIMA VACACIONAL</t>
  </si>
  <si>
    <t>CLAVE</t>
  </si>
  <si>
    <t>EMPRESA</t>
  </si>
  <si>
    <t>NOMBRE</t>
  </si>
  <si>
    <t xml:space="preserve">SUELDO SINDICATO </t>
  </si>
  <si>
    <t>BONO</t>
  </si>
  <si>
    <t>COMISION</t>
  </si>
  <si>
    <t>prima vacaciones</t>
  </si>
  <si>
    <t>TOTAL</t>
  </si>
  <si>
    <t>DIAS DE VACACIONES</t>
  </si>
  <si>
    <t>SUELDO NETO MENSUAL</t>
  </si>
  <si>
    <t>MONTO PRIMA TOTAL</t>
  </si>
  <si>
    <t>MENOS PRIMA IMSS</t>
  </si>
  <si>
    <t>PRIMA A PAGAR SINDICATO</t>
  </si>
  <si>
    <t>SEI0544</t>
  </si>
  <si>
    <t>IP INNOVACION</t>
  </si>
  <si>
    <t>Aguilar Aguirre Alfonso</t>
  </si>
  <si>
    <t xml:space="preserve"> SEI0652</t>
  </si>
  <si>
    <t>SEI0431</t>
  </si>
  <si>
    <t>Alcaraz Conde Zabdi Guadalupe</t>
  </si>
  <si>
    <t xml:space="preserve"> SEI0456</t>
  </si>
  <si>
    <t>SEI0527</t>
  </si>
  <si>
    <t>Alejandro Peña Deivi</t>
  </si>
  <si>
    <t xml:space="preserve"> SEI0628</t>
  </si>
  <si>
    <t>SEI0535</t>
  </si>
  <si>
    <t>Alejandro Vazquez Erasmo Miguel</t>
  </si>
  <si>
    <t xml:space="preserve"> SEI0638</t>
  </si>
  <si>
    <t>SEI0029</t>
  </si>
  <si>
    <t>Arceo Garcia Manuel Federico</t>
  </si>
  <si>
    <t xml:space="preserve"> SEI0029</t>
  </si>
  <si>
    <t>CONSULTORIA</t>
  </si>
  <si>
    <t xml:space="preserve"> SEI0097</t>
  </si>
  <si>
    <t xml:space="preserve"> SEI0118</t>
  </si>
  <si>
    <t>SEI0472</t>
  </si>
  <si>
    <t>Arzate Gil Juan Sebastian</t>
  </si>
  <si>
    <t xml:space="preserve"> SEI0550</t>
  </si>
  <si>
    <t>SEI0377</t>
  </si>
  <si>
    <t xml:space="preserve"> SEI0377</t>
  </si>
  <si>
    <t xml:space="preserve"> SEI0108</t>
  </si>
  <si>
    <t xml:space="preserve"> SEI0453</t>
  </si>
  <si>
    <t>SEI0528</t>
  </si>
  <si>
    <t>Casas Chavarria Rafael</t>
  </si>
  <si>
    <t xml:space="preserve"> SEI0629</t>
  </si>
  <si>
    <t xml:space="preserve"> SEI0116</t>
  </si>
  <si>
    <t>SEI0460</t>
  </si>
  <si>
    <t>Castellon Ramos Rene</t>
  </si>
  <si>
    <t xml:space="preserve"> SEI0499</t>
  </si>
  <si>
    <t>SEI0443</t>
  </si>
  <si>
    <t>Castillo Nungaray Nestor Roman</t>
  </si>
  <si>
    <t xml:space="preserve"> SEI0468</t>
  </si>
  <si>
    <t>SEI0490</t>
  </si>
  <si>
    <t>Castillo Ramirez Hector Ivan</t>
  </si>
  <si>
    <t xml:space="preserve"> SEI0448</t>
  </si>
  <si>
    <t>SEI0508</t>
  </si>
  <si>
    <t>Cerro Garcia Elvis</t>
  </si>
  <si>
    <t xml:space="preserve"> SEI0513</t>
  </si>
  <si>
    <t>SEI0499</t>
  </si>
  <si>
    <t>Chavez Dominguez Salvador</t>
  </si>
  <si>
    <t xml:space="preserve"> SEI0483</t>
  </si>
  <si>
    <t>SEI0541</t>
  </si>
  <si>
    <t>Chavez Govea Edgar Aram</t>
  </si>
  <si>
    <t xml:space="preserve"> SEI0644</t>
  </si>
  <si>
    <t>Chavez Pedraza Samuel</t>
  </si>
  <si>
    <t xml:space="preserve"> SEI0467</t>
  </si>
  <si>
    <t>SEI0462</t>
  </si>
  <si>
    <t>Chavez Saucedo Jorge Arturo</t>
  </si>
  <si>
    <t xml:space="preserve"> SEI0516</t>
  </si>
  <si>
    <t>SEI0456</t>
  </si>
  <si>
    <t>Chavira Garcia David Fernando</t>
  </si>
  <si>
    <t xml:space="preserve"> SEI0495</t>
  </si>
  <si>
    <t>SEI0538</t>
  </si>
  <si>
    <t>Coronado Vega Carlos Eduardo</t>
  </si>
  <si>
    <t xml:space="preserve"> SEI0642</t>
  </si>
  <si>
    <t>SEI0015</t>
  </si>
  <si>
    <t>Cota Jaramillo Miguel Angel</t>
  </si>
  <si>
    <t xml:space="preserve"> SEI0015</t>
  </si>
  <si>
    <t>SEI0413</t>
  </si>
  <si>
    <t>Courtenay Gutierrez Barry Vladimir</t>
  </si>
  <si>
    <t xml:space="preserve"> SEI0436</t>
  </si>
  <si>
    <t>SEI0501</t>
  </si>
  <si>
    <t>Cruz Herrera Roberto</t>
  </si>
  <si>
    <t xml:space="preserve"> SEI0485</t>
  </si>
  <si>
    <t>SEI479</t>
  </si>
  <si>
    <t>Cruz Perez Alejandro Nezahualcoyotl</t>
  </si>
  <si>
    <t xml:space="preserve"> SEI0606</t>
  </si>
  <si>
    <t xml:space="preserve"> SEI0401</t>
  </si>
  <si>
    <t>SEI0530</t>
  </si>
  <si>
    <t>Del Pilar Mendez Lucio</t>
  </si>
  <si>
    <t xml:space="preserve"> SEI0630</t>
  </si>
  <si>
    <t>SEI0543</t>
  </si>
  <si>
    <t>Diaz Ortiz Hiram Guillermo</t>
  </si>
  <si>
    <t xml:space="preserve"> SEI0646</t>
  </si>
  <si>
    <t>SEI0364</t>
  </si>
  <si>
    <t>Dominguez Lopez Mayeli Del Pilar</t>
  </si>
  <si>
    <t xml:space="preserve"> SEI0364</t>
  </si>
  <si>
    <t>SEI0474</t>
  </si>
  <si>
    <t>Enriquez Zamora Jessica Del Rocio</t>
  </si>
  <si>
    <t xml:space="preserve"> SEI0600</t>
  </si>
  <si>
    <t>SEI0489</t>
  </si>
  <si>
    <t>Escobedo Olivares Juan Guadalupe</t>
  </si>
  <si>
    <t xml:space="preserve"> SEI0447</t>
  </si>
  <si>
    <t>Flores Cerrillos Jorge Humberto</t>
  </si>
  <si>
    <t xml:space="preserve"> SEI0474</t>
  </si>
  <si>
    <t>SEI0461</t>
  </si>
  <si>
    <t>Flores Franco Marco</t>
  </si>
  <si>
    <t xml:space="preserve"> SEI0500</t>
  </si>
  <si>
    <t>SEI0500</t>
  </si>
  <si>
    <t>Garcia Gutierrez Jose Juan</t>
  </si>
  <si>
    <t xml:space="preserve"> SEI0484</t>
  </si>
  <si>
    <t xml:space="preserve"> SEI0099</t>
  </si>
  <si>
    <t>SEI0534</t>
  </si>
  <si>
    <t>Gonzalez Ramirez Paul</t>
  </si>
  <si>
    <t>0SEI0635</t>
  </si>
  <si>
    <t>SEI0019</t>
  </si>
  <si>
    <t>Gonzalez Rasgado Miguel Isaias</t>
  </si>
  <si>
    <t xml:space="preserve"> SEI0019</t>
  </si>
  <si>
    <t>SEI0457</t>
  </si>
  <si>
    <t>Guerrero Lara Cesar Adrian</t>
  </si>
  <si>
    <t xml:space="preserve"> SEI0496</t>
  </si>
  <si>
    <t>SEI0509</t>
  </si>
  <si>
    <t>Gutierrez Castillo Jose De Jesus</t>
  </si>
  <si>
    <t xml:space="preserve"> SEI0610</t>
  </si>
  <si>
    <t xml:space="preserve"> SEI0009</t>
  </si>
  <si>
    <t>SEI0483</t>
  </si>
  <si>
    <t>Gutierrez Muñoz Carlos Alejandro</t>
  </si>
  <si>
    <t xml:space="preserve"> SEI0095</t>
  </si>
  <si>
    <t>SEI0476</t>
  </si>
  <si>
    <t>Hernandez Garcia Manuel Alejandro</t>
  </si>
  <si>
    <t xml:space="preserve"> SEI0602</t>
  </si>
  <si>
    <t xml:space="preserve"> SEI0127</t>
  </si>
  <si>
    <t>SEI0536</t>
  </si>
  <si>
    <t>Hernandez Ojeda Julio Cesar</t>
  </si>
  <si>
    <t xml:space="preserve"> SEI0640</t>
  </si>
  <si>
    <t>SEI0523</t>
  </si>
  <si>
    <t>Hernandez Rodriguez Jorge</t>
  </si>
  <si>
    <t xml:space="preserve"> SEI0624</t>
  </si>
  <si>
    <t>SEI0464</t>
  </si>
  <si>
    <t>Hueramo Hueramo Jesus Daniel</t>
  </si>
  <si>
    <t xml:space="preserve"> SEI 502</t>
  </si>
  <si>
    <t>SEI0511</t>
  </si>
  <si>
    <t>Lizaran Maceda Jose Guadalupe</t>
  </si>
  <si>
    <t xml:space="preserve"> SEI0517</t>
  </si>
  <si>
    <t>SEI0525</t>
  </si>
  <si>
    <t>Lizaran Maceda Jesus</t>
  </si>
  <si>
    <t xml:space="preserve"> SEI0626</t>
  </si>
  <si>
    <t>SEI0438</t>
  </si>
  <si>
    <t>Lopez Terron Roberto Porfirio</t>
  </si>
  <si>
    <t xml:space="preserve"> SEI0463</t>
  </si>
  <si>
    <t>SEI0517</t>
  </si>
  <si>
    <t>Macias Torres Enrique</t>
  </si>
  <si>
    <t xml:space="preserve"> SEI0120</t>
  </si>
  <si>
    <t>SEI0020</t>
  </si>
  <si>
    <t>Mar Marquez Cesar Eduardo</t>
  </si>
  <si>
    <t xml:space="preserve"> SEI0020</t>
  </si>
  <si>
    <t xml:space="preserve"> SEI0117</t>
  </si>
  <si>
    <t>SEI0444</t>
  </si>
  <si>
    <t>Marquez Hernandez Rogelio</t>
  </si>
  <si>
    <t xml:space="preserve"> SEI0469</t>
  </si>
  <si>
    <t>SEI0428</t>
  </si>
  <si>
    <t>Martinez Hernandez J. Antonio</t>
  </si>
  <si>
    <t xml:space="preserve"> SEI0452</t>
  </si>
  <si>
    <t>SEI0504</t>
  </si>
  <si>
    <t>Martinez Malo Cesar</t>
  </si>
  <si>
    <t xml:space="preserve"> SEI0488</t>
  </si>
  <si>
    <t>SEI0469</t>
  </si>
  <si>
    <t>Martinez Morales Jose Martin</t>
  </si>
  <si>
    <t xml:space="preserve"> SEI0511</t>
  </si>
  <si>
    <t>SEI0493</t>
  </si>
  <si>
    <t>Martinez Morales Tomas</t>
  </si>
  <si>
    <t xml:space="preserve"> SEI0477</t>
  </si>
  <si>
    <t>SEI0503</t>
  </si>
  <si>
    <t>Martinez Rodriguez Paulo Cesar</t>
  </si>
  <si>
    <t xml:space="preserve"> SEI0487</t>
  </si>
  <si>
    <t>SEI0458</t>
  </si>
  <si>
    <t>Martinez Zamora Gerardo Mario</t>
  </si>
  <si>
    <t xml:space="preserve"> SEI0497</t>
  </si>
  <si>
    <t>SEI0494</t>
  </si>
  <si>
    <t>Medellin Colunga Ruben Dario</t>
  </si>
  <si>
    <t xml:space="preserve"> SEI0478</t>
  </si>
  <si>
    <t>SEI0506</t>
  </si>
  <si>
    <t>Mejia Duarte Jose Luis</t>
  </si>
  <si>
    <t xml:space="preserve"> SEI0506</t>
  </si>
  <si>
    <t>SEI0513</t>
  </si>
  <si>
    <t>Mendez Rivera Ivan Israel</t>
  </si>
  <si>
    <t xml:space="preserve"> SEI0612</t>
  </si>
  <si>
    <t>SEI0488</t>
  </si>
  <si>
    <t>Mireles Casillas Brenda Cristina</t>
  </si>
  <si>
    <t xml:space="preserve"> SEI0446</t>
  </si>
  <si>
    <t>Marin Avila Hector</t>
  </si>
  <si>
    <t xml:space="preserve"> SEI0445</t>
  </si>
  <si>
    <t>SEI0485</t>
  </si>
  <si>
    <t>Molina Ramirez Gerardo Daniel</t>
  </si>
  <si>
    <t xml:space="preserve"> SEI0033</t>
  </si>
  <si>
    <t xml:space="preserve"> SEI0014 </t>
  </si>
  <si>
    <t>Montoya Portillo Carlos Alberto</t>
  </si>
  <si>
    <t xml:space="preserve"> SEI0014</t>
  </si>
  <si>
    <t xml:space="preserve"> SEI0040</t>
  </si>
  <si>
    <t>SEI0540</t>
  </si>
  <si>
    <t>Morales Martinez Eduardo</t>
  </si>
  <si>
    <t xml:space="preserve"> SEI0648</t>
  </si>
  <si>
    <t>SEI0475</t>
  </si>
  <si>
    <t>Moreno Quiroga Ana Sarahi</t>
  </si>
  <si>
    <t xml:space="preserve"> SEI0601</t>
  </si>
  <si>
    <t xml:space="preserve"> SEI0088</t>
  </si>
  <si>
    <t>SEI0017</t>
  </si>
  <si>
    <t>Muñoz Reyes Luis Eduardo</t>
  </si>
  <si>
    <t xml:space="preserve"> SEI0017</t>
  </si>
  <si>
    <t>SEI0022</t>
  </si>
  <si>
    <t>Najera Lopez Raul</t>
  </si>
  <si>
    <t xml:space="preserve"> SEI0022</t>
  </si>
  <si>
    <t>Negrete Bejar Aide Sarai</t>
  </si>
  <si>
    <t xml:space="preserve"> SEI0016</t>
  </si>
  <si>
    <t xml:space="preserve"> SEI0173</t>
  </si>
  <si>
    <t>SEI0524</t>
  </si>
  <si>
    <t>Orea Gonzalez Concepcion Esteban</t>
  </si>
  <si>
    <t xml:space="preserve"> SEI0625</t>
  </si>
  <si>
    <t>SEI0424</t>
  </si>
  <si>
    <t>Palacios Ramos Jesus</t>
  </si>
  <si>
    <t xml:space="preserve"> SEI0424</t>
  </si>
  <si>
    <t>SEI0519</t>
  </si>
  <si>
    <t>Palacios Vega Luis Rosendo</t>
  </si>
  <si>
    <t xml:space="preserve"> SEI0519</t>
  </si>
  <si>
    <t xml:space="preserve"> SEI0026</t>
  </si>
  <si>
    <t>SEI0505</t>
  </si>
  <si>
    <t>Perez Balboa Cesar</t>
  </si>
  <si>
    <t xml:space="preserve"> SEI0489</t>
  </si>
  <si>
    <t>SEI0455</t>
  </si>
  <si>
    <t>Perez Garcia Andres Alvaro</t>
  </si>
  <si>
    <t xml:space="preserve"> SEI0494</t>
  </si>
  <si>
    <t>SEI0023</t>
  </si>
  <si>
    <t>Puente Murguia Luis Felipe</t>
  </si>
  <si>
    <t xml:space="preserve"> SEI0023</t>
  </si>
  <si>
    <t xml:space="preserve"> SEI0221</t>
  </si>
  <si>
    <t>SEI0521</t>
  </si>
  <si>
    <t>Rondero Savin Jacinto</t>
  </si>
  <si>
    <t xml:space="preserve"> SEI0622</t>
  </si>
  <si>
    <t>SEI0465</t>
  </si>
  <si>
    <t>Sandoval Garcia Luis</t>
  </si>
  <si>
    <t xml:space="preserve"> SEI0503</t>
  </si>
  <si>
    <t>SEI0477</t>
  </si>
  <si>
    <t>Sandoval Medina Demetrio</t>
  </si>
  <si>
    <t xml:space="preserve"> SEI0603</t>
  </si>
  <si>
    <t>SEI0537</t>
  </si>
  <si>
    <t>Serrano Esquivel Armando</t>
  </si>
  <si>
    <t xml:space="preserve"> SEI0641</t>
  </si>
  <si>
    <t xml:space="preserve"> SEI0618</t>
  </si>
  <si>
    <t>SEI0498</t>
  </si>
  <si>
    <t>Tenorio Alvarez Alberto Antonio</t>
  </si>
  <si>
    <t xml:space="preserve"> SEI0482</t>
  </si>
  <si>
    <t>SEI0495</t>
  </si>
  <si>
    <t>Torres Perez Carlos Alberto</t>
  </si>
  <si>
    <t xml:space="preserve"> SEI0479</t>
  </si>
  <si>
    <t>Torres Ricardez Alfredo</t>
  </si>
  <si>
    <t xml:space="preserve"> SEI0010</t>
  </si>
  <si>
    <t>SEI0473</t>
  </si>
  <si>
    <t>Torres Velazquez Juan Antonio</t>
  </si>
  <si>
    <t xml:space="preserve"> SEI0604</t>
  </si>
  <si>
    <t>SEI0497</t>
  </si>
  <si>
    <t>Treviño Alvarez Jorge Alberto</t>
  </si>
  <si>
    <t xml:space="preserve"> SEI0481</t>
  </si>
  <si>
    <t>SEI0467</t>
  </si>
  <si>
    <t>Vaca Valdez Guillermo</t>
  </si>
  <si>
    <t xml:space="preserve"> SEI0505</t>
  </si>
  <si>
    <t>SEI0545</t>
  </si>
  <si>
    <t>Vallarta Fonseca Mayra Karina</t>
  </si>
  <si>
    <t xml:space="preserve"> SEI0653</t>
  </si>
  <si>
    <t xml:space="preserve"> SEI0041</t>
  </si>
  <si>
    <t>SEI0021</t>
  </si>
  <si>
    <t>Velez Rodriguez Jaime</t>
  </si>
  <si>
    <t xml:space="preserve"> SEI0021</t>
  </si>
  <si>
    <t>Aguilar Garcia Rosa Paola</t>
  </si>
  <si>
    <t xml:space="preserve"> SEI0654</t>
  </si>
  <si>
    <t>Jauregui Madera Jorge Silvestre</t>
  </si>
  <si>
    <t xml:space="preserve"> SEI0656</t>
  </si>
  <si>
    <t>NETO CPD</t>
  </si>
  <si>
    <t>SUELDO SINDICATO</t>
  </si>
  <si>
    <t>PRIMA VACACIONAL SINDICATO</t>
  </si>
  <si>
    <t>B</t>
  </si>
  <si>
    <t>NETO A PAGAR</t>
  </si>
  <si>
    <t>NETO MENSUAL</t>
  </si>
  <si>
    <t>NETO QUINCENAL SEITON</t>
  </si>
  <si>
    <t>C</t>
  </si>
  <si>
    <t>prima vacacional</t>
  </si>
  <si>
    <t>COMISION Y PRIMA VACACIONAL</t>
  </si>
  <si>
    <t>INFONAVIT</t>
  </si>
  <si>
    <t>FONACOT</t>
  </si>
  <si>
    <t>DESCUENTOS</t>
  </si>
  <si>
    <t>D</t>
  </si>
  <si>
    <t>TOTAL GENERAL</t>
  </si>
  <si>
    <t>DIFERENCIAS</t>
  </si>
  <si>
    <t>OBSERVACIONES</t>
  </si>
  <si>
    <t>SEI0421</t>
  </si>
  <si>
    <t>incapacidad 5 dias</t>
  </si>
  <si>
    <t>SEI0415</t>
  </si>
  <si>
    <t>SEI0033</t>
  </si>
  <si>
    <t>SEI0095</t>
  </si>
  <si>
    <t>SEI0416</t>
  </si>
  <si>
    <t>SEI0417</t>
  </si>
  <si>
    <t>SEI0420</t>
  </si>
  <si>
    <t>SEI0422</t>
  </si>
  <si>
    <t>SEI0426</t>
  </si>
  <si>
    <t>SEI0430</t>
  </si>
  <si>
    <t>SEI0432</t>
  </si>
  <si>
    <t>SEI0433</t>
  </si>
  <si>
    <t>SEI0547</t>
  </si>
  <si>
    <t>SEI0548</t>
  </si>
  <si>
    <t xml:space="preserve">TOTAL GENERAL </t>
  </si>
  <si>
    <t>TOTAL FACTURACION NOMINA</t>
  </si>
  <si>
    <t>TOTAL PROV AGUINALDOS</t>
  </si>
  <si>
    <t>TOTAL CPD</t>
  </si>
  <si>
    <t>TOTAL IP</t>
  </si>
  <si>
    <t>TOTAL SINDICATO</t>
  </si>
  <si>
    <t>PORCENTAJES POR EMPRESA</t>
  </si>
  <si>
    <t>EM 4%</t>
  </si>
  <si>
    <t>CPD 12%</t>
  </si>
  <si>
    <t>IP 11%</t>
  </si>
  <si>
    <t>ITA 73%</t>
  </si>
  <si>
    <t>CONSULTORIA EN PROYECTOS DINAMICOS</t>
  </si>
  <si>
    <t>CALCULO DE PAGO POR ASIMILADOS Y/O COMISIONES</t>
  </si>
  <si>
    <t>QUINCENAL</t>
  </si>
  <si>
    <t>FACTURACION</t>
  </si>
  <si>
    <t>Nombre</t>
  </si>
  <si>
    <t>SUELDO MENSUAL</t>
  </si>
  <si>
    <t>IMSS</t>
  </si>
  <si>
    <t>Asimilados</t>
  </si>
  <si>
    <t>Comision 2%</t>
  </si>
  <si>
    <t>SUBTOTAL</t>
  </si>
  <si>
    <t>PABLO BENAVIDES HERRERA</t>
  </si>
  <si>
    <t>SE FACTURA A PITSS</t>
  </si>
  <si>
    <t>TOTALES</t>
  </si>
  <si>
    <t>Devengado Salario</t>
  </si>
  <si>
    <t>RETORNOS</t>
  </si>
  <si>
    <t>Infonavit</t>
  </si>
  <si>
    <t>Prestamo Prospera</t>
  </si>
  <si>
    <t>Subtotal 1</t>
  </si>
  <si>
    <t>Comision</t>
  </si>
  <si>
    <t>Subtotal 2</t>
  </si>
  <si>
    <t>Costo Patronal Imss</t>
  </si>
  <si>
    <t xml:space="preserve">2% Sobre Nomina </t>
  </si>
  <si>
    <t>Importe de Factura</t>
  </si>
  <si>
    <t>PROVISION AGUINALDO</t>
  </si>
  <si>
    <t>FACTURACION PITS</t>
  </si>
  <si>
    <t>QNA PASADA</t>
  </si>
  <si>
    <t>SUBTOTAL 2</t>
  </si>
  <si>
    <t>SUBTOTAL 3</t>
  </si>
  <si>
    <t>TOTA</t>
  </si>
  <si>
    <t xml:space="preserve">Devengado Salario </t>
  </si>
  <si>
    <t>Deduccion General</t>
  </si>
  <si>
    <t>IP INNOVACION EN PROYECTOS S DE RL DE CV</t>
  </si>
  <si>
    <t>Reg Pat IMSS: R1363592103</t>
  </si>
  <si>
    <t xml:space="preserve">RFC: IIP -150923-DT7 </t>
  </si>
  <si>
    <t>Préstamo Infonavit (cf)</t>
  </si>
  <si>
    <t>Préstamo FONACOT</t>
  </si>
  <si>
    <t>Deduccion general</t>
  </si>
  <si>
    <t xml:space="preserve">Aguinaldo </t>
  </si>
  <si>
    <t>SEI0014</t>
  </si>
  <si>
    <t>SEI0016</t>
  </si>
  <si>
    <t>Mejia  Duarte Jose Luis</t>
  </si>
  <si>
    <t xml:space="preserve">Gutierrez  Castillo  Jose De Jesus </t>
  </si>
  <si>
    <t>SEI0549</t>
  </si>
  <si>
    <t>Hinojosa  Guerrero  Alejandro</t>
  </si>
  <si>
    <t xml:space="preserve">Proceso de Finiquito </t>
  </si>
  <si>
    <t>INGRESO13/05</t>
  </si>
  <si>
    <t>1 P. S/sueldo</t>
  </si>
  <si>
    <t xml:space="preserve"> -   </t>
  </si>
  <si>
    <t>PEDIDO</t>
  </si>
  <si>
    <t>subtotal 1</t>
  </si>
  <si>
    <t>comision</t>
  </si>
  <si>
    <t>subtotal 2</t>
  </si>
  <si>
    <t>costo patronal imss</t>
  </si>
  <si>
    <t>2% sobre nomina</t>
  </si>
  <si>
    <t>importe de factura</t>
  </si>
  <si>
    <t>iva</t>
  </si>
  <si>
    <t>total</t>
  </si>
  <si>
    <t>infonavit</t>
  </si>
  <si>
    <t>costo patrimonial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</si>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</sst>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sz val="14"/>
      <color theme="1"/>
      <name val="Calibri"/>
      <family val="2"/>
    </font>
    <font>
      <i/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  <font>
      <sz val="11"/>
      <color theme="1"/>
      <name val="Calibri"/>
      <family val="2"/>
    </font>
    <font>
      <i/>
      <sz val="10"/>
      <name val="Calibri"/>
      <family val="2"/>
    </font>
    <font>
      <b/>
      <i/>
      <sz val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9"/>
      <name val="Calibri"/>
      <family val="2"/>
    </font>
    <font>
      <b/>
      <i/>
      <sz val="9"/>
      <color theme="1"/>
      <name val="Calibri"/>
      <family val="2"/>
    </font>
    <font>
      <b/>
      <sz val="10"/>
      <color rgb="FFFF0000"/>
      <name val="Calibri"/>
      <family val="2"/>
    </font>
    <font>
      <b/>
      <sz val="10"/>
      <color rgb="FFFF0000"/>
      <name val="Calibri"/>
      <family val="2"/>
      <scheme val="minor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  <border>
      <left style="thin">
        <color rgb="FF0000FD"/>
      </left>
      <right/>
      <top style="thin">
        <color rgb="FF0000FD"/>
      </top>
      <bottom style="double">
        <color rgb="FF0000FD"/>
      </bottom>
      <diagonal/>
    </border>
    <border>
      <left/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FD"/>
      </bottom>
      <diagonal/>
    </border>
    <border>
      <left style="thin">
        <color rgb="FF0000FD"/>
      </left>
      <right style="thin">
        <color rgb="FF0000FD"/>
      </right>
      <top style="thin">
        <color rgb="FF0000FD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7" fillId="0" borderId="0"/>
    <xf numFmtId="0" fontId="17" fillId="0" borderId="0"/>
  </cellStyleXfs>
  <cellXfs count="128">
    <xf numFmtId="0" fontId="0" fillId="0" borderId="0" xfId="0"/>
    <xf numFmtId="0" fontId="3" fillId="0" borderId="0" xfId="0" applyFont="1"/>
    <xf numFmtId="49" fontId="3" fillId="0" borderId="0" xfId="0" applyNumberFormat="1" applyFont="1"/>
    <xf numFmtId="49" fontId="6" fillId="0" borderId="0" xfId="0" applyNumberFormat="1" applyFont="1" applyAlignment="1">
      <alignment horizontal="centerContinuous"/>
    </xf>
    <xf numFmtId="49" fontId="7" fillId="0" borderId="0" xfId="0" applyNumberFormat="1" applyFont="1" applyAlignment="1">
      <alignment horizontal="centerContinuous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2" fillId="0" borderId="0" xfId="0" applyFont="1"/>
    <xf numFmtId="43" fontId="3" fillId="0" borderId="0" xfId="1" applyFont="1"/>
    <xf numFmtId="43" fontId="14" fillId="0" borderId="0" xfId="1" applyFont="1"/>
    <xf numFmtId="43" fontId="12" fillId="0" borderId="0" xfId="1" applyFont="1" applyAlignment="1">
      <alignment horizontal="left"/>
    </xf>
    <xf numFmtId="43" fontId="3" fillId="0" borderId="0" xfId="1" applyFont="1" applyAlignment="1">
      <alignment horizontal="right"/>
    </xf>
    <xf numFmtId="43" fontId="12" fillId="0" borderId="0" xfId="1" applyFont="1"/>
    <xf numFmtId="0" fontId="3" fillId="0" borderId="0" xfId="0" applyFont="1" applyAlignment="1"/>
    <xf numFmtId="49" fontId="12" fillId="3" borderId="1" xfId="0" applyNumberFormat="1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 wrapText="1"/>
    </xf>
    <xf numFmtId="43" fontId="4" fillId="0" borderId="0" xfId="0" applyNumberFormat="1" applyFont="1"/>
    <xf numFmtId="43" fontId="4" fillId="6" borderId="0" xfId="0" applyNumberFormat="1" applyFont="1" applyFill="1" applyBorder="1"/>
    <xf numFmtId="43" fontId="18" fillId="3" borderId="1" xfId="2" applyNumberFormat="1" applyFont="1" applyFill="1" applyBorder="1" applyAlignment="1">
      <alignment horizontal="center" vertical="center" wrapText="1"/>
    </xf>
    <xf numFmtId="43" fontId="18" fillId="5" borderId="3" xfId="2" applyNumberFormat="1" applyFont="1" applyFill="1" applyBorder="1" applyAlignment="1">
      <alignment horizontal="center" vertical="center" wrapText="1"/>
    </xf>
    <xf numFmtId="43" fontId="18" fillId="6" borderId="0" xfId="2" applyNumberFormat="1" applyFont="1" applyFill="1" applyBorder="1" applyAlignment="1">
      <alignment horizontal="center" vertical="center" wrapText="1"/>
    </xf>
    <xf numFmtId="43" fontId="18" fillId="3" borderId="4" xfId="2" applyNumberFormat="1" applyFont="1" applyFill="1" applyBorder="1" applyAlignment="1">
      <alignment horizontal="center" vertical="center" wrapText="1"/>
    </xf>
    <xf numFmtId="43" fontId="4" fillId="0" borderId="0" xfId="0" applyNumberFormat="1" applyFont="1" applyFill="1"/>
    <xf numFmtId="43" fontId="19" fillId="7" borderId="0" xfId="3" applyNumberFormat="1" applyFont="1" applyFill="1"/>
    <xf numFmtId="43" fontId="4" fillId="2" borderId="0" xfId="0" applyNumberFormat="1" applyFont="1" applyFill="1"/>
    <xf numFmtId="43" fontId="4" fillId="7" borderId="0" xfId="0" applyNumberFormat="1" applyFont="1" applyFill="1"/>
    <xf numFmtId="43" fontId="5" fillId="0" borderId="0" xfId="0" applyNumberFormat="1" applyFont="1"/>
    <xf numFmtId="43" fontId="19" fillId="2" borderId="0" xfId="3" applyNumberFormat="1" applyFont="1" applyFill="1"/>
    <xf numFmtId="43" fontId="20" fillId="0" borderId="0" xfId="0" applyNumberFormat="1" applyFont="1"/>
    <xf numFmtId="43" fontId="4" fillId="0" borderId="0" xfId="0" applyNumberFormat="1" applyFont="1" applyAlignment="1">
      <alignment horizontal="center"/>
    </xf>
    <xf numFmtId="43" fontId="21" fillId="0" borderId="0" xfId="0" applyNumberFormat="1" applyFont="1"/>
    <xf numFmtId="43" fontId="21" fillId="0" borderId="0" xfId="0" applyNumberFormat="1" applyFont="1" applyFill="1"/>
    <xf numFmtId="43" fontId="21" fillId="6" borderId="0" xfId="0" applyNumberFormat="1" applyFont="1" applyFill="1" applyBorder="1"/>
    <xf numFmtId="43" fontId="22" fillId="0" borderId="0" xfId="3" applyNumberFormat="1" applyFont="1" applyFill="1"/>
    <xf numFmtId="43" fontId="20" fillId="0" borderId="0" xfId="0" applyNumberFormat="1" applyFont="1" applyFill="1"/>
    <xf numFmtId="43" fontId="19" fillId="0" borderId="0" xfId="3" applyNumberFormat="1" applyFont="1" applyFill="1"/>
    <xf numFmtId="43" fontId="23" fillId="0" borderId="0" xfId="0" applyNumberFormat="1" applyFont="1"/>
    <xf numFmtId="43" fontId="24" fillId="0" borderId="0" xfId="3" applyNumberFormat="1" applyFont="1"/>
    <xf numFmtId="43" fontId="18" fillId="7" borderId="0" xfId="3" applyNumberFormat="1" applyFont="1" applyFill="1"/>
    <xf numFmtId="43" fontId="25" fillId="3" borderId="0" xfId="2" applyNumberFormat="1" applyFont="1" applyFill="1"/>
    <xf numFmtId="43" fontId="24" fillId="3" borderId="0" xfId="2" applyNumberFormat="1" applyFont="1" applyFill="1"/>
    <xf numFmtId="43" fontId="20" fillId="6" borderId="0" xfId="0" applyNumberFormat="1" applyFont="1" applyFill="1" applyBorder="1"/>
    <xf numFmtId="43" fontId="20" fillId="4" borderId="0" xfId="0" applyNumberFormat="1" applyFont="1" applyFill="1" applyBorder="1"/>
    <xf numFmtId="43" fontId="20" fillId="6" borderId="0" xfId="0" applyNumberFormat="1" applyFont="1" applyFill="1"/>
    <xf numFmtId="43" fontId="20" fillId="0" borderId="0" xfId="0" applyNumberFormat="1" applyFont="1" applyFill="1" applyAlignment="1"/>
    <xf numFmtId="43" fontId="20" fillId="7" borderId="0" xfId="0" applyNumberFormat="1" applyFont="1" applyFill="1"/>
    <xf numFmtId="43" fontId="27" fillId="3" borderId="1" xfId="2" applyNumberFormat="1" applyFont="1" applyFill="1" applyBorder="1" applyAlignment="1">
      <alignment horizontal="center" vertical="center" wrapText="1"/>
    </xf>
    <xf numFmtId="43" fontId="27" fillId="6" borderId="0" xfId="2" applyNumberFormat="1" applyFont="1" applyFill="1" applyBorder="1" applyAlignment="1">
      <alignment horizontal="center" vertical="center" wrapText="1"/>
    </xf>
    <xf numFmtId="43" fontId="27" fillId="3" borderId="5" xfId="2" applyNumberFormat="1" applyFont="1" applyFill="1" applyBorder="1" applyAlignment="1">
      <alignment horizontal="center" vertical="center" wrapText="1"/>
    </xf>
    <xf numFmtId="43" fontId="27" fillId="3" borderId="4" xfId="2" applyNumberFormat="1" applyFont="1" applyFill="1" applyBorder="1" applyAlignment="1">
      <alignment horizontal="center" vertical="center" wrapText="1"/>
    </xf>
    <xf numFmtId="43" fontId="27" fillId="5" borderId="1" xfId="2" applyNumberFormat="1" applyFont="1" applyFill="1" applyBorder="1" applyAlignment="1">
      <alignment horizontal="center" vertical="center" wrapText="1"/>
    </xf>
    <xf numFmtId="43" fontId="27" fillId="4" borderId="0" xfId="2" applyNumberFormat="1" applyFont="1" applyFill="1" applyBorder="1" applyAlignment="1">
      <alignment horizontal="center" vertical="center" wrapText="1"/>
    </xf>
    <xf numFmtId="43" fontId="27" fillId="3" borderId="6" xfId="2" applyNumberFormat="1" applyFont="1" applyFill="1" applyBorder="1" applyAlignment="1">
      <alignment horizontal="center" vertical="center" wrapText="1"/>
    </xf>
    <xf numFmtId="43" fontId="27" fillId="3" borderId="6" xfId="2" applyNumberFormat="1" applyFont="1" applyFill="1" applyBorder="1" applyAlignment="1">
      <alignment horizontal="center" vertical="center"/>
    </xf>
    <xf numFmtId="43" fontId="19" fillId="7" borderId="0" xfId="3" applyNumberFormat="1" applyFont="1" applyFill="1" applyAlignment="1">
      <alignment horizontal="left" vertical="center"/>
    </xf>
    <xf numFmtId="43" fontId="19" fillId="6" borderId="0" xfId="3" applyNumberFormat="1" applyFont="1" applyFill="1" applyBorder="1"/>
    <xf numFmtId="43" fontId="19" fillId="0" borderId="0" xfId="3" applyNumberFormat="1" applyFont="1" applyFill="1" applyAlignment="1">
      <alignment horizontal="left" vertical="center"/>
    </xf>
    <xf numFmtId="43" fontId="26" fillId="6" borderId="0" xfId="0" applyNumberFormat="1" applyFont="1" applyFill="1" applyBorder="1"/>
    <xf numFmtId="43" fontId="26" fillId="7" borderId="0" xfId="0" applyNumberFormat="1" applyFont="1" applyFill="1"/>
    <xf numFmtId="14" fontId="20" fillId="0" borderId="0" xfId="0" applyNumberFormat="1" applyFont="1" applyFill="1"/>
    <xf numFmtId="43" fontId="26" fillId="0" borderId="0" xfId="0" applyNumberFormat="1" applyFont="1" applyFill="1" applyBorder="1"/>
    <xf numFmtId="43" fontId="20" fillId="0" borderId="0" xfId="0" applyNumberFormat="1" applyFont="1" applyFill="1" applyBorder="1"/>
    <xf numFmtId="43" fontId="20" fillId="2" borderId="0" xfId="0" applyNumberFormat="1" applyFont="1" applyFill="1"/>
    <xf numFmtId="43" fontId="20" fillId="0" borderId="0" xfId="0" applyNumberFormat="1" applyFont="1" applyFill="1" applyAlignment="1">
      <alignment horizontal="center"/>
    </xf>
    <xf numFmtId="14" fontId="26" fillId="0" borderId="0" xfId="0" applyNumberFormat="1" applyFont="1" applyFill="1"/>
    <xf numFmtId="0" fontId="20" fillId="0" borderId="0" xfId="0" applyNumberFormat="1" applyFont="1" applyFill="1" applyAlignment="1"/>
    <xf numFmtId="43" fontId="20" fillId="5" borderId="0" xfId="0" applyNumberFormat="1" applyFont="1" applyFill="1"/>
    <xf numFmtId="43" fontId="26" fillId="0" borderId="0" xfId="0" applyNumberFormat="1" applyFont="1" applyFill="1"/>
    <xf numFmtId="14" fontId="20" fillId="2" borderId="0" xfId="0" applyNumberFormat="1" applyFont="1" applyFill="1"/>
    <xf numFmtId="14" fontId="20" fillId="2" borderId="0" xfId="0" applyNumberFormat="1" applyFont="1" applyFill="1" applyAlignment="1">
      <alignment horizontal="center"/>
    </xf>
    <xf numFmtId="14" fontId="20" fillId="0" borderId="0" xfId="0" applyNumberFormat="1" applyFont="1" applyFill="1" applyAlignment="1">
      <alignment horizontal="center"/>
    </xf>
    <xf numFmtId="43" fontId="26" fillId="5" borderId="0" xfId="0" applyNumberFormat="1" applyFont="1" applyFill="1" applyAlignment="1">
      <alignment vertical="center"/>
    </xf>
    <xf numFmtId="43" fontId="26" fillId="0" borderId="0" xfId="0" applyNumberFormat="1" applyFont="1"/>
    <xf numFmtId="43" fontId="26" fillId="0" borderId="0" xfId="0" applyNumberFormat="1" applyFont="1" applyAlignment="1">
      <alignment horizontal="left" vertical="center"/>
    </xf>
    <xf numFmtId="43" fontId="20" fillId="0" borderId="0" xfId="0" applyNumberFormat="1" applyFont="1" applyAlignment="1">
      <alignment horizontal="left" vertical="center"/>
    </xf>
    <xf numFmtId="43" fontId="29" fillId="0" borderId="0" xfId="0" applyNumberFormat="1" applyFont="1"/>
    <xf numFmtId="43" fontId="28" fillId="0" borderId="0" xfId="0" applyNumberFormat="1" applyFont="1" applyFill="1"/>
    <xf numFmtId="43" fontId="29" fillId="0" borderId="0" xfId="0" applyNumberFormat="1" applyFont="1" applyFill="1"/>
    <xf numFmtId="43" fontId="30" fillId="0" borderId="0" xfId="2" applyNumberFormat="1" applyFont="1" applyFill="1"/>
    <xf numFmtId="43" fontId="31" fillId="0" borderId="0" xfId="2" applyNumberFormat="1" applyFont="1" applyFill="1"/>
    <xf numFmtId="43" fontId="28" fillId="0" borderId="0" xfId="0" applyNumberFormat="1" applyFont="1"/>
    <xf numFmtId="0" fontId="2" fillId="0" borderId="0" xfId="0" applyFont="1"/>
    <xf numFmtId="0" fontId="2" fillId="2" borderId="7" xfId="0" applyFont="1" applyFill="1" applyBorder="1" applyAlignment="1">
      <alignment horizontal="center"/>
    </xf>
    <xf numFmtId="43" fontId="26" fillId="3" borderId="9" xfId="0" applyNumberFormat="1" applyFont="1" applyFill="1" applyBorder="1" applyAlignment="1">
      <alignment horizontal="center" vertical="center" wrapText="1"/>
    </xf>
    <xf numFmtId="0" fontId="0" fillId="0" borderId="0" xfId="0" applyBorder="1"/>
    <xf numFmtId="43" fontId="0" fillId="0" borderId="0" xfId="1" applyFont="1" applyBorder="1"/>
    <xf numFmtId="43" fontId="0" fillId="2" borderId="0" xfId="1" applyFont="1" applyFill="1" applyBorder="1"/>
    <xf numFmtId="43" fontId="0" fillId="0" borderId="0" xfId="1" applyFont="1" applyFill="1" applyBorder="1"/>
    <xf numFmtId="0" fontId="2" fillId="0" borderId="0" xfId="0" applyFont="1" applyBorder="1"/>
    <xf numFmtId="43" fontId="2" fillId="0" borderId="0" xfId="0" applyNumberFormat="1" applyFont="1" applyBorder="1"/>
    <xf numFmtId="43" fontId="2" fillId="0" borderId="0" xfId="0" applyNumberFormat="1" applyFont="1" applyFill="1" applyBorder="1"/>
    <xf numFmtId="43" fontId="0" fillId="0" borderId="0" xfId="0" applyNumberFormat="1"/>
    <xf numFmtId="43" fontId="2" fillId="0" borderId="0" xfId="0" applyNumberFormat="1" applyFont="1"/>
    <xf numFmtId="43" fontId="0" fillId="0" borderId="0" xfId="1" applyFont="1"/>
    <xf numFmtId="43" fontId="26" fillId="3" borderId="0" xfId="0" applyNumberFormat="1" applyFont="1" applyFill="1"/>
    <xf numFmtId="43" fontId="20" fillId="3" borderId="0" xfId="0" applyNumberFormat="1" applyFont="1" applyFill="1"/>
    <xf numFmtId="43" fontId="34" fillId="3" borderId="0" xfId="2" applyNumberFormat="1" applyFont="1" applyFill="1"/>
    <xf numFmtId="43" fontId="35" fillId="3" borderId="0" xfId="0" applyNumberFormat="1" applyFont="1" applyFill="1"/>
    <xf numFmtId="43" fontId="3" fillId="0" borderId="0" xfId="0" applyNumberFormat="1" applyFont="1"/>
    <xf numFmtId="43" fontId="4" fillId="5" borderId="0" xfId="0" applyNumberFormat="1" applyFont="1" applyFill="1"/>
    <xf numFmtId="43" fontId="36" fillId="5" borderId="0" xfId="0" applyNumberFormat="1" applyFont="1" applyFill="1"/>
    <xf numFmtId="43" fontId="36" fillId="5" borderId="0" xfId="3" applyNumberFormat="1" applyFont="1" applyFill="1"/>
    <xf numFmtId="43" fontId="37" fillId="5" borderId="0" xfId="0" applyNumberFormat="1" applyFont="1" applyFill="1" applyBorder="1"/>
    <xf numFmtId="43" fontId="37" fillId="5" borderId="0" xfId="0" applyNumberFormat="1" applyFont="1" applyFill="1"/>
    <xf numFmtId="14" fontId="37" fillId="5" borderId="0" xfId="0" applyNumberFormat="1" applyFont="1" applyFill="1" applyAlignment="1">
      <alignment horizontal="center"/>
    </xf>
    <xf numFmtId="43" fontId="5" fillId="5" borderId="0" xfId="0" applyNumberFormat="1" applyFont="1" applyFill="1"/>
    <xf numFmtId="43" fontId="5" fillId="5" borderId="0" xfId="0" applyNumberFormat="1" applyFont="1" applyFill="1" applyBorder="1"/>
    <xf numFmtId="43" fontId="5" fillId="5" borderId="0" xfId="3" applyNumberFormat="1" applyFont="1" applyFill="1"/>
    <xf numFmtId="41" fontId="29" fillId="0" borderId="0" xfId="0" applyNumberFormat="1" applyFont="1" applyFill="1" applyAlignment="1">
      <alignment horizontal="center" vertical="center"/>
    </xf>
    <xf numFmtId="43" fontId="29" fillId="0" borderId="0" xfId="0" applyNumberFormat="1" applyFont="1" applyFill="1" applyAlignment="1">
      <alignment horizontal="center" vertical="center"/>
    </xf>
    <xf numFmtId="43" fontId="28" fillId="5" borderId="0" xfId="0" applyNumberFormat="1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/>
    <xf numFmtId="0" fontId="11" fillId="0" borderId="0" xfId="0" applyFont="1" applyAlignment="1"/>
    <xf numFmtId="43" fontId="33" fillId="5" borderId="0" xfId="0" applyNumberFormat="1" applyFont="1" applyFill="1" applyAlignment="1">
      <alignment horizontal="center" wrapText="1"/>
    </xf>
    <xf numFmtId="43" fontId="26" fillId="5" borderId="0" xfId="0" applyNumberFormat="1" applyFont="1" applyFill="1" applyAlignment="1">
      <alignment horizontal="center"/>
    </xf>
    <xf numFmtId="43" fontId="16" fillId="6" borderId="2" xfId="0" applyNumberFormat="1" applyFont="1" applyFill="1" applyBorder="1" applyAlignment="1">
      <alignment horizontal="center" vertical="center" wrapText="1"/>
    </xf>
    <xf numFmtId="43" fontId="26" fillId="6" borderId="2" xfId="0" applyNumberFormat="1" applyFont="1" applyFill="1" applyBorder="1" applyAlignment="1">
      <alignment horizontal="center" vertical="center" wrapText="1"/>
    </xf>
    <xf numFmtId="43" fontId="28" fillId="3" borderId="0" xfId="0" applyNumberFormat="1" applyFont="1" applyFill="1" applyAlignment="1">
      <alignment horizontal="center" vertical="center" wrapText="1"/>
    </xf>
    <xf numFmtId="43" fontId="28" fillId="3" borderId="0" xfId="0" applyNumberFormat="1" applyFont="1" applyFill="1" applyAlignment="1">
      <alignment horizontal="center" vertical="center"/>
    </xf>
    <xf numFmtId="0" fontId="32" fillId="5" borderId="8" xfId="0" applyFont="1" applyFill="1" applyBorder="1" applyAlignment="1">
      <alignment horizontal="center"/>
    </xf>
    <xf numFmtId="0" fontId="32" fillId="5" borderId="2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</cellXfs>
  <cellStyles count="4">
    <cellStyle name="Millares" xfId="1" builtinId="3"/>
    <cellStyle name="Normal" xfId="0" builtinId="0"/>
    <cellStyle name="Normal 2" xfId="3" xr:uid="{00000000-0005-0000-0000-000002000000}"/>
    <cellStyle name="Normal 3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-servidor-pc\servidor%20hg\CONSULTORIA%20EN%20PROYECTOS\II.-%20NOMINAS\NOMINAS%202019\SUELDOS%20Y%20SALARIOS\SEITON\04%20ABRIL\08\NOMINA%20QUINCENAL%20NO.08%20PI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g-servidor-pc\servidor%20hg\CONSULTORIA%20EN%20PROYECTOS\II.-%20NOMINAS\NOMINAS%202019\SUELDOS%20Y%20SALARIOS\SEITON\04%20ABRIL\08\NOMINA%20QUINCENAL%20NO.07%20SEITON%20DE%20MEXI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URACION SINDICATO"/>
      <sheetName val="CPD PITS"/>
      <sheetName val="IP PITS"/>
      <sheetName val="SIND PITS"/>
      <sheetName val="RESUMEN"/>
      <sheetName val="RESUMEN PITS"/>
      <sheetName val="FACTURACION"/>
      <sheetName val="ASIMILADOS"/>
      <sheetName val="NETOS"/>
      <sheetName val="ABC"/>
      <sheetName val="Hoja4"/>
    </sheetNames>
    <sheetDataSet>
      <sheetData sheetId="0"/>
      <sheetData sheetId="1"/>
      <sheetData sheetId="2">
        <row r="6">
          <cell r="B6" t="str">
            <v>Torres Ricardez Alfredo</v>
          </cell>
          <cell r="C6">
            <v>15</v>
          </cell>
          <cell r="D6">
            <v>0</v>
          </cell>
          <cell r="E6">
            <v>266.67</v>
          </cell>
          <cell r="F6">
            <v>278.72000000000003</v>
          </cell>
          <cell r="G6">
            <v>4000.05</v>
          </cell>
          <cell r="H6">
            <v>0</v>
          </cell>
          <cell r="I6">
            <v>0</v>
          </cell>
        </row>
        <row r="7">
          <cell r="B7" t="str">
            <v>Montoya Portillo Carlos Alberto</v>
          </cell>
          <cell r="C7">
            <v>15</v>
          </cell>
          <cell r="D7">
            <v>0</v>
          </cell>
          <cell r="E7">
            <v>266.67</v>
          </cell>
          <cell r="F7">
            <v>278.72000000000003</v>
          </cell>
          <cell r="G7">
            <v>4000.05</v>
          </cell>
          <cell r="H7">
            <v>0</v>
          </cell>
          <cell r="I7">
            <v>0</v>
          </cell>
        </row>
        <row r="8">
          <cell r="B8" t="str">
            <v>Cota Jaramillo Miguel Angel</v>
          </cell>
          <cell r="C8">
            <v>8</v>
          </cell>
          <cell r="D8">
            <v>7</v>
          </cell>
          <cell r="E8">
            <v>200</v>
          </cell>
          <cell r="F8">
            <v>209.04</v>
          </cell>
          <cell r="G8">
            <v>1600</v>
          </cell>
          <cell r="H8">
            <v>1400</v>
          </cell>
          <cell r="I8">
            <v>420</v>
          </cell>
        </row>
        <row r="9">
          <cell r="B9" t="str">
            <v>Negrete Bejar Aide Sarai</v>
          </cell>
          <cell r="C9">
            <v>11</v>
          </cell>
          <cell r="D9">
            <v>4</v>
          </cell>
          <cell r="E9">
            <v>154</v>
          </cell>
          <cell r="F9">
            <v>160.96</v>
          </cell>
          <cell r="G9">
            <v>1694</v>
          </cell>
          <cell r="H9">
            <v>616</v>
          </cell>
          <cell r="I9">
            <v>184.8</v>
          </cell>
        </row>
        <row r="10">
          <cell r="B10" t="str">
            <v>Muñoz Reyes Luis Eduardo</v>
          </cell>
          <cell r="C10">
            <v>15</v>
          </cell>
          <cell r="D10">
            <v>0</v>
          </cell>
          <cell r="E10">
            <v>266.67</v>
          </cell>
          <cell r="F10">
            <v>278.72000000000003</v>
          </cell>
          <cell r="G10">
            <v>4000.05</v>
          </cell>
          <cell r="H10">
            <v>0</v>
          </cell>
          <cell r="I10">
            <v>0</v>
          </cell>
        </row>
        <row r="11">
          <cell r="B11" t="str">
            <v>Gonzalez Rasgado Miguel Isaias</v>
          </cell>
          <cell r="C11">
            <v>15</v>
          </cell>
          <cell r="D11">
            <v>0</v>
          </cell>
          <cell r="E11">
            <v>400</v>
          </cell>
          <cell r="F11">
            <v>424.2</v>
          </cell>
          <cell r="G11">
            <v>6000</v>
          </cell>
          <cell r="H11">
            <v>0</v>
          </cell>
          <cell r="I11">
            <v>0</v>
          </cell>
        </row>
        <row r="12">
          <cell r="B12" t="str">
            <v>Mar Marquez Cesar Eduardo</v>
          </cell>
          <cell r="C12">
            <v>15</v>
          </cell>
          <cell r="D12">
            <v>0</v>
          </cell>
          <cell r="E12">
            <v>266.67</v>
          </cell>
          <cell r="F12">
            <v>278.72000000000003</v>
          </cell>
          <cell r="G12">
            <v>4000.05</v>
          </cell>
          <cell r="H12">
            <v>0</v>
          </cell>
          <cell r="I12">
            <v>0</v>
          </cell>
        </row>
        <row r="13">
          <cell r="B13" t="str">
            <v>Velez Rodriguez Jaime</v>
          </cell>
          <cell r="C13">
            <v>15</v>
          </cell>
          <cell r="D13">
            <v>0</v>
          </cell>
          <cell r="E13">
            <v>200</v>
          </cell>
          <cell r="F13">
            <v>212.1</v>
          </cell>
          <cell r="G13">
            <v>3000</v>
          </cell>
          <cell r="H13">
            <v>0</v>
          </cell>
          <cell r="I13">
            <v>0</v>
          </cell>
        </row>
        <row r="14">
          <cell r="B14" t="str">
            <v>Najera Lopez Raul</v>
          </cell>
          <cell r="C14">
            <v>15</v>
          </cell>
          <cell r="D14">
            <v>0</v>
          </cell>
          <cell r="E14">
            <v>333.33</v>
          </cell>
          <cell r="F14">
            <v>353.5</v>
          </cell>
          <cell r="G14">
            <v>4999.95</v>
          </cell>
          <cell r="H14">
            <v>0</v>
          </cell>
          <cell r="I14">
            <v>0</v>
          </cell>
        </row>
        <row r="15">
          <cell r="B15" t="str">
            <v>Puente Murguia Luis Felipe</v>
          </cell>
          <cell r="C15">
            <v>15</v>
          </cell>
          <cell r="D15">
            <v>0</v>
          </cell>
          <cell r="E15">
            <v>233.33</v>
          </cell>
          <cell r="F15">
            <v>247.45</v>
          </cell>
          <cell r="G15">
            <v>3499.95</v>
          </cell>
          <cell r="H15">
            <v>0</v>
          </cell>
          <cell r="I15">
            <v>0</v>
          </cell>
        </row>
        <row r="16">
          <cell r="B16" t="str">
            <v>Arceo Garcia Manuel Federico</v>
          </cell>
          <cell r="C16">
            <v>12</v>
          </cell>
          <cell r="D16">
            <v>3</v>
          </cell>
          <cell r="E16">
            <v>200</v>
          </cell>
          <cell r="F16">
            <v>212.1</v>
          </cell>
          <cell r="G16">
            <v>2400</v>
          </cell>
          <cell r="H16">
            <v>600</v>
          </cell>
          <cell r="I16">
            <v>180</v>
          </cell>
        </row>
        <row r="17">
          <cell r="B17" t="str">
            <v>Dominguez Lopez Mayeli Del Pilar</v>
          </cell>
          <cell r="C17">
            <v>15</v>
          </cell>
          <cell r="D17">
            <v>0</v>
          </cell>
          <cell r="E17">
            <v>266.67</v>
          </cell>
          <cell r="F17">
            <v>282.81</v>
          </cell>
          <cell r="G17">
            <v>4000.05</v>
          </cell>
          <cell r="H17">
            <v>0</v>
          </cell>
          <cell r="I17">
            <v>0</v>
          </cell>
        </row>
        <row r="18">
          <cell r="B18" t="str">
            <v>Courtenay Gutierrez Barry Vladimir</v>
          </cell>
          <cell r="C18">
            <v>15</v>
          </cell>
          <cell r="D18">
            <v>0</v>
          </cell>
          <cell r="E18">
            <v>166.67</v>
          </cell>
          <cell r="F18">
            <v>174.2</v>
          </cell>
          <cell r="G18">
            <v>2500.0500000000002</v>
          </cell>
          <cell r="H18">
            <v>0</v>
          </cell>
          <cell r="I18">
            <v>0</v>
          </cell>
        </row>
        <row r="19">
          <cell r="B19" t="str">
            <v>Marin Avila Hector</v>
          </cell>
          <cell r="C19">
            <v>15</v>
          </cell>
          <cell r="D19">
            <v>0</v>
          </cell>
          <cell r="E19">
            <v>275</v>
          </cell>
          <cell r="F19">
            <v>287.43</v>
          </cell>
          <cell r="G19">
            <v>4125</v>
          </cell>
          <cell r="H19">
            <v>0</v>
          </cell>
          <cell r="I19">
            <v>0</v>
          </cell>
        </row>
        <row r="20">
          <cell r="B20" t="str">
            <v>Palacios Ramos Jesus</v>
          </cell>
          <cell r="C20">
            <v>15</v>
          </cell>
          <cell r="D20">
            <v>0</v>
          </cell>
          <cell r="E20">
            <v>266.67</v>
          </cell>
          <cell r="F20">
            <v>282.81</v>
          </cell>
          <cell r="G20">
            <v>4000.05</v>
          </cell>
          <cell r="H20">
            <v>0</v>
          </cell>
          <cell r="I20">
            <v>0</v>
          </cell>
        </row>
        <row r="21">
          <cell r="B21" t="str">
            <v>Martinez Hernandez J. Antonio</v>
          </cell>
          <cell r="C21">
            <v>15</v>
          </cell>
          <cell r="D21">
            <v>0</v>
          </cell>
          <cell r="E21">
            <v>266.67</v>
          </cell>
          <cell r="F21">
            <v>282.81</v>
          </cell>
          <cell r="G21">
            <v>4000.05</v>
          </cell>
          <cell r="H21">
            <v>0</v>
          </cell>
          <cell r="I21">
            <v>0</v>
          </cell>
        </row>
        <row r="22">
          <cell r="B22" t="str">
            <v>Alcaraz Conde Zabdi Guadalupe</v>
          </cell>
          <cell r="C22">
            <v>15</v>
          </cell>
          <cell r="D22">
            <v>0</v>
          </cell>
          <cell r="E22">
            <v>200</v>
          </cell>
          <cell r="F22">
            <v>212.11</v>
          </cell>
          <cell r="G22">
            <v>3000</v>
          </cell>
          <cell r="H22">
            <v>0</v>
          </cell>
          <cell r="I22">
            <v>0</v>
          </cell>
        </row>
        <row r="23">
          <cell r="B23" t="str">
            <v>Lopez Terron Roberto Porfirio</v>
          </cell>
          <cell r="C23">
            <v>10</v>
          </cell>
          <cell r="D23">
            <v>0</v>
          </cell>
          <cell r="E23">
            <v>466.67</v>
          </cell>
          <cell r="F23">
            <v>494.92</v>
          </cell>
          <cell r="G23">
            <v>4666.7</v>
          </cell>
          <cell r="H23">
            <v>0</v>
          </cell>
          <cell r="I23">
            <v>0</v>
          </cell>
        </row>
        <row r="24">
          <cell r="B24" t="str">
            <v>Chavez Pedraza Samuel</v>
          </cell>
          <cell r="C24">
            <v>15</v>
          </cell>
          <cell r="D24">
            <v>0</v>
          </cell>
          <cell r="E24">
            <v>466.67</v>
          </cell>
          <cell r="F24">
            <v>494.92</v>
          </cell>
          <cell r="G24">
            <v>7000.05</v>
          </cell>
          <cell r="H24">
            <v>0</v>
          </cell>
          <cell r="I24">
            <v>0</v>
          </cell>
        </row>
        <row r="25">
          <cell r="B25" t="str">
            <v>Castillo Nungaray Nestor Roman</v>
          </cell>
          <cell r="C25">
            <v>15</v>
          </cell>
          <cell r="D25">
            <v>0</v>
          </cell>
          <cell r="E25">
            <v>200</v>
          </cell>
          <cell r="F25">
            <v>212.11</v>
          </cell>
          <cell r="G25">
            <v>3000</v>
          </cell>
          <cell r="H25">
            <v>0</v>
          </cell>
          <cell r="I25">
            <v>0</v>
          </cell>
        </row>
        <row r="26">
          <cell r="B26" t="str">
            <v>Marquez Hernandez Rogelio</v>
          </cell>
          <cell r="C26">
            <v>15</v>
          </cell>
          <cell r="D26">
            <v>0</v>
          </cell>
          <cell r="E26">
            <v>266.67</v>
          </cell>
          <cell r="F26">
            <v>282.81</v>
          </cell>
          <cell r="G26">
            <v>4000.05</v>
          </cell>
          <cell r="H26">
            <v>0</v>
          </cell>
          <cell r="I26">
            <v>0</v>
          </cell>
        </row>
        <row r="27">
          <cell r="B27" t="str">
            <v>Flores Cerrillos Jorge Humberto</v>
          </cell>
          <cell r="C27">
            <v>15</v>
          </cell>
          <cell r="D27">
            <v>0</v>
          </cell>
          <cell r="E27">
            <v>266.67</v>
          </cell>
          <cell r="F27">
            <v>282.81</v>
          </cell>
          <cell r="G27">
            <v>4000.05</v>
          </cell>
          <cell r="H27">
            <v>0</v>
          </cell>
          <cell r="I27">
            <v>0</v>
          </cell>
        </row>
        <row r="28">
          <cell r="B28" t="str">
            <v>Perez Garcia Andres Alvaro</v>
          </cell>
          <cell r="C28">
            <v>15</v>
          </cell>
          <cell r="D28">
            <v>0</v>
          </cell>
          <cell r="E28">
            <v>266.67</v>
          </cell>
          <cell r="F28">
            <v>282.81</v>
          </cell>
          <cell r="G28">
            <v>4000</v>
          </cell>
          <cell r="H28">
            <v>0</v>
          </cell>
          <cell r="I28">
            <v>0</v>
          </cell>
        </row>
        <row r="29">
          <cell r="B29" t="str">
            <v>Chavira Garcia David Fernando</v>
          </cell>
          <cell r="C29">
            <v>15</v>
          </cell>
          <cell r="D29">
            <v>0</v>
          </cell>
          <cell r="E29">
            <v>333.33</v>
          </cell>
          <cell r="F29">
            <v>353.52</v>
          </cell>
          <cell r="G29">
            <v>5000</v>
          </cell>
          <cell r="H29">
            <v>0</v>
          </cell>
          <cell r="I29">
            <v>0</v>
          </cell>
        </row>
        <row r="30">
          <cell r="B30" t="str">
            <v>Guerrero Lara Cesar Adrian</v>
          </cell>
          <cell r="C30">
            <v>15</v>
          </cell>
          <cell r="D30">
            <v>0</v>
          </cell>
          <cell r="E30">
            <v>266.67</v>
          </cell>
          <cell r="F30">
            <v>282.81</v>
          </cell>
          <cell r="G30">
            <v>4000</v>
          </cell>
          <cell r="H30">
            <v>0</v>
          </cell>
          <cell r="I30">
            <v>0</v>
          </cell>
        </row>
        <row r="31">
          <cell r="B31" t="str">
            <v>Martinez Zamora Gerardo Mario</v>
          </cell>
          <cell r="C31">
            <v>15</v>
          </cell>
          <cell r="D31">
            <v>0</v>
          </cell>
          <cell r="E31">
            <v>318.33</v>
          </cell>
          <cell r="F31">
            <v>337.61</v>
          </cell>
          <cell r="G31">
            <v>4775</v>
          </cell>
          <cell r="H31">
            <v>0</v>
          </cell>
          <cell r="I31">
            <v>0</v>
          </cell>
        </row>
        <row r="32">
          <cell r="B32" t="str">
            <v>Castellon Ramos Rene</v>
          </cell>
          <cell r="C32">
            <v>15</v>
          </cell>
          <cell r="D32">
            <v>0</v>
          </cell>
          <cell r="E32">
            <v>250</v>
          </cell>
          <cell r="F32">
            <v>265.14</v>
          </cell>
          <cell r="G32">
            <v>3750</v>
          </cell>
          <cell r="H32">
            <v>0</v>
          </cell>
          <cell r="I32">
            <v>0</v>
          </cell>
        </row>
        <row r="33">
          <cell r="B33" t="str">
            <v>Flores Franco Marco</v>
          </cell>
          <cell r="C33">
            <v>15</v>
          </cell>
          <cell r="D33">
            <v>0</v>
          </cell>
          <cell r="E33">
            <v>283.33</v>
          </cell>
          <cell r="F33">
            <v>300.49</v>
          </cell>
          <cell r="G33">
            <v>4250</v>
          </cell>
          <cell r="H33">
            <v>0</v>
          </cell>
          <cell r="I33">
            <v>0</v>
          </cell>
        </row>
        <row r="34">
          <cell r="B34" t="str">
            <v>Chavez Saucedo Jorge Arturo</v>
          </cell>
          <cell r="C34">
            <v>15</v>
          </cell>
          <cell r="D34">
            <v>0</v>
          </cell>
          <cell r="E34">
            <v>266.67</v>
          </cell>
          <cell r="F34">
            <v>278.72000000000003</v>
          </cell>
          <cell r="G34">
            <v>4000.05</v>
          </cell>
          <cell r="H34">
            <v>0</v>
          </cell>
          <cell r="I34">
            <v>0</v>
          </cell>
        </row>
        <row r="35">
          <cell r="B35" t="str">
            <v>Hueramo Hueramo Jesus Daniel</v>
          </cell>
          <cell r="C35">
            <v>15</v>
          </cell>
          <cell r="D35">
            <v>0</v>
          </cell>
          <cell r="E35">
            <v>283.33</v>
          </cell>
          <cell r="F35">
            <v>300.49</v>
          </cell>
          <cell r="G35">
            <v>4250</v>
          </cell>
          <cell r="H35">
            <v>0</v>
          </cell>
          <cell r="I35">
            <v>0</v>
          </cell>
        </row>
        <row r="36">
          <cell r="B36" t="str">
            <v>Sandoval Garcia Luis</v>
          </cell>
          <cell r="C36">
            <v>15</v>
          </cell>
          <cell r="D36">
            <v>0</v>
          </cell>
          <cell r="E36">
            <v>266.67</v>
          </cell>
          <cell r="F36">
            <v>282.81</v>
          </cell>
          <cell r="G36">
            <v>4000.05</v>
          </cell>
          <cell r="H36">
            <v>0</v>
          </cell>
          <cell r="I36">
            <v>0</v>
          </cell>
        </row>
        <row r="37">
          <cell r="B37" t="str">
            <v>Vaca Valdez Guillermo</v>
          </cell>
          <cell r="C37">
            <v>12</v>
          </cell>
          <cell r="D37">
            <v>3</v>
          </cell>
          <cell r="E37">
            <v>266.67</v>
          </cell>
          <cell r="F37">
            <v>282.81</v>
          </cell>
          <cell r="G37">
            <v>3200.04</v>
          </cell>
          <cell r="H37">
            <v>800.01</v>
          </cell>
          <cell r="I37">
            <v>240</v>
          </cell>
        </row>
        <row r="38">
          <cell r="B38" t="str">
            <v>Martinez Morales Jose Martin</v>
          </cell>
          <cell r="C38">
            <v>15</v>
          </cell>
          <cell r="D38">
            <v>0</v>
          </cell>
          <cell r="E38">
            <v>466.67</v>
          </cell>
          <cell r="F38">
            <v>494.92</v>
          </cell>
          <cell r="G38">
            <v>7000.05</v>
          </cell>
          <cell r="H38">
            <v>0</v>
          </cell>
          <cell r="I38">
            <v>0</v>
          </cell>
        </row>
        <row r="39">
          <cell r="B39" t="str">
            <v>Arzate Gil Juan Sebastian</v>
          </cell>
          <cell r="C39">
            <v>15</v>
          </cell>
          <cell r="D39">
            <v>0</v>
          </cell>
          <cell r="E39">
            <v>266.67</v>
          </cell>
          <cell r="F39">
            <v>282.81</v>
          </cell>
          <cell r="G39">
            <v>4000.05</v>
          </cell>
          <cell r="H39">
            <v>0</v>
          </cell>
          <cell r="I39">
            <v>0</v>
          </cell>
        </row>
        <row r="40">
          <cell r="B40" t="str">
            <v>Torres Velazquez Juan Antonio</v>
          </cell>
          <cell r="C40">
            <v>15</v>
          </cell>
          <cell r="D40">
            <v>0</v>
          </cell>
          <cell r="E40">
            <v>266.67</v>
          </cell>
          <cell r="F40">
            <v>282.81</v>
          </cell>
          <cell r="G40">
            <v>4000.05</v>
          </cell>
          <cell r="H40">
            <v>0</v>
          </cell>
          <cell r="I40">
            <v>0</v>
          </cell>
        </row>
        <row r="41">
          <cell r="B41" t="str">
            <v>Enriquez Zamora Jessica Del Rocio</v>
          </cell>
          <cell r="C41">
            <v>14</v>
          </cell>
          <cell r="D41">
            <v>1</v>
          </cell>
          <cell r="E41">
            <v>200</v>
          </cell>
          <cell r="F41">
            <v>212.11</v>
          </cell>
          <cell r="G41">
            <v>2800</v>
          </cell>
          <cell r="H41">
            <v>200</v>
          </cell>
          <cell r="I41">
            <v>60</v>
          </cell>
        </row>
        <row r="42">
          <cell r="B42" t="str">
            <v>Moreno Quiroga Ana Sarahi</v>
          </cell>
          <cell r="C42">
            <v>15</v>
          </cell>
          <cell r="D42">
            <v>0</v>
          </cell>
          <cell r="E42">
            <v>266.67</v>
          </cell>
          <cell r="F42">
            <v>282.81</v>
          </cell>
          <cell r="G42">
            <v>4000.05</v>
          </cell>
          <cell r="H42">
            <v>0</v>
          </cell>
          <cell r="I42">
            <v>0</v>
          </cell>
        </row>
        <row r="43">
          <cell r="B43" t="str">
            <v>Hernandez Garcia Manuel Alejandro</v>
          </cell>
          <cell r="C43">
            <v>15</v>
          </cell>
          <cell r="D43">
            <v>0</v>
          </cell>
          <cell r="E43">
            <v>266.67</v>
          </cell>
          <cell r="F43">
            <v>278.72000000000003</v>
          </cell>
          <cell r="G43">
            <v>4000.05</v>
          </cell>
          <cell r="H43">
            <v>0</v>
          </cell>
          <cell r="I43">
            <v>0</v>
          </cell>
        </row>
        <row r="44">
          <cell r="B44" t="str">
            <v>Sandoval Medina Demetrio</v>
          </cell>
          <cell r="C44">
            <v>15</v>
          </cell>
          <cell r="D44">
            <v>0</v>
          </cell>
          <cell r="E44">
            <v>266.67</v>
          </cell>
          <cell r="F44">
            <v>278.72000000000003</v>
          </cell>
          <cell r="G44">
            <v>4000.05</v>
          </cell>
          <cell r="H44">
            <v>0</v>
          </cell>
          <cell r="I44">
            <v>0</v>
          </cell>
        </row>
        <row r="45">
          <cell r="B45" t="str">
            <v>Gutierrez Muñoz Carlos Alejandro</v>
          </cell>
          <cell r="C45">
            <v>15</v>
          </cell>
          <cell r="D45">
            <v>0</v>
          </cell>
          <cell r="E45">
            <v>220.83</v>
          </cell>
          <cell r="F45">
            <v>234.2</v>
          </cell>
          <cell r="G45">
            <v>3312.45</v>
          </cell>
          <cell r="H45">
            <v>0</v>
          </cell>
          <cell r="I45">
            <v>0</v>
          </cell>
        </row>
        <row r="46">
          <cell r="B46" t="str">
            <v>Molina Ramirez Gerardo Daniel</v>
          </cell>
          <cell r="C46">
            <v>15</v>
          </cell>
          <cell r="D46">
            <v>0</v>
          </cell>
          <cell r="E46">
            <v>150</v>
          </cell>
          <cell r="F46">
            <v>156.78</v>
          </cell>
          <cell r="G46">
            <v>2250</v>
          </cell>
          <cell r="H46">
            <v>0</v>
          </cell>
          <cell r="I46">
            <v>0</v>
          </cell>
        </row>
        <row r="47">
          <cell r="B47" t="str">
            <v>Mireles Casillas Brenda Cristina</v>
          </cell>
          <cell r="C47">
            <v>15</v>
          </cell>
          <cell r="D47">
            <v>0</v>
          </cell>
          <cell r="E47">
            <v>150</v>
          </cell>
          <cell r="F47">
            <v>156.78</v>
          </cell>
          <cell r="G47">
            <v>2250</v>
          </cell>
          <cell r="H47">
            <v>0</v>
          </cell>
          <cell r="I47">
            <v>0</v>
          </cell>
        </row>
        <row r="48">
          <cell r="B48" t="str">
            <v>Escobedo Olivares Juan Guadalupe</v>
          </cell>
          <cell r="C48">
            <v>15</v>
          </cell>
          <cell r="D48">
            <v>0</v>
          </cell>
          <cell r="E48">
            <v>233.33</v>
          </cell>
          <cell r="F48">
            <v>243.88</v>
          </cell>
          <cell r="G48">
            <v>3499.95</v>
          </cell>
          <cell r="H48">
            <v>0</v>
          </cell>
          <cell r="I48">
            <v>0</v>
          </cell>
        </row>
        <row r="49">
          <cell r="B49" t="str">
            <v>Castillo Ramirez Hector Ivan</v>
          </cell>
          <cell r="C49">
            <v>11</v>
          </cell>
          <cell r="D49">
            <v>4</v>
          </cell>
          <cell r="E49">
            <v>233.33</v>
          </cell>
          <cell r="F49">
            <v>243.88</v>
          </cell>
          <cell r="G49">
            <v>2566.63</v>
          </cell>
          <cell r="H49">
            <v>933.32</v>
          </cell>
          <cell r="I49">
            <v>280</v>
          </cell>
        </row>
        <row r="50">
          <cell r="B50" t="str">
            <v>Martinez Morales Tomas</v>
          </cell>
          <cell r="C50">
            <v>15</v>
          </cell>
          <cell r="D50">
            <v>0</v>
          </cell>
          <cell r="E50">
            <v>312.87</v>
          </cell>
          <cell r="F50">
            <v>327.01</v>
          </cell>
          <cell r="G50">
            <v>4693.05</v>
          </cell>
          <cell r="H50">
            <v>0</v>
          </cell>
          <cell r="I50">
            <v>0</v>
          </cell>
        </row>
        <row r="51">
          <cell r="B51" t="str">
            <v>Medellin Colunga Ruben Dario</v>
          </cell>
          <cell r="C51">
            <v>15</v>
          </cell>
          <cell r="D51">
            <v>0</v>
          </cell>
          <cell r="E51">
            <v>312.87</v>
          </cell>
          <cell r="F51">
            <v>327.01</v>
          </cell>
          <cell r="G51">
            <v>4693.05</v>
          </cell>
          <cell r="H51">
            <v>0</v>
          </cell>
          <cell r="I51">
            <v>0</v>
          </cell>
        </row>
        <row r="52">
          <cell r="B52" t="str">
            <v>Torres Perez Carlos Alberto</v>
          </cell>
          <cell r="C52">
            <v>15</v>
          </cell>
          <cell r="D52">
            <v>0</v>
          </cell>
          <cell r="E52">
            <v>238.84</v>
          </cell>
          <cell r="F52">
            <v>249.64</v>
          </cell>
          <cell r="G52">
            <v>3582.6</v>
          </cell>
          <cell r="H52">
            <v>0</v>
          </cell>
          <cell r="I52">
            <v>0</v>
          </cell>
        </row>
        <row r="53">
          <cell r="B53" t="str">
            <v>Treviño Alvarez Jorge Alberto</v>
          </cell>
          <cell r="C53">
            <v>15</v>
          </cell>
          <cell r="D53">
            <v>0</v>
          </cell>
          <cell r="E53">
            <v>238.84</v>
          </cell>
          <cell r="F53">
            <v>249.64</v>
          </cell>
          <cell r="G53">
            <v>3582.6</v>
          </cell>
          <cell r="H53">
            <v>0</v>
          </cell>
          <cell r="I53">
            <v>0</v>
          </cell>
        </row>
        <row r="54">
          <cell r="B54" t="str">
            <v>Tenorio Alvarez Alberto Antonio</v>
          </cell>
          <cell r="C54">
            <v>15</v>
          </cell>
          <cell r="D54">
            <v>0</v>
          </cell>
          <cell r="E54">
            <v>238.84</v>
          </cell>
          <cell r="F54">
            <v>249.64</v>
          </cell>
          <cell r="G54">
            <v>3582.6</v>
          </cell>
          <cell r="H54">
            <v>0</v>
          </cell>
          <cell r="I54">
            <v>0</v>
          </cell>
        </row>
        <row r="55">
          <cell r="B55" t="str">
            <v>Chavez Dominguez Salvador</v>
          </cell>
          <cell r="C55">
            <v>15</v>
          </cell>
          <cell r="D55">
            <v>0</v>
          </cell>
          <cell r="E55">
            <v>238.84</v>
          </cell>
          <cell r="F55">
            <v>249.64</v>
          </cell>
          <cell r="G55">
            <v>3582.6</v>
          </cell>
          <cell r="H55">
            <v>0</v>
          </cell>
          <cell r="I55">
            <v>0</v>
          </cell>
        </row>
        <row r="56">
          <cell r="B56" t="str">
            <v>Garcia Gutierrez Jose Juan</v>
          </cell>
          <cell r="C56">
            <v>15</v>
          </cell>
          <cell r="D56">
            <v>0</v>
          </cell>
          <cell r="E56">
            <v>200</v>
          </cell>
          <cell r="F56">
            <v>212.11</v>
          </cell>
          <cell r="G56">
            <v>3000</v>
          </cell>
          <cell r="H56">
            <v>0</v>
          </cell>
          <cell r="I56">
            <v>0</v>
          </cell>
        </row>
        <row r="57">
          <cell r="B57" t="str">
            <v>Cruz Herrera Roberto</v>
          </cell>
          <cell r="C57">
            <v>15</v>
          </cell>
          <cell r="D57">
            <v>0</v>
          </cell>
          <cell r="E57">
            <v>238.84</v>
          </cell>
          <cell r="F57">
            <v>249.64</v>
          </cell>
          <cell r="G57">
            <v>3582.6</v>
          </cell>
          <cell r="H57">
            <v>0</v>
          </cell>
          <cell r="I57">
            <v>0</v>
          </cell>
        </row>
        <row r="58">
          <cell r="B58" t="str">
            <v>Martinez Rodriguez Paulo Cesar</v>
          </cell>
          <cell r="C58">
            <v>15</v>
          </cell>
          <cell r="D58">
            <v>0</v>
          </cell>
          <cell r="E58">
            <v>166.67</v>
          </cell>
          <cell r="F58">
            <v>174.2</v>
          </cell>
          <cell r="G58">
            <v>2500.0500000000002</v>
          </cell>
          <cell r="H58">
            <v>0</v>
          </cell>
          <cell r="I58">
            <v>0</v>
          </cell>
        </row>
        <row r="59">
          <cell r="B59" t="str">
            <v>Martinez Malo Cesar</v>
          </cell>
          <cell r="C59">
            <v>15</v>
          </cell>
          <cell r="D59">
            <v>0</v>
          </cell>
          <cell r="E59">
            <v>195.38</v>
          </cell>
          <cell r="F59">
            <v>204.21</v>
          </cell>
          <cell r="G59">
            <v>2930.7</v>
          </cell>
          <cell r="H59">
            <v>0</v>
          </cell>
          <cell r="I59">
            <v>0</v>
          </cell>
        </row>
        <row r="60">
          <cell r="B60" t="str">
            <v>Perez Balboa Cesar</v>
          </cell>
          <cell r="C60">
            <v>4</v>
          </cell>
          <cell r="D60">
            <v>11</v>
          </cell>
          <cell r="E60">
            <v>195.38</v>
          </cell>
          <cell r="F60">
            <v>204.21</v>
          </cell>
          <cell r="G60">
            <v>781.52</v>
          </cell>
          <cell r="H60">
            <v>2149.1799999999998</v>
          </cell>
          <cell r="I60">
            <v>644.75</v>
          </cell>
        </row>
        <row r="61">
          <cell r="B61" t="str">
            <v>Mejia Duarte Jose Luis</v>
          </cell>
          <cell r="C61">
            <v>15</v>
          </cell>
          <cell r="D61">
            <v>0</v>
          </cell>
          <cell r="E61">
            <v>166.67</v>
          </cell>
          <cell r="F61">
            <v>176.76</v>
          </cell>
          <cell r="G61">
            <v>2500.0500000000002</v>
          </cell>
          <cell r="H61">
            <v>0</v>
          </cell>
          <cell r="I61">
            <v>0</v>
          </cell>
        </row>
        <row r="62">
          <cell r="B62" t="str">
            <v>Cerro Garcia Elvis</v>
          </cell>
          <cell r="C62">
            <v>15</v>
          </cell>
          <cell r="D62">
            <v>0</v>
          </cell>
          <cell r="E62">
            <v>166.67</v>
          </cell>
          <cell r="F62">
            <v>177.03</v>
          </cell>
          <cell r="G62">
            <v>2500.0500000000002</v>
          </cell>
          <cell r="H62">
            <v>0</v>
          </cell>
          <cell r="I62">
            <v>0</v>
          </cell>
        </row>
        <row r="63">
          <cell r="B63" t="str">
            <v>Gutierrez Castillo Jose De Jesus</v>
          </cell>
          <cell r="C63">
            <v>15</v>
          </cell>
          <cell r="D63">
            <v>0</v>
          </cell>
          <cell r="E63">
            <v>200</v>
          </cell>
          <cell r="F63">
            <v>209.04</v>
          </cell>
          <cell r="G63">
            <v>3000</v>
          </cell>
          <cell r="H63">
            <v>0</v>
          </cell>
          <cell r="I63">
            <v>0</v>
          </cell>
        </row>
        <row r="64">
          <cell r="B64" t="str">
            <v>Lizaran Maceda Jose Guadalupe</v>
          </cell>
          <cell r="C64">
            <v>15</v>
          </cell>
          <cell r="D64">
            <v>0</v>
          </cell>
          <cell r="E64">
            <v>166.67</v>
          </cell>
          <cell r="F64">
            <v>175.8</v>
          </cell>
          <cell r="G64">
            <v>2500.0500000000002</v>
          </cell>
          <cell r="H64">
            <v>0</v>
          </cell>
          <cell r="I64">
            <v>0</v>
          </cell>
        </row>
        <row r="65">
          <cell r="B65" t="str">
            <v>Mendez Rivera Ivan Israel</v>
          </cell>
          <cell r="C65">
            <v>15</v>
          </cell>
          <cell r="D65">
            <v>0</v>
          </cell>
          <cell r="E65">
            <v>166.66</v>
          </cell>
          <cell r="F65">
            <v>174.19</v>
          </cell>
          <cell r="G65">
            <v>2499.9</v>
          </cell>
          <cell r="H65">
            <v>0</v>
          </cell>
          <cell r="I65">
            <v>0</v>
          </cell>
        </row>
        <row r="66">
          <cell r="B66" t="str">
            <v>Macias Torres Enrique</v>
          </cell>
          <cell r="C66">
            <v>15</v>
          </cell>
          <cell r="D66">
            <v>0</v>
          </cell>
          <cell r="E66">
            <v>256.67</v>
          </cell>
          <cell r="F66">
            <v>272.20999999999998</v>
          </cell>
          <cell r="G66">
            <v>3850.05</v>
          </cell>
          <cell r="H66">
            <v>0</v>
          </cell>
          <cell r="I66">
            <v>0</v>
          </cell>
        </row>
        <row r="67">
          <cell r="B67" t="str">
            <v>Palacios Vega Luis Rosendo</v>
          </cell>
          <cell r="C67">
            <v>15</v>
          </cell>
          <cell r="D67">
            <v>0</v>
          </cell>
          <cell r="E67">
            <v>166.67</v>
          </cell>
          <cell r="F67">
            <v>174.2</v>
          </cell>
          <cell r="G67">
            <v>2500.0500000000002</v>
          </cell>
          <cell r="H67">
            <v>0</v>
          </cell>
          <cell r="I67">
            <v>0</v>
          </cell>
        </row>
        <row r="68">
          <cell r="B68" t="str">
            <v>Rondero Savin Jacinto</v>
          </cell>
          <cell r="C68">
            <v>15</v>
          </cell>
          <cell r="D68">
            <v>0</v>
          </cell>
          <cell r="E68">
            <v>233.33</v>
          </cell>
          <cell r="F68">
            <v>243.88</v>
          </cell>
          <cell r="G68">
            <v>3499.95</v>
          </cell>
          <cell r="H68">
            <v>0</v>
          </cell>
          <cell r="I68">
            <v>0</v>
          </cell>
        </row>
        <row r="69">
          <cell r="B69" t="str">
            <v>Hernandez Rodriguez Jorge</v>
          </cell>
          <cell r="C69">
            <v>15</v>
          </cell>
          <cell r="D69">
            <v>0</v>
          </cell>
          <cell r="E69">
            <v>233.33</v>
          </cell>
          <cell r="F69">
            <v>247.46</v>
          </cell>
          <cell r="G69">
            <v>3499.95</v>
          </cell>
          <cell r="H69">
            <v>0</v>
          </cell>
          <cell r="I69">
            <v>0</v>
          </cell>
        </row>
        <row r="70">
          <cell r="B70" t="str">
            <v>Orea Gonzalez Concepcion Esteban</v>
          </cell>
          <cell r="C70">
            <v>15</v>
          </cell>
          <cell r="D70">
            <v>0</v>
          </cell>
          <cell r="E70">
            <v>210</v>
          </cell>
          <cell r="F70">
            <v>222.72</v>
          </cell>
          <cell r="G70">
            <v>3150</v>
          </cell>
          <cell r="H70">
            <v>0</v>
          </cell>
          <cell r="I70">
            <v>0</v>
          </cell>
        </row>
        <row r="71">
          <cell r="B71" t="str">
            <v>Lizaran Maceda Jesus</v>
          </cell>
          <cell r="C71">
            <v>15</v>
          </cell>
          <cell r="D71">
            <v>0</v>
          </cell>
          <cell r="E71">
            <v>210</v>
          </cell>
          <cell r="F71">
            <v>222.72</v>
          </cell>
          <cell r="G71">
            <v>3150</v>
          </cell>
          <cell r="H71">
            <v>0</v>
          </cell>
          <cell r="I71">
            <v>0</v>
          </cell>
        </row>
        <row r="72">
          <cell r="B72" t="str">
            <v>Alejandro Peña Deivi</v>
          </cell>
          <cell r="C72">
            <v>15</v>
          </cell>
          <cell r="D72">
            <v>0</v>
          </cell>
          <cell r="E72">
            <v>210</v>
          </cell>
          <cell r="F72">
            <v>222.72</v>
          </cell>
          <cell r="G72">
            <v>3150</v>
          </cell>
          <cell r="H72">
            <v>0</v>
          </cell>
          <cell r="I72">
            <v>0</v>
          </cell>
        </row>
        <row r="73">
          <cell r="B73" t="str">
            <v>Casas Chavarria Rafael</v>
          </cell>
          <cell r="C73">
            <v>15</v>
          </cell>
          <cell r="D73">
            <v>0</v>
          </cell>
          <cell r="E73">
            <v>210</v>
          </cell>
          <cell r="F73">
            <v>222.72</v>
          </cell>
          <cell r="G73">
            <v>3150</v>
          </cell>
          <cell r="H73">
            <v>0</v>
          </cell>
          <cell r="I73">
            <v>0</v>
          </cell>
        </row>
        <row r="74">
          <cell r="B74" t="str">
            <v>Del Pilar Mendez Lucio</v>
          </cell>
          <cell r="C74">
            <v>15</v>
          </cell>
          <cell r="D74">
            <v>0</v>
          </cell>
          <cell r="E74">
            <v>200</v>
          </cell>
          <cell r="F74">
            <v>209.04</v>
          </cell>
          <cell r="G74">
            <v>3000</v>
          </cell>
          <cell r="H74">
            <v>0</v>
          </cell>
          <cell r="I74">
            <v>0</v>
          </cell>
        </row>
        <row r="75">
          <cell r="B75" t="str">
            <v>Gonzalez Ramirez Paul</v>
          </cell>
          <cell r="C75">
            <v>14</v>
          </cell>
          <cell r="D75">
            <v>0</v>
          </cell>
          <cell r="E75">
            <v>200</v>
          </cell>
          <cell r="F75">
            <v>209.04</v>
          </cell>
          <cell r="G75">
            <v>2800</v>
          </cell>
          <cell r="H75">
            <v>0</v>
          </cell>
          <cell r="I75">
            <v>0</v>
          </cell>
        </row>
        <row r="76">
          <cell r="B76" t="str">
            <v>Alejandro Vazquez Erasmo Miguel</v>
          </cell>
          <cell r="C76">
            <v>15</v>
          </cell>
          <cell r="D76">
            <v>0</v>
          </cell>
          <cell r="E76">
            <v>200</v>
          </cell>
          <cell r="F76">
            <v>212.11</v>
          </cell>
          <cell r="G76">
            <v>3000</v>
          </cell>
          <cell r="H76">
            <v>0</v>
          </cell>
          <cell r="I76">
            <v>0</v>
          </cell>
        </row>
        <row r="77">
          <cell r="B77" t="str">
            <v>Hernandez Ojeda Julio Cesar</v>
          </cell>
          <cell r="C77">
            <v>15</v>
          </cell>
          <cell r="D77">
            <v>0</v>
          </cell>
          <cell r="E77">
            <v>116.67</v>
          </cell>
          <cell r="F77">
            <v>123.73</v>
          </cell>
          <cell r="G77">
            <v>1750.05</v>
          </cell>
          <cell r="H77">
            <v>0</v>
          </cell>
          <cell r="I77">
            <v>0</v>
          </cell>
        </row>
        <row r="78">
          <cell r="B78" t="str">
            <v>Serrano Esquivel Armando</v>
          </cell>
          <cell r="C78">
            <v>15</v>
          </cell>
          <cell r="D78">
            <v>0</v>
          </cell>
          <cell r="E78">
            <v>116.67</v>
          </cell>
          <cell r="F78">
            <v>123.73</v>
          </cell>
          <cell r="G78">
            <v>1750.05</v>
          </cell>
          <cell r="H78">
            <v>0</v>
          </cell>
          <cell r="I78">
            <v>0</v>
          </cell>
        </row>
        <row r="79">
          <cell r="B79" t="str">
            <v>Coronado Vega Carlos Eduardo</v>
          </cell>
          <cell r="C79"/>
          <cell r="D79"/>
          <cell r="E79"/>
          <cell r="F79"/>
          <cell r="G79"/>
          <cell r="H79"/>
          <cell r="I79"/>
        </row>
        <row r="80">
          <cell r="B80" t="str">
            <v>Morales Martinez Eduardo</v>
          </cell>
          <cell r="C80">
            <v>15</v>
          </cell>
          <cell r="D80">
            <v>0</v>
          </cell>
          <cell r="E80">
            <v>210</v>
          </cell>
          <cell r="F80">
            <v>222.72</v>
          </cell>
          <cell r="G80">
            <v>3150</v>
          </cell>
          <cell r="H80">
            <v>0</v>
          </cell>
          <cell r="I80">
            <v>0</v>
          </cell>
        </row>
        <row r="81">
          <cell r="B81" t="str">
            <v>Chavez Govea Edgar Aram</v>
          </cell>
          <cell r="C81">
            <v>15</v>
          </cell>
          <cell r="D81">
            <v>0</v>
          </cell>
          <cell r="E81">
            <v>233.33</v>
          </cell>
          <cell r="F81">
            <v>247.46</v>
          </cell>
          <cell r="G81">
            <v>3499.95</v>
          </cell>
          <cell r="H81">
            <v>0</v>
          </cell>
          <cell r="I81">
            <v>0</v>
          </cell>
        </row>
        <row r="82">
          <cell r="B82" t="str">
            <v>Diaz Ortiz Hiram Guillermo</v>
          </cell>
          <cell r="C82">
            <v>15</v>
          </cell>
          <cell r="D82">
            <v>0</v>
          </cell>
          <cell r="E82">
            <v>210</v>
          </cell>
          <cell r="F82">
            <v>219.49</v>
          </cell>
          <cell r="G82">
            <v>3150</v>
          </cell>
          <cell r="H82">
            <v>0</v>
          </cell>
          <cell r="I82">
            <v>0</v>
          </cell>
        </row>
        <row r="83">
          <cell r="B83" t="str">
            <v>Aguilar Aguirre Alfonso</v>
          </cell>
          <cell r="C83">
            <v>15</v>
          </cell>
          <cell r="D83">
            <v>0</v>
          </cell>
          <cell r="E83">
            <v>200</v>
          </cell>
          <cell r="F83">
            <v>212.11</v>
          </cell>
          <cell r="G83">
            <v>3000</v>
          </cell>
          <cell r="H83">
            <v>0</v>
          </cell>
          <cell r="I83">
            <v>0</v>
          </cell>
        </row>
        <row r="84">
          <cell r="B84" t="str">
            <v>Vallarta Fonseca Mayra Karina</v>
          </cell>
          <cell r="C84">
            <v>15</v>
          </cell>
          <cell r="D84">
            <v>0</v>
          </cell>
          <cell r="E84">
            <v>200</v>
          </cell>
          <cell r="F84">
            <v>212.11</v>
          </cell>
          <cell r="G84">
            <v>3000</v>
          </cell>
          <cell r="H84">
            <v>0</v>
          </cell>
          <cell r="I84">
            <v>0</v>
          </cell>
        </row>
        <row r="85">
          <cell r="B85" t="str">
            <v>Aguilar Garcia Rosa Paola</v>
          </cell>
          <cell r="C85">
            <v>15</v>
          </cell>
          <cell r="D85">
            <v>0</v>
          </cell>
          <cell r="E85">
            <v>166.67</v>
          </cell>
          <cell r="F85">
            <v>176.76</v>
          </cell>
          <cell r="G85">
            <v>2500.0500000000002</v>
          </cell>
          <cell r="H85">
            <v>0</v>
          </cell>
          <cell r="I85">
            <v>0</v>
          </cell>
        </row>
        <row r="86">
          <cell r="B86" t="str">
            <v>Jauregui Madera Jorge Silvestre</v>
          </cell>
          <cell r="C86">
            <v>15</v>
          </cell>
          <cell r="D86">
            <v>0</v>
          </cell>
          <cell r="E86">
            <v>200</v>
          </cell>
          <cell r="F86">
            <v>209.04</v>
          </cell>
          <cell r="G86">
            <v>3000</v>
          </cell>
          <cell r="H86">
            <v>0</v>
          </cell>
          <cell r="I86">
            <v>0</v>
          </cell>
        </row>
        <row r="87">
          <cell r="B87" t="str">
            <v>Cruz Perez Alejandro Nezahualcoyotl</v>
          </cell>
          <cell r="C87">
            <v>15</v>
          </cell>
          <cell r="D87">
            <v>0</v>
          </cell>
          <cell r="E87">
            <v>266.67</v>
          </cell>
          <cell r="F87">
            <v>282.81</v>
          </cell>
          <cell r="G87">
            <v>4000.05</v>
          </cell>
          <cell r="H87">
            <v>0</v>
          </cell>
          <cell r="I8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URACION SINDICATO"/>
      <sheetName val="CPD"/>
      <sheetName val="CPD SEITON"/>
      <sheetName val="IP"/>
      <sheetName val="IP SEITON"/>
      <sheetName val="SINDICATO"/>
      <sheetName val="RESUMEN"/>
      <sheetName val="RESUMEN SEITON"/>
      <sheetName val="QUINCENA PASADA"/>
      <sheetName val="FACTURACION"/>
      <sheetName val="ASIMILADOS"/>
      <sheetName val="NETOS"/>
      <sheetName val="ABC"/>
      <sheetName val="Hoja4"/>
    </sheetNames>
    <sheetDataSet>
      <sheetData sheetId="0"/>
      <sheetData sheetId="1"/>
      <sheetData sheetId="2"/>
      <sheetData sheetId="3"/>
      <sheetData sheetId="4">
        <row r="6">
          <cell r="B6" t="str">
            <v>Negrete Bejar Aide Sarai</v>
          </cell>
          <cell r="C6">
            <v>15</v>
          </cell>
          <cell r="D6">
            <v>0</v>
          </cell>
          <cell r="E6">
            <v>154</v>
          </cell>
          <cell r="F6">
            <v>160.96</v>
          </cell>
          <cell r="G6">
            <v>2310</v>
          </cell>
          <cell r="H6">
            <v>0</v>
          </cell>
          <cell r="I6">
            <v>0</v>
          </cell>
          <cell r="J6">
            <v>2310</v>
          </cell>
          <cell r="K6">
            <v>0</v>
          </cell>
          <cell r="L6">
            <v>-39.729999999999997</v>
          </cell>
          <cell r="M6">
            <v>57.34</v>
          </cell>
          <cell r="N6">
            <v>999.55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B7" t="str">
            <v>Jimenez Alcaraz Elizabeth</v>
          </cell>
          <cell r="C7">
            <v>15</v>
          </cell>
          <cell r="D7">
            <v>0</v>
          </cell>
          <cell r="E7">
            <v>200</v>
          </cell>
          <cell r="F7">
            <v>212.11</v>
          </cell>
          <cell r="G7">
            <v>3000</v>
          </cell>
          <cell r="H7">
            <v>0</v>
          </cell>
          <cell r="I7">
            <v>0</v>
          </cell>
          <cell r="J7">
            <v>3000</v>
          </cell>
          <cell r="K7">
            <v>59.69</v>
          </cell>
          <cell r="L7">
            <v>0</v>
          </cell>
          <cell r="M7">
            <v>75.56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B8" t="str">
            <v>Contreras Zetina Victor Hugo</v>
          </cell>
          <cell r="C8">
            <v>15</v>
          </cell>
          <cell r="D8">
            <v>0</v>
          </cell>
          <cell r="E8">
            <v>230</v>
          </cell>
          <cell r="F8">
            <v>243.91</v>
          </cell>
          <cell r="G8">
            <v>3450</v>
          </cell>
          <cell r="H8">
            <v>0</v>
          </cell>
          <cell r="I8">
            <v>0</v>
          </cell>
          <cell r="J8">
            <v>3450</v>
          </cell>
          <cell r="K8">
            <v>128.93</v>
          </cell>
          <cell r="L8">
            <v>0</v>
          </cell>
          <cell r="M8">
            <v>86.9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B9" t="str">
            <v>Gomez Oliveros Alin</v>
          </cell>
          <cell r="C9">
            <v>15</v>
          </cell>
          <cell r="D9">
            <v>0</v>
          </cell>
          <cell r="E9">
            <v>200</v>
          </cell>
          <cell r="F9">
            <v>212.11</v>
          </cell>
          <cell r="G9">
            <v>3000</v>
          </cell>
          <cell r="H9">
            <v>0</v>
          </cell>
          <cell r="I9">
            <v>0</v>
          </cell>
          <cell r="J9">
            <v>3000</v>
          </cell>
          <cell r="K9">
            <v>59.69</v>
          </cell>
          <cell r="L9">
            <v>0</v>
          </cell>
          <cell r="M9">
            <v>75.56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B10" t="str">
            <v>Aguilar Leal Karina Livier</v>
          </cell>
          <cell r="C10">
            <v>13</v>
          </cell>
          <cell r="D10">
            <v>2</v>
          </cell>
          <cell r="E10">
            <v>266.67</v>
          </cell>
          <cell r="F10">
            <v>282.81</v>
          </cell>
          <cell r="G10">
            <v>3466.71</v>
          </cell>
          <cell r="H10">
            <v>533.34</v>
          </cell>
          <cell r="I10">
            <v>160</v>
          </cell>
          <cell r="J10">
            <v>4160.05</v>
          </cell>
          <cell r="K10">
            <v>313.87</v>
          </cell>
          <cell r="L10">
            <v>0</v>
          </cell>
          <cell r="M10">
            <v>102.51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B11" t="str">
            <v>Amezcua Contreras Martha Frine</v>
          </cell>
          <cell r="C11">
            <v>15</v>
          </cell>
          <cell r="D11">
            <v>0</v>
          </cell>
          <cell r="E11">
            <v>566.66999999999996</v>
          </cell>
          <cell r="F11">
            <v>600.98</v>
          </cell>
          <cell r="G11">
            <v>8500.0499999999993</v>
          </cell>
          <cell r="H11">
            <v>0</v>
          </cell>
          <cell r="I11">
            <v>0</v>
          </cell>
          <cell r="J11">
            <v>8500.0499999999993</v>
          </cell>
          <cell r="K11">
            <v>1177.3900000000001</v>
          </cell>
          <cell r="L11">
            <v>0</v>
          </cell>
          <cell r="M11">
            <v>234.96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B12" t="str">
            <v>Guizar Perez Sergio</v>
          </cell>
          <cell r="C12">
            <v>13</v>
          </cell>
          <cell r="D12">
            <v>2</v>
          </cell>
          <cell r="E12">
            <v>250</v>
          </cell>
          <cell r="F12">
            <v>265.14</v>
          </cell>
          <cell r="G12">
            <v>3250</v>
          </cell>
          <cell r="H12">
            <v>500</v>
          </cell>
          <cell r="I12">
            <v>150</v>
          </cell>
          <cell r="J12">
            <v>3900</v>
          </cell>
          <cell r="K12">
            <v>286.67</v>
          </cell>
          <cell r="L12">
            <v>0</v>
          </cell>
          <cell r="M12">
            <v>95.15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B13" t="str">
            <v>Quinto Valle Martin</v>
          </cell>
          <cell r="C13">
            <v>15</v>
          </cell>
          <cell r="D13">
            <v>0</v>
          </cell>
          <cell r="E13">
            <v>333.33</v>
          </cell>
          <cell r="F13">
            <v>353.52</v>
          </cell>
          <cell r="G13">
            <v>4999.95</v>
          </cell>
          <cell r="H13">
            <v>0</v>
          </cell>
          <cell r="I13">
            <v>0</v>
          </cell>
          <cell r="J13">
            <v>4999.95</v>
          </cell>
          <cell r="K13">
            <v>461.63</v>
          </cell>
          <cell r="L13">
            <v>0</v>
          </cell>
          <cell r="M13">
            <v>131.94999999999999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B14" t="str">
            <v>Negrete Renteria Jose Luis</v>
          </cell>
          <cell r="C14">
            <v>15</v>
          </cell>
          <cell r="D14">
            <v>0</v>
          </cell>
          <cell r="E14">
            <v>281.67</v>
          </cell>
          <cell r="F14">
            <v>298.72000000000003</v>
          </cell>
          <cell r="G14">
            <v>4225.05</v>
          </cell>
          <cell r="H14">
            <v>0</v>
          </cell>
          <cell r="I14">
            <v>0</v>
          </cell>
          <cell r="J14">
            <v>4225.05</v>
          </cell>
          <cell r="K14">
            <v>338.35</v>
          </cell>
          <cell r="L14">
            <v>0</v>
          </cell>
          <cell r="M14">
            <v>109.14</v>
          </cell>
          <cell r="N14">
            <v>1637.48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B15" t="str">
            <v>Alonso Flores Beda</v>
          </cell>
          <cell r="C15">
            <v>15</v>
          </cell>
          <cell r="D15">
            <v>0</v>
          </cell>
          <cell r="E15">
            <v>341.35</v>
          </cell>
          <cell r="F15">
            <v>357.25</v>
          </cell>
          <cell r="G15">
            <v>5120.25</v>
          </cell>
          <cell r="H15">
            <v>0</v>
          </cell>
          <cell r="I15">
            <v>0</v>
          </cell>
          <cell r="J15">
            <v>5120.25</v>
          </cell>
          <cell r="K15">
            <v>483.19</v>
          </cell>
          <cell r="L15">
            <v>0</v>
          </cell>
          <cell r="M15">
            <v>133.51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B16" t="str">
            <v>Romero Mayoral Lorenzo</v>
          </cell>
          <cell r="C16">
            <v>15</v>
          </cell>
          <cell r="D16">
            <v>0</v>
          </cell>
          <cell r="E16">
            <v>266.67</v>
          </cell>
          <cell r="F16">
            <v>282.81</v>
          </cell>
          <cell r="G16">
            <v>4000.05</v>
          </cell>
          <cell r="H16">
            <v>0</v>
          </cell>
          <cell r="I16">
            <v>0</v>
          </cell>
          <cell r="J16">
            <v>4000.05</v>
          </cell>
          <cell r="K16">
            <v>313.87</v>
          </cell>
          <cell r="L16">
            <v>0</v>
          </cell>
          <cell r="M16">
            <v>102.51</v>
          </cell>
          <cell r="N16">
            <v>1088.47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B17" t="str">
            <v>Ramirez Vera Maria Del Carmen</v>
          </cell>
          <cell r="C17">
            <v>15</v>
          </cell>
          <cell r="D17">
            <v>0</v>
          </cell>
          <cell r="E17">
            <v>266.67</v>
          </cell>
          <cell r="F17">
            <v>282.81</v>
          </cell>
          <cell r="G17">
            <v>4000.05</v>
          </cell>
          <cell r="H17">
            <v>0</v>
          </cell>
          <cell r="I17">
            <v>0</v>
          </cell>
          <cell r="J17">
            <v>4000.05</v>
          </cell>
          <cell r="K17">
            <v>313.87</v>
          </cell>
          <cell r="L17">
            <v>0</v>
          </cell>
          <cell r="M17">
            <v>102.51</v>
          </cell>
          <cell r="N17">
            <v>878.84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B18" t="str">
            <v>Bueno Herrera Mariana Guadalupe</v>
          </cell>
          <cell r="C18">
            <v>15</v>
          </cell>
          <cell r="D18">
            <v>0</v>
          </cell>
          <cell r="E18">
            <v>266.67</v>
          </cell>
          <cell r="F18">
            <v>282.81</v>
          </cell>
          <cell r="G18">
            <v>4000.05</v>
          </cell>
          <cell r="H18">
            <v>0</v>
          </cell>
          <cell r="I18">
            <v>0</v>
          </cell>
          <cell r="J18">
            <v>4000.05</v>
          </cell>
          <cell r="K18">
            <v>313.87</v>
          </cell>
          <cell r="L18">
            <v>0</v>
          </cell>
          <cell r="M18">
            <v>102.51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B19" t="str">
            <v>Lara Campos Maximino</v>
          </cell>
          <cell r="C19">
            <v>15</v>
          </cell>
          <cell r="D19">
            <v>0</v>
          </cell>
          <cell r="E19">
            <v>362.41</v>
          </cell>
          <cell r="F19">
            <v>379.29</v>
          </cell>
          <cell r="G19">
            <v>5436.15</v>
          </cell>
          <cell r="H19">
            <v>0</v>
          </cell>
          <cell r="I19">
            <v>0</v>
          </cell>
          <cell r="J19">
            <v>5436.15</v>
          </cell>
          <cell r="K19">
            <v>539.79</v>
          </cell>
          <cell r="L19">
            <v>0</v>
          </cell>
          <cell r="M19">
            <v>142.68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B20" t="str">
            <v>Rodriguez Diaz Cesar Salvador</v>
          </cell>
          <cell r="C20">
            <v>10</v>
          </cell>
          <cell r="D20">
            <v>5</v>
          </cell>
          <cell r="E20">
            <v>266.67</v>
          </cell>
          <cell r="F20">
            <v>282.8</v>
          </cell>
          <cell r="G20">
            <v>2666.7</v>
          </cell>
          <cell r="H20">
            <v>1333.35</v>
          </cell>
          <cell r="I20">
            <v>400</v>
          </cell>
          <cell r="J20">
            <v>4400.05</v>
          </cell>
          <cell r="K20">
            <v>313.87</v>
          </cell>
          <cell r="L20">
            <v>0</v>
          </cell>
          <cell r="M20">
            <v>102.51</v>
          </cell>
          <cell r="N20">
            <v>565.24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B21" t="str">
            <v>Marquez Alcaraz Martin</v>
          </cell>
          <cell r="C21">
            <v>15</v>
          </cell>
          <cell r="D21">
            <v>0</v>
          </cell>
          <cell r="E21">
            <v>266.67</v>
          </cell>
          <cell r="F21">
            <v>282.8</v>
          </cell>
          <cell r="G21">
            <v>4000.05</v>
          </cell>
          <cell r="H21">
            <v>0</v>
          </cell>
          <cell r="I21">
            <v>0</v>
          </cell>
          <cell r="J21">
            <v>4000.05</v>
          </cell>
          <cell r="K21">
            <v>313.87</v>
          </cell>
          <cell r="L21">
            <v>0</v>
          </cell>
          <cell r="M21">
            <v>102.51</v>
          </cell>
          <cell r="N21">
            <v>0</v>
          </cell>
          <cell r="O21">
            <v>1217.9000000000001</v>
          </cell>
          <cell r="P21">
            <v>0</v>
          </cell>
          <cell r="Q21">
            <v>0</v>
          </cell>
          <cell r="R21">
            <v>0</v>
          </cell>
        </row>
        <row r="22">
          <cell r="B22" t="str">
            <v>Rojo Avelar Adrian</v>
          </cell>
          <cell r="C22">
            <v>15</v>
          </cell>
          <cell r="D22">
            <v>0</v>
          </cell>
          <cell r="E22">
            <v>200</v>
          </cell>
          <cell r="F22">
            <v>212.11</v>
          </cell>
          <cell r="G22">
            <v>3000</v>
          </cell>
          <cell r="H22">
            <v>0</v>
          </cell>
          <cell r="I22">
            <v>0</v>
          </cell>
          <cell r="J22">
            <v>3000</v>
          </cell>
          <cell r="K22">
            <v>59.69</v>
          </cell>
          <cell r="L22">
            <v>0</v>
          </cell>
          <cell r="M22">
            <v>75.56</v>
          </cell>
          <cell r="N22">
            <v>1075.99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B23" t="str">
            <v>Hurtado Avalos J.jesus</v>
          </cell>
          <cell r="C23">
            <v>15</v>
          </cell>
          <cell r="D23">
            <v>0</v>
          </cell>
          <cell r="E23">
            <v>200</v>
          </cell>
          <cell r="F23">
            <v>212.11</v>
          </cell>
          <cell r="G23">
            <v>3000</v>
          </cell>
          <cell r="H23">
            <v>0</v>
          </cell>
          <cell r="I23">
            <v>0</v>
          </cell>
          <cell r="J23">
            <v>3000</v>
          </cell>
          <cell r="K23">
            <v>59.69</v>
          </cell>
          <cell r="L23">
            <v>0</v>
          </cell>
          <cell r="M23">
            <v>75.56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B24" t="str">
            <v>Mora Cavazos Roberto Manuel</v>
          </cell>
          <cell r="C24">
            <v>15</v>
          </cell>
          <cell r="D24">
            <v>0</v>
          </cell>
          <cell r="E24">
            <v>266.67</v>
          </cell>
          <cell r="F24">
            <v>282.81</v>
          </cell>
          <cell r="G24">
            <v>4000</v>
          </cell>
          <cell r="H24">
            <v>0</v>
          </cell>
          <cell r="I24">
            <v>0</v>
          </cell>
          <cell r="J24">
            <v>4000</v>
          </cell>
          <cell r="K24">
            <v>313.87</v>
          </cell>
          <cell r="L24">
            <v>0</v>
          </cell>
          <cell r="M24">
            <v>102.51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B25" t="str">
            <v>Martinez Rivera Maria Teresa</v>
          </cell>
          <cell r="C25">
            <v>14</v>
          </cell>
          <cell r="D25">
            <v>0</v>
          </cell>
          <cell r="E25">
            <v>341.35</v>
          </cell>
          <cell r="F25">
            <v>357.25</v>
          </cell>
          <cell r="G25">
            <v>4778.8999999999996</v>
          </cell>
          <cell r="H25">
            <v>0</v>
          </cell>
          <cell r="I25">
            <v>0</v>
          </cell>
          <cell r="J25">
            <v>4778.8999999999996</v>
          </cell>
          <cell r="K25">
            <v>425.29</v>
          </cell>
          <cell r="L25">
            <v>0</v>
          </cell>
          <cell r="M25">
            <v>127.26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B26" t="str">
            <v>Ramirez Vera Eustolia</v>
          </cell>
          <cell r="C26">
            <v>15</v>
          </cell>
          <cell r="D26">
            <v>0</v>
          </cell>
          <cell r="E26">
            <v>300.23</v>
          </cell>
          <cell r="F26">
            <v>318.41000000000003</v>
          </cell>
          <cell r="G26">
            <v>4503.45</v>
          </cell>
          <cell r="H26">
            <v>0</v>
          </cell>
          <cell r="I26">
            <v>0</v>
          </cell>
          <cell r="J26">
            <v>4503.45</v>
          </cell>
          <cell r="K26">
            <v>381.22</v>
          </cell>
          <cell r="L26">
            <v>0</v>
          </cell>
          <cell r="M26">
            <v>117.33</v>
          </cell>
          <cell r="N26">
            <v>428.6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B27" t="str">
            <v>Leal Montaño Francisco</v>
          </cell>
          <cell r="C27">
            <v>15</v>
          </cell>
          <cell r="D27">
            <v>0</v>
          </cell>
          <cell r="E27">
            <v>200</v>
          </cell>
          <cell r="F27">
            <v>212.11</v>
          </cell>
          <cell r="G27">
            <v>3000</v>
          </cell>
          <cell r="H27">
            <v>0</v>
          </cell>
          <cell r="I27">
            <v>0</v>
          </cell>
          <cell r="J27">
            <v>3000</v>
          </cell>
          <cell r="K27">
            <v>59.69</v>
          </cell>
          <cell r="L27">
            <v>0</v>
          </cell>
          <cell r="M27">
            <v>75.56</v>
          </cell>
          <cell r="N27">
            <v>1018.71</v>
          </cell>
          <cell r="O27">
            <v>0</v>
          </cell>
          <cell r="P27">
            <v>0</v>
          </cell>
          <cell r="Q27">
            <v>900</v>
          </cell>
          <cell r="R27">
            <v>0</v>
          </cell>
        </row>
        <row r="28">
          <cell r="B28" t="str">
            <v>Camarillo Canela Reynaldo</v>
          </cell>
          <cell r="C28">
            <v>15</v>
          </cell>
          <cell r="D28">
            <v>0</v>
          </cell>
          <cell r="E28">
            <v>185.83</v>
          </cell>
          <cell r="F28">
            <v>197.09</v>
          </cell>
          <cell r="G28">
            <v>2787.45</v>
          </cell>
          <cell r="H28">
            <v>0</v>
          </cell>
          <cell r="I28">
            <v>0</v>
          </cell>
          <cell r="J28">
            <v>2787.45</v>
          </cell>
          <cell r="K28">
            <v>36.57</v>
          </cell>
          <cell r="L28">
            <v>0</v>
          </cell>
          <cell r="M28">
            <v>70.22</v>
          </cell>
          <cell r="N28">
            <v>1366.67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B29" t="str">
            <v>Romo Sandoval Ma De Lourdez</v>
          </cell>
          <cell r="C29">
            <v>15</v>
          </cell>
          <cell r="D29">
            <v>0</v>
          </cell>
          <cell r="E29">
            <v>333.33</v>
          </cell>
          <cell r="F29">
            <v>353.52</v>
          </cell>
          <cell r="G29">
            <v>4999.95</v>
          </cell>
          <cell r="H29">
            <v>0</v>
          </cell>
          <cell r="I29">
            <v>0</v>
          </cell>
          <cell r="J29">
            <v>4999.95</v>
          </cell>
          <cell r="K29">
            <v>461.63</v>
          </cell>
          <cell r="L29">
            <v>0</v>
          </cell>
          <cell r="M29">
            <v>131.94999999999999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B30" t="str">
            <v>Benavides Reyes Jorge</v>
          </cell>
          <cell r="C30">
            <v>15</v>
          </cell>
          <cell r="D30">
            <v>0</v>
          </cell>
          <cell r="E30">
            <v>200</v>
          </cell>
          <cell r="F30">
            <v>209.04</v>
          </cell>
          <cell r="G30">
            <v>3000</v>
          </cell>
          <cell r="H30">
            <v>0</v>
          </cell>
          <cell r="I30">
            <v>0</v>
          </cell>
          <cell r="J30">
            <v>3000</v>
          </cell>
          <cell r="K30">
            <v>59.69</v>
          </cell>
          <cell r="L30">
            <v>0</v>
          </cell>
          <cell r="M30">
            <v>74.48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B31" t="str">
            <v>Amezcua Magaña Tania Estefania</v>
          </cell>
          <cell r="C31">
            <v>15</v>
          </cell>
          <cell r="D31">
            <v>0</v>
          </cell>
          <cell r="E31">
            <v>233.33</v>
          </cell>
          <cell r="F31">
            <v>243.88</v>
          </cell>
          <cell r="G31">
            <v>3499.95</v>
          </cell>
          <cell r="H31">
            <v>0</v>
          </cell>
          <cell r="I31">
            <v>0</v>
          </cell>
          <cell r="J31">
            <v>3499.95</v>
          </cell>
          <cell r="K31">
            <v>134.36000000000001</v>
          </cell>
          <cell r="L31">
            <v>0</v>
          </cell>
          <cell r="M31">
            <v>86.88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3"/>
  <sheetViews>
    <sheetView showGridLines="0" workbookViewId="0">
      <pane xSplit="2" ySplit="8" topLeftCell="AE9" activePane="bottomRight" state="frozen"/>
      <selection pane="topRight" activeCell="C1" sqref="C1"/>
      <selection pane="bottomLeft" activeCell="A9" sqref="A9"/>
      <selection pane="bottomRight" activeCell="B9" sqref="B9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11" width="15.7109375" style="1" customWidth="1"/>
    <col min="12" max="12" width="17.7109375" style="1" customWidth="1"/>
    <col min="13" max="32" width="15.7109375" style="1" customWidth="1"/>
    <col min="33" max="16384" width="11.42578125" style="1"/>
  </cols>
  <sheetData>
    <row r="1" spans="1:41" ht="18" customHeight="1" x14ac:dyDescent="0.25">
      <c r="A1" s="3"/>
      <c r="B1" s="113" t="s">
        <v>77</v>
      </c>
      <c r="C1" s="114"/>
      <c r="D1" s="114"/>
      <c r="E1" s="114"/>
      <c r="F1" s="114"/>
    </row>
    <row r="2" spans="1:41" ht="24.95" customHeight="1" x14ac:dyDescent="0.2">
      <c r="A2" s="4"/>
      <c r="B2" s="115" t="s">
        <v>0</v>
      </c>
      <c r="C2" s="116"/>
      <c r="D2" s="116"/>
      <c r="E2" s="116"/>
      <c r="F2" s="116"/>
    </row>
    <row r="3" spans="1:41" ht="15.75" x14ac:dyDescent="0.25">
      <c r="B3" s="117" t="s">
        <v>1</v>
      </c>
      <c r="C3" s="114"/>
      <c r="D3" s="114"/>
      <c r="E3" s="114"/>
      <c r="F3" s="114"/>
      <c r="G3" s="6"/>
    </row>
    <row r="4" spans="1:41" ht="15" x14ac:dyDescent="0.25">
      <c r="B4" s="118" t="s">
        <v>2</v>
      </c>
      <c r="C4" s="114"/>
      <c r="D4" s="114"/>
      <c r="E4" s="114"/>
      <c r="F4" s="114"/>
      <c r="G4" s="6"/>
    </row>
    <row r="5" spans="1:41" x14ac:dyDescent="0.2">
      <c r="B5" s="13" t="s">
        <v>3</v>
      </c>
      <c r="C5" s="13"/>
      <c r="D5" s="13"/>
      <c r="E5" s="13"/>
      <c r="F5" s="13"/>
    </row>
    <row r="6" spans="1:41" x14ac:dyDescent="0.2">
      <c r="B6" s="13" t="s">
        <v>4</v>
      </c>
      <c r="C6" s="13"/>
      <c r="D6" s="13"/>
      <c r="E6" s="13"/>
      <c r="F6" s="13"/>
    </row>
    <row r="7" spans="1:41" x14ac:dyDescent="0.2">
      <c r="B7" s="1">
        <v>1</v>
      </c>
      <c r="C7" s="1">
        <f>+B7+1</f>
        <v>2</v>
      </c>
      <c r="D7" s="1">
        <f t="shared" ref="D7:V7" si="0">+C7+1</f>
        <v>3</v>
      </c>
      <c r="E7" s="1">
        <f t="shared" si="0"/>
        <v>4</v>
      </c>
      <c r="F7" s="1">
        <f t="shared" si="0"/>
        <v>5</v>
      </c>
      <c r="G7" s="1">
        <f t="shared" si="0"/>
        <v>6</v>
      </c>
      <c r="H7" s="1">
        <f t="shared" si="0"/>
        <v>7</v>
      </c>
      <c r="I7" s="1">
        <f t="shared" si="0"/>
        <v>8</v>
      </c>
      <c r="J7" s="1">
        <f t="shared" si="0"/>
        <v>9</v>
      </c>
      <c r="K7" s="1">
        <f t="shared" si="0"/>
        <v>10</v>
      </c>
      <c r="L7" s="1">
        <f t="shared" si="0"/>
        <v>11</v>
      </c>
      <c r="M7" s="1">
        <f t="shared" si="0"/>
        <v>12</v>
      </c>
      <c r="N7" s="1">
        <f t="shared" si="0"/>
        <v>13</v>
      </c>
      <c r="O7" s="1">
        <f t="shared" si="0"/>
        <v>14</v>
      </c>
      <c r="P7" s="1">
        <f t="shared" si="0"/>
        <v>15</v>
      </c>
      <c r="Q7" s="1">
        <f t="shared" si="0"/>
        <v>16</v>
      </c>
      <c r="R7" s="1">
        <f t="shared" si="0"/>
        <v>17</v>
      </c>
      <c r="S7" s="1">
        <f t="shared" si="0"/>
        <v>18</v>
      </c>
      <c r="T7" s="1">
        <f>+S7+1</f>
        <v>19</v>
      </c>
      <c r="U7" s="1">
        <f t="shared" si="0"/>
        <v>20</v>
      </c>
      <c r="V7" s="1">
        <f t="shared" si="0"/>
        <v>21</v>
      </c>
    </row>
    <row r="8" spans="1:41" s="5" customFormat="1" ht="34.5" thickBot="1" x14ac:dyDescent="0.25">
      <c r="A8" s="14" t="s">
        <v>5</v>
      </c>
      <c r="B8" s="15" t="s">
        <v>6</v>
      </c>
      <c r="C8" s="15" t="s">
        <v>32</v>
      </c>
      <c r="D8" s="15" t="s">
        <v>33</v>
      </c>
      <c r="E8" s="15" t="s">
        <v>34</v>
      </c>
      <c r="F8" s="15" t="s">
        <v>35</v>
      </c>
      <c r="G8" s="15" t="s">
        <v>7</v>
      </c>
      <c r="H8" s="15" t="s">
        <v>8</v>
      </c>
      <c r="I8" s="15" t="s">
        <v>9</v>
      </c>
      <c r="J8" s="15" t="s">
        <v>10</v>
      </c>
      <c r="K8" s="15" t="s">
        <v>11</v>
      </c>
      <c r="L8" s="15" t="s">
        <v>12</v>
      </c>
      <c r="M8" s="16" t="s">
        <v>13</v>
      </c>
      <c r="N8" s="15" t="s">
        <v>14</v>
      </c>
      <c r="O8" s="15" t="s">
        <v>15</v>
      </c>
      <c r="P8" s="15" t="s">
        <v>16</v>
      </c>
      <c r="Q8" s="15" t="s">
        <v>17</v>
      </c>
      <c r="R8" s="15" t="s">
        <v>18</v>
      </c>
      <c r="S8" s="15" t="s">
        <v>427</v>
      </c>
      <c r="T8" s="15" t="s">
        <v>19</v>
      </c>
      <c r="U8" s="16" t="s">
        <v>20</v>
      </c>
      <c r="V8" s="17" t="s">
        <v>21</v>
      </c>
      <c r="W8" s="15" t="s">
        <v>22</v>
      </c>
      <c r="X8" s="15" t="s">
        <v>23</v>
      </c>
      <c r="Y8" s="15" t="s">
        <v>24</v>
      </c>
      <c r="Z8" s="15" t="s">
        <v>25</v>
      </c>
      <c r="AA8" s="15" t="s">
        <v>26</v>
      </c>
      <c r="AB8" s="15" t="s">
        <v>27</v>
      </c>
      <c r="AC8" s="15" t="s">
        <v>28</v>
      </c>
      <c r="AD8" s="15" t="s">
        <v>29</v>
      </c>
      <c r="AE8" s="15" t="s">
        <v>30</v>
      </c>
      <c r="AF8" s="15" t="s">
        <v>36</v>
      </c>
      <c r="AG8" s="15" t="s">
        <v>78</v>
      </c>
      <c r="AH8" s="127" t="s">
        <v>454</v>
      </c>
      <c r="AI8" s="127" t="s">
        <v>446</v>
      </c>
      <c r="AJ8" s="127" t="s">
        <v>447</v>
      </c>
      <c r="AK8" s="127" t="s">
        <v>448</v>
      </c>
      <c r="AL8" s="127" t="s">
        <v>455</v>
      </c>
      <c r="AM8" s="127" t="s">
        <v>450</v>
      </c>
      <c r="AN8" s="127" t="s">
        <v>451</v>
      </c>
      <c r="AO8" s="127" t="s">
        <v>452</v>
      </c>
    </row>
    <row r="9" spans="1:41" s="8" customFormat="1" ht="15.75" thickTop="1" x14ac:dyDescent="0.25">
      <c r="A9" s="8" t="s">
        <v>39</v>
      </c>
      <c r="B9" s="8" t="s">
        <v>40</v>
      </c>
      <c r="C9" s="8">
        <v>15</v>
      </c>
      <c r="D9" s="8">
        <v>0</v>
      </c>
      <c r="E9" s="8">
        <v>141.66999999999999</v>
      </c>
      <c r="F9" s="8">
        <v>150.25</v>
      </c>
      <c r="G9" s="8">
        <v>2125.0500000000002</v>
      </c>
      <c r="H9" s="8">
        <v>0</v>
      </c>
      <c r="I9" s="8">
        <v>0</v>
      </c>
      <c r="J9" s="8">
        <v>212.51</v>
      </c>
      <c r="K9" s="8">
        <v>212.51</v>
      </c>
      <c r="L9" s="8">
        <v>212.51</v>
      </c>
      <c r="M9" s="8">
        <v>2762.58</v>
      </c>
      <c r="N9" s="8">
        <v>0</v>
      </c>
      <c r="O9" s="8">
        <v>0</v>
      </c>
      <c r="P9" s="9">
        <v>-65.5</v>
      </c>
      <c r="Q9" s="8">
        <v>0</v>
      </c>
      <c r="R9" s="8">
        <v>53.52</v>
      </c>
      <c r="S9" s="8">
        <v>0</v>
      </c>
      <c r="T9" s="9">
        <v>-0.04</v>
      </c>
      <c r="U9" s="8">
        <v>-12.02</v>
      </c>
      <c r="V9" s="8">
        <v>2774.6</v>
      </c>
      <c r="W9" s="8">
        <v>39.44</v>
      </c>
      <c r="X9" s="8">
        <v>70.989999999999995</v>
      </c>
      <c r="Y9" s="8">
        <v>297.98</v>
      </c>
      <c r="Z9" s="8">
        <v>372.78</v>
      </c>
      <c r="AA9" s="8">
        <v>55.25</v>
      </c>
      <c r="AB9" s="8">
        <v>11.27</v>
      </c>
      <c r="AC9" s="8">
        <v>408.41</v>
      </c>
      <c r="AD9" s="8">
        <v>112.69</v>
      </c>
      <c r="AE9" s="8">
        <v>350.24</v>
      </c>
      <c r="AF9" s="8">
        <v>110</v>
      </c>
      <c r="AG9" s="8">
        <f>((20/365.24)*15)*($E9*1.3)</f>
        <v>151.2739568502902</v>
      </c>
      <c r="AH9" s="95">
        <f>N9+O9</f>
        <v>0</v>
      </c>
      <c r="AI9" s="95">
        <f>V9+S9+AH9</f>
        <v>2774.6</v>
      </c>
      <c r="AJ9" s="95">
        <f>AI9*2%</f>
        <v>55.491999999999997</v>
      </c>
      <c r="AK9" s="95">
        <f>AI9+AJ9</f>
        <v>2830.0920000000001</v>
      </c>
      <c r="AL9" s="95">
        <f>R9+W9+X9+Y9+AB9+Z9+AD9+AE9</f>
        <v>1308.9100000000001</v>
      </c>
      <c r="AM9" s="95">
        <f>AL9*2%</f>
        <v>26.178200000000004</v>
      </c>
      <c r="AN9" s="95">
        <f>AK9+AL9+AM9</f>
        <v>4165.1802000000007</v>
      </c>
      <c r="AO9" s="95">
        <f>AN9*0.16</f>
        <v>666.42883200000017</v>
      </c>
    </row>
    <row r="10" spans="1:41" s="8" customFormat="1" ht="15" x14ac:dyDescent="0.25">
      <c r="A10" s="8" t="s">
        <v>41</v>
      </c>
      <c r="B10" s="8" t="s">
        <v>42</v>
      </c>
      <c r="C10" s="8">
        <v>15</v>
      </c>
      <c r="D10" s="8">
        <v>0</v>
      </c>
      <c r="E10" s="8">
        <v>150</v>
      </c>
      <c r="F10" s="8">
        <v>159.07</v>
      </c>
      <c r="G10" s="8">
        <v>2250</v>
      </c>
      <c r="H10" s="8">
        <v>0</v>
      </c>
      <c r="I10" s="8">
        <v>0</v>
      </c>
      <c r="J10" s="8">
        <v>225</v>
      </c>
      <c r="K10" s="8">
        <v>225</v>
      </c>
      <c r="L10" s="8">
        <v>225</v>
      </c>
      <c r="M10" s="8">
        <v>2925</v>
      </c>
      <c r="N10" s="8">
        <v>0</v>
      </c>
      <c r="O10" s="8">
        <v>0</v>
      </c>
      <c r="P10" s="9">
        <v>-43.57</v>
      </c>
      <c r="Q10" s="8">
        <v>0</v>
      </c>
      <c r="R10" s="8">
        <v>56.67</v>
      </c>
      <c r="S10" s="8">
        <v>0</v>
      </c>
      <c r="T10" s="9">
        <v>-0.1</v>
      </c>
      <c r="U10" s="8">
        <v>13</v>
      </c>
      <c r="V10" s="8">
        <v>2912</v>
      </c>
      <c r="W10" s="8">
        <v>41.76</v>
      </c>
      <c r="X10" s="8">
        <v>75.16</v>
      </c>
      <c r="Y10" s="8">
        <v>300.29000000000002</v>
      </c>
      <c r="Z10" s="8">
        <v>375.41999999999996</v>
      </c>
      <c r="AA10" s="8">
        <v>58.5</v>
      </c>
      <c r="AB10" s="8">
        <v>11.93</v>
      </c>
      <c r="AC10" s="8">
        <v>417.21</v>
      </c>
      <c r="AD10" s="8">
        <v>119.31</v>
      </c>
      <c r="AE10" s="8">
        <v>351.56</v>
      </c>
      <c r="AF10" s="8">
        <v>110</v>
      </c>
      <c r="AG10" s="8">
        <f t="shared" ref="AG10:AG26" si="1">((20/365.24)*15)*($E10*1.3)</f>
        <v>160.16865622604314</v>
      </c>
      <c r="AH10" s="95">
        <f t="shared" ref="AH10:AH27" si="2">N10+O10</f>
        <v>0</v>
      </c>
      <c r="AI10" s="95">
        <f t="shared" ref="AI10:AI27" si="3">V10+S10+AH10</f>
        <v>2912</v>
      </c>
      <c r="AJ10" s="95">
        <f t="shared" ref="AJ10:AJ27" si="4">AI10*2%</f>
        <v>58.24</v>
      </c>
      <c r="AK10" s="95">
        <f t="shared" ref="AK10:AK27" si="5">AI10+AJ10</f>
        <v>2970.24</v>
      </c>
      <c r="AL10" s="95">
        <f t="shared" ref="AL10:AL27" si="6">R10+W10+X10+Y10+AB10+Z10+AD10+AE10</f>
        <v>1332.1</v>
      </c>
      <c r="AM10" s="95">
        <f t="shared" ref="AM10:AM27" si="7">AL10*2%</f>
        <v>26.641999999999999</v>
      </c>
      <c r="AN10" s="95">
        <f t="shared" ref="AN10:AN27" si="8">AK10+AL10+AM10</f>
        <v>4328.982</v>
      </c>
      <c r="AO10" s="95">
        <f t="shared" ref="AO10:AO27" si="9">AN10*0.16</f>
        <v>692.63711999999998</v>
      </c>
    </row>
    <row r="11" spans="1:41" s="8" customFormat="1" ht="15" x14ac:dyDescent="0.25">
      <c r="A11" s="8" t="s">
        <v>43</v>
      </c>
      <c r="B11" s="8" t="s">
        <v>44</v>
      </c>
      <c r="C11" s="8">
        <v>15</v>
      </c>
      <c r="D11" s="8">
        <v>0</v>
      </c>
      <c r="E11" s="8">
        <v>216.67</v>
      </c>
      <c r="F11" s="8">
        <v>229.79</v>
      </c>
      <c r="G11" s="8">
        <v>3250.05</v>
      </c>
      <c r="H11" s="8">
        <v>0</v>
      </c>
      <c r="I11" s="8">
        <v>0</v>
      </c>
      <c r="J11" s="8">
        <v>325.01</v>
      </c>
      <c r="K11" s="8">
        <v>325.01</v>
      </c>
      <c r="L11" s="8">
        <v>325.01</v>
      </c>
      <c r="M11" s="8">
        <v>4225.08</v>
      </c>
      <c r="N11" s="8">
        <v>0</v>
      </c>
      <c r="O11" s="8">
        <v>0</v>
      </c>
      <c r="P11" s="8">
        <v>0</v>
      </c>
      <c r="Q11" s="8">
        <v>107.17</v>
      </c>
      <c r="R11" s="8">
        <v>81.87</v>
      </c>
      <c r="S11" s="8">
        <v>0</v>
      </c>
      <c r="T11" s="8">
        <v>0.04</v>
      </c>
      <c r="U11" s="8">
        <v>189.08</v>
      </c>
      <c r="V11" s="8">
        <v>4036</v>
      </c>
      <c r="W11" s="8">
        <v>60.32</v>
      </c>
      <c r="X11" s="8">
        <v>108.58</v>
      </c>
      <c r="Y11" s="8">
        <v>318.86</v>
      </c>
      <c r="Z11" s="8">
        <v>396.64</v>
      </c>
      <c r="AA11" s="8">
        <v>84.5</v>
      </c>
      <c r="AB11" s="8">
        <v>17.23</v>
      </c>
      <c r="AC11" s="8">
        <v>487.76</v>
      </c>
      <c r="AD11" s="8">
        <v>172.34</v>
      </c>
      <c r="AE11" s="8">
        <v>362.16999999999996</v>
      </c>
      <c r="AF11" s="8">
        <v>110</v>
      </c>
      <c r="AG11" s="8">
        <f t="shared" si="1"/>
        <v>231.35828496331177</v>
      </c>
      <c r="AH11" s="95">
        <f t="shared" si="2"/>
        <v>0</v>
      </c>
      <c r="AI11" s="95">
        <f t="shared" si="3"/>
        <v>4036</v>
      </c>
      <c r="AJ11" s="95">
        <f t="shared" si="4"/>
        <v>80.72</v>
      </c>
      <c r="AK11" s="95">
        <f t="shared" si="5"/>
        <v>4116.72</v>
      </c>
      <c r="AL11" s="95">
        <f t="shared" si="6"/>
        <v>1518.0099999999998</v>
      </c>
      <c r="AM11" s="95">
        <f t="shared" si="7"/>
        <v>30.360199999999995</v>
      </c>
      <c r="AN11" s="95">
        <f t="shared" si="8"/>
        <v>5665.0901999999996</v>
      </c>
      <c r="AO11" s="95">
        <f t="shared" si="9"/>
        <v>906.41443199999992</v>
      </c>
    </row>
    <row r="12" spans="1:41" s="8" customFormat="1" ht="15" x14ac:dyDescent="0.25">
      <c r="A12" s="8" t="s">
        <v>45</v>
      </c>
      <c r="B12" s="8" t="s">
        <v>46</v>
      </c>
      <c r="C12" s="8">
        <v>15</v>
      </c>
      <c r="D12" s="8">
        <v>0</v>
      </c>
      <c r="E12" s="8">
        <v>283.33</v>
      </c>
      <c r="F12" s="8">
        <v>300.49</v>
      </c>
      <c r="G12" s="8">
        <v>4249.95</v>
      </c>
      <c r="H12" s="8">
        <v>0</v>
      </c>
      <c r="I12" s="8">
        <v>0</v>
      </c>
      <c r="J12" s="8">
        <v>425</v>
      </c>
      <c r="K12" s="8">
        <v>425</v>
      </c>
      <c r="L12" s="8">
        <v>425</v>
      </c>
      <c r="M12" s="8">
        <v>5524.95</v>
      </c>
      <c r="N12" s="8">
        <v>0</v>
      </c>
      <c r="O12" s="8">
        <v>0</v>
      </c>
      <c r="P12" s="8">
        <v>0</v>
      </c>
      <c r="Q12" s="8">
        <v>341.06</v>
      </c>
      <c r="R12" s="8">
        <v>109.87</v>
      </c>
      <c r="S12" s="8">
        <v>0</v>
      </c>
      <c r="T12" s="8">
        <v>0.02</v>
      </c>
      <c r="U12" s="8">
        <v>450.95</v>
      </c>
      <c r="V12" s="8">
        <v>5074</v>
      </c>
      <c r="W12" s="8">
        <v>78.88</v>
      </c>
      <c r="X12" s="8">
        <v>141.97999999999999</v>
      </c>
      <c r="Y12" s="8">
        <v>345.18</v>
      </c>
      <c r="Z12" s="8">
        <v>417.85</v>
      </c>
      <c r="AA12" s="8">
        <v>110.5</v>
      </c>
      <c r="AB12" s="8">
        <v>22.54</v>
      </c>
      <c r="AC12" s="8">
        <v>566.04</v>
      </c>
      <c r="AD12" s="8">
        <v>225.37</v>
      </c>
      <c r="AE12" s="8">
        <v>372.77</v>
      </c>
      <c r="AF12" s="8">
        <v>110</v>
      </c>
      <c r="AG12" s="8">
        <f t="shared" si="1"/>
        <v>302.53723579016537</v>
      </c>
      <c r="AH12" s="95">
        <f t="shared" si="2"/>
        <v>0</v>
      </c>
      <c r="AI12" s="95">
        <f t="shared" si="3"/>
        <v>5074</v>
      </c>
      <c r="AJ12" s="95">
        <f t="shared" si="4"/>
        <v>101.48</v>
      </c>
      <c r="AK12" s="95">
        <f t="shared" si="5"/>
        <v>5175.4799999999996</v>
      </c>
      <c r="AL12" s="95">
        <f t="shared" si="6"/>
        <v>1714.44</v>
      </c>
      <c r="AM12" s="95">
        <f t="shared" si="7"/>
        <v>34.288800000000002</v>
      </c>
      <c r="AN12" s="95">
        <f t="shared" si="8"/>
        <v>6924.2088000000003</v>
      </c>
      <c r="AO12" s="95">
        <f t="shared" si="9"/>
        <v>1107.8734080000002</v>
      </c>
    </row>
    <row r="13" spans="1:41" s="8" customFormat="1" ht="15" x14ac:dyDescent="0.25">
      <c r="A13" s="8" t="s">
        <v>47</v>
      </c>
      <c r="B13" s="8" t="s">
        <v>48</v>
      </c>
      <c r="C13" s="8">
        <v>15</v>
      </c>
      <c r="D13" s="8">
        <v>0</v>
      </c>
      <c r="E13" s="8">
        <v>273.33</v>
      </c>
      <c r="F13" s="8">
        <v>289.87</v>
      </c>
      <c r="G13" s="8">
        <v>4099.95</v>
      </c>
      <c r="H13" s="8">
        <v>0</v>
      </c>
      <c r="I13" s="8">
        <v>0</v>
      </c>
      <c r="J13" s="8">
        <v>410</v>
      </c>
      <c r="K13" s="8">
        <v>410</v>
      </c>
      <c r="L13" s="8">
        <v>410</v>
      </c>
      <c r="M13" s="8">
        <v>5329.95</v>
      </c>
      <c r="N13" s="8">
        <v>0</v>
      </c>
      <c r="O13" s="8">
        <v>0</v>
      </c>
      <c r="P13" s="8">
        <v>0</v>
      </c>
      <c r="Q13" s="8">
        <v>324.74</v>
      </c>
      <c r="R13" s="8">
        <v>105.46</v>
      </c>
      <c r="S13" s="8">
        <v>0</v>
      </c>
      <c r="T13" s="9">
        <v>-0.05</v>
      </c>
      <c r="U13" s="8">
        <v>430.15</v>
      </c>
      <c r="V13" s="8">
        <v>4899.8</v>
      </c>
      <c r="W13" s="8">
        <v>76.09</v>
      </c>
      <c r="X13" s="8">
        <v>136.96</v>
      </c>
      <c r="Y13" s="8">
        <v>340.64</v>
      </c>
      <c r="Z13" s="8">
        <v>414.65999999999997</v>
      </c>
      <c r="AA13" s="8">
        <v>106.6</v>
      </c>
      <c r="AB13" s="8">
        <v>21.74</v>
      </c>
      <c r="AC13" s="8">
        <v>553.69000000000005</v>
      </c>
      <c r="AD13" s="8">
        <v>217.4</v>
      </c>
      <c r="AE13" s="8">
        <v>371.18</v>
      </c>
      <c r="AF13" s="8">
        <v>110</v>
      </c>
      <c r="AG13" s="8">
        <f t="shared" si="1"/>
        <v>291.85932537509581</v>
      </c>
      <c r="AH13" s="95">
        <f t="shared" si="2"/>
        <v>0</v>
      </c>
      <c r="AI13" s="95">
        <f t="shared" si="3"/>
        <v>4899.8</v>
      </c>
      <c r="AJ13" s="95">
        <f t="shared" si="4"/>
        <v>97.996000000000009</v>
      </c>
      <c r="AK13" s="95">
        <f t="shared" si="5"/>
        <v>4997.7960000000003</v>
      </c>
      <c r="AL13" s="95">
        <f t="shared" si="6"/>
        <v>1684.13</v>
      </c>
      <c r="AM13" s="95">
        <f t="shared" si="7"/>
        <v>33.682600000000001</v>
      </c>
      <c r="AN13" s="95">
        <f t="shared" si="8"/>
        <v>6715.6086000000005</v>
      </c>
      <c r="AO13" s="95">
        <f t="shared" si="9"/>
        <v>1074.497376</v>
      </c>
    </row>
    <row r="14" spans="1:41" s="8" customFormat="1" ht="15" x14ac:dyDescent="0.25">
      <c r="A14" s="8" t="s">
        <v>49</v>
      </c>
      <c r="B14" s="8" t="s">
        <v>50</v>
      </c>
      <c r="C14" s="8">
        <v>13</v>
      </c>
      <c r="D14" s="8">
        <v>2</v>
      </c>
      <c r="E14" s="8">
        <v>185.83</v>
      </c>
      <c r="F14" s="8">
        <v>197.07</v>
      </c>
      <c r="G14" s="8">
        <v>2415.79</v>
      </c>
      <c r="H14" s="8">
        <v>371.66</v>
      </c>
      <c r="I14" s="8">
        <v>111.5</v>
      </c>
      <c r="J14" s="8">
        <v>278.75</v>
      </c>
      <c r="K14" s="8">
        <v>278.75</v>
      </c>
      <c r="L14" s="8">
        <v>278.75</v>
      </c>
      <c r="M14" s="8">
        <v>3735.2</v>
      </c>
      <c r="N14" s="8">
        <v>15</v>
      </c>
      <c r="O14" s="8">
        <v>1508.27</v>
      </c>
      <c r="P14" s="8">
        <v>0</v>
      </c>
      <c r="Q14" s="8">
        <v>36.57</v>
      </c>
      <c r="R14" s="8">
        <v>70.22</v>
      </c>
      <c r="S14" s="8">
        <v>0</v>
      </c>
      <c r="T14" s="9">
        <v>-0.06</v>
      </c>
      <c r="U14" s="8">
        <v>1630</v>
      </c>
      <c r="V14" s="8">
        <v>2105.1999999999998</v>
      </c>
      <c r="W14" s="8">
        <v>51.73</v>
      </c>
      <c r="X14" s="8">
        <v>93.12</v>
      </c>
      <c r="Y14" s="8">
        <v>310.27</v>
      </c>
      <c r="Z14" s="8">
        <v>386.82</v>
      </c>
      <c r="AA14" s="8">
        <v>74.7</v>
      </c>
      <c r="AB14" s="8">
        <v>14.78</v>
      </c>
      <c r="AC14" s="8">
        <v>455.12</v>
      </c>
      <c r="AD14" s="8">
        <v>147.80000000000001</v>
      </c>
      <c r="AE14" s="8">
        <v>357.26</v>
      </c>
      <c r="AF14" s="8">
        <v>110</v>
      </c>
      <c r="AG14" s="8">
        <f t="shared" si="1"/>
        <v>198.42760924323733</v>
      </c>
      <c r="AH14" s="95">
        <f t="shared" si="2"/>
        <v>1523.27</v>
      </c>
      <c r="AI14" s="95">
        <f t="shared" si="3"/>
        <v>3628.47</v>
      </c>
      <c r="AJ14" s="95">
        <f t="shared" si="4"/>
        <v>72.569400000000002</v>
      </c>
      <c r="AK14" s="95">
        <f t="shared" si="5"/>
        <v>3701.0393999999997</v>
      </c>
      <c r="AL14" s="95">
        <f t="shared" si="6"/>
        <v>1431.9999999999998</v>
      </c>
      <c r="AM14" s="95">
        <f t="shared" si="7"/>
        <v>28.639999999999997</v>
      </c>
      <c r="AN14" s="95">
        <f t="shared" si="8"/>
        <v>5161.6794</v>
      </c>
      <c r="AO14" s="95">
        <f t="shared" si="9"/>
        <v>825.86870399999998</v>
      </c>
    </row>
    <row r="15" spans="1:41" s="8" customFormat="1" ht="15" x14ac:dyDescent="0.25">
      <c r="A15" s="8" t="s">
        <v>51</v>
      </c>
      <c r="B15" s="8" t="s">
        <v>52</v>
      </c>
      <c r="C15" s="8">
        <v>15</v>
      </c>
      <c r="D15" s="8">
        <v>0</v>
      </c>
      <c r="E15" s="8">
        <v>273.33</v>
      </c>
      <c r="F15" s="8">
        <v>289.87</v>
      </c>
      <c r="G15" s="8">
        <v>4099.95</v>
      </c>
      <c r="H15" s="8">
        <v>0</v>
      </c>
      <c r="I15" s="8">
        <v>0</v>
      </c>
      <c r="J15" s="8">
        <v>410</v>
      </c>
      <c r="K15" s="8">
        <v>410</v>
      </c>
      <c r="L15" s="8">
        <v>410</v>
      </c>
      <c r="M15" s="8">
        <v>5329.95</v>
      </c>
      <c r="N15" s="8">
        <v>0</v>
      </c>
      <c r="O15" s="8">
        <v>0</v>
      </c>
      <c r="P15" s="8">
        <v>0</v>
      </c>
      <c r="Q15" s="8">
        <v>324.74</v>
      </c>
      <c r="R15" s="8">
        <v>105.46</v>
      </c>
      <c r="S15" s="8">
        <v>175.43</v>
      </c>
      <c r="T15" s="8">
        <v>0.12</v>
      </c>
      <c r="U15" s="8">
        <v>605.75</v>
      </c>
      <c r="V15" s="8">
        <f>+M15-U15</f>
        <v>4724.2</v>
      </c>
      <c r="W15" s="8">
        <v>76.09</v>
      </c>
      <c r="X15" s="8">
        <v>136.96</v>
      </c>
      <c r="Y15" s="8">
        <v>340.64</v>
      </c>
      <c r="Z15" s="8">
        <v>414.65999999999997</v>
      </c>
      <c r="AA15" s="8">
        <v>106.6</v>
      </c>
      <c r="AB15" s="8">
        <v>21.74</v>
      </c>
      <c r="AC15" s="8">
        <v>553.69000000000005</v>
      </c>
      <c r="AD15" s="8">
        <v>217.4</v>
      </c>
      <c r="AE15" s="8">
        <v>371.18</v>
      </c>
      <c r="AF15" s="8">
        <v>110</v>
      </c>
      <c r="AG15" s="8">
        <f t="shared" si="1"/>
        <v>291.85932537509581</v>
      </c>
      <c r="AH15" s="95">
        <f t="shared" si="2"/>
        <v>0</v>
      </c>
      <c r="AI15" s="95">
        <f t="shared" si="3"/>
        <v>4899.63</v>
      </c>
      <c r="AJ15" s="95">
        <f t="shared" si="4"/>
        <v>97.99260000000001</v>
      </c>
      <c r="AK15" s="95">
        <f t="shared" si="5"/>
        <v>4997.6225999999997</v>
      </c>
      <c r="AL15" s="95">
        <f t="shared" si="6"/>
        <v>1684.13</v>
      </c>
      <c r="AM15" s="95">
        <f t="shared" si="7"/>
        <v>33.682600000000001</v>
      </c>
      <c r="AN15" s="95">
        <f t="shared" si="8"/>
        <v>6715.4351999999999</v>
      </c>
      <c r="AO15" s="95">
        <f t="shared" si="9"/>
        <v>1074.469632</v>
      </c>
    </row>
    <row r="16" spans="1:41" s="8" customFormat="1" ht="15" x14ac:dyDescent="0.25">
      <c r="A16" s="8" t="s">
        <v>53</v>
      </c>
      <c r="B16" s="8" t="s">
        <v>54</v>
      </c>
      <c r="C16" s="8">
        <v>15</v>
      </c>
      <c r="D16" s="8">
        <v>0</v>
      </c>
      <c r="E16" s="8">
        <v>185.83</v>
      </c>
      <c r="F16" s="8">
        <v>197.07</v>
      </c>
      <c r="G16" s="8">
        <v>2787.45</v>
      </c>
      <c r="H16" s="8">
        <v>0</v>
      </c>
      <c r="I16" s="8">
        <v>0</v>
      </c>
      <c r="J16" s="8">
        <v>278.75</v>
      </c>
      <c r="K16" s="8">
        <v>278.75</v>
      </c>
      <c r="L16" s="8">
        <v>278.75</v>
      </c>
      <c r="M16" s="8">
        <v>3623.7</v>
      </c>
      <c r="N16" s="8">
        <v>15</v>
      </c>
      <c r="O16" s="8">
        <v>1750.48</v>
      </c>
      <c r="P16" s="8">
        <v>0</v>
      </c>
      <c r="Q16" s="8">
        <v>36.57</v>
      </c>
      <c r="R16" s="8">
        <v>70.22</v>
      </c>
      <c r="S16" s="8">
        <v>0</v>
      </c>
      <c r="T16" s="8">
        <v>0.03</v>
      </c>
      <c r="U16" s="8">
        <v>1872.3</v>
      </c>
      <c r="V16" s="8">
        <v>1751.4</v>
      </c>
      <c r="W16" s="8">
        <v>51.73</v>
      </c>
      <c r="X16" s="8">
        <v>93.12</v>
      </c>
      <c r="Y16" s="8">
        <v>310.27</v>
      </c>
      <c r="Z16" s="8">
        <v>386.82</v>
      </c>
      <c r="AA16" s="8">
        <v>72.47</v>
      </c>
      <c r="AB16" s="8">
        <v>14.78</v>
      </c>
      <c r="AC16" s="8">
        <v>455.12</v>
      </c>
      <c r="AD16" s="8">
        <v>147.80000000000001</v>
      </c>
      <c r="AE16" s="8">
        <v>357.26</v>
      </c>
      <c r="AF16" s="8">
        <v>110</v>
      </c>
      <c r="AG16" s="8">
        <f t="shared" si="1"/>
        <v>198.42760924323733</v>
      </c>
      <c r="AH16" s="95">
        <f t="shared" si="2"/>
        <v>1765.48</v>
      </c>
      <c r="AI16" s="95">
        <f t="shared" si="3"/>
        <v>3516.88</v>
      </c>
      <c r="AJ16" s="95">
        <f t="shared" si="4"/>
        <v>70.337600000000009</v>
      </c>
      <c r="AK16" s="95">
        <f t="shared" si="5"/>
        <v>3587.2175999999999</v>
      </c>
      <c r="AL16" s="95">
        <f t="shared" si="6"/>
        <v>1431.9999999999998</v>
      </c>
      <c r="AM16" s="95">
        <f t="shared" si="7"/>
        <v>28.639999999999997</v>
      </c>
      <c r="AN16" s="95">
        <f t="shared" si="8"/>
        <v>5047.8576000000003</v>
      </c>
      <c r="AO16" s="95">
        <f t="shared" si="9"/>
        <v>807.65721600000006</v>
      </c>
    </row>
    <row r="17" spans="1:41" s="8" customFormat="1" ht="15" x14ac:dyDescent="0.25">
      <c r="A17" s="8" t="s">
        <v>55</v>
      </c>
      <c r="B17" s="8" t="s">
        <v>56</v>
      </c>
      <c r="C17" s="8">
        <v>15</v>
      </c>
      <c r="D17" s="8">
        <v>0</v>
      </c>
      <c r="E17" s="8">
        <v>220.83</v>
      </c>
      <c r="F17" s="8">
        <v>234.19</v>
      </c>
      <c r="G17" s="8">
        <v>3312.45</v>
      </c>
      <c r="H17" s="8">
        <v>0</v>
      </c>
      <c r="I17" s="8">
        <v>0</v>
      </c>
      <c r="J17" s="8">
        <v>331.25</v>
      </c>
      <c r="K17" s="8">
        <v>331.25</v>
      </c>
      <c r="L17" s="8">
        <v>331.25</v>
      </c>
      <c r="M17" s="8">
        <v>4306.2</v>
      </c>
      <c r="N17" s="8">
        <v>15</v>
      </c>
      <c r="O17" s="8">
        <v>1010.9</v>
      </c>
      <c r="P17" s="8">
        <v>0</v>
      </c>
      <c r="Q17" s="8">
        <v>113.96</v>
      </c>
      <c r="R17" s="8">
        <v>83.43</v>
      </c>
      <c r="S17" s="8">
        <v>0</v>
      </c>
      <c r="T17" s="9">
        <v>-0.09</v>
      </c>
      <c r="U17" s="8">
        <v>1223.2</v>
      </c>
      <c r="V17" s="8">
        <v>3083</v>
      </c>
      <c r="W17" s="8">
        <v>61.47</v>
      </c>
      <c r="X17" s="8">
        <v>110.65</v>
      </c>
      <c r="Y17" s="8">
        <v>320.01</v>
      </c>
      <c r="Z17" s="8">
        <v>397.96</v>
      </c>
      <c r="AA17" s="8">
        <v>86.12</v>
      </c>
      <c r="AB17" s="8">
        <v>17.559999999999999</v>
      </c>
      <c r="AC17" s="8">
        <v>492.13</v>
      </c>
      <c r="AD17" s="8">
        <v>175.64</v>
      </c>
      <c r="AE17" s="8">
        <v>362.83</v>
      </c>
      <c r="AF17" s="8">
        <v>110</v>
      </c>
      <c r="AG17" s="8">
        <f t="shared" si="1"/>
        <v>235.80029569598071</v>
      </c>
      <c r="AH17" s="95">
        <f t="shared" si="2"/>
        <v>1025.9000000000001</v>
      </c>
      <c r="AI17" s="95">
        <f t="shared" si="3"/>
        <v>4108.8999999999996</v>
      </c>
      <c r="AJ17" s="95">
        <f t="shared" si="4"/>
        <v>82.177999999999997</v>
      </c>
      <c r="AK17" s="95">
        <f t="shared" si="5"/>
        <v>4191.0779999999995</v>
      </c>
      <c r="AL17" s="95">
        <f t="shared" si="6"/>
        <v>1529.5499999999997</v>
      </c>
      <c r="AM17" s="95">
        <f t="shared" si="7"/>
        <v>30.590999999999994</v>
      </c>
      <c r="AN17" s="95">
        <f t="shared" si="8"/>
        <v>5751.2189999999991</v>
      </c>
      <c r="AO17" s="95">
        <f t="shared" si="9"/>
        <v>920.19503999999984</v>
      </c>
    </row>
    <row r="18" spans="1:41" s="8" customFormat="1" ht="15" x14ac:dyDescent="0.25">
      <c r="A18" s="8" t="s">
        <v>57</v>
      </c>
      <c r="B18" s="8" t="s">
        <v>58</v>
      </c>
      <c r="C18" s="8">
        <v>15</v>
      </c>
      <c r="D18" s="8">
        <v>0</v>
      </c>
      <c r="E18" s="8">
        <v>264.58</v>
      </c>
      <c r="F18" s="8">
        <v>276.54000000000002</v>
      </c>
      <c r="G18" s="8">
        <v>3968.7</v>
      </c>
      <c r="H18" s="8">
        <v>0</v>
      </c>
      <c r="I18" s="8">
        <v>0</v>
      </c>
      <c r="J18" s="8">
        <v>396.87</v>
      </c>
      <c r="K18" s="8">
        <v>396.87</v>
      </c>
      <c r="L18" s="8">
        <v>396.87</v>
      </c>
      <c r="M18" s="8">
        <v>5159.3100000000004</v>
      </c>
      <c r="N18" s="8">
        <v>15</v>
      </c>
      <c r="O18" s="8">
        <v>1604.18</v>
      </c>
      <c r="P18" s="8">
        <v>0</v>
      </c>
      <c r="Q18" s="8">
        <v>310.45999999999998</v>
      </c>
      <c r="R18" s="8">
        <v>99.91</v>
      </c>
      <c r="S18" s="8">
        <v>0</v>
      </c>
      <c r="T18" s="9">
        <v>-0.04</v>
      </c>
      <c r="U18" s="8">
        <v>2029.51</v>
      </c>
      <c r="V18" s="8">
        <v>3129.8</v>
      </c>
      <c r="W18" s="8">
        <v>72.59</v>
      </c>
      <c r="X18" s="8">
        <v>130.66</v>
      </c>
      <c r="Y18" s="8">
        <v>334.94</v>
      </c>
      <c r="Z18" s="8">
        <v>410.65999999999997</v>
      </c>
      <c r="AA18" s="8">
        <v>103.19</v>
      </c>
      <c r="AB18" s="8">
        <v>20.74</v>
      </c>
      <c r="AC18" s="8">
        <v>538.19000000000005</v>
      </c>
      <c r="AD18" s="8">
        <v>207.4</v>
      </c>
      <c r="AE18" s="8">
        <v>369.18</v>
      </c>
      <c r="AF18" s="8">
        <v>110</v>
      </c>
      <c r="AG18" s="8">
        <f t="shared" si="1"/>
        <v>282.51615376190995</v>
      </c>
      <c r="AH18" s="95">
        <f t="shared" si="2"/>
        <v>1619.18</v>
      </c>
      <c r="AI18" s="95">
        <f t="shared" si="3"/>
        <v>4748.9800000000005</v>
      </c>
      <c r="AJ18" s="95">
        <f t="shared" si="4"/>
        <v>94.979600000000005</v>
      </c>
      <c r="AK18" s="95">
        <f t="shared" si="5"/>
        <v>4843.9596000000001</v>
      </c>
      <c r="AL18" s="95">
        <f t="shared" si="6"/>
        <v>1646.0800000000002</v>
      </c>
      <c r="AM18" s="95">
        <f t="shared" si="7"/>
        <v>32.921600000000005</v>
      </c>
      <c r="AN18" s="95">
        <f t="shared" si="8"/>
        <v>6522.9611999999997</v>
      </c>
      <c r="AO18" s="95">
        <f t="shared" si="9"/>
        <v>1043.673792</v>
      </c>
    </row>
    <row r="19" spans="1:41" s="8" customFormat="1" ht="15" x14ac:dyDescent="0.25">
      <c r="A19" s="8" t="s">
        <v>59</v>
      </c>
      <c r="B19" s="8" t="s">
        <v>60</v>
      </c>
      <c r="C19" s="8">
        <v>15</v>
      </c>
      <c r="D19" s="8">
        <v>0</v>
      </c>
      <c r="E19" s="8">
        <v>238.33</v>
      </c>
      <c r="F19" s="8">
        <v>252.75</v>
      </c>
      <c r="G19" s="8">
        <v>3574.95</v>
      </c>
      <c r="H19" s="8">
        <v>0</v>
      </c>
      <c r="I19" s="8">
        <v>238.33</v>
      </c>
      <c r="J19" s="8">
        <v>357.5</v>
      </c>
      <c r="K19" s="8">
        <v>357.5</v>
      </c>
      <c r="L19" s="8">
        <v>357.5</v>
      </c>
      <c r="M19" s="8">
        <v>4885.78</v>
      </c>
      <c r="N19" s="8">
        <v>15</v>
      </c>
      <c r="O19" s="8">
        <v>1372</v>
      </c>
      <c r="P19" s="8">
        <v>0</v>
      </c>
      <c r="Q19" s="8">
        <v>160.25</v>
      </c>
      <c r="R19" s="8">
        <v>90.05</v>
      </c>
      <c r="S19" s="8">
        <v>255.4</v>
      </c>
      <c r="T19" s="8">
        <v>0.08</v>
      </c>
      <c r="U19" s="8">
        <v>1892.78</v>
      </c>
      <c r="V19" s="8">
        <f>+M19-U19</f>
        <v>2993</v>
      </c>
      <c r="W19" s="8">
        <v>66.349999999999994</v>
      </c>
      <c r="X19" s="8">
        <v>119.42</v>
      </c>
      <c r="Y19" s="8">
        <v>324.89</v>
      </c>
      <c r="Z19" s="8">
        <v>403.52</v>
      </c>
      <c r="AA19" s="8">
        <v>97.72</v>
      </c>
      <c r="AB19" s="8">
        <v>18.96</v>
      </c>
      <c r="AC19" s="8">
        <v>510.66</v>
      </c>
      <c r="AD19" s="8">
        <v>189.56</v>
      </c>
      <c r="AE19" s="8">
        <v>365.61</v>
      </c>
      <c r="AF19" s="8">
        <v>110</v>
      </c>
      <c r="AG19" s="8">
        <f t="shared" si="1"/>
        <v>254.48663892235243</v>
      </c>
      <c r="AH19" s="95">
        <f t="shared" si="2"/>
        <v>1387</v>
      </c>
      <c r="AI19" s="95">
        <f t="shared" si="3"/>
        <v>4635.3999999999996</v>
      </c>
      <c r="AJ19" s="95">
        <f t="shared" si="4"/>
        <v>92.707999999999998</v>
      </c>
      <c r="AK19" s="95">
        <f t="shared" si="5"/>
        <v>4728.1079999999993</v>
      </c>
      <c r="AL19" s="95">
        <f t="shared" si="6"/>
        <v>1578.3600000000001</v>
      </c>
      <c r="AM19" s="95">
        <f t="shared" si="7"/>
        <v>31.567200000000003</v>
      </c>
      <c r="AN19" s="95">
        <f t="shared" si="8"/>
        <v>6338.0351999999993</v>
      </c>
      <c r="AO19" s="95">
        <f t="shared" si="9"/>
        <v>1014.0856319999999</v>
      </c>
    </row>
    <row r="20" spans="1:41" s="8" customFormat="1" ht="15" x14ac:dyDescent="0.25">
      <c r="A20" s="8" t="s">
        <v>61</v>
      </c>
      <c r="B20" s="8" t="s">
        <v>62</v>
      </c>
      <c r="C20" s="8">
        <v>15</v>
      </c>
      <c r="D20" s="8">
        <v>0</v>
      </c>
      <c r="E20" s="8">
        <v>273.33</v>
      </c>
      <c r="F20" s="8">
        <v>289.87</v>
      </c>
      <c r="G20" s="8">
        <v>4099.95</v>
      </c>
      <c r="H20" s="8">
        <v>0</v>
      </c>
      <c r="I20" s="8">
        <v>0</v>
      </c>
      <c r="J20" s="8">
        <v>410</v>
      </c>
      <c r="K20" s="8">
        <v>410</v>
      </c>
      <c r="L20" s="8">
        <v>410</v>
      </c>
      <c r="M20" s="8">
        <v>5329.95</v>
      </c>
      <c r="N20" s="8">
        <v>0</v>
      </c>
      <c r="O20" s="8">
        <v>0</v>
      </c>
      <c r="P20" s="8">
        <v>0</v>
      </c>
      <c r="Q20" s="8">
        <v>324.74</v>
      </c>
      <c r="R20" s="8">
        <v>105.46</v>
      </c>
      <c r="S20" s="8">
        <v>0</v>
      </c>
      <c r="T20" s="8">
        <v>0.15</v>
      </c>
      <c r="U20" s="8">
        <v>430.35</v>
      </c>
      <c r="V20" s="8">
        <v>4899.6000000000004</v>
      </c>
      <c r="W20" s="8">
        <v>76.09</v>
      </c>
      <c r="X20" s="8">
        <v>136.96</v>
      </c>
      <c r="Y20" s="8">
        <v>340.64</v>
      </c>
      <c r="Z20" s="8">
        <v>414.65999999999997</v>
      </c>
      <c r="AA20" s="8">
        <v>106.6</v>
      </c>
      <c r="AB20" s="8">
        <v>21.74</v>
      </c>
      <c r="AC20" s="8">
        <v>553.69000000000005</v>
      </c>
      <c r="AD20" s="8">
        <v>217.4</v>
      </c>
      <c r="AE20" s="8">
        <v>371.18</v>
      </c>
      <c r="AF20" s="8">
        <v>110</v>
      </c>
      <c r="AG20" s="8">
        <f t="shared" si="1"/>
        <v>291.85932537509581</v>
      </c>
      <c r="AH20" s="95">
        <f t="shared" si="2"/>
        <v>0</v>
      </c>
      <c r="AI20" s="95">
        <f t="shared" si="3"/>
        <v>4899.6000000000004</v>
      </c>
      <c r="AJ20" s="95">
        <f t="shared" si="4"/>
        <v>97.992000000000004</v>
      </c>
      <c r="AK20" s="95">
        <f t="shared" si="5"/>
        <v>4997.5920000000006</v>
      </c>
      <c r="AL20" s="95">
        <f t="shared" si="6"/>
        <v>1684.13</v>
      </c>
      <c r="AM20" s="95">
        <f t="shared" si="7"/>
        <v>33.682600000000001</v>
      </c>
      <c r="AN20" s="95">
        <f t="shared" si="8"/>
        <v>6715.4046000000008</v>
      </c>
      <c r="AO20" s="95">
        <f t="shared" si="9"/>
        <v>1074.4647360000001</v>
      </c>
    </row>
    <row r="21" spans="1:41" s="8" customFormat="1" ht="15" x14ac:dyDescent="0.25">
      <c r="A21" s="8" t="s">
        <v>63</v>
      </c>
      <c r="B21" s="8" t="s">
        <v>64</v>
      </c>
      <c r="C21" s="8">
        <v>15</v>
      </c>
      <c r="D21" s="8">
        <v>0</v>
      </c>
      <c r="E21" s="8">
        <v>185.83</v>
      </c>
      <c r="F21" s="8">
        <v>197.07</v>
      </c>
      <c r="G21" s="8">
        <v>2787.45</v>
      </c>
      <c r="H21" s="8">
        <v>0</v>
      </c>
      <c r="I21" s="8">
        <v>0</v>
      </c>
      <c r="J21" s="8">
        <v>278.75</v>
      </c>
      <c r="K21" s="8">
        <v>278.75</v>
      </c>
      <c r="L21" s="8">
        <v>278.75</v>
      </c>
      <c r="M21" s="8">
        <v>3623.7</v>
      </c>
      <c r="N21" s="8">
        <v>15</v>
      </c>
      <c r="O21" s="8">
        <v>2080.0300000000002</v>
      </c>
      <c r="P21" s="8">
        <v>0</v>
      </c>
      <c r="Q21" s="8">
        <v>36.57</v>
      </c>
      <c r="R21" s="8">
        <v>70.22</v>
      </c>
      <c r="S21" s="8">
        <v>0</v>
      </c>
      <c r="T21" s="8">
        <v>0.08</v>
      </c>
      <c r="U21" s="8">
        <v>2201.9</v>
      </c>
      <c r="V21" s="8">
        <v>1421.8</v>
      </c>
      <c r="W21" s="8">
        <v>51.73</v>
      </c>
      <c r="X21" s="8">
        <v>93.12</v>
      </c>
      <c r="Y21" s="8">
        <v>310.27</v>
      </c>
      <c r="Z21" s="8">
        <v>386.82</v>
      </c>
      <c r="AA21" s="8">
        <v>72.47</v>
      </c>
      <c r="AB21" s="8">
        <v>14.78</v>
      </c>
      <c r="AC21" s="8">
        <v>455.12</v>
      </c>
      <c r="AD21" s="8">
        <v>147.80000000000001</v>
      </c>
      <c r="AE21" s="8">
        <v>357.26</v>
      </c>
      <c r="AF21" s="8">
        <v>110</v>
      </c>
      <c r="AG21" s="8">
        <f t="shared" si="1"/>
        <v>198.42760924323733</v>
      </c>
      <c r="AH21" s="95">
        <f t="shared" si="2"/>
        <v>2095.0300000000002</v>
      </c>
      <c r="AI21" s="95">
        <f t="shared" si="3"/>
        <v>3516.83</v>
      </c>
      <c r="AJ21" s="95">
        <f t="shared" si="4"/>
        <v>70.336600000000004</v>
      </c>
      <c r="AK21" s="95">
        <f t="shared" si="5"/>
        <v>3587.1666</v>
      </c>
      <c r="AL21" s="95">
        <f t="shared" si="6"/>
        <v>1431.9999999999998</v>
      </c>
      <c r="AM21" s="95">
        <f t="shared" si="7"/>
        <v>28.639999999999997</v>
      </c>
      <c r="AN21" s="95">
        <f t="shared" si="8"/>
        <v>5047.8065999999999</v>
      </c>
      <c r="AO21" s="95">
        <f t="shared" si="9"/>
        <v>807.64905599999997</v>
      </c>
    </row>
    <row r="22" spans="1:41" s="8" customFormat="1" ht="15" x14ac:dyDescent="0.25">
      <c r="A22" s="8" t="s">
        <v>65</v>
      </c>
      <c r="B22" s="8" t="s">
        <v>66</v>
      </c>
      <c r="C22" s="8">
        <v>14</v>
      </c>
      <c r="D22" s="8">
        <v>1</v>
      </c>
      <c r="E22" s="8">
        <v>1060.83</v>
      </c>
      <c r="F22" s="8">
        <v>1125.06</v>
      </c>
      <c r="G22" s="8">
        <v>14851.62</v>
      </c>
      <c r="H22" s="8">
        <v>1060.83</v>
      </c>
      <c r="I22" s="8">
        <v>318.25</v>
      </c>
      <c r="J22" s="8">
        <v>1591.25</v>
      </c>
      <c r="K22" s="8">
        <v>1591.25</v>
      </c>
      <c r="L22" s="8">
        <v>1591.25</v>
      </c>
      <c r="M22" s="8">
        <v>21004.45</v>
      </c>
      <c r="N22" s="8">
        <v>0</v>
      </c>
      <c r="O22" s="8">
        <v>0</v>
      </c>
      <c r="P22" s="8">
        <v>0</v>
      </c>
      <c r="Q22" s="8">
        <v>2846.24</v>
      </c>
      <c r="R22" s="8">
        <v>453.09</v>
      </c>
      <c r="S22" s="8">
        <v>0</v>
      </c>
      <c r="T22" s="8">
        <v>0.12</v>
      </c>
      <c r="U22" s="8">
        <v>3299.45</v>
      </c>
      <c r="V22" s="8">
        <v>17705</v>
      </c>
      <c r="W22" s="8">
        <v>295.33</v>
      </c>
      <c r="X22" s="8">
        <v>531.59</v>
      </c>
      <c r="Y22" s="8">
        <v>697.68</v>
      </c>
      <c r="Z22" s="8">
        <v>665.22</v>
      </c>
      <c r="AA22" s="8">
        <v>420.09</v>
      </c>
      <c r="AB22" s="8">
        <v>84.38</v>
      </c>
      <c r="AC22" s="8">
        <v>1524.6</v>
      </c>
      <c r="AD22" s="8">
        <v>843.79</v>
      </c>
      <c r="AE22" s="8">
        <v>496.46</v>
      </c>
      <c r="AF22" s="8">
        <v>110</v>
      </c>
      <c r="AG22" s="8">
        <f t="shared" si="1"/>
        <v>1132.7447705618222</v>
      </c>
      <c r="AH22" s="95">
        <f t="shared" si="2"/>
        <v>0</v>
      </c>
      <c r="AI22" s="95">
        <f t="shared" si="3"/>
        <v>17705</v>
      </c>
      <c r="AJ22" s="95">
        <f t="shared" si="4"/>
        <v>354.1</v>
      </c>
      <c r="AK22" s="95">
        <f t="shared" si="5"/>
        <v>18059.099999999999</v>
      </c>
      <c r="AL22" s="95">
        <f t="shared" si="6"/>
        <v>4067.54</v>
      </c>
      <c r="AM22" s="95">
        <f t="shared" si="7"/>
        <v>81.350800000000007</v>
      </c>
      <c r="AN22" s="95">
        <f t="shared" si="8"/>
        <v>22207.9908</v>
      </c>
      <c r="AO22" s="95">
        <f t="shared" si="9"/>
        <v>3553.2785279999998</v>
      </c>
    </row>
    <row r="23" spans="1:41" s="8" customFormat="1" ht="15" x14ac:dyDescent="0.25">
      <c r="A23" s="8" t="s">
        <v>67</v>
      </c>
      <c r="B23" s="8" t="s">
        <v>68</v>
      </c>
      <c r="C23" s="8">
        <v>13</v>
      </c>
      <c r="D23" s="8">
        <v>2</v>
      </c>
      <c r="E23" s="8">
        <v>185.83</v>
      </c>
      <c r="F23" s="8">
        <v>197.07</v>
      </c>
      <c r="G23" s="8">
        <v>2415.79</v>
      </c>
      <c r="H23" s="8">
        <v>371.66</v>
      </c>
      <c r="I23" s="8">
        <v>111.5</v>
      </c>
      <c r="J23" s="8">
        <v>278.75</v>
      </c>
      <c r="K23" s="8">
        <v>278.75</v>
      </c>
      <c r="L23" s="8">
        <v>278.75</v>
      </c>
      <c r="M23" s="8">
        <v>3735.2</v>
      </c>
      <c r="N23" s="8">
        <v>0</v>
      </c>
      <c r="O23" s="8">
        <v>0</v>
      </c>
      <c r="P23" s="8">
        <v>0</v>
      </c>
      <c r="Q23" s="8">
        <v>36.57</v>
      </c>
      <c r="R23" s="8">
        <v>70.22</v>
      </c>
      <c r="S23" s="8">
        <v>0</v>
      </c>
      <c r="T23" s="8">
        <v>0.01</v>
      </c>
      <c r="U23" s="8">
        <v>106.8</v>
      </c>
      <c r="V23" s="8">
        <v>3628.4</v>
      </c>
      <c r="W23" s="8">
        <v>51.73</v>
      </c>
      <c r="X23" s="8">
        <v>93.12</v>
      </c>
      <c r="Y23" s="8">
        <v>310.27</v>
      </c>
      <c r="Z23" s="8">
        <v>386.82</v>
      </c>
      <c r="AA23" s="8">
        <v>74.7</v>
      </c>
      <c r="AB23" s="8">
        <v>14.78</v>
      </c>
      <c r="AC23" s="8">
        <v>455.12</v>
      </c>
      <c r="AD23" s="8">
        <v>147.80000000000001</v>
      </c>
      <c r="AE23" s="8">
        <v>357.26</v>
      </c>
      <c r="AF23" s="8">
        <v>110</v>
      </c>
      <c r="AG23" s="8">
        <f t="shared" si="1"/>
        <v>198.42760924323733</v>
      </c>
      <c r="AH23" s="95">
        <f t="shared" si="2"/>
        <v>0</v>
      </c>
      <c r="AI23" s="95">
        <f t="shared" si="3"/>
        <v>3628.4</v>
      </c>
      <c r="AJ23" s="95">
        <f t="shared" si="4"/>
        <v>72.567999999999998</v>
      </c>
      <c r="AK23" s="95">
        <f t="shared" si="5"/>
        <v>3700.9680000000003</v>
      </c>
      <c r="AL23" s="95">
        <f t="shared" si="6"/>
        <v>1431.9999999999998</v>
      </c>
      <c r="AM23" s="95">
        <f t="shared" si="7"/>
        <v>28.639999999999997</v>
      </c>
      <c r="AN23" s="95">
        <f t="shared" si="8"/>
        <v>5161.6080000000002</v>
      </c>
      <c r="AO23" s="95">
        <f t="shared" si="9"/>
        <v>825.85728000000006</v>
      </c>
    </row>
    <row r="24" spans="1:41" s="8" customFormat="1" ht="15" x14ac:dyDescent="0.25">
      <c r="A24" s="8" t="s">
        <v>69</v>
      </c>
      <c r="B24" s="8" t="s">
        <v>70</v>
      </c>
      <c r="C24" s="8">
        <v>15</v>
      </c>
      <c r="D24" s="8">
        <v>0</v>
      </c>
      <c r="E24" s="8">
        <v>185.83</v>
      </c>
      <c r="F24" s="8">
        <v>197.07</v>
      </c>
      <c r="G24" s="8">
        <v>2787.45</v>
      </c>
      <c r="H24" s="8">
        <v>0</v>
      </c>
      <c r="I24" s="8">
        <v>0</v>
      </c>
      <c r="J24" s="8">
        <v>278.75</v>
      </c>
      <c r="K24" s="8">
        <v>278.75</v>
      </c>
      <c r="L24" s="8">
        <v>278.75</v>
      </c>
      <c r="M24" s="8">
        <v>3623.7</v>
      </c>
      <c r="N24" s="8">
        <v>15</v>
      </c>
      <c r="O24" s="8">
        <v>1443.16</v>
      </c>
      <c r="P24" s="8">
        <v>0</v>
      </c>
      <c r="Q24" s="8">
        <v>36.57</v>
      </c>
      <c r="R24" s="8">
        <v>70.22</v>
      </c>
      <c r="S24" s="8">
        <v>0</v>
      </c>
      <c r="T24" s="9">
        <v>-0.05</v>
      </c>
      <c r="U24" s="8">
        <v>1564.9</v>
      </c>
      <c r="V24" s="8">
        <v>2058.8000000000002</v>
      </c>
      <c r="W24" s="8">
        <v>51.73</v>
      </c>
      <c r="X24" s="8">
        <v>93.12</v>
      </c>
      <c r="Y24" s="8">
        <v>310.27</v>
      </c>
      <c r="Z24" s="8">
        <v>386.82</v>
      </c>
      <c r="AA24" s="8">
        <v>72.47</v>
      </c>
      <c r="AB24" s="8">
        <v>14.78</v>
      </c>
      <c r="AC24" s="8">
        <v>455.12</v>
      </c>
      <c r="AD24" s="8">
        <v>147.80000000000001</v>
      </c>
      <c r="AE24" s="8">
        <v>357.26</v>
      </c>
      <c r="AF24" s="8">
        <v>110</v>
      </c>
      <c r="AG24" s="8">
        <f t="shared" si="1"/>
        <v>198.42760924323733</v>
      </c>
      <c r="AH24" s="95">
        <f t="shared" si="2"/>
        <v>1458.16</v>
      </c>
      <c r="AI24" s="95">
        <f t="shared" si="3"/>
        <v>3516.96</v>
      </c>
      <c r="AJ24" s="95">
        <f t="shared" si="4"/>
        <v>70.339200000000005</v>
      </c>
      <c r="AK24" s="95">
        <f t="shared" si="5"/>
        <v>3587.2991999999999</v>
      </c>
      <c r="AL24" s="95">
        <f t="shared" si="6"/>
        <v>1431.9999999999998</v>
      </c>
      <c r="AM24" s="95">
        <f t="shared" si="7"/>
        <v>28.639999999999997</v>
      </c>
      <c r="AN24" s="95">
        <f t="shared" si="8"/>
        <v>5047.9391999999998</v>
      </c>
      <c r="AO24" s="95">
        <f t="shared" si="9"/>
        <v>807.67027199999995</v>
      </c>
    </row>
    <row r="25" spans="1:41" s="8" customFormat="1" ht="15" x14ac:dyDescent="0.25">
      <c r="A25" s="8" t="s">
        <v>71</v>
      </c>
      <c r="B25" s="8" t="s">
        <v>72</v>
      </c>
      <c r="C25" s="8">
        <v>15</v>
      </c>
      <c r="D25" s="8">
        <v>0</v>
      </c>
      <c r="E25" s="8">
        <v>166.67</v>
      </c>
      <c r="F25" s="8">
        <v>176.76</v>
      </c>
      <c r="G25" s="8">
        <v>2500.0500000000002</v>
      </c>
      <c r="H25" s="8">
        <v>0</v>
      </c>
      <c r="I25" s="8">
        <v>0</v>
      </c>
      <c r="J25" s="8">
        <v>250.01</v>
      </c>
      <c r="K25" s="8">
        <v>250.01</v>
      </c>
      <c r="L25" s="8">
        <v>250.01</v>
      </c>
      <c r="M25" s="8">
        <v>3250.08</v>
      </c>
      <c r="N25" s="8">
        <v>0</v>
      </c>
      <c r="O25" s="8">
        <v>0</v>
      </c>
      <c r="P25" s="9">
        <v>-9.6199999999999992</v>
      </c>
      <c r="Q25" s="8">
        <v>0</v>
      </c>
      <c r="R25" s="8">
        <v>62.97</v>
      </c>
      <c r="S25" s="8">
        <v>0</v>
      </c>
      <c r="T25" s="9">
        <v>-7.0000000000000007E-2</v>
      </c>
      <c r="U25" s="8">
        <v>53.28</v>
      </c>
      <c r="V25" s="8">
        <v>3196.8</v>
      </c>
      <c r="W25" s="8">
        <v>46.4</v>
      </c>
      <c r="X25" s="8">
        <v>83.52</v>
      </c>
      <c r="Y25" s="8">
        <v>304.94</v>
      </c>
      <c r="Z25" s="8">
        <v>380.73</v>
      </c>
      <c r="AA25" s="8">
        <v>65</v>
      </c>
      <c r="AB25" s="8">
        <v>13.26</v>
      </c>
      <c r="AC25" s="8">
        <v>434.86</v>
      </c>
      <c r="AD25" s="8">
        <v>132.57</v>
      </c>
      <c r="AE25" s="8">
        <v>354.21</v>
      </c>
      <c r="AF25" s="8">
        <v>110</v>
      </c>
      <c r="AG25" s="8">
        <f t="shared" si="1"/>
        <v>177.96873288796405</v>
      </c>
      <c r="AH25" s="95">
        <f t="shared" si="2"/>
        <v>0</v>
      </c>
      <c r="AI25" s="95">
        <f t="shared" si="3"/>
        <v>3196.8</v>
      </c>
      <c r="AJ25" s="95">
        <f t="shared" si="4"/>
        <v>63.936000000000007</v>
      </c>
      <c r="AK25" s="95">
        <f t="shared" si="5"/>
        <v>3260.7360000000003</v>
      </c>
      <c r="AL25" s="95">
        <f t="shared" si="6"/>
        <v>1378.6</v>
      </c>
      <c r="AM25" s="95">
        <f t="shared" si="7"/>
        <v>27.571999999999999</v>
      </c>
      <c r="AN25" s="95">
        <f t="shared" si="8"/>
        <v>4666.9080000000004</v>
      </c>
      <c r="AO25" s="95">
        <f t="shared" si="9"/>
        <v>746.70528000000002</v>
      </c>
    </row>
    <row r="26" spans="1:41" s="8" customFormat="1" ht="15" x14ac:dyDescent="0.25">
      <c r="A26" s="8" t="s">
        <v>73</v>
      </c>
      <c r="B26" s="8" t="s">
        <v>74</v>
      </c>
      <c r="C26" s="8">
        <v>15</v>
      </c>
      <c r="D26" s="8">
        <v>0</v>
      </c>
      <c r="E26" s="8">
        <v>216.67</v>
      </c>
      <c r="F26" s="8">
        <v>229.79</v>
      </c>
      <c r="G26" s="8">
        <v>3250.05</v>
      </c>
      <c r="H26" s="8">
        <v>0</v>
      </c>
      <c r="I26" s="8">
        <v>0</v>
      </c>
      <c r="J26" s="8">
        <v>325.01</v>
      </c>
      <c r="K26" s="8">
        <v>325.01</v>
      </c>
      <c r="L26" s="8">
        <v>325.01</v>
      </c>
      <c r="M26" s="8">
        <v>4225.08</v>
      </c>
      <c r="N26" s="8">
        <v>0</v>
      </c>
      <c r="O26" s="8">
        <v>0</v>
      </c>
      <c r="P26" s="8">
        <v>0</v>
      </c>
      <c r="Q26" s="8">
        <v>107.17</v>
      </c>
      <c r="R26" s="8">
        <v>81.87</v>
      </c>
      <c r="S26" s="8">
        <v>0</v>
      </c>
      <c r="T26" s="8">
        <v>0.04</v>
      </c>
      <c r="U26" s="8">
        <v>189.08</v>
      </c>
      <c r="V26" s="8">
        <v>4036</v>
      </c>
      <c r="W26" s="8">
        <v>60.32</v>
      </c>
      <c r="X26" s="8">
        <v>108.58</v>
      </c>
      <c r="Y26" s="8">
        <v>318.86</v>
      </c>
      <c r="Z26" s="8">
        <v>396.64</v>
      </c>
      <c r="AA26" s="8">
        <v>84.5</v>
      </c>
      <c r="AB26" s="8">
        <v>17.23</v>
      </c>
      <c r="AC26" s="8">
        <v>487.76</v>
      </c>
      <c r="AD26" s="8">
        <v>172.34</v>
      </c>
      <c r="AE26" s="8">
        <v>362.16999999999996</v>
      </c>
      <c r="AF26" s="8">
        <v>110</v>
      </c>
      <c r="AG26" s="8">
        <f t="shared" si="1"/>
        <v>231.35828496331177</v>
      </c>
      <c r="AH26" s="95">
        <f t="shared" si="2"/>
        <v>0</v>
      </c>
      <c r="AI26" s="95">
        <f t="shared" si="3"/>
        <v>4036</v>
      </c>
      <c r="AJ26" s="95">
        <f t="shared" si="4"/>
        <v>80.72</v>
      </c>
      <c r="AK26" s="95">
        <f t="shared" si="5"/>
        <v>4116.72</v>
      </c>
      <c r="AL26" s="95">
        <f t="shared" si="6"/>
        <v>1518.0099999999998</v>
      </c>
      <c r="AM26" s="95">
        <f t="shared" si="7"/>
        <v>30.360199999999995</v>
      </c>
      <c r="AN26" s="95">
        <f t="shared" si="8"/>
        <v>5665.0901999999996</v>
      </c>
      <c r="AO26" s="95">
        <f t="shared" si="9"/>
        <v>906.41443199999992</v>
      </c>
    </row>
    <row r="27" spans="1:41" s="11" customFormat="1" ht="15" x14ac:dyDescent="0.25">
      <c r="C27" s="11" t="s">
        <v>75</v>
      </c>
      <c r="D27" s="11" t="s">
        <v>75</v>
      </c>
      <c r="E27" s="11" t="s">
        <v>75</v>
      </c>
      <c r="F27" s="11" t="s">
        <v>75</v>
      </c>
      <c r="G27" s="11" t="s">
        <v>75</v>
      </c>
      <c r="H27" s="11" t="s">
        <v>75</v>
      </c>
      <c r="I27" s="11" t="s">
        <v>75</v>
      </c>
      <c r="J27" s="11" t="s">
        <v>75</v>
      </c>
      <c r="K27" s="11" t="s">
        <v>75</v>
      </c>
      <c r="L27" s="11" t="s">
        <v>75</v>
      </c>
      <c r="M27" s="11" t="s">
        <v>75</v>
      </c>
      <c r="N27" s="11" t="s">
        <v>75</v>
      </c>
      <c r="O27" s="11" t="s">
        <v>75</v>
      </c>
      <c r="P27" s="11" t="s">
        <v>75</v>
      </c>
      <c r="Q27" s="11" t="s">
        <v>75</v>
      </c>
      <c r="R27" s="11" t="s">
        <v>75</v>
      </c>
      <c r="S27" s="11" t="s">
        <v>75</v>
      </c>
      <c r="T27" s="11" t="s">
        <v>75</v>
      </c>
      <c r="U27" s="11" t="s">
        <v>75</v>
      </c>
      <c r="V27" s="11" t="s">
        <v>75</v>
      </c>
      <c r="W27" s="11" t="s">
        <v>75</v>
      </c>
      <c r="X27" s="11" t="s">
        <v>75</v>
      </c>
      <c r="Y27" s="11" t="s">
        <v>75</v>
      </c>
      <c r="Z27" s="11" t="s">
        <v>75</v>
      </c>
      <c r="AA27" s="11" t="s">
        <v>75</v>
      </c>
      <c r="AB27" s="11" t="s">
        <v>75</v>
      </c>
      <c r="AC27" s="11" t="s">
        <v>75</v>
      </c>
      <c r="AD27" s="11" t="s">
        <v>75</v>
      </c>
      <c r="AE27" s="11" t="s">
        <v>75</v>
      </c>
      <c r="AF27" s="11" t="s">
        <v>75</v>
      </c>
      <c r="AG27" s="11" t="s">
        <v>75</v>
      </c>
      <c r="AH27" s="95"/>
      <c r="AI27" s="95"/>
      <c r="AJ27" s="95"/>
      <c r="AK27" s="95"/>
      <c r="AL27" s="95"/>
      <c r="AM27" s="95"/>
      <c r="AN27" s="95"/>
      <c r="AO27" s="95"/>
    </row>
    <row r="28" spans="1:41" s="8" customFormat="1" x14ac:dyDescent="0.2">
      <c r="A28" s="10" t="s">
        <v>76</v>
      </c>
      <c r="B28" s="8" t="s">
        <v>77</v>
      </c>
      <c r="C28" s="12">
        <f t="shared" ref="C28:AF28" si="10">SUM(C9:C26)</f>
        <v>265</v>
      </c>
      <c r="D28" s="12">
        <f t="shared" si="10"/>
        <v>5</v>
      </c>
      <c r="E28" s="12">
        <f t="shared" si="10"/>
        <v>4708.7199999999993</v>
      </c>
      <c r="F28" s="12">
        <f t="shared" si="10"/>
        <v>4989.6499999999996</v>
      </c>
      <c r="G28" s="12">
        <f t="shared" si="10"/>
        <v>68826.649999999994</v>
      </c>
      <c r="H28" s="12">
        <f t="shared" si="10"/>
        <v>1804.15</v>
      </c>
      <c r="I28" s="12">
        <f t="shared" si="10"/>
        <v>779.58</v>
      </c>
      <c r="J28" s="12">
        <f t="shared" si="10"/>
        <v>7063.16</v>
      </c>
      <c r="K28" s="12">
        <f t="shared" si="10"/>
        <v>7063.16</v>
      </c>
      <c r="L28" s="12">
        <f t="shared" si="10"/>
        <v>7063.16</v>
      </c>
      <c r="M28" s="12">
        <f t="shared" si="10"/>
        <v>92599.859999999986</v>
      </c>
      <c r="N28" s="12">
        <f t="shared" si="10"/>
        <v>105</v>
      </c>
      <c r="O28" s="12">
        <f t="shared" si="10"/>
        <v>10769.02</v>
      </c>
      <c r="P28" s="12">
        <f t="shared" si="10"/>
        <v>-118.69</v>
      </c>
      <c r="Q28" s="12">
        <f t="shared" si="10"/>
        <v>5143.3799999999992</v>
      </c>
      <c r="R28" s="12">
        <f t="shared" si="10"/>
        <v>1840.73</v>
      </c>
      <c r="S28" s="12">
        <f t="shared" si="10"/>
        <v>430.83000000000004</v>
      </c>
      <c r="T28" s="12">
        <f t="shared" si="10"/>
        <v>0.19000000000000003</v>
      </c>
      <c r="U28" s="12">
        <f t="shared" si="10"/>
        <v>18170.460000000003</v>
      </c>
      <c r="V28" s="12">
        <f t="shared" si="10"/>
        <v>74429.400000000009</v>
      </c>
      <c r="W28" s="12">
        <f t="shared" si="10"/>
        <v>1309.7800000000002</v>
      </c>
      <c r="X28" s="12">
        <f t="shared" si="10"/>
        <v>2357.61</v>
      </c>
      <c r="Y28" s="12">
        <f t="shared" si="10"/>
        <v>6136.9</v>
      </c>
      <c r="Z28" s="12">
        <f t="shared" si="10"/>
        <v>7395.4999999999991</v>
      </c>
      <c r="AA28" s="12">
        <f t="shared" si="10"/>
        <v>1851.98</v>
      </c>
      <c r="AB28" s="12">
        <f t="shared" si="10"/>
        <v>374.21999999999997</v>
      </c>
      <c r="AC28" s="12">
        <f t="shared" si="10"/>
        <v>9804.2900000000027</v>
      </c>
      <c r="AD28" s="12">
        <f t="shared" si="10"/>
        <v>3742.2100000000009</v>
      </c>
      <c r="AE28" s="12">
        <f t="shared" si="10"/>
        <v>6647.0400000000009</v>
      </c>
      <c r="AF28" s="12">
        <f t="shared" si="10"/>
        <v>1980</v>
      </c>
      <c r="AG28" s="12">
        <f>SUM(AG9:AG26)</f>
        <v>5027.9290329646274</v>
      </c>
    </row>
    <row r="29" spans="1:41" s="8" customFormat="1" x14ac:dyDescent="0.2"/>
    <row r="30" spans="1:41" s="8" customFormat="1" x14ac:dyDescent="0.2">
      <c r="G30" s="8" t="s">
        <v>77</v>
      </c>
      <c r="H30" s="8" t="s">
        <v>77</v>
      </c>
      <c r="I30" s="8" t="s">
        <v>77</v>
      </c>
      <c r="M30" s="8" t="s">
        <v>77</v>
      </c>
      <c r="N30" s="8" t="s">
        <v>77</v>
      </c>
      <c r="O30" s="8" t="s">
        <v>77</v>
      </c>
      <c r="P30" s="8" t="s">
        <v>77</v>
      </c>
      <c r="Q30" s="8" t="s">
        <v>77</v>
      </c>
      <c r="R30" s="8" t="s">
        <v>77</v>
      </c>
      <c r="S30" s="8" t="s">
        <v>77</v>
      </c>
      <c r="T30" s="8" t="s">
        <v>77</v>
      </c>
      <c r="U30" s="8" t="s">
        <v>77</v>
      </c>
      <c r="V30" s="8" t="s">
        <v>77</v>
      </c>
      <c r="W30" s="8" t="s">
        <v>77</v>
      </c>
      <c r="X30" s="8" t="s">
        <v>77</v>
      </c>
      <c r="Y30" s="8" t="s">
        <v>77</v>
      </c>
      <c r="Z30" s="8" t="s">
        <v>77</v>
      </c>
      <c r="AA30" s="8" t="s">
        <v>77</v>
      </c>
      <c r="AB30" s="8" t="s">
        <v>77</v>
      </c>
      <c r="AC30" s="8" t="s">
        <v>77</v>
      </c>
      <c r="AD30" s="8" t="s">
        <v>77</v>
      </c>
      <c r="AE30" s="8" t="s">
        <v>77</v>
      </c>
      <c r="AF30" s="8" t="s">
        <v>77</v>
      </c>
    </row>
    <row r="31" spans="1:41" s="8" customFormat="1" ht="15.75" x14ac:dyDescent="0.25">
      <c r="A31" s="8" t="s">
        <v>77</v>
      </c>
      <c r="B31" s="8" t="s">
        <v>77</v>
      </c>
      <c r="G31" s="12"/>
      <c r="H31" s="12"/>
      <c r="I31" s="12"/>
      <c r="J31" s="12"/>
      <c r="K31" s="12"/>
      <c r="L31" s="119" t="s">
        <v>421</v>
      </c>
      <c r="M31" s="119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41" ht="12.75" x14ac:dyDescent="0.2">
      <c r="L32" s="96" t="s">
        <v>410</v>
      </c>
      <c r="M32" s="97">
        <f>+V28</f>
        <v>74429.400000000009</v>
      </c>
    </row>
    <row r="33" spans="12:13" ht="12.75" x14ac:dyDescent="0.2">
      <c r="L33" s="96" t="s">
        <v>411</v>
      </c>
      <c r="M33" s="97">
        <f>+S28</f>
        <v>430.83000000000004</v>
      </c>
    </row>
    <row r="34" spans="12:13" ht="12.75" x14ac:dyDescent="0.2">
      <c r="L34" s="96" t="s">
        <v>412</v>
      </c>
      <c r="M34" s="97">
        <f>+N28+O28+S28</f>
        <v>11304.85</v>
      </c>
    </row>
    <row r="35" spans="12:13" ht="12.75" x14ac:dyDescent="0.2">
      <c r="L35" s="96" t="s">
        <v>413</v>
      </c>
      <c r="M35" s="97">
        <v>0</v>
      </c>
    </row>
    <row r="36" spans="12:13" ht="12.75" x14ac:dyDescent="0.2">
      <c r="L36" s="96" t="s">
        <v>414</v>
      </c>
      <c r="M36" s="97">
        <f>SUM(M32:M35)</f>
        <v>86165.080000000016</v>
      </c>
    </row>
    <row r="37" spans="12:13" ht="12.75" x14ac:dyDescent="0.2">
      <c r="L37" s="96" t="s">
        <v>415</v>
      </c>
      <c r="M37" s="97">
        <f>+M36*2%</f>
        <v>1723.3016000000005</v>
      </c>
    </row>
    <row r="38" spans="12:13" ht="12.75" x14ac:dyDescent="0.2">
      <c r="L38" s="96" t="s">
        <v>416</v>
      </c>
      <c r="M38" s="97">
        <f>+M36+M37</f>
        <v>87888.381600000022</v>
      </c>
    </row>
    <row r="39" spans="12:13" ht="12.75" x14ac:dyDescent="0.2">
      <c r="L39" s="96" t="s">
        <v>417</v>
      </c>
      <c r="M39" s="97">
        <f>+R28+W28+X28+Y28+AB28+Z28+AD28+AE28</f>
        <v>29803.989999999998</v>
      </c>
    </row>
    <row r="40" spans="12:13" ht="12.75" x14ac:dyDescent="0.2">
      <c r="L40" s="96" t="s">
        <v>418</v>
      </c>
      <c r="M40" s="97">
        <f>+M28*2%</f>
        <v>1851.9971999999998</v>
      </c>
    </row>
    <row r="41" spans="12:13" ht="12.75" x14ac:dyDescent="0.2">
      <c r="L41" s="96" t="s">
        <v>419</v>
      </c>
      <c r="M41" s="97">
        <f>+M38+M39+M40</f>
        <v>119544.36880000001</v>
      </c>
    </row>
    <row r="42" spans="12:13" ht="12.75" x14ac:dyDescent="0.2">
      <c r="L42" s="96" t="s">
        <v>31</v>
      </c>
      <c r="M42" s="97">
        <f>+M41*16%</f>
        <v>19127.099008000001</v>
      </c>
    </row>
    <row r="43" spans="12:13" ht="12.75" x14ac:dyDescent="0.2">
      <c r="L43" s="96" t="s">
        <v>88</v>
      </c>
      <c r="M43" s="97">
        <f>+M41+M42</f>
        <v>138671.46780800002</v>
      </c>
    </row>
    <row r="44" spans="12:13" ht="12.75" x14ac:dyDescent="0.2">
      <c r="L44" s="30"/>
      <c r="M44" s="30"/>
    </row>
    <row r="45" spans="12:13" ht="12.75" x14ac:dyDescent="0.2">
      <c r="L45" s="120" t="s">
        <v>420</v>
      </c>
      <c r="M45" s="120"/>
    </row>
    <row r="46" spans="12:13" ht="15.75" x14ac:dyDescent="0.25">
      <c r="L46" s="112" t="s">
        <v>421</v>
      </c>
      <c r="M46" s="112"/>
    </row>
    <row r="47" spans="12:13" ht="12.75" x14ac:dyDescent="0.2">
      <c r="L47" s="96" t="s">
        <v>414</v>
      </c>
      <c r="M47" s="97">
        <f>+AG28</f>
        <v>5027.9290329646274</v>
      </c>
    </row>
    <row r="48" spans="12:13" ht="12.75" x14ac:dyDescent="0.2">
      <c r="L48" s="96" t="s">
        <v>415</v>
      </c>
      <c r="M48" s="97">
        <f>+M47*2%</f>
        <v>100.55858065929255</v>
      </c>
    </row>
    <row r="49" spans="12:13" ht="12.75" x14ac:dyDescent="0.2">
      <c r="L49" s="96" t="s">
        <v>416</v>
      </c>
      <c r="M49" s="97">
        <f>+M47+M48</f>
        <v>5128.48761362392</v>
      </c>
    </row>
    <row r="50" spans="12:13" ht="12.75" x14ac:dyDescent="0.2">
      <c r="L50" s="96" t="s">
        <v>418</v>
      </c>
      <c r="M50" s="97">
        <f>+M47*2%</f>
        <v>100.55858065929255</v>
      </c>
    </row>
    <row r="51" spans="12:13" ht="12.75" x14ac:dyDescent="0.2">
      <c r="L51" s="96" t="s">
        <v>419</v>
      </c>
      <c r="M51" s="97">
        <f>+M49+M50</f>
        <v>5229.0461942832126</v>
      </c>
    </row>
    <row r="52" spans="12:13" ht="12.75" x14ac:dyDescent="0.2">
      <c r="L52" s="96" t="s">
        <v>31</v>
      </c>
      <c r="M52" s="97">
        <f>+M51*16%</f>
        <v>836.64739108531398</v>
      </c>
    </row>
    <row r="53" spans="12:13" ht="12.75" x14ac:dyDescent="0.2">
      <c r="L53" s="96" t="s">
        <v>88</v>
      </c>
      <c r="M53" s="97">
        <f>+M51+M52</f>
        <v>6065.6935853685263</v>
      </c>
    </row>
  </sheetData>
  <mergeCells count="7">
    <mergeCell ref="L46:M46"/>
    <mergeCell ref="B1:F1"/>
    <mergeCell ref="B2:F2"/>
    <mergeCell ref="B3:F3"/>
    <mergeCell ref="B4:F4"/>
    <mergeCell ref="L31:M31"/>
    <mergeCell ref="L45:M4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78"/>
  <sheetViews>
    <sheetView showGridLines="0" workbookViewId="0">
      <pane xSplit="2" ySplit="8" topLeftCell="C83" activePane="bottomRight" state="frozen"/>
      <selection pane="topRight" activeCell="C1" sqref="C1"/>
      <selection pane="bottomLeft" activeCell="A9" sqref="A9"/>
      <selection pane="bottomRight" activeCell="A9" sqref="A9:XFD9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36" width="15.7109375" style="1" customWidth="1"/>
    <col min="37" max="16384" width="11.42578125" style="1"/>
  </cols>
  <sheetData>
    <row r="1" spans="1:40" ht="18" customHeight="1" x14ac:dyDescent="0.25">
      <c r="A1" s="3"/>
      <c r="B1" s="113" t="s">
        <v>77</v>
      </c>
      <c r="C1" s="114"/>
      <c r="D1" s="114"/>
      <c r="E1" s="114"/>
      <c r="F1" s="114"/>
    </row>
    <row r="2" spans="1:40" ht="24.95" customHeight="1" x14ac:dyDescent="0.2">
      <c r="A2" s="4"/>
      <c r="B2" s="115" t="s">
        <v>428</v>
      </c>
      <c r="C2" s="116"/>
      <c r="D2" s="116"/>
      <c r="E2" s="116"/>
      <c r="F2" s="116"/>
    </row>
    <row r="3" spans="1:40" ht="15.75" x14ac:dyDescent="0.25">
      <c r="B3" s="117" t="s">
        <v>1</v>
      </c>
      <c r="C3" s="114"/>
      <c r="D3" s="114"/>
      <c r="E3" s="114"/>
      <c r="F3" s="114"/>
    </row>
    <row r="4" spans="1:40" ht="15" x14ac:dyDescent="0.25">
      <c r="B4" s="118" t="s">
        <v>2</v>
      </c>
      <c r="C4" s="114"/>
      <c r="D4" s="114"/>
      <c r="E4" s="114"/>
      <c r="F4" s="114"/>
    </row>
    <row r="5" spans="1:40" x14ac:dyDescent="0.2">
      <c r="B5" s="13" t="s">
        <v>429</v>
      </c>
      <c r="C5" s="13"/>
      <c r="D5" s="13"/>
      <c r="E5" s="13"/>
      <c r="F5" s="13"/>
    </row>
    <row r="6" spans="1:40" x14ac:dyDescent="0.2">
      <c r="B6" s="13" t="s">
        <v>430</v>
      </c>
      <c r="C6" s="13"/>
      <c r="D6" s="13"/>
      <c r="E6" s="13"/>
      <c r="F6" s="13"/>
    </row>
    <row r="8" spans="1:40" s="5" customFormat="1" ht="34.5" thickBot="1" x14ac:dyDescent="0.25">
      <c r="A8" s="14" t="s">
        <v>5</v>
      </c>
      <c r="B8" s="15" t="s">
        <v>6</v>
      </c>
      <c r="C8" s="15" t="s">
        <v>32</v>
      </c>
      <c r="D8" s="15" t="s">
        <v>33</v>
      </c>
      <c r="E8" s="15" t="s">
        <v>34</v>
      </c>
      <c r="F8" s="15" t="s">
        <v>35</v>
      </c>
      <c r="G8" s="15" t="s">
        <v>7</v>
      </c>
      <c r="H8" s="15" t="s">
        <v>8</v>
      </c>
      <c r="I8" s="15" t="s">
        <v>9</v>
      </c>
      <c r="J8" s="16" t="s">
        <v>13</v>
      </c>
      <c r="K8" s="15" t="s">
        <v>14</v>
      </c>
      <c r="L8" s="15" t="s">
        <v>15</v>
      </c>
      <c r="M8" s="15" t="s">
        <v>431</v>
      </c>
      <c r="N8" s="15" t="s">
        <v>16</v>
      </c>
      <c r="O8" s="15" t="s">
        <v>17</v>
      </c>
      <c r="P8" s="15" t="s">
        <v>18</v>
      </c>
      <c r="Q8" s="15" t="s">
        <v>432</v>
      </c>
      <c r="R8" s="15" t="s">
        <v>433</v>
      </c>
      <c r="S8" s="15" t="s">
        <v>19</v>
      </c>
      <c r="T8" s="16" t="s">
        <v>20</v>
      </c>
      <c r="U8" s="17" t="s">
        <v>21</v>
      </c>
      <c r="V8" s="15" t="s">
        <v>22</v>
      </c>
      <c r="W8" s="15" t="s">
        <v>23</v>
      </c>
      <c r="X8" s="15" t="s">
        <v>24</v>
      </c>
      <c r="Y8" s="15" t="s">
        <v>25</v>
      </c>
      <c r="Z8" s="15" t="s">
        <v>26</v>
      </c>
      <c r="AA8" s="15" t="s">
        <v>27</v>
      </c>
      <c r="AB8" s="15" t="s">
        <v>28</v>
      </c>
      <c r="AC8" s="15" t="s">
        <v>29</v>
      </c>
      <c r="AD8" s="15" t="s">
        <v>30</v>
      </c>
      <c r="AE8" s="15" t="s">
        <v>36</v>
      </c>
      <c r="AF8" s="15" t="s">
        <v>434</v>
      </c>
      <c r="AG8" s="127" t="s">
        <v>446</v>
      </c>
      <c r="AH8" s="127" t="s">
        <v>447</v>
      </c>
      <c r="AI8" s="127" t="s">
        <v>448</v>
      </c>
      <c r="AJ8" s="127" t="s">
        <v>449</v>
      </c>
      <c r="AK8" s="127" t="s">
        <v>450</v>
      </c>
      <c r="AL8" s="127" t="s">
        <v>451</v>
      </c>
      <c r="AM8" s="127" t="s">
        <v>452</v>
      </c>
      <c r="AN8" s="127" t="s">
        <v>453</v>
      </c>
    </row>
    <row r="9" spans="1:40" s="8" customFormat="1" ht="15.75" thickTop="1" x14ac:dyDescent="0.25">
      <c r="A9" s="8" t="s">
        <v>37</v>
      </c>
      <c r="B9" s="8" t="s">
        <v>332</v>
      </c>
      <c r="C9" s="8">
        <v>15</v>
      </c>
      <c r="D9" s="8">
        <v>0</v>
      </c>
      <c r="E9" s="8">
        <v>266.67</v>
      </c>
      <c r="F9" s="8">
        <v>278.72000000000003</v>
      </c>
      <c r="G9" s="8">
        <v>4000.05</v>
      </c>
      <c r="H9" s="8">
        <v>0</v>
      </c>
      <c r="I9" s="8">
        <v>0</v>
      </c>
      <c r="J9" s="8">
        <v>4000.05</v>
      </c>
      <c r="K9" s="8">
        <v>0</v>
      </c>
      <c r="L9" s="8">
        <v>0</v>
      </c>
      <c r="M9" s="8">
        <v>0</v>
      </c>
      <c r="N9" s="8">
        <v>0</v>
      </c>
      <c r="O9" s="8">
        <v>313.87</v>
      </c>
      <c r="P9" s="8">
        <v>100.81</v>
      </c>
      <c r="Q9" s="8">
        <v>0</v>
      </c>
      <c r="R9" s="8">
        <v>0</v>
      </c>
      <c r="S9" s="8">
        <v>-0.03</v>
      </c>
      <c r="T9" s="8">
        <v>414.65000000000003</v>
      </c>
      <c r="U9" s="8">
        <f>+J9-T9</f>
        <v>3585.4</v>
      </c>
      <c r="V9" s="8">
        <v>73.16</v>
      </c>
      <c r="W9" s="8">
        <v>131.69999999999999</v>
      </c>
      <c r="X9" s="8">
        <v>335.88</v>
      </c>
      <c r="Y9" s="8">
        <v>273.62</v>
      </c>
      <c r="Z9" s="8">
        <v>80</v>
      </c>
      <c r="AA9" s="8">
        <v>33.299999999999997</v>
      </c>
      <c r="AB9" s="8">
        <v>540.74</v>
      </c>
      <c r="AC9" s="8">
        <v>209.04</v>
      </c>
      <c r="AD9" s="8">
        <v>231.81</v>
      </c>
      <c r="AE9" s="8">
        <v>110</v>
      </c>
      <c r="AF9" s="8">
        <f>((20/365.24)*15)*E9</f>
        <v>219.03679772204578</v>
      </c>
      <c r="AG9" s="95">
        <f>U9+R9+K9+L9+M9+Q9</f>
        <v>3585.4</v>
      </c>
      <c r="AH9" s="95">
        <f>AG9*2%</f>
        <v>71.707999999999998</v>
      </c>
      <c r="AI9" s="95">
        <f>AG9+AH9</f>
        <v>3657.1080000000002</v>
      </c>
      <c r="AJ9" s="95">
        <f>P9+V9+W9+X9+Y9+AA9+AC9+AD9</f>
        <v>1389.32</v>
      </c>
      <c r="AK9" s="95">
        <f>J9*2%</f>
        <v>80.001000000000005</v>
      </c>
      <c r="AL9" s="95">
        <f>AI9+AJ9+AK9</f>
        <v>5126.4290000000001</v>
      </c>
      <c r="AM9" s="95">
        <f>AL9*16%</f>
        <v>820.22864000000004</v>
      </c>
      <c r="AN9" s="95">
        <f>AL9+AM9</f>
        <v>5946.6576400000004</v>
      </c>
    </row>
    <row r="10" spans="1:40" s="8" customFormat="1" ht="15" x14ac:dyDescent="0.25">
      <c r="A10" s="8" t="s">
        <v>435</v>
      </c>
      <c r="B10" s="8" t="s">
        <v>274</v>
      </c>
      <c r="C10" s="8">
        <v>15</v>
      </c>
      <c r="D10" s="8">
        <v>0</v>
      </c>
      <c r="E10" s="8">
        <v>266.67</v>
      </c>
      <c r="F10" s="8">
        <v>278.72000000000003</v>
      </c>
      <c r="G10" s="8">
        <v>4000.05</v>
      </c>
      <c r="H10" s="8">
        <v>0</v>
      </c>
      <c r="I10" s="8">
        <v>0</v>
      </c>
      <c r="J10" s="8">
        <v>4000.05</v>
      </c>
      <c r="K10" s="8">
        <v>0</v>
      </c>
      <c r="L10" s="8">
        <v>0</v>
      </c>
      <c r="M10" s="8">
        <v>0</v>
      </c>
      <c r="N10" s="8">
        <v>0</v>
      </c>
      <c r="O10" s="8">
        <v>313.87</v>
      </c>
      <c r="P10" s="8">
        <v>100.81</v>
      </c>
      <c r="Q10" s="8">
        <v>0</v>
      </c>
      <c r="R10" s="8">
        <v>0</v>
      </c>
      <c r="S10" s="9">
        <v>-0.03</v>
      </c>
      <c r="T10" s="8">
        <v>414.65000000000003</v>
      </c>
      <c r="U10" s="8">
        <f>+J10-T10</f>
        <v>3585.4</v>
      </c>
      <c r="V10" s="8">
        <v>73.16</v>
      </c>
      <c r="W10" s="8">
        <v>131.69999999999999</v>
      </c>
      <c r="X10" s="8">
        <v>335.88</v>
      </c>
      <c r="Y10" s="8">
        <v>273.62</v>
      </c>
      <c r="Z10" s="8">
        <v>80</v>
      </c>
      <c r="AA10" s="8">
        <v>33.299999999999997</v>
      </c>
      <c r="AB10" s="8">
        <v>540.74</v>
      </c>
      <c r="AC10" s="8">
        <v>209.04</v>
      </c>
      <c r="AD10" s="8">
        <v>231.81</v>
      </c>
      <c r="AE10" s="8">
        <v>110</v>
      </c>
      <c r="AF10" s="8">
        <f>((20/365.24)*15)*E10</f>
        <v>219.03679772204578</v>
      </c>
      <c r="AG10" s="95">
        <f t="shared" ref="AG10:AG73" si="0">U10+R10+K10+L10+M10+Q10</f>
        <v>3585.4</v>
      </c>
      <c r="AH10" s="95">
        <f t="shared" ref="AH10:AH73" si="1">AG10*2%</f>
        <v>71.707999999999998</v>
      </c>
      <c r="AI10" s="95">
        <f t="shared" ref="AI10:AI73" si="2">AG10+AH10</f>
        <v>3657.1080000000002</v>
      </c>
      <c r="AJ10" s="95">
        <f t="shared" ref="AJ10:AJ73" si="3">P10+V10+W10+X10+Y10+AA10+AC10+AD10</f>
        <v>1389.32</v>
      </c>
      <c r="AK10" s="95">
        <f t="shared" ref="AK10:AK73" si="4">J10*2%</f>
        <v>80.001000000000005</v>
      </c>
      <c r="AL10" s="95">
        <f t="shared" ref="AL10:AL73" si="5">AI10+AJ10+AK10</f>
        <v>5126.4290000000001</v>
      </c>
      <c r="AM10" s="95">
        <f t="shared" ref="AM10:AM73" si="6">AL10*16%</f>
        <v>820.22864000000004</v>
      </c>
      <c r="AN10" s="95">
        <f t="shared" ref="AN10:AN73" si="7">AL10+AM10</f>
        <v>5946.6576400000004</v>
      </c>
    </row>
    <row r="11" spans="1:40" s="8" customFormat="1" ht="15" x14ac:dyDescent="0.25">
      <c r="A11" s="8" t="s">
        <v>153</v>
      </c>
      <c r="B11" s="8" t="s">
        <v>154</v>
      </c>
      <c r="C11" s="8">
        <v>15</v>
      </c>
      <c r="D11" s="8">
        <v>0</v>
      </c>
      <c r="E11" s="8">
        <v>200</v>
      </c>
      <c r="F11" s="8">
        <v>209.04</v>
      </c>
      <c r="G11" s="8">
        <v>3000</v>
      </c>
      <c r="H11" s="8">
        <v>0</v>
      </c>
      <c r="I11" s="8">
        <v>0</v>
      </c>
      <c r="J11" s="8">
        <v>3000</v>
      </c>
      <c r="K11" s="8">
        <v>0</v>
      </c>
      <c r="L11" s="8">
        <v>0</v>
      </c>
      <c r="M11" s="8">
        <v>0</v>
      </c>
      <c r="N11" s="8">
        <v>0</v>
      </c>
      <c r="O11" s="8">
        <v>59.69</v>
      </c>
      <c r="P11" s="8">
        <v>74.48</v>
      </c>
      <c r="Q11" s="8">
        <v>0</v>
      </c>
      <c r="R11" s="8">
        <v>0</v>
      </c>
      <c r="S11" s="8">
        <v>0.03</v>
      </c>
      <c r="T11" s="8">
        <v>134.20000000000002</v>
      </c>
      <c r="U11" s="8">
        <f>+J11-T11</f>
        <v>2865.8</v>
      </c>
      <c r="V11" s="8">
        <v>54.87</v>
      </c>
      <c r="W11" s="8">
        <v>98.77</v>
      </c>
      <c r="X11" s="8">
        <v>313.41000000000003</v>
      </c>
      <c r="Y11" s="8">
        <v>252.71</v>
      </c>
      <c r="Z11" s="8">
        <v>60</v>
      </c>
      <c r="AA11" s="8">
        <v>24.98</v>
      </c>
      <c r="AB11" s="8">
        <v>467.05</v>
      </c>
      <c r="AC11" s="8">
        <v>156.78</v>
      </c>
      <c r="AD11" s="8">
        <v>221.36</v>
      </c>
      <c r="AE11" s="8">
        <v>110</v>
      </c>
      <c r="AF11" s="8">
        <f>((20/365.24)*15)*E11</f>
        <v>164.27554484722373</v>
      </c>
      <c r="AG11" s="95">
        <f t="shared" si="0"/>
        <v>2865.8</v>
      </c>
      <c r="AH11" s="95">
        <f t="shared" si="1"/>
        <v>57.316000000000003</v>
      </c>
      <c r="AI11" s="95">
        <f t="shared" si="2"/>
        <v>2923.116</v>
      </c>
      <c r="AJ11" s="95">
        <f t="shared" si="3"/>
        <v>1197.3600000000001</v>
      </c>
      <c r="AK11" s="95">
        <f t="shared" si="4"/>
        <v>60</v>
      </c>
      <c r="AL11" s="95">
        <f t="shared" si="5"/>
        <v>4180.4760000000006</v>
      </c>
      <c r="AM11" s="95">
        <f t="shared" si="6"/>
        <v>668.87616000000014</v>
      </c>
      <c r="AN11" s="95">
        <f t="shared" si="7"/>
        <v>4849.3521600000004</v>
      </c>
    </row>
    <row r="12" spans="1:40" s="8" customFormat="1" ht="15" x14ac:dyDescent="0.25">
      <c r="A12" s="8" t="s">
        <v>436</v>
      </c>
      <c r="B12" s="8" t="s">
        <v>290</v>
      </c>
      <c r="C12" s="8">
        <v>15</v>
      </c>
      <c r="D12" s="8">
        <v>0</v>
      </c>
      <c r="E12" s="8">
        <v>154</v>
      </c>
      <c r="F12" s="8">
        <v>160.96</v>
      </c>
      <c r="G12" s="8">
        <v>2310</v>
      </c>
      <c r="H12" s="8">
        <v>0</v>
      </c>
      <c r="I12" s="8">
        <v>0</v>
      </c>
      <c r="J12" s="8">
        <v>2310</v>
      </c>
      <c r="K12" s="8">
        <v>15</v>
      </c>
      <c r="L12" s="8">
        <v>956.31</v>
      </c>
      <c r="M12" s="8">
        <v>0</v>
      </c>
      <c r="N12" s="9">
        <v>-39.729999999999997</v>
      </c>
      <c r="O12" s="8">
        <v>0</v>
      </c>
      <c r="P12" s="8">
        <v>57.34</v>
      </c>
      <c r="Q12" s="8">
        <v>0</v>
      </c>
      <c r="R12" s="8">
        <v>0</v>
      </c>
      <c r="S12" s="9">
        <v>-0.12</v>
      </c>
      <c r="T12" s="8">
        <v>988.8</v>
      </c>
      <c r="U12" s="8">
        <f>+J12-T12</f>
        <v>1321.2</v>
      </c>
      <c r="V12" s="8">
        <v>42.25</v>
      </c>
      <c r="W12" s="8">
        <v>76.05</v>
      </c>
      <c r="X12" s="8">
        <v>300.79000000000002</v>
      </c>
      <c r="Y12" s="8">
        <v>238.29</v>
      </c>
      <c r="Z12" s="8">
        <v>46.2</v>
      </c>
      <c r="AA12" s="8">
        <v>19.23</v>
      </c>
      <c r="AB12" s="8">
        <v>419.09</v>
      </c>
      <c r="AC12" s="8">
        <v>120.72</v>
      </c>
      <c r="AD12" s="8">
        <v>214.14</v>
      </c>
      <c r="AE12" s="8">
        <v>110</v>
      </c>
      <c r="AF12" s="8">
        <f>((20/365.24)*15)*E12</f>
        <v>126.49216953236227</v>
      </c>
      <c r="AG12" s="95">
        <f t="shared" si="0"/>
        <v>2292.5100000000002</v>
      </c>
      <c r="AH12" s="95">
        <f t="shared" si="1"/>
        <v>45.850200000000008</v>
      </c>
      <c r="AI12" s="95">
        <f t="shared" si="2"/>
        <v>2338.3602000000001</v>
      </c>
      <c r="AJ12" s="95">
        <f t="shared" si="3"/>
        <v>1068.81</v>
      </c>
      <c r="AK12" s="95">
        <f t="shared" si="4"/>
        <v>46.2</v>
      </c>
      <c r="AL12" s="95">
        <f t="shared" si="5"/>
        <v>3453.3701999999998</v>
      </c>
      <c r="AM12" s="95">
        <f t="shared" si="6"/>
        <v>552.53923199999997</v>
      </c>
      <c r="AN12" s="95">
        <f t="shared" si="7"/>
        <v>4005.9094319999999</v>
      </c>
    </row>
    <row r="13" spans="1:40" s="8" customFormat="1" ht="15" x14ac:dyDescent="0.25">
      <c r="A13" s="8" t="s">
        <v>284</v>
      </c>
      <c r="B13" s="8" t="s">
        <v>285</v>
      </c>
      <c r="C13" s="8">
        <v>15</v>
      </c>
      <c r="D13" s="8">
        <v>0</v>
      </c>
      <c r="E13" s="8">
        <v>266.67</v>
      </c>
      <c r="F13" s="8">
        <v>278.72000000000003</v>
      </c>
      <c r="G13" s="8">
        <v>4000.05</v>
      </c>
      <c r="H13" s="8">
        <v>0</v>
      </c>
      <c r="I13" s="8">
        <v>0</v>
      </c>
      <c r="J13" s="8">
        <v>4000.05</v>
      </c>
      <c r="K13" s="8">
        <v>15</v>
      </c>
      <c r="L13" s="8">
        <v>849.56</v>
      </c>
      <c r="M13" s="8">
        <v>0</v>
      </c>
      <c r="N13" s="8">
        <v>0</v>
      </c>
      <c r="O13" s="8">
        <v>313.87</v>
      </c>
      <c r="P13" s="8">
        <v>100.81</v>
      </c>
      <c r="Q13" s="8">
        <v>0</v>
      </c>
      <c r="R13" s="8">
        <v>0</v>
      </c>
      <c r="S13" s="8">
        <v>0.01</v>
      </c>
      <c r="T13" s="8">
        <v>1279.2499999999998</v>
      </c>
      <c r="U13" s="8">
        <f>+J13-T13</f>
        <v>2720.8</v>
      </c>
      <c r="V13" s="8">
        <v>73.16</v>
      </c>
      <c r="W13" s="8">
        <v>131.69999999999999</v>
      </c>
      <c r="X13" s="8">
        <v>335.88</v>
      </c>
      <c r="Y13" s="8">
        <v>273.62</v>
      </c>
      <c r="Z13" s="8">
        <v>80</v>
      </c>
      <c r="AA13" s="8">
        <v>33.299999999999997</v>
      </c>
      <c r="AB13" s="8">
        <v>540.74</v>
      </c>
      <c r="AC13" s="8">
        <v>209.04</v>
      </c>
      <c r="AD13" s="8">
        <v>231.81</v>
      </c>
      <c r="AE13" s="8">
        <v>110</v>
      </c>
      <c r="AF13" s="8">
        <f>((20/365.24)*15)*E13</f>
        <v>219.03679772204578</v>
      </c>
      <c r="AG13" s="95">
        <f t="shared" si="0"/>
        <v>3585.36</v>
      </c>
      <c r="AH13" s="95">
        <f t="shared" si="1"/>
        <v>71.7072</v>
      </c>
      <c r="AI13" s="95">
        <f t="shared" si="2"/>
        <v>3657.0672</v>
      </c>
      <c r="AJ13" s="95">
        <f t="shared" si="3"/>
        <v>1389.32</v>
      </c>
      <c r="AK13" s="95">
        <f t="shared" si="4"/>
        <v>80.001000000000005</v>
      </c>
      <c r="AL13" s="95">
        <f t="shared" si="5"/>
        <v>5126.3882000000003</v>
      </c>
      <c r="AM13" s="95">
        <f t="shared" si="6"/>
        <v>820.22211200000004</v>
      </c>
      <c r="AN13" s="95">
        <f t="shared" si="7"/>
        <v>5946.6103120000007</v>
      </c>
    </row>
    <row r="14" spans="1:40" s="8" customFormat="1" ht="15" x14ac:dyDescent="0.25">
      <c r="A14" s="8" t="s">
        <v>193</v>
      </c>
      <c r="B14" s="8" t="s">
        <v>194</v>
      </c>
      <c r="C14" s="8">
        <v>15</v>
      </c>
      <c r="D14" s="8">
        <v>0</v>
      </c>
      <c r="E14" s="8">
        <v>400</v>
      </c>
      <c r="F14" s="8">
        <v>424.2</v>
      </c>
      <c r="G14" s="8">
        <v>6000</v>
      </c>
      <c r="H14" s="8">
        <v>0</v>
      </c>
      <c r="I14" s="8">
        <v>0</v>
      </c>
      <c r="J14" s="8">
        <v>6000</v>
      </c>
      <c r="K14" s="8">
        <v>0</v>
      </c>
      <c r="L14" s="8">
        <v>0</v>
      </c>
      <c r="M14" s="8">
        <v>0</v>
      </c>
      <c r="N14" s="8">
        <v>0</v>
      </c>
      <c r="O14" s="8">
        <v>643.38</v>
      </c>
      <c r="P14" s="8">
        <v>161.36000000000001</v>
      </c>
      <c r="Q14" s="8">
        <v>0</v>
      </c>
      <c r="R14" s="8">
        <v>0</v>
      </c>
      <c r="S14" s="8">
        <v>0.06</v>
      </c>
      <c r="T14" s="8">
        <v>804.8</v>
      </c>
      <c r="U14" s="8">
        <f>+J14-T14</f>
        <v>5195.2</v>
      </c>
      <c r="V14" s="8">
        <v>111.35</v>
      </c>
      <c r="W14" s="8">
        <v>200.43</v>
      </c>
      <c r="X14" s="8">
        <v>398.06</v>
      </c>
      <c r="Y14" s="8">
        <v>317.26</v>
      </c>
      <c r="Z14" s="8">
        <v>120</v>
      </c>
      <c r="AA14" s="8">
        <v>50.69</v>
      </c>
      <c r="AB14" s="8">
        <v>709.84</v>
      </c>
      <c r="AC14" s="8">
        <v>318.14999999999998</v>
      </c>
      <c r="AD14" s="8">
        <v>253.63</v>
      </c>
      <c r="AE14" s="8">
        <v>110</v>
      </c>
      <c r="AF14" s="8">
        <f>((20/365.24)*15)*E14</f>
        <v>328.55108969444746</v>
      </c>
      <c r="AG14" s="95">
        <f t="shared" si="0"/>
        <v>5195.2</v>
      </c>
      <c r="AH14" s="95">
        <f t="shared" si="1"/>
        <v>103.904</v>
      </c>
      <c r="AI14" s="95">
        <f t="shared" si="2"/>
        <v>5299.1039999999994</v>
      </c>
      <c r="AJ14" s="95">
        <f t="shared" si="3"/>
        <v>1810.9300000000003</v>
      </c>
      <c r="AK14" s="95">
        <f t="shared" si="4"/>
        <v>120</v>
      </c>
      <c r="AL14" s="95">
        <f t="shared" si="5"/>
        <v>7230.0339999999997</v>
      </c>
      <c r="AM14" s="95">
        <f t="shared" si="6"/>
        <v>1156.8054399999999</v>
      </c>
      <c r="AN14" s="95">
        <f t="shared" si="7"/>
        <v>8386.8394399999997</v>
      </c>
    </row>
    <row r="15" spans="1:40" s="8" customFormat="1" ht="15" x14ac:dyDescent="0.25">
      <c r="A15" s="8" t="s">
        <v>231</v>
      </c>
      <c r="B15" s="8" t="s">
        <v>232</v>
      </c>
      <c r="C15" s="8">
        <v>15</v>
      </c>
      <c r="D15" s="8">
        <v>0</v>
      </c>
      <c r="E15" s="8">
        <v>266.67</v>
      </c>
      <c r="F15" s="8">
        <v>278.72000000000003</v>
      </c>
      <c r="G15" s="8">
        <v>4000.05</v>
      </c>
      <c r="H15" s="8">
        <v>0</v>
      </c>
      <c r="I15" s="8">
        <v>0</v>
      </c>
      <c r="J15" s="8">
        <v>4000.05</v>
      </c>
      <c r="K15" s="8">
        <v>0</v>
      </c>
      <c r="L15" s="8">
        <v>0</v>
      </c>
      <c r="M15" s="8">
        <v>0</v>
      </c>
      <c r="N15" s="8">
        <v>0</v>
      </c>
      <c r="O15" s="8">
        <v>313.87</v>
      </c>
      <c r="P15" s="8">
        <v>100.81</v>
      </c>
      <c r="Q15" s="8">
        <v>0</v>
      </c>
      <c r="R15" s="8">
        <v>0</v>
      </c>
      <c r="S15" s="8">
        <v>-0.03</v>
      </c>
      <c r="T15" s="8">
        <v>414.65000000000003</v>
      </c>
      <c r="U15" s="8">
        <f>+J15-T15</f>
        <v>3585.4</v>
      </c>
      <c r="V15" s="8">
        <v>73.16</v>
      </c>
      <c r="W15" s="8">
        <v>131.69999999999999</v>
      </c>
      <c r="X15" s="8">
        <v>335.88</v>
      </c>
      <c r="Y15" s="8">
        <v>273.62</v>
      </c>
      <c r="Z15" s="8">
        <v>80</v>
      </c>
      <c r="AA15" s="8">
        <v>33.299999999999997</v>
      </c>
      <c r="AB15" s="8">
        <v>540.74</v>
      </c>
      <c r="AC15" s="8">
        <v>209.04</v>
      </c>
      <c r="AD15" s="8">
        <v>231.81</v>
      </c>
      <c r="AE15" s="8">
        <v>110</v>
      </c>
      <c r="AF15" s="8">
        <f>((20/365.24)*15)*E15</f>
        <v>219.03679772204578</v>
      </c>
      <c r="AG15" s="95">
        <f t="shared" si="0"/>
        <v>3585.4</v>
      </c>
      <c r="AH15" s="95">
        <f t="shared" si="1"/>
        <v>71.707999999999998</v>
      </c>
      <c r="AI15" s="95">
        <f t="shared" si="2"/>
        <v>3657.1080000000002</v>
      </c>
      <c r="AJ15" s="95">
        <f t="shared" si="3"/>
        <v>1389.32</v>
      </c>
      <c r="AK15" s="95">
        <f t="shared" si="4"/>
        <v>80.001000000000005</v>
      </c>
      <c r="AL15" s="95">
        <f t="shared" si="5"/>
        <v>5126.4290000000001</v>
      </c>
      <c r="AM15" s="95">
        <f t="shared" si="6"/>
        <v>820.22864000000004</v>
      </c>
      <c r="AN15" s="95">
        <f t="shared" si="7"/>
        <v>5946.6576400000004</v>
      </c>
    </row>
    <row r="16" spans="1:40" s="8" customFormat="1" ht="15" x14ac:dyDescent="0.25">
      <c r="A16" s="8" t="s">
        <v>347</v>
      </c>
      <c r="B16" s="8" t="s">
        <v>348</v>
      </c>
      <c r="C16" s="8">
        <v>15</v>
      </c>
      <c r="D16" s="8">
        <v>0</v>
      </c>
      <c r="E16" s="8">
        <v>200</v>
      </c>
      <c r="F16" s="8">
        <v>212.1</v>
      </c>
      <c r="G16" s="8">
        <v>3000</v>
      </c>
      <c r="H16" s="8">
        <v>0</v>
      </c>
      <c r="I16" s="8">
        <v>0</v>
      </c>
      <c r="J16" s="8">
        <v>3000</v>
      </c>
      <c r="K16" s="8">
        <v>15</v>
      </c>
      <c r="L16" s="8">
        <v>1317.81</v>
      </c>
      <c r="M16" s="8">
        <v>0</v>
      </c>
      <c r="N16" s="8">
        <v>0</v>
      </c>
      <c r="O16" s="8">
        <v>59.69</v>
      </c>
      <c r="P16" s="8">
        <v>75.55</v>
      </c>
      <c r="Q16" s="8">
        <v>0</v>
      </c>
      <c r="R16" s="8">
        <v>0</v>
      </c>
      <c r="S16" s="8">
        <v>-0.05</v>
      </c>
      <c r="T16" s="8">
        <v>1468</v>
      </c>
      <c r="U16" s="8">
        <f>+J16-T16</f>
        <v>1532</v>
      </c>
      <c r="V16" s="8">
        <v>55.68</v>
      </c>
      <c r="W16" s="8">
        <v>100.22</v>
      </c>
      <c r="X16" s="8">
        <v>314.22000000000003</v>
      </c>
      <c r="Y16" s="8">
        <v>253.63</v>
      </c>
      <c r="Z16" s="8">
        <v>60</v>
      </c>
      <c r="AA16" s="8">
        <v>25.34</v>
      </c>
      <c r="AB16" s="8">
        <v>470.12</v>
      </c>
      <c r="AC16" s="8">
        <v>159.08000000000001</v>
      </c>
      <c r="AD16" s="8">
        <v>221.82</v>
      </c>
      <c r="AE16" s="8">
        <v>110</v>
      </c>
      <c r="AF16" s="8">
        <f>((20/365.24)*15)*E16</f>
        <v>164.27554484722373</v>
      </c>
      <c r="AG16" s="95">
        <f t="shared" si="0"/>
        <v>2864.81</v>
      </c>
      <c r="AH16" s="95">
        <f t="shared" si="1"/>
        <v>57.296199999999999</v>
      </c>
      <c r="AI16" s="95">
        <f t="shared" si="2"/>
        <v>2922.1062000000002</v>
      </c>
      <c r="AJ16" s="95">
        <f t="shared" si="3"/>
        <v>1205.5400000000002</v>
      </c>
      <c r="AK16" s="95">
        <f t="shared" si="4"/>
        <v>60</v>
      </c>
      <c r="AL16" s="95">
        <f t="shared" si="5"/>
        <v>4187.6462000000001</v>
      </c>
      <c r="AM16" s="95">
        <f t="shared" si="6"/>
        <v>670.02339200000006</v>
      </c>
      <c r="AN16" s="95">
        <f t="shared" si="7"/>
        <v>4857.6695920000002</v>
      </c>
    </row>
    <row r="17" spans="1:40" s="8" customFormat="1" ht="15" x14ac:dyDescent="0.25">
      <c r="A17" s="8" t="s">
        <v>287</v>
      </c>
      <c r="B17" s="8" t="s">
        <v>288</v>
      </c>
      <c r="C17" s="8">
        <v>15</v>
      </c>
      <c r="D17" s="8">
        <v>0</v>
      </c>
      <c r="E17" s="8">
        <v>333.33</v>
      </c>
      <c r="F17" s="8">
        <v>353.5</v>
      </c>
      <c r="G17" s="8">
        <v>4999.95</v>
      </c>
      <c r="H17" s="8">
        <v>0</v>
      </c>
      <c r="I17" s="8">
        <v>0</v>
      </c>
      <c r="J17" s="8">
        <v>4999.95</v>
      </c>
      <c r="K17" s="8">
        <v>0</v>
      </c>
      <c r="L17" s="8">
        <v>0</v>
      </c>
      <c r="M17" s="8">
        <v>0</v>
      </c>
      <c r="N17" s="8">
        <v>0</v>
      </c>
      <c r="O17" s="8">
        <v>461.63</v>
      </c>
      <c r="P17" s="8">
        <v>131.93</v>
      </c>
      <c r="Q17" s="8">
        <v>0</v>
      </c>
      <c r="R17" s="8">
        <v>0</v>
      </c>
      <c r="S17" s="8">
        <v>-0.01</v>
      </c>
      <c r="T17" s="8">
        <v>593.54999999999995</v>
      </c>
      <c r="U17" s="8">
        <f>+J17-T17</f>
        <v>4406.3999999999996</v>
      </c>
      <c r="V17" s="8">
        <v>92.79</v>
      </c>
      <c r="W17" s="8">
        <v>167.03</v>
      </c>
      <c r="X17" s="8">
        <v>367.84</v>
      </c>
      <c r="Y17" s="8">
        <v>296.05</v>
      </c>
      <c r="Z17" s="8">
        <v>100</v>
      </c>
      <c r="AA17" s="8">
        <v>42.24</v>
      </c>
      <c r="AB17" s="8">
        <v>627.66</v>
      </c>
      <c r="AC17" s="8">
        <v>265.12</v>
      </c>
      <c r="AD17" s="8">
        <v>243.02</v>
      </c>
      <c r="AE17" s="8">
        <v>110</v>
      </c>
      <c r="AF17" s="8">
        <f>((20/365.24)*15)*E17</f>
        <v>273.78983681962541</v>
      </c>
      <c r="AG17" s="95">
        <f t="shared" si="0"/>
        <v>4406.3999999999996</v>
      </c>
      <c r="AH17" s="95">
        <f t="shared" si="1"/>
        <v>88.128</v>
      </c>
      <c r="AI17" s="95">
        <f t="shared" si="2"/>
        <v>4494.5279999999993</v>
      </c>
      <c r="AJ17" s="95">
        <f t="shared" si="3"/>
        <v>1606.02</v>
      </c>
      <c r="AK17" s="95">
        <f t="shared" si="4"/>
        <v>99.998999999999995</v>
      </c>
      <c r="AL17" s="95">
        <f t="shared" si="5"/>
        <v>6200.5469999999987</v>
      </c>
      <c r="AM17" s="95">
        <f t="shared" si="6"/>
        <v>992.08751999999981</v>
      </c>
      <c r="AN17" s="95">
        <f t="shared" si="7"/>
        <v>7192.6345199999987</v>
      </c>
    </row>
    <row r="18" spans="1:40" s="8" customFormat="1" ht="15" x14ac:dyDescent="0.25">
      <c r="A18" s="8" t="s">
        <v>309</v>
      </c>
      <c r="B18" s="8" t="s">
        <v>310</v>
      </c>
      <c r="C18" s="8">
        <v>15</v>
      </c>
      <c r="D18" s="8">
        <v>0</v>
      </c>
      <c r="E18" s="8">
        <v>233.33</v>
      </c>
      <c r="F18" s="8">
        <v>247.45</v>
      </c>
      <c r="G18" s="8">
        <v>3499.95</v>
      </c>
      <c r="H18" s="8">
        <v>0</v>
      </c>
      <c r="I18" s="8">
        <v>0</v>
      </c>
      <c r="J18" s="8">
        <v>3499.95</v>
      </c>
      <c r="K18" s="8">
        <v>0</v>
      </c>
      <c r="L18" s="8">
        <v>0</v>
      </c>
      <c r="M18" s="8">
        <v>0</v>
      </c>
      <c r="N18" s="8">
        <v>0</v>
      </c>
      <c r="O18" s="8">
        <v>134.36000000000001</v>
      </c>
      <c r="P18" s="8">
        <v>88.16</v>
      </c>
      <c r="Q18" s="8">
        <v>0</v>
      </c>
      <c r="R18" s="8">
        <v>0</v>
      </c>
      <c r="S18" s="9">
        <v>0.03</v>
      </c>
      <c r="T18" s="8">
        <v>222.55</v>
      </c>
      <c r="U18" s="8">
        <f>+J18-T18</f>
        <v>3277.3999999999996</v>
      </c>
      <c r="V18" s="8">
        <v>64.95</v>
      </c>
      <c r="W18" s="8">
        <v>116.92</v>
      </c>
      <c r="X18" s="8">
        <v>323.49</v>
      </c>
      <c r="Y18" s="8">
        <v>264.23</v>
      </c>
      <c r="Z18" s="8">
        <v>70</v>
      </c>
      <c r="AA18" s="8">
        <v>29.57</v>
      </c>
      <c r="AB18" s="8">
        <v>505.36</v>
      </c>
      <c r="AC18" s="8">
        <v>185.58</v>
      </c>
      <c r="AD18" s="8">
        <v>227.12</v>
      </c>
      <c r="AE18" s="8">
        <v>110</v>
      </c>
      <c r="AF18" s="8">
        <f>((20/365.24)*15)*E18</f>
        <v>191.65206439601357</v>
      </c>
      <c r="AG18" s="95">
        <f t="shared" si="0"/>
        <v>3277.3999999999996</v>
      </c>
      <c r="AH18" s="95">
        <f t="shared" si="1"/>
        <v>65.547999999999988</v>
      </c>
      <c r="AI18" s="95">
        <f t="shared" si="2"/>
        <v>3342.9479999999994</v>
      </c>
      <c r="AJ18" s="95">
        <f t="shared" si="3"/>
        <v>1300.02</v>
      </c>
      <c r="AK18" s="95">
        <f t="shared" si="4"/>
        <v>69.998999999999995</v>
      </c>
      <c r="AL18" s="95">
        <f t="shared" si="5"/>
        <v>4712.9669999999987</v>
      </c>
      <c r="AM18" s="95">
        <f t="shared" si="6"/>
        <v>754.07471999999984</v>
      </c>
      <c r="AN18" s="95">
        <f t="shared" si="7"/>
        <v>5467.0417199999983</v>
      </c>
    </row>
    <row r="19" spans="1:40" s="8" customFormat="1" ht="15" x14ac:dyDescent="0.25">
      <c r="A19" s="8" t="s">
        <v>107</v>
      </c>
      <c r="B19" s="8" t="s">
        <v>108</v>
      </c>
      <c r="C19" s="8">
        <v>14</v>
      </c>
      <c r="D19" s="8">
        <v>1</v>
      </c>
      <c r="E19" s="8">
        <v>200</v>
      </c>
      <c r="F19" s="8">
        <v>212.1</v>
      </c>
      <c r="G19" s="8">
        <v>2800</v>
      </c>
      <c r="H19" s="8">
        <v>200</v>
      </c>
      <c r="I19" s="8">
        <v>60</v>
      </c>
      <c r="J19" s="8">
        <v>3060</v>
      </c>
      <c r="K19" s="8">
        <v>0</v>
      </c>
      <c r="L19" s="8">
        <v>0</v>
      </c>
      <c r="M19" s="8">
        <v>0</v>
      </c>
      <c r="N19" s="8">
        <v>0</v>
      </c>
      <c r="O19" s="8">
        <v>59.69</v>
      </c>
      <c r="P19" s="8">
        <v>75.55</v>
      </c>
      <c r="Q19" s="8">
        <v>600</v>
      </c>
      <c r="R19" s="8">
        <v>0</v>
      </c>
      <c r="S19" s="9">
        <v>-0.04</v>
      </c>
      <c r="T19" s="8">
        <v>735.2</v>
      </c>
      <c r="U19" s="8">
        <f>+J19-T19</f>
        <v>2324.8000000000002</v>
      </c>
      <c r="V19" s="8">
        <v>55.68</v>
      </c>
      <c r="W19" s="8">
        <v>100.22</v>
      </c>
      <c r="X19" s="8">
        <v>314.22000000000003</v>
      </c>
      <c r="Y19" s="8">
        <v>253.63</v>
      </c>
      <c r="Z19" s="8">
        <v>61.2</v>
      </c>
      <c r="AA19" s="8">
        <v>25.34</v>
      </c>
      <c r="AB19" s="8">
        <v>470.12</v>
      </c>
      <c r="AC19" s="8">
        <v>159.08000000000001</v>
      </c>
      <c r="AD19" s="8">
        <v>221.82</v>
      </c>
      <c r="AE19" s="8">
        <v>110</v>
      </c>
      <c r="AF19" s="8">
        <f>((20/365.24)*15)*E19</f>
        <v>164.27554484722373</v>
      </c>
      <c r="AG19" s="95">
        <f t="shared" si="0"/>
        <v>2924.8</v>
      </c>
      <c r="AH19" s="95">
        <f t="shared" si="1"/>
        <v>58.496000000000002</v>
      </c>
      <c r="AI19" s="95">
        <f t="shared" si="2"/>
        <v>2983.2960000000003</v>
      </c>
      <c r="AJ19" s="95">
        <f t="shared" si="3"/>
        <v>1205.5400000000002</v>
      </c>
      <c r="AK19" s="95">
        <f t="shared" si="4"/>
        <v>61.2</v>
      </c>
      <c r="AL19" s="95">
        <f t="shared" si="5"/>
        <v>4250.0360000000001</v>
      </c>
      <c r="AM19" s="95">
        <f t="shared" si="6"/>
        <v>680.00576000000001</v>
      </c>
      <c r="AN19" s="95">
        <f t="shared" si="7"/>
        <v>4930.0417600000001</v>
      </c>
    </row>
    <row r="20" spans="1:40" s="8" customFormat="1" ht="15" x14ac:dyDescent="0.25">
      <c r="A20" s="8" t="s">
        <v>172</v>
      </c>
      <c r="B20" s="8" t="s">
        <v>173</v>
      </c>
      <c r="C20" s="8">
        <v>15</v>
      </c>
      <c r="D20" s="8">
        <v>0</v>
      </c>
      <c r="E20" s="8">
        <v>266.67</v>
      </c>
      <c r="F20" s="8">
        <v>282.81</v>
      </c>
      <c r="G20" s="8">
        <v>4000.05</v>
      </c>
      <c r="H20" s="8">
        <v>0</v>
      </c>
      <c r="I20" s="8">
        <v>0</v>
      </c>
      <c r="J20" s="8">
        <v>4000.05</v>
      </c>
      <c r="K20" s="8">
        <v>0</v>
      </c>
      <c r="L20" s="8">
        <v>0</v>
      </c>
      <c r="M20" s="8">
        <v>0</v>
      </c>
      <c r="N20" s="8">
        <v>0</v>
      </c>
      <c r="O20" s="8">
        <v>313.87</v>
      </c>
      <c r="P20" s="8">
        <v>102.51</v>
      </c>
      <c r="Q20" s="8">
        <v>0</v>
      </c>
      <c r="R20" s="8">
        <v>0</v>
      </c>
      <c r="S20" s="9">
        <v>-0.13</v>
      </c>
      <c r="T20" s="8">
        <v>416.25</v>
      </c>
      <c r="U20" s="8">
        <f>+J20-T20</f>
        <v>3583.8</v>
      </c>
      <c r="V20" s="8">
        <v>74.239999999999995</v>
      </c>
      <c r="W20" s="8">
        <v>133.63</v>
      </c>
      <c r="X20" s="8">
        <v>337.62</v>
      </c>
      <c r="Y20" s="8">
        <v>274.83999999999997</v>
      </c>
      <c r="Z20" s="8">
        <v>80</v>
      </c>
      <c r="AA20" s="8">
        <v>33.79</v>
      </c>
      <c r="AB20" s="8">
        <v>545.49</v>
      </c>
      <c r="AC20" s="8">
        <v>212.11</v>
      </c>
      <c r="AD20" s="8">
        <v>232.42</v>
      </c>
      <c r="AE20" s="8">
        <v>110</v>
      </c>
      <c r="AF20" s="8">
        <f>((20/365.24)*15)*E20</f>
        <v>219.03679772204578</v>
      </c>
      <c r="AG20" s="95">
        <f t="shared" si="0"/>
        <v>3583.8</v>
      </c>
      <c r="AH20" s="95">
        <f t="shared" si="1"/>
        <v>71.676000000000002</v>
      </c>
      <c r="AI20" s="95">
        <f t="shared" si="2"/>
        <v>3655.4760000000001</v>
      </c>
      <c r="AJ20" s="95">
        <f t="shared" si="3"/>
        <v>1401.1599999999999</v>
      </c>
      <c r="AK20" s="95">
        <f t="shared" si="4"/>
        <v>80.001000000000005</v>
      </c>
      <c r="AL20" s="95">
        <f t="shared" si="5"/>
        <v>5136.6370000000006</v>
      </c>
      <c r="AM20" s="95">
        <f t="shared" si="6"/>
        <v>821.86192000000017</v>
      </c>
      <c r="AN20" s="95">
        <f t="shared" si="7"/>
        <v>5958.4989200000009</v>
      </c>
    </row>
    <row r="21" spans="1:40" s="8" customFormat="1" ht="15" x14ac:dyDescent="0.25">
      <c r="A21" s="8" t="s">
        <v>156</v>
      </c>
      <c r="B21" s="8" t="s">
        <v>157</v>
      </c>
      <c r="C21" s="8">
        <v>15</v>
      </c>
      <c r="D21" s="8">
        <v>0</v>
      </c>
      <c r="E21" s="8">
        <v>166.67</v>
      </c>
      <c r="F21" s="8">
        <v>174.2</v>
      </c>
      <c r="G21" s="8">
        <v>2500.0500000000002</v>
      </c>
      <c r="H21" s="8">
        <v>0</v>
      </c>
      <c r="I21" s="8">
        <v>0</v>
      </c>
      <c r="J21" s="8">
        <v>2500.0500000000002</v>
      </c>
      <c r="K21" s="8">
        <v>0</v>
      </c>
      <c r="L21" s="8">
        <v>0</v>
      </c>
      <c r="M21" s="8">
        <v>0</v>
      </c>
      <c r="N21" s="9">
        <v>-9.6199999999999992</v>
      </c>
      <c r="O21" s="8">
        <v>0</v>
      </c>
      <c r="P21" s="8">
        <v>62.06</v>
      </c>
      <c r="Q21" s="8">
        <v>0</v>
      </c>
      <c r="R21" s="8">
        <v>275.45</v>
      </c>
      <c r="S21" s="9">
        <v>-0.04</v>
      </c>
      <c r="T21" s="8">
        <v>327.84999999999997</v>
      </c>
      <c r="U21" s="8">
        <f>+J21-T21</f>
        <v>2172.2000000000003</v>
      </c>
      <c r="V21" s="8">
        <v>45.73</v>
      </c>
      <c r="W21" s="8">
        <v>82.31</v>
      </c>
      <c r="X21" s="8">
        <v>304.27</v>
      </c>
      <c r="Y21" s="8">
        <v>242.26</v>
      </c>
      <c r="Z21" s="8">
        <v>50</v>
      </c>
      <c r="AA21" s="8">
        <v>20.82</v>
      </c>
      <c r="AB21" s="8">
        <v>432.31</v>
      </c>
      <c r="AC21" s="8">
        <v>130.65</v>
      </c>
      <c r="AD21" s="8">
        <v>216.13</v>
      </c>
      <c r="AE21" s="8">
        <v>110</v>
      </c>
      <c r="AF21" s="8">
        <f>((20/365.24)*15)*E21</f>
        <v>136.89902529843388</v>
      </c>
      <c r="AG21" s="95">
        <f t="shared" si="0"/>
        <v>2447.65</v>
      </c>
      <c r="AH21" s="95">
        <f t="shared" si="1"/>
        <v>48.953000000000003</v>
      </c>
      <c r="AI21" s="95">
        <f t="shared" si="2"/>
        <v>2496.6030000000001</v>
      </c>
      <c r="AJ21" s="95">
        <f t="shared" si="3"/>
        <v>1104.23</v>
      </c>
      <c r="AK21" s="95">
        <f t="shared" si="4"/>
        <v>50.001000000000005</v>
      </c>
      <c r="AL21" s="95">
        <f t="shared" si="5"/>
        <v>3650.8340000000003</v>
      </c>
      <c r="AM21" s="95">
        <f t="shared" si="6"/>
        <v>584.13344000000006</v>
      </c>
      <c r="AN21" s="95">
        <f t="shared" si="7"/>
        <v>4234.9674400000004</v>
      </c>
    </row>
    <row r="22" spans="1:40" s="8" customFormat="1" ht="15" x14ac:dyDescent="0.25">
      <c r="A22" s="8" t="s">
        <v>371</v>
      </c>
      <c r="B22" s="8" t="s">
        <v>268</v>
      </c>
      <c r="C22" s="8">
        <v>15</v>
      </c>
      <c r="D22" s="8">
        <v>0</v>
      </c>
      <c r="E22" s="8">
        <v>275</v>
      </c>
      <c r="F22" s="8">
        <v>287.43</v>
      </c>
      <c r="G22" s="8">
        <v>4125</v>
      </c>
      <c r="H22" s="8">
        <v>0</v>
      </c>
      <c r="I22" s="8">
        <v>0</v>
      </c>
      <c r="J22" s="8">
        <v>4125</v>
      </c>
      <c r="K22" s="8">
        <v>0</v>
      </c>
      <c r="L22" s="8">
        <v>0</v>
      </c>
      <c r="M22" s="8">
        <v>0</v>
      </c>
      <c r="N22" s="8">
        <v>0</v>
      </c>
      <c r="O22" s="8">
        <v>327.47000000000003</v>
      </c>
      <c r="P22" s="8">
        <v>104.44</v>
      </c>
      <c r="Q22" s="8">
        <v>0</v>
      </c>
      <c r="R22" s="8">
        <v>0</v>
      </c>
      <c r="S22" s="9">
        <v>-0.11</v>
      </c>
      <c r="T22" s="8">
        <v>431.8</v>
      </c>
      <c r="U22" s="8">
        <f>+J22-T22</f>
        <v>3693.2</v>
      </c>
      <c r="V22" s="8">
        <v>75.45</v>
      </c>
      <c r="W22" s="8">
        <v>135.81</v>
      </c>
      <c r="X22" s="8">
        <v>339.59</v>
      </c>
      <c r="Y22" s="8">
        <v>276.23</v>
      </c>
      <c r="Z22" s="8">
        <v>82.5</v>
      </c>
      <c r="AA22" s="8">
        <v>34.340000000000003</v>
      </c>
      <c r="AB22" s="8">
        <v>550.85</v>
      </c>
      <c r="AC22" s="8">
        <v>215.57</v>
      </c>
      <c r="AD22" s="8">
        <v>233.11</v>
      </c>
      <c r="AE22" s="8">
        <v>110</v>
      </c>
      <c r="AF22" s="8">
        <f>((20/365.24)*15)*E22</f>
        <v>225.87887416493263</v>
      </c>
      <c r="AG22" s="95">
        <f t="shared" si="0"/>
        <v>3693.2</v>
      </c>
      <c r="AH22" s="95">
        <f t="shared" si="1"/>
        <v>73.864000000000004</v>
      </c>
      <c r="AI22" s="95">
        <f t="shared" si="2"/>
        <v>3767.0639999999999</v>
      </c>
      <c r="AJ22" s="95">
        <f t="shared" si="3"/>
        <v>1414.54</v>
      </c>
      <c r="AK22" s="95">
        <f t="shared" si="4"/>
        <v>82.5</v>
      </c>
      <c r="AL22" s="95">
        <f t="shared" si="5"/>
        <v>5264.1039999999994</v>
      </c>
      <c r="AM22" s="95">
        <f t="shared" si="6"/>
        <v>842.25663999999995</v>
      </c>
      <c r="AN22" s="95">
        <f t="shared" si="7"/>
        <v>6106.360639999999</v>
      </c>
    </row>
    <row r="23" spans="1:40" s="8" customFormat="1" ht="15" x14ac:dyDescent="0.25">
      <c r="A23" s="8" t="s">
        <v>296</v>
      </c>
      <c r="B23" s="8" t="s">
        <v>297</v>
      </c>
      <c r="C23" s="8">
        <v>15</v>
      </c>
      <c r="D23" s="8">
        <v>0</v>
      </c>
      <c r="E23" s="8">
        <v>266.67</v>
      </c>
      <c r="F23" s="8">
        <v>282.81</v>
      </c>
      <c r="G23" s="8">
        <v>4000.05</v>
      </c>
      <c r="H23" s="8">
        <v>0</v>
      </c>
      <c r="I23" s="8">
        <v>0</v>
      </c>
      <c r="J23" s="8">
        <v>4000.05</v>
      </c>
      <c r="K23" s="8">
        <v>0</v>
      </c>
      <c r="L23" s="8">
        <v>0</v>
      </c>
      <c r="M23" s="8">
        <v>0</v>
      </c>
      <c r="N23" s="8">
        <v>0</v>
      </c>
      <c r="O23" s="8">
        <v>313.87</v>
      </c>
      <c r="P23" s="8">
        <v>102.51</v>
      </c>
      <c r="Q23" s="8">
        <v>0</v>
      </c>
      <c r="R23" s="8">
        <v>0</v>
      </c>
      <c r="S23" s="9">
        <v>7.0000000000000007E-2</v>
      </c>
      <c r="T23" s="8">
        <v>416.45</v>
      </c>
      <c r="U23" s="8">
        <f>+J23-T23</f>
        <v>3583.6000000000004</v>
      </c>
      <c r="V23" s="8">
        <v>74.239999999999995</v>
      </c>
      <c r="W23" s="8">
        <v>133.63</v>
      </c>
      <c r="X23" s="8">
        <v>337.62</v>
      </c>
      <c r="Y23" s="8">
        <v>274.83999999999997</v>
      </c>
      <c r="Z23" s="8">
        <v>80</v>
      </c>
      <c r="AA23" s="8">
        <v>33.79</v>
      </c>
      <c r="AB23" s="8">
        <v>545.49</v>
      </c>
      <c r="AC23" s="8">
        <v>212.11</v>
      </c>
      <c r="AD23" s="8">
        <v>232.42</v>
      </c>
      <c r="AE23" s="8">
        <v>110</v>
      </c>
      <c r="AF23" s="8">
        <f>((20/365.24)*15)*E23</f>
        <v>219.03679772204578</v>
      </c>
      <c r="AG23" s="95">
        <f t="shared" si="0"/>
        <v>3583.6000000000004</v>
      </c>
      <c r="AH23" s="95">
        <f t="shared" si="1"/>
        <v>71.672000000000011</v>
      </c>
      <c r="AI23" s="95">
        <f t="shared" si="2"/>
        <v>3655.2720000000004</v>
      </c>
      <c r="AJ23" s="95">
        <f t="shared" si="3"/>
        <v>1401.1599999999999</v>
      </c>
      <c r="AK23" s="95">
        <f t="shared" si="4"/>
        <v>80.001000000000005</v>
      </c>
      <c r="AL23" s="95">
        <f t="shared" si="5"/>
        <v>5136.4330000000009</v>
      </c>
      <c r="AM23" s="95">
        <f t="shared" si="6"/>
        <v>821.82928000000015</v>
      </c>
      <c r="AN23" s="95">
        <f t="shared" si="7"/>
        <v>5958.2622800000008</v>
      </c>
    </row>
    <row r="24" spans="1:40" s="8" customFormat="1" ht="15" x14ac:dyDescent="0.25">
      <c r="A24" s="8" t="s">
        <v>238</v>
      </c>
      <c r="B24" s="8" t="s">
        <v>239</v>
      </c>
      <c r="C24" s="8">
        <v>15</v>
      </c>
      <c r="D24" s="8">
        <v>0</v>
      </c>
      <c r="E24" s="8">
        <v>266.67</v>
      </c>
      <c r="F24" s="8">
        <v>282.81</v>
      </c>
      <c r="G24" s="8">
        <v>4000.05</v>
      </c>
      <c r="H24" s="8">
        <v>0</v>
      </c>
      <c r="I24" s="8">
        <v>0</v>
      </c>
      <c r="J24" s="8">
        <v>4000.05</v>
      </c>
      <c r="K24" s="8">
        <v>0</v>
      </c>
      <c r="L24" s="8">
        <v>0</v>
      </c>
      <c r="M24" s="8">
        <v>0</v>
      </c>
      <c r="N24" s="8">
        <v>0</v>
      </c>
      <c r="O24" s="8">
        <v>313.87</v>
      </c>
      <c r="P24" s="8">
        <v>102.51</v>
      </c>
      <c r="Q24" s="8">
        <v>0</v>
      </c>
      <c r="R24" s="8">
        <v>0</v>
      </c>
      <c r="S24" s="9">
        <v>-0.13</v>
      </c>
      <c r="T24" s="8">
        <v>416.25</v>
      </c>
      <c r="U24" s="8">
        <f>+J24-T24</f>
        <v>3583.8</v>
      </c>
      <c r="V24" s="8">
        <v>74.239999999999995</v>
      </c>
      <c r="W24" s="8">
        <v>133.63</v>
      </c>
      <c r="X24" s="8">
        <v>337.62</v>
      </c>
      <c r="Y24" s="8">
        <v>274.83999999999997</v>
      </c>
      <c r="Z24" s="8">
        <v>80</v>
      </c>
      <c r="AA24" s="8">
        <v>33.79</v>
      </c>
      <c r="AB24" s="8">
        <v>545.49</v>
      </c>
      <c r="AC24" s="8">
        <v>212.11</v>
      </c>
      <c r="AD24" s="8">
        <v>232.42</v>
      </c>
      <c r="AE24" s="8">
        <v>110</v>
      </c>
      <c r="AF24" s="8">
        <f>((20/365.24)*15)*E24</f>
        <v>219.03679772204578</v>
      </c>
      <c r="AG24" s="95">
        <f t="shared" si="0"/>
        <v>3583.8</v>
      </c>
      <c r="AH24" s="95">
        <f t="shared" si="1"/>
        <v>71.676000000000002</v>
      </c>
      <c r="AI24" s="95">
        <f t="shared" si="2"/>
        <v>3655.4760000000001</v>
      </c>
      <c r="AJ24" s="95">
        <f t="shared" si="3"/>
        <v>1401.1599999999999</v>
      </c>
      <c r="AK24" s="95">
        <f t="shared" si="4"/>
        <v>80.001000000000005</v>
      </c>
      <c r="AL24" s="95">
        <f t="shared" si="5"/>
        <v>5136.6370000000006</v>
      </c>
      <c r="AM24" s="95">
        <f t="shared" si="6"/>
        <v>821.86192000000017</v>
      </c>
      <c r="AN24" s="95">
        <f t="shared" si="7"/>
        <v>5958.4989200000009</v>
      </c>
    </row>
    <row r="25" spans="1:40" s="8" customFormat="1" ht="15" x14ac:dyDescent="0.25">
      <c r="A25" s="8" t="s">
        <v>98</v>
      </c>
      <c r="B25" s="8" t="s">
        <v>99</v>
      </c>
      <c r="C25" s="8">
        <v>15</v>
      </c>
      <c r="D25" s="8">
        <v>0</v>
      </c>
      <c r="E25" s="8">
        <v>200</v>
      </c>
      <c r="F25" s="8">
        <v>212.11</v>
      </c>
      <c r="G25" s="8">
        <v>3000</v>
      </c>
      <c r="H25" s="8">
        <v>0</v>
      </c>
      <c r="I25" s="8">
        <v>0</v>
      </c>
      <c r="J25" s="8">
        <v>3000</v>
      </c>
      <c r="K25" s="8">
        <v>15</v>
      </c>
      <c r="L25" s="8">
        <v>0</v>
      </c>
      <c r="M25" s="8">
        <v>1063.6600000000001</v>
      </c>
      <c r="N25" s="8">
        <v>0</v>
      </c>
      <c r="O25" s="8">
        <v>59.69</v>
      </c>
      <c r="P25" s="8">
        <v>75.56</v>
      </c>
      <c r="Q25" s="8">
        <v>600</v>
      </c>
      <c r="R25" s="8">
        <v>0</v>
      </c>
      <c r="S25" s="9">
        <v>-0.11</v>
      </c>
      <c r="T25" s="8">
        <v>1813.8000000000002</v>
      </c>
      <c r="U25" s="8">
        <f>+J25-T25</f>
        <v>1186.1999999999998</v>
      </c>
      <c r="V25" s="8">
        <v>55.68</v>
      </c>
      <c r="W25" s="8">
        <v>100.22</v>
      </c>
      <c r="X25" s="8">
        <v>314.22000000000003</v>
      </c>
      <c r="Y25" s="8">
        <v>253.63</v>
      </c>
      <c r="Z25" s="8">
        <v>60</v>
      </c>
      <c r="AA25" s="8">
        <v>25.34</v>
      </c>
      <c r="AB25" s="8">
        <v>470.12</v>
      </c>
      <c r="AC25" s="8">
        <v>159.08000000000001</v>
      </c>
      <c r="AD25" s="8">
        <v>221.82</v>
      </c>
      <c r="AE25" s="8">
        <v>110</v>
      </c>
      <c r="AF25" s="8">
        <f>((20/365.24)*15)*E25</f>
        <v>164.27554484722373</v>
      </c>
      <c r="AG25" s="95">
        <f t="shared" si="0"/>
        <v>2864.8599999999997</v>
      </c>
      <c r="AH25" s="95">
        <f t="shared" si="1"/>
        <v>57.297199999999997</v>
      </c>
      <c r="AI25" s="95">
        <f t="shared" si="2"/>
        <v>2922.1571999999996</v>
      </c>
      <c r="AJ25" s="95">
        <f t="shared" si="3"/>
        <v>1205.5500000000002</v>
      </c>
      <c r="AK25" s="95">
        <f t="shared" si="4"/>
        <v>60</v>
      </c>
      <c r="AL25" s="95">
        <f t="shared" si="5"/>
        <v>4187.7071999999998</v>
      </c>
      <c r="AM25" s="95">
        <f t="shared" si="6"/>
        <v>670.03315199999997</v>
      </c>
      <c r="AN25" s="95">
        <f t="shared" si="7"/>
        <v>4857.7403519999998</v>
      </c>
    </row>
    <row r="26" spans="1:40" s="8" customFormat="1" ht="15" x14ac:dyDescent="0.25">
      <c r="A26" s="8" t="s">
        <v>225</v>
      </c>
      <c r="B26" s="8" t="s">
        <v>226</v>
      </c>
      <c r="C26" s="8">
        <v>15</v>
      </c>
      <c r="D26" s="8">
        <v>0</v>
      </c>
      <c r="E26" s="8">
        <v>466.67</v>
      </c>
      <c r="F26" s="8">
        <v>494.92</v>
      </c>
      <c r="G26" s="8">
        <v>7000.05</v>
      </c>
      <c r="H26" s="8">
        <v>0</v>
      </c>
      <c r="I26" s="8">
        <v>0</v>
      </c>
      <c r="J26" s="8">
        <v>7000.05</v>
      </c>
      <c r="K26" s="8">
        <v>0</v>
      </c>
      <c r="L26" s="8">
        <v>0</v>
      </c>
      <c r="M26" s="8">
        <v>0</v>
      </c>
      <c r="N26" s="8">
        <v>0</v>
      </c>
      <c r="O26" s="8">
        <v>856.99</v>
      </c>
      <c r="P26" s="8">
        <v>190.81</v>
      </c>
      <c r="Q26" s="8">
        <v>0</v>
      </c>
      <c r="R26" s="8">
        <v>0</v>
      </c>
      <c r="S26" s="8">
        <v>0.05</v>
      </c>
      <c r="T26" s="8">
        <v>1047.8499999999999</v>
      </c>
      <c r="U26" s="8">
        <f>+J26-T26</f>
        <v>5952.2000000000007</v>
      </c>
      <c r="V26" s="8">
        <v>129.91999999999999</v>
      </c>
      <c r="W26" s="8">
        <v>233.85</v>
      </c>
      <c r="X26" s="8">
        <v>428.3</v>
      </c>
      <c r="Y26" s="8">
        <v>338.48</v>
      </c>
      <c r="Z26" s="8">
        <v>140</v>
      </c>
      <c r="AA26" s="8">
        <v>59.14</v>
      </c>
      <c r="AB26" s="8">
        <v>792.07</v>
      </c>
      <c r="AC26" s="8">
        <v>371.19</v>
      </c>
      <c r="AD26" s="8">
        <v>264.24</v>
      </c>
      <c r="AE26" s="8">
        <v>110</v>
      </c>
      <c r="AF26" s="8">
        <f>((20/365.24)*15)*E26</f>
        <v>383.3123425692695</v>
      </c>
      <c r="AG26" s="95">
        <f t="shared" si="0"/>
        <v>5952.2000000000007</v>
      </c>
      <c r="AH26" s="95">
        <f t="shared" si="1"/>
        <v>119.04400000000001</v>
      </c>
      <c r="AI26" s="95">
        <f t="shared" si="2"/>
        <v>6071.2440000000006</v>
      </c>
      <c r="AJ26" s="95">
        <f t="shared" si="3"/>
        <v>2015.9300000000003</v>
      </c>
      <c r="AK26" s="95">
        <f t="shared" si="4"/>
        <v>140.001</v>
      </c>
      <c r="AL26" s="95">
        <f t="shared" si="5"/>
        <v>8227.1750000000011</v>
      </c>
      <c r="AM26" s="95">
        <f t="shared" si="6"/>
        <v>1316.3480000000002</v>
      </c>
      <c r="AN26" s="95">
        <f t="shared" si="7"/>
        <v>9543.523000000001</v>
      </c>
    </row>
    <row r="27" spans="1:40" s="8" customFormat="1" ht="15" x14ac:dyDescent="0.25">
      <c r="A27" s="8" t="s">
        <v>73</v>
      </c>
      <c r="B27" s="8" t="s">
        <v>142</v>
      </c>
      <c r="C27" s="8">
        <v>15</v>
      </c>
      <c r="D27" s="8">
        <v>0</v>
      </c>
      <c r="E27" s="8">
        <v>466.67</v>
      </c>
      <c r="F27" s="8">
        <v>494.92</v>
      </c>
      <c r="G27" s="8">
        <v>7000.05</v>
      </c>
      <c r="H27" s="8">
        <v>0</v>
      </c>
      <c r="I27" s="8">
        <v>0</v>
      </c>
      <c r="J27" s="8">
        <v>7000.05</v>
      </c>
      <c r="K27" s="8">
        <v>0</v>
      </c>
      <c r="L27" s="8">
        <v>0</v>
      </c>
      <c r="M27" s="8">
        <v>0</v>
      </c>
      <c r="N27" s="8">
        <v>0</v>
      </c>
      <c r="O27" s="8">
        <v>856.99</v>
      </c>
      <c r="P27" s="8">
        <v>190.81</v>
      </c>
      <c r="Q27" s="8">
        <v>0</v>
      </c>
      <c r="R27" s="8">
        <v>0</v>
      </c>
      <c r="S27" s="8">
        <v>0.05</v>
      </c>
      <c r="T27" s="8">
        <v>1047.8499999999999</v>
      </c>
      <c r="U27" s="8">
        <f>+J27-T27</f>
        <v>5952.2000000000007</v>
      </c>
      <c r="V27" s="8">
        <v>129.91999999999999</v>
      </c>
      <c r="W27" s="8">
        <v>233.85</v>
      </c>
      <c r="X27" s="8">
        <v>428.3</v>
      </c>
      <c r="Y27" s="8">
        <v>338.48</v>
      </c>
      <c r="Z27" s="8">
        <v>140</v>
      </c>
      <c r="AA27" s="8">
        <v>59.14</v>
      </c>
      <c r="AB27" s="8">
        <v>792.07</v>
      </c>
      <c r="AC27" s="8">
        <v>371.19</v>
      </c>
      <c r="AD27" s="8">
        <v>264.24</v>
      </c>
      <c r="AE27" s="8">
        <v>110</v>
      </c>
      <c r="AF27" s="8">
        <f>((20/365.24)*15)*E27</f>
        <v>383.3123425692695</v>
      </c>
      <c r="AG27" s="95">
        <f t="shared" si="0"/>
        <v>5952.2000000000007</v>
      </c>
      <c r="AH27" s="95">
        <f t="shared" si="1"/>
        <v>119.04400000000001</v>
      </c>
      <c r="AI27" s="95">
        <f t="shared" si="2"/>
        <v>6071.2440000000006</v>
      </c>
      <c r="AJ27" s="95">
        <f t="shared" si="3"/>
        <v>2015.9300000000003</v>
      </c>
      <c r="AK27" s="95">
        <f t="shared" si="4"/>
        <v>140.001</v>
      </c>
      <c r="AL27" s="95">
        <f t="shared" si="5"/>
        <v>8227.1750000000011</v>
      </c>
      <c r="AM27" s="95">
        <f t="shared" si="6"/>
        <v>1316.3480000000002</v>
      </c>
      <c r="AN27" s="95">
        <f t="shared" si="7"/>
        <v>9543.523000000001</v>
      </c>
    </row>
    <row r="28" spans="1:40" s="8" customFormat="1" ht="15" x14ac:dyDescent="0.25">
      <c r="A28" s="8" t="s">
        <v>127</v>
      </c>
      <c r="B28" s="8" t="s">
        <v>128</v>
      </c>
      <c r="C28" s="8">
        <v>15</v>
      </c>
      <c r="D28" s="8">
        <v>0</v>
      </c>
      <c r="E28" s="8">
        <v>200</v>
      </c>
      <c r="F28" s="8">
        <v>212.11</v>
      </c>
      <c r="G28" s="8">
        <v>3000</v>
      </c>
      <c r="H28" s="8">
        <v>0</v>
      </c>
      <c r="I28" s="8">
        <v>0</v>
      </c>
      <c r="J28" s="8">
        <v>3000</v>
      </c>
      <c r="K28" s="8">
        <v>0</v>
      </c>
      <c r="L28" s="8">
        <v>0</v>
      </c>
      <c r="M28" s="8">
        <v>0</v>
      </c>
      <c r="N28" s="8">
        <v>0</v>
      </c>
      <c r="O28" s="8">
        <v>59.69</v>
      </c>
      <c r="P28" s="8">
        <v>75.56</v>
      </c>
      <c r="Q28" s="8">
        <v>0</v>
      </c>
      <c r="R28" s="8">
        <v>0</v>
      </c>
      <c r="S28" s="8">
        <v>-0.05</v>
      </c>
      <c r="T28" s="8">
        <v>135.19999999999999</v>
      </c>
      <c r="U28" s="8">
        <f>+J28-T28</f>
        <v>2864.8</v>
      </c>
      <c r="V28" s="8">
        <v>55.68</v>
      </c>
      <c r="W28" s="8">
        <v>100.22</v>
      </c>
      <c r="X28" s="8">
        <v>314.22000000000003</v>
      </c>
      <c r="Y28" s="8">
        <v>253.63</v>
      </c>
      <c r="Z28" s="8">
        <v>60</v>
      </c>
      <c r="AA28" s="8">
        <v>25.34</v>
      </c>
      <c r="AB28" s="8">
        <v>470.12</v>
      </c>
      <c r="AC28" s="8">
        <v>159.08000000000001</v>
      </c>
      <c r="AD28" s="8">
        <v>221.82</v>
      </c>
      <c r="AE28" s="8">
        <v>110</v>
      </c>
      <c r="AF28" s="8">
        <f>((20/365.24)*15)*E28</f>
        <v>164.27554484722373</v>
      </c>
      <c r="AG28" s="95">
        <f t="shared" si="0"/>
        <v>2864.8</v>
      </c>
      <c r="AH28" s="95">
        <f t="shared" si="1"/>
        <v>57.296000000000006</v>
      </c>
      <c r="AI28" s="95">
        <f t="shared" si="2"/>
        <v>2922.096</v>
      </c>
      <c r="AJ28" s="95">
        <f t="shared" si="3"/>
        <v>1205.5500000000002</v>
      </c>
      <c r="AK28" s="95">
        <f t="shared" si="4"/>
        <v>60</v>
      </c>
      <c r="AL28" s="95">
        <f t="shared" si="5"/>
        <v>4187.6460000000006</v>
      </c>
      <c r="AM28" s="95">
        <f t="shared" si="6"/>
        <v>670.02336000000014</v>
      </c>
      <c r="AN28" s="95">
        <f t="shared" si="7"/>
        <v>4857.6693600000008</v>
      </c>
    </row>
    <row r="29" spans="1:40" s="8" customFormat="1" ht="15" x14ac:dyDescent="0.25">
      <c r="A29" s="8" t="s">
        <v>235</v>
      </c>
      <c r="B29" s="8" t="s">
        <v>236</v>
      </c>
      <c r="C29" s="8">
        <v>15</v>
      </c>
      <c r="D29" s="8">
        <v>0</v>
      </c>
      <c r="E29" s="8">
        <v>266.67</v>
      </c>
      <c r="F29" s="8">
        <v>282.81</v>
      </c>
      <c r="G29" s="8">
        <v>4000.05</v>
      </c>
      <c r="H29" s="8">
        <v>0</v>
      </c>
      <c r="I29" s="8">
        <v>0</v>
      </c>
      <c r="J29" s="8">
        <v>4000.05</v>
      </c>
      <c r="K29" s="8">
        <v>0</v>
      </c>
      <c r="L29" s="8">
        <v>0</v>
      </c>
      <c r="M29" s="8">
        <v>0</v>
      </c>
      <c r="N29" s="8">
        <v>0</v>
      </c>
      <c r="O29" s="8">
        <v>313.87</v>
      </c>
      <c r="P29" s="8">
        <v>102.51</v>
      </c>
      <c r="Q29" s="8">
        <v>0</v>
      </c>
      <c r="R29" s="8">
        <v>441</v>
      </c>
      <c r="S29" s="9">
        <v>7.0000000000000007E-2</v>
      </c>
      <c r="T29" s="8">
        <v>857.45</v>
      </c>
      <c r="U29" s="8">
        <f>+J29-T29</f>
        <v>3142.6000000000004</v>
      </c>
      <c r="V29" s="8">
        <v>74.239999999999995</v>
      </c>
      <c r="W29" s="8">
        <v>133.63</v>
      </c>
      <c r="X29" s="8">
        <v>337.62</v>
      </c>
      <c r="Y29" s="8">
        <v>274.83999999999997</v>
      </c>
      <c r="Z29" s="8">
        <v>80</v>
      </c>
      <c r="AA29" s="8">
        <v>33.79</v>
      </c>
      <c r="AB29" s="8">
        <v>545.49</v>
      </c>
      <c r="AC29" s="8">
        <v>212.11</v>
      </c>
      <c r="AD29" s="8">
        <v>232.42</v>
      </c>
      <c r="AE29" s="8">
        <v>110</v>
      </c>
      <c r="AF29" s="8">
        <f>((20/365.24)*15)*E29</f>
        <v>219.03679772204578</v>
      </c>
      <c r="AG29" s="95">
        <f t="shared" si="0"/>
        <v>3583.6000000000004</v>
      </c>
      <c r="AH29" s="95">
        <f t="shared" si="1"/>
        <v>71.672000000000011</v>
      </c>
      <c r="AI29" s="95">
        <f t="shared" si="2"/>
        <v>3655.2720000000004</v>
      </c>
      <c r="AJ29" s="95">
        <f t="shared" si="3"/>
        <v>1401.1599999999999</v>
      </c>
      <c r="AK29" s="95">
        <f t="shared" si="4"/>
        <v>80.001000000000005</v>
      </c>
      <c r="AL29" s="95">
        <f t="shared" si="5"/>
        <v>5136.4330000000009</v>
      </c>
      <c r="AM29" s="95">
        <f t="shared" si="6"/>
        <v>821.82928000000015</v>
      </c>
      <c r="AN29" s="95">
        <f t="shared" si="7"/>
        <v>5958.2622800000008</v>
      </c>
    </row>
    <row r="30" spans="1:40" s="8" customFormat="1" ht="15" x14ac:dyDescent="0.25">
      <c r="A30" s="8" t="s">
        <v>38</v>
      </c>
      <c r="B30" s="8" t="s">
        <v>181</v>
      </c>
      <c r="C30" s="8">
        <v>15</v>
      </c>
      <c r="D30" s="8">
        <v>0</v>
      </c>
      <c r="E30" s="8">
        <v>266.67</v>
      </c>
      <c r="F30" s="8">
        <v>282.81</v>
      </c>
      <c r="G30" s="8">
        <v>4000.05</v>
      </c>
      <c r="H30" s="8">
        <v>0</v>
      </c>
      <c r="I30" s="8">
        <v>0</v>
      </c>
      <c r="J30" s="8">
        <v>4000.05</v>
      </c>
      <c r="K30" s="8">
        <v>0</v>
      </c>
      <c r="L30" s="8">
        <v>0</v>
      </c>
      <c r="M30" s="8">
        <v>0</v>
      </c>
      <c r="N30" s="8">
        <v>0</v>
      </c>
      <c r="O30" s="8">
        <v>313.87</v>
      </c>
      <c r="P30" s="8">
        <v>102.51</v>
      </c>
      <c r="Q30" s="8">
        <v>0</v>
      </c>
      <c r="R30" s="8">
        <v>0</v>
      </c>
      <c r="S30" s="9">
        <v>-0.13</v>
      </c>
      <c r="T30" s="8">
        <v>416.25</v>
      </c>
      <c r="U30" s="8">
        <f>+J30-T30</f>
        <v>3583.8</v>
      </c>
      <c r="V30" s="8">
        <v>74.239999999999995</v>
      </c>
      <c r="W30" s="8">
        <v>133.63</v>
      </c>
      <c r="X30" s="8">
        <v>337.62</v>
      </c>
      <c r="Y30" s="8">
        <v>274.83999999999997</v>
      </c>
      <c r="Z30" s="8">
        <v>80</v>
      </c>
      <c r="AA30" s="8">
        <v>33.79</v>
      </c>
      <c r="AB30" s="8">
        <v>545.49</v>
      </c>
      <c r="AC30" s="8">
        <v>212.11</v>
      </c>
      <c r="AD30" s="8">
        <v>232.42</v>
      </c>
      <c r="AE30" s="8">
        <v>110</v>
      </c>
      <c r="AF30" s="8">
        <f>((20/365.24)*15)*E30</f>
        <v>219.03679772204578</v>
      </c>
      <c r="AG30" s="95">
        <f t="shared" si="0"/>
        <v>3583.8</v>
      </c>
      <c r="AH30" s="95">
        <f t="shared" si="1"/>
        <v>71.676000000000002</v>
      </c>
      <c r="AI30" s="95">
        <f t="shared" si="2"/>
        <v>3655.4760000000001</v>
      </c>
      <c r="AJ30" s="95">
        <f t="shared" si="3"/>
        <v>1401.1599999999999</v>
      </c>
      <c r="AK30" s="95">
        <f t="shared" si="4"/>
        <v>80.001000000000005</v>
      </c>
      <c r="AL30" s="95">
        <f t="shared" si="5"/>
        <v>5136.6370000000006</v>
      </c>
      <c r="AM30" s="95">
        <f t="shared" si="6"/>
        <v>821.86192000000017</v>
      </c>
      <c r="AN30" s="95">
        <f t="shared" si="7"/>
        <v>5958.4989200000009</v>
      </c>
    </row>
    <row r="31" spans="1:40" s="8" customFormat="1" ht="15" x14ac:dyDescent="0.25">
      <c r="A31" s="8" t="s">
        <v>306</v>
      </c>
      <c r="B31" s="8" t="s">
        <v>307</v>
      </c>
      <c r="C31" s="8">
        <v>15</v>
      </c>
      <c r="D31" s="8">
        <v>0</v>
      </c>
      <c r="E31" s="8">
        <v>266.67</v>
      </c>
      <c r="F31" s="8">
        <v>282.81</v>
      </c>
      <c r="G31" s="8">
        <v>4000</v>
      </c>
      <c r="H31" s="8">
        <v>0</v>
      </c>
      <c r="I31" s="8">
        <v>0</v>
      </c>
      <c r="J31" s="8">
        <v>4000</v>
      </c>
      <c r="K31" s="8">
        <v>0</v>
      </c>
      <c r="L31" s="8">
        <v>0</v>
      </c>
      <c r="M31" s="8">
        <v>0</v>
      </c>
      <c r="N31" s="8">
        <v>0</v>
      </c>
      <c r="O31" s="8">
        <v>313.87</v>
      </c>
      <c r="P31" s="8">
        <v>102.51</v>
      </c>
      <c r="Q31" s="8">
        <v>0</v>
      </c>
      <c r="R31" s="8">
        <v>0</v>
      </c>
      <c r="S31" s="8">
        <v>0.02</v>
      </c>
      <c r="T31" s="8">
        <v>416.4</v>
      </c>
      <c r="U31" s="8">
        <f>+J31-T31</f>
        <v>3583.6</v>
      </c>
      <c r="V31" s="8">
        <v>74.239999999999995</v>
      </c>
      <c r="W31" s="8">
        <v>133.63</v>
      </c>
      <c r="X31" s="8">
        <v>337.62</v>
      </c>
      <c r="Y31" s="8">
        <v>274.83999999999997</v>
      </c>
      <c r="Z31" s="8">
        <v>80</v>
      </c>
      <c r="AA31" s="8">
        <v>33.79</v>
      </c>
      <c r="AB31" s="8">
        <v>545.49</v>
      </c>
      <c r="AC31" s="8">
        <v>212.11</v>
      </c>
      <c r="AD31" s="8">
        <v>232.42</v>
      </c>
      <c r="AE31" s="8">
        <v>110</v>
      </c>
      <c r="AF31" s="8">
        <f>((20/365.24)*15)*E31</f>
        <v>219.03679772204578</v>
      </c>
      <c r="AG31" s="95">
        <f t="shared" si="0"/>
        <v>3583.6</v>
      </c>
      <c r="AH31" s="95">
        <f t="shared" si="1"/>
        <v>71.671999999999997</v>
      </c>
      <c r="AI31" s="95">
        <f t="shared" si="2"/>
        <v>3655.2719999999999</v>
      </c>
      <c r="AJ31" s="95">
        <f t="shared" si="3"/>
        <v>1401.1599999999999</v>
      </c>
      <c r="AK31" s="95">
        <f t="shared" si="4"/>
        <v>80</v>
      </c>
      <c r="AL31" s="95">
        <f t="shared" si="5"/>
        <v>5136.4319999999998</v>
      </c>
      <c r="AM31" s="95">
        <f t="shared" si="6"/>
        <v>821.82911999999999</v>
      </c>
      <c r="AN31" s="95">
        <f t="shared" si="7"/>
        <v>5958.2611200000001</v>
      </c>
    </row>
    <row r="32" spans="1:40" s="8" customFormat="1" ht="15" x14ac:dyDescent="0.25">
      <c r="A32" s="8" t="s">
        <v>147</v>
      </c>
      <c r="B32" s="8" t="s">
        <v>148</v>
      </c>
      <c r="C32" s="8">
        <v>15</v>
      </c>
      <c r="D32" s="8">
        <v>0</v>
      </c>
      <c r="E32" s="8">
        <v>333.33</v>
      </c>
      <c r="F32" s="8">
        <v>353.52</v>
      </c>
      <c r="G32" s="8">
        <v>5000</v>
      </c>
      <c r="H32" s="8">
        <v>0</v>
      </c>
      <c r="I32" s="8">
        <v>0</v>
      </c>
      <c r="J32" s="8">
        <v>5000</v>
      </c>
      <c r="K32" s="8">
        <v>0</v>
      </c>
      <c r="L32" s="8">
        <v>0</v>
      </c>
      <c r="M32" s="8">
        <v>0</v>
      </c>
      <c r="N32" s="8">
        <v>0</v>
      </c>
      <c r="O32" s="8">
        <v>461.64</v>
      </c>
      <c r="P32" s="8">
        <v>131.94999999999999</v>
      </c>
      <c r="Q32" s="8">
        <v>0</v>
      </c>
      <c r="R32" s="8">
        <v>0</v>
      </c>
      <c r="S32" s="8">
        <v>0.01</v>
      </c>
      <c r="T32" s="8">
        <v>593.59999999999991</v>
      </c>
      <c r="U32" s="8">
        <f>+J32-T32</f>
        <v>4406.3999999999996</v>
      </c>
      <c r="V32" s="8">
        <v>92.8</v>
      </c>
      <c r="W32" s="8">
        <v>167.04</v>
      </c>
      <c r="X32" s="8">
        <v>367.85</v>
      </c>
      <c r="Y32" s="8">
        <v>296.05</v>
      </c>
      <c r="Z32" s="8">
        <v>100</v>
      </c>
      <c r="AA32" s="8">
        <v>42.24</v>
      </c>
      <c r="AB32" s="8">
        <v>627.69000000000005</v>
      </c>
      <c r="AC32" s="8">
        <v>265.14</v>
      </c>
      <c r="AD32" s="8">
        <v>243.03</v>
      </c>
      <c r="AE32" s="8">
        <v>110</v>
      </c>
      <c r="AF32" s="8">
        <f>((20/365.24)*15)*E32</f>
        <v>273.78983681962541</v>
      </c>
      <c r="AG32" s="95">
        <f t="shared" si="0"/>
        <v>4406.3999999999996</v>
      </c>
      <c r="AH32" s="95">
        <f t="shared" si="1"/>
        <v>88.128</v>
      </c>
      <c r="AI32" s="95">
        <f t="shared" si="2"/>
        <v>4494.5279999999993</v>
      </c>
      <c r="AJ32" s="95">
        <f t="shared" si="3"/>
        <v>1606.1000000000001</v>
      </c>
      <c r="AK32" s="95">
        <f t="shared" si="4"/>
        <v>100</v>
      </c>
      <c r="AL32" s="95">
        <f t="shared" si="5"/>
        <v>6200.6279999999997</v>
      </c>
      <c r="AM32" s="95">
        <f t="shared" si="6"/>
        <v>992.10047999999995</v>
      </c>
      <c r="AN32" s="95">
        <f t="shared" si="7"/>
        <v>7192.7284799999998</v>
      </c>
    </row>
    <row r="33" spans="1:40" s="8" customFormat="1" ht="15" x14ac:dyDescent="0.25">
      <c r="A33" s="8" t="s">
        <v>196</v>
      </c>
      <c r="B33" s="8" t="s">
        <v>197</v>
      </c>
      <c r="C33" s="8">
        <v>15</v>
      </c>
      <c r="D33" s="8">
        <v>0</v>
      </c>
      <c r="E33" s="8">
        <v>266.67</v>
      </c>
      <c r="F33" s="8">
        <v>282.81</v>
      </c>
      <c r="G33" s="8">
        <v>4000</v>
      </c>
      <c r="H33" s="8">
        <v>0</v>
      </c>
      <c r="I33" s="8">
        <v>0</v>
      </c>
      <c r="J33" s="8">
        <v>4000</v>
      </c>
      <c r="K33" s="8">
        <v>0</v>
      </c>
      <c r="L33" s="8">
        <v>0</v>
      </c>
      <c r="M33" s="8">
        <v>0</v>
      </c>
      <c r="N33" s="8">
        <v>0</v>
      </c>
      <c r="O33" s="8">
        <v>313.87</v>
      </c>
      <c r="P33" s="8">
        <v>102.51</v>
      </c>
      <c r="Q33" s="8">
        <v>0</v>
      </c>
      <c r="R33" s="8">
        <v>345.25</v>
      </c>
      <c r="S33" s="9">
        <v>-0.03</v>
      </c>
      <c r="T33" s="8">
        <v>761.6</v>
      </c>
      <c r="U33" s="8">
        <f>+J33-T33</f>
        <v>3238.4</v>
      </c>
      <c r="V33" s="8">
        <v>74.239999999999995</v>
      </c>
      <c r="W33" s="8">
        <v>133.63</v>
      </c>
      <c r="X33" s="8">
        <v>337.62</v>
      </c>
      <c r="Y33" s="8">
        <v>274.83999999999997</v>
      </c>
      <c r="Z33" s="8">
        <v>80</v>
      </c>
      <c r="AA33" s="8">
        <v>33.79</v>
      </c>
      <c r="AB33" s="8">
        <v>545.49</v>
      </c>
      <c r="AC33" s="8">
        <v>212.11</v>
      </c>
      <c r="AD33" s="8">
        <v>232.42</v>
      </c>
      <c r="AE33" s="8">
        <v>110</v>
      </c>
      <c r="AF33" s="8">
        <f>((20/365.24)*15)*E33</f>
        <v>219.03679772204578</v>
      </c>
      <c r="AG33" s="95">
        <f t="shared" si="0"/>
        <v>3583.65</v>
      </c>
      <c r="AH33" s="95">
        <f t="shared" si="1"/>
        <v>71.673000000000002</v>
      </c>
      <c r="AI33" s="95">
        <f t="shared" si="2"/>
        <v>3655.3230000000003</v>
      </c>
      <c r="AJ33" s="95">
        <f t="shared" si="3"/>
        <v>1401.1599999999999</v>
      </c>
      <c r="AK33" s="95">
        <f t="shared" si="4"/>
        <v>80</v>
      </c>
      <c r="AL33" s="95">
        <f t="shared" si="5"/>
        <v>5136.4830000000002</v>
      </c>
      <c r="AM33" s="95">
        <f t="shared" si="6"/>
        <v>821.83728000000008</v>
      </c>
      <c r="AN33" s="95">
        <f t="shared" si="7"/>
        <v>5958.3202799999999</v>
      </c>
    </row>
    <row r="34" spans="1:40" s="8" customFormat="1" ht="15" x14ac:dyDescent="0.25">
      <c r="A34" s="8" t="s">
        <v>253</v>
      </c>
      <c r="B34" s="8" t="s">
        <v>254</v>
      </c>
      <c r="C34" s="8">
        <v>15</v>
      </c>
      <c r="D34" s="8">
        <v>0</v>
      </c>
      <c r="E34" s="8">
        <v>318.33</v>
      </c>
      <c r="F34" s="8">
        <v>337.61</v>
      </c>
      <c r="G34" s="8">
        <v>4775</v>
      </c>
      <c r="H34" s="8">
        <v>0</v>
      </c>
      <c r="I34" s="8">
        <v>0</v>
      </c>
      <c r="J34" s="8">
        <v>4775</v>
      </c>
      <c r="K34" s="8">
        <v>15</v>
      </c>
      <c r="L34" s="8">
        <v>1482.39</v>
      </c>
      <c r="M34" s="8">
        <v>0</v>
      </c>
      <c r="N34" s="8">
        <v>0</v>
      </c>
      <c r="O34" s="8">
        <v>424.67</v>
      </c>
      <c r="P34" s="8">
        <v>125.32</v>
      </c>
      <c r="Q34" s="8">
        <v>0</v>
      </c>
      <c r="R34" s="8">
        <v>0</v>
      </c>
      <c r="S34" s="9">
        <v>-0.18</v>
      </c>
      <c r="T34" s="8">
        <v>2047.2</v>
      </c>
      <c r="U34" s="8">
        <f>+J34-T34</f>
        <v>2727.8</v>
      </c>
      <c r="V34" s="8">
        <v>88.62</v>
      </c>
      <c r="W34" s="8">
        <v>159.52000000000001</v>
      </c>
      <c r="X34" s="8">
        <v>361.04</v>
      </c>
      <c r="Y34" s="8">
        <v>291.27999999999997</v>
      </c>
      <c r="Z34" s="8">
        <v>95.5</v>
      </c>
      <c r="AA34" s="8">
        <v>40.340000000000003</v>
      </c>
      <c r="AB34" s="8">
        <v>609.17999999999995</v>
      </c>
      <c r="AC34" s="8">
        <v>253.21</v>
      </c>
      <c r="AD34" s="8">
        <v>240.64</v>
      </c>
      <c r="AE34" s="8">
        <v>110</v>
      </c>
      <c r="AF34" s="8">
        <f>((20/365.24)*15)*E34</f>
        <v>261.46917095608364</v>
      </c>
      <c r="AG34" s="95">
        <f t="shared" si="0"/>
        <v>4225.1900000000005</v>
      </c>
      <c r="AH34" s="95">
        <f t="shared" si="1"/>
        <v>84.503800000000012</v>
      </c>
      <c r="AI34" s="95">
        <f t="shared" si="2"/>
        <v>4309.6938000000009</v>
      </c>
      <c r="AJ34" s="95">
        <f t="shared" si="3"/>
        <v>1559.9699999999998</v>
      </c>
      <c r="AK34" s="95">
        <f t="shared" si="4"/>
        <v>95.5</v>
      </c>
      <c r="AL34" s="95">
        <f t="shared" si="5"/>
        <v>5965.1638000000003</v>
      </c>
      <c r="AM34" s="95">
        <f t="shared" si="6"/>
        <v>954.42620800000009</v>
      </c>
      <c r="AN34" s="95">
        <f t="shared" si="7"/>
        <v>6919.5900080000001</v>
      </c>
    </row>
    <row r="35" spans="1:40" s="8" customFormat="1" ht="15" x14ac:dyDescent="0.25">
      <c r="A35" s="8" t="s">
        <v>124</v>
      </c>
      <c r="B35" s="8" t="s">
        <v>125</v>
      </c>
      <c r="C35" s="8">
        <v>15</v>
      </c>
      <c r="D35" s="8">
        <v>0</v>
      </c>
      <c r="E35" s="8">
        <v>250</v>
      </c>
      <c r="F35" s="8">
        <v>265.14</v>
      </c>
      <c r="G35" s="8">
        <v>3750</v>
      </c>
      <c r="H35" s="8">
        <v>0</v>
      </c>
      <c r="I35" s="8">
        <v>0</v>
      </c>
      <c r="J35" s="8">
        <v>3750</v>
      </c>
      <c r="K35" s="8">
        <v>15</v>
      </c>
      <c r="L35" s="8">
        <v>0</v>
      </c>
      <c r="M35" s="8">
        <v>1346.54</v>
      </c>
      <c r="N35" s="8">
        <v>0</v>
      </c>
      <c r="O35" s="8">
        <v>286.67</v>
      </c>
      <c r="P35" s="8">
        <v>95.15</v>
      </c>
      <c r="Q35" s="8">
        <v>0</v>
      </c>
      <c r="R35" s="8">
        <v>0</v>
      </c>
      <c r="S35" s="8">
        <v>0.04</v>
      </c>
      <c r="T35" s="8">
        <v>1743.4</v>
      </c>
      <c r="U35" s="8">
        <f>+J35-T35</f>
        <v>2006.6</v>
      </c>
      <c r="V35" s="8">
        <v>69.599999999999994</v>
      </c>
      <c r="W35" s="8">
        <v>125.28</v>
      </c>
      <c r="X35" s="8">
        <v>330.07</v>
      </c>
      <c r="Y35" s="8">
        <v>269.54000000000002</v>
      </c>
      <c r="Z35" s="8">
        <v>75</v>
      </c>
      <c r="AA35" s="8">
        <v>31.68</v>
      </c>
      <c r="AB35" s="8">
        <v>524.95000000000005</v>
      </c>
      <c r="AC35" s="8">
        <v>198.85</v>
      </c>
      <c r="AD35" s="8">
        <v>229.77</v>
      </c>
      <c r="AE35" s="8">
        <v>110</v>
      </c>
      <c r="AF35" s="8">
        <f>((20/365.24)*15)*E35</f>
        <v>205.34443105902966</v>
      </c>
      <c r="AG35" s="95">
        <f t="shared" si="0"/>
        <v>3368.14</v>
      </c>
      <c r="AH35" s="95">
        <f t="shared" si="1"/>
        <v>67.362799999999993</v>
      </c>
      <c r="AI35" s="95">
        <f t="shared" si="2"/>
        <v>3435.5027999999998</v>
      </c>
      <c r="AJ35" s="95">
        <f t="shared" si="3"/>
        <v>1349.9399999999998</v>
      </c>
      <c r="AK35" s="95">
        <f t="shared" si="4"/>
        <v>75</v>
      </c>
      <c r="AL35" s="95">
        <f t="shared" si="5"/>
        <v>4860.4427999999998</v>
      </c>
      <c r="AM35" s="95">
        <f t="shared" si="6"/>
        <v>777.67084799999998</v>
      </c>
      <c r="AN35" s="95">
        <f t="shared" si="7"/>
        <v>5638.1136479999996</v>
      </c>
    </row>
    <row r="36" spans="1:40" s="8" customFormat="1" ht="15" x14ac:dyDescent="0.25">
      <c r="A36" s="8" t="s">
        <v>183</v>
      </c>
      <c r="B36" s="8" t="s">
        <v>184</v>
      </c>
      <c r="C36" s="8">
        <v>15</v>
      </c>
      <c r="D36" s="8">
        <v>0</v>
      </c>
      <c r="E36" s="8">
        <v>283.33</v>
      </c>
      <c r="F36" s="8">
        <v>300.49</v>
      </c>
      <c r="G36" s="8">
        <v>4250</v>
      </c>
      <c r="H36" s="8">
        <v>0</v>
      </c>
      <c r="I36" s="8">
        <v>0</v>
      </c>
      <c r="J36" s="8">
        <v>4250</v>
      </c>
      <c r="K36" s="8">
        <v>0</v>
      </c>
      <c r="L36" s="8">
        <v>0</v>
      </c>
      <c r="M36" s="8">
        <v>0</v>
      </c>
      <c r="N36" s="8">
        <v>0</v>
      </c>
      <c r="O36" s="8">
        <v>341.07</v>
      </c>
      <c r="P36" s="8">
        <v>109.87</v>
      </c>
      <c r="Q36" s="8">
        <v>0</v>
      </c>
      <c r="R36" s="8">
        <v>0</v>
      </c>
      <c r="S36" s="8">
        <v>0.06</v>
      </c>
      <c r="T36" s="8">
        <v>451</v>
      </c>
      <c r="U36" s="8">
        <f>+J36-T36</f>
        <v>3799</v>
      </c>
      <c r="V36" s="8">
        <v>78.88</v>
      </c>
      <c r="W36" s="8">
        <v>141.97999999999999</v>
      </c>
      <c r="X36" s="8">
        <v>345.18</v>
      </c>
      <c r="Y36" s="8">
        <v>280.14999999999998</v>
      </c>
      <c r="Z36" s="8">
        <v>85</v>
      </c>
      <c r="AA36" s="8">
        <v>35.9</v>
      </c>
      <c r="AB36" s="8">
        <v>566.04</v>
      </c>
      <c r="AC36" s="8">
        <v>225.37</v>
      </c>
      <c r="AD36" s="8">
        <v>235.07</v>
      </c>
      <c r="AE36" s="8">
        <v>110</v>
      </c>
      <c r="AF36" s="8">
        <f>((20/365.24)*15)*E36</f>
        <v>232.72095060781947</v>
      </c>
      <c r="AG36" s="95">
        <f t="shared" si="0"/>
        <v>3799</v>
      </c>
      <c r="AH36" s="95">
        <f t="shared" si="1"/>
        <v>75.98</v>
      </c>
      <c r="AI36" s="95">
        <f t="shared" si="2"/>
        <v>3874.98</v>
      </c>
      <c r="AJ36" s="95">
        <f t="shared" si="3"/>
        <v>1452.3999999999999</v>
      </c>
      <c r="AK36" s="95">
        <f t="shared" si="4"/>
        <v>85</v>
      </c>
      <c r="AL36" s="95">
        <f t="shared" si="5"/>
        <v>5412.38</v>
      </c>
      <c r="AM36" s="95">
        <f t="shared" si="6"/>
        <v>865.98080000000004</v>
      </c>
      <c r="AN36" s="95">
        <f t="shared" si="7"/>
        <v>6278.3608000000004</v>
      </c>
    </row>
    <row r="37" spans="1:40" s="8" customFormat="1" ht="15" x14ac:dyDescent="0.25">
      <c r="A37" s="8" t="s">
        <v>144</v>
      </c>
      <c r="B37" s="8" t="s">
        <v>145</v>
      </c>
      <c r="C37" s="8">
        <v>14</v>
      </c>
      <c r="D37" s="8">
        <v>1</v>
      </c>
      <c r="E37" s="8">
        <v>266.67</v>
      </c>
      <c r="F37" s="8">
        <v>278.72000000000003</v>
      </c>
      <c r="G37" s="8">
        <v>3733.38</v>
      </c>
      <c r="H37" s="8">
        <v>266.67</v>
      </c>
      <c r="I37" s="8">
        <v>80</v>
      </c>
      <c r="J37" s="8">
        <v>4080.05</v>
      </c>
      <c r="K37" s="8">
        <v>0</v>
      </c>
      <c r="L37" s="8">
        <v>0</v>
      </c>
      <c r="M37" s="8">
        <v>0</v>
      </c>
      <c r="N37" s="8">
        <v>0</v>
      </c>
      <c r="O37" s="8">
        <v>313.87</v>
      </c>
      <c r="P37" s="8">
        <v>100.81</v>
      </c>
      <c r="Q37" s="8">
        <v>0</v>
      </c>
      <c r="R37" s="8">
        <v>0</v>
      </c>
      <c r="S37" s="9">
        <v>-0.03</v>
      </c>
      <c r="T37" s="8">
        <v>414.65000000000003</v>
      </c>
      <c r="U37" s="8">
        <f>+J37-T37</f>
        <v>3665.4</v>
      </c>
      <c r="V37" s="8">
        <v>73.17</v>
      </c>
      <c r="W37" s="8">
        <v>131.69999999999999</v>
      </c>
      <c r="X37" s="8">
        <v>335.88</v>
      </c>
      <c r="Y37" s="8">
        <v>273.62</v>
      </c>
      <c r="Z37" s="8">
        <v>81.599999999999994</v>
      </c>
      <c r="AA37" s="8">
        <v>33.299999999999997</v>
      </c>
      <c r="AB37" s="8">
        <v>540.75</v>
      </c>
      <c r="AC37" s="8">
        <v>209.04</v>
      </c>
      <c r="AD37" s="8">
        <v>231.81</v>
      </c>
      <c r="AE37" s="8">
        <v>110</v>
      </c>
      <c r="AF37" s="8">
        <f>((20/365.24)*15)*E37</f>
        <v>219.03679772204578</v>
      </c>
      <c r="AG37" s="95">
        <f t="shared" si="0"/>
        <v>3665.4</v>
      </c>
      <c r="AH37" s="95">
        <f t="shared" si="1"/>
        <v>73.308000000000007</v>
      </c>
      <c r="AI37" s="95">
        <f t="shared" si="2"/>
        <v>3738.7080000000001</v>
      </c>
      <c r="AJ37" s="95">
        <f t="shared" si="3"/>
        <v>1389.33</v>
      </c>
      <c r="AK37" s="95">
        <f t="shared" si="4"/>
        <v>81.600999999999999</v>
      </c>
      <c r="AL37" s="95">
        <f t="shared" si="5"/>
        <v>5209.6390000000001</v>
      </c>
      <c r="AM37" s="95">
        <f t="shared" si="6"/>
        <v>833.54223999999999</v>
      </c>
      <c r="AN37" s="95">
        <f t="shared" si="7"/>
        <v>6043.1812399999999</v>
      </c>
    </row>
    <row r="38" spans="1:40" s="8" customFormat="1" ht="15" x14ac:dyDescent="0.25">
      <c r="A38" s="8" t="s">
        <v>216</v>
      </c>
      <c r="B38" s="8" t="s">
        <v>217</v>
      </c>
      <c r="C38" s="8">
        <v>15</v>
      </c>
      <c r="D38" s="8">
        <v>0</v>
      </c>
      <c r="E38" s="8">
        <v>283.33</v>
      </c>
      <c r="F38" s="8">
        <v>300.49</v>
      </c>
      <c r="G38" s="8">
        <v>4250</v>
      </c>
      <c r="H38" s="8">
        <v>0</v>
      </c>
      <c r="I38" s="8">
        <v>0</v>
      </c>
      <c r="J38" s="8">
        <v>4250</v>
      </c>
      <c r="K38" s="8">
        <v>15</v>
      </c>
      <c r="L38" s="8">
        <v>0</v>
      </c>
      <c r="M38" s="8">
        <v>534.91999999999996</v>
      </c>
      <c r="N38" s="8">
        <v>0</v>
      </c>
      <c r="O38" s="8">
        <v>341.07</v>
      </c>
      <c r="P38" s="8">
        <v>109.87</v>
      </c>
      <c r="Q38" s="8">
        <v>0</v>
      </c>
      <c r="R38" s="8">
        <v>594</v>
      </c>
      <c r="S38" s="8">
        <v>-0.06</v>
      </c>
      <c r="T38" s="8">
        <v>1594.8000000000002</v>
      </c>
      <c r="U38" s="8">
        <f>+J38-T38</f>
        <v>2655.2</v>
      </c>
      <c r="V38" s="8">
        <v>78.88</v>
      </c>
      <c r="W38" s="8">
        <v>141.97999999999999</v>
      </c>
      <c r="X38" s="8">
        <v>345.18</v>
      </c>
      <c r="Y38" s="8">
        <v>280.14999999999998</v>
      </c>
      <c r="Z38" s="8">
        <v>85</v>
      </c>
      <c r="AA38" s="8">
        <v>35.9</v>
      </c>
      <c r="AB38" s="8">
        <v>566.04</v>
      </c>
      <c r="AC38" s="8">
        <v>225.37</v>
      </c>
      <c r="AD38" s="8">
        <v>235.07</v>
      </c>
      <c r="AE38" s="8">
        <v>110</v>
      </c>
      <c r="AF38" s="8">
        <f>((20/365.24)*15)*E38</f>
        <v>232.72095060781947</v>
      </c>
      <c r="AG38" s="95">
        <f t="shared" si="0"/>
        <v>3799.12</v>
      </c>
      <c r="AH38" s="95">
        <f t="shared" si="1"/>
        <v>75.982399999999998</v>
      </c>
      <c r="AI38" s="95">
        <f t="shared" si="2"/>
        <v>3875.1023999999998</v>
      </c>
      <c r="AJ38" s="95">
        <f t="shared" si="3"/>
        <v>1452.3999999999999</v>
      </c>
      <c r="AK38" s="95">
        <f t="shared" si="4"/>
        <v>85</v>
      </c>
      <c r="AL38" s="95">
        <f t="shared" si="5"/>
        <v>5412.5023999999994</v>
      </c>
      <c r="AM38" s="95">
        <f t="shared" si="6"/>
        <v>866.00038399999994</v>
      </c>
      <c r="AN38" s="95">
        <f t="shared" si="7"/>
        <v>6278.5027839999993</v>
      </c>
    </row>
    <row r="39" spans="1:40" s="8" customFormat="1" ht="15" x14ac:dyDescent="0.25">
      <c r="A39" s="8" t="s">
        <v>316</v>
      </c>
      <c r="B39" s="8" t="s">
        <v>317</v>
      </c>
      <c r="C39" s="8">
        <v>15</v>
      </c>
      <c r="D39" s="8">
        <v>0</v>
      </c>
      <c r="E39" s="8">
        <v>266.67</v>
      </c>
      <c r="F39" s="8">
        <v>282.81</v>
      </c>
      <c r="G39" s="8">
        <v>4000.05</v>
      </c>
      <c r="H39" s="8">
        <v>0</v>
      </c>
      <c r="I39" s="8">
        <v>0</v>
      </c>
      <c r="J39" s="8">
        <v>4000.05</v>
      </c>
      <c r="K39" s="8">
        <v>0</v>
      </c>
      <c r="L39" s="8">
        <v>0</v>
      </c>
      <c r="M39" s="8">
        <v>0</v>
      </c>
      <c r="N39" s="8">
        <v>0</v>
      </c>
      <c r="O39" s="8">
        <v>313.87</v>
      </c>
      <c r="P39" s="8">
        <v>102.51</v>
      </c>
      <c r="Q39" s="8">
        <v>0</v>
      </c>
      <c r="R39" s="8">
        <v>0</v>
      </c>
      <c r="S39" s="8">
        <v>7.0000000000000007E-2</v>
      </c>
      <c r="T39" s="8">
        <v>416.45</v>
      </c>
      <c r="U39" s="8">
        <f>+J39-T39</f>
        <v>3583.6000000000004</v>
      </c>
      <c r="V39" s="8">
        <v>74.239999999999995</v>
      </c>
      <c r="W39" s="8">
        <v>133.63</v>
      </c>
      <c r="X39" s="8">
        <v>337.62</v>
      </c>
      <c r="Y39" s="8">
        <v>274.83999999999997</v>
      </c>
      <c r="Z39" s="8">
        <v>80</v>
      </c>
      <c r="AA39" s="8">
        <v>33.79</v>
      </c>
      <c r="AB39" s="8">
        <v>545.49</v>
      </c>
      <c r="AC39" s="8">
        <v>212.11</v>
      </c>
      <c r="AD39" s="8">
        <v>232.42</v>
      </c>
      <c r="AE39" s="8">
        <v>110</v>
      </c>
      <c r="AF39" s="8">
        <f>((20/365.24)*15)*E39</f>
        <v>219.03679772204578</v>
      </c>
      <c r="AG39" s="95">
        <f t="shared" si="0"/>
        <v>3583.6000000000004</v>
      </c>
      <c r="AH39" s="95">
        <f t="shared" si="1"/>
        <v>71.672000000000011</v>
      </c>
      <c r="AI39" s="95">
        <f t="shared" si="2"/>
        <v>3655.2720000000004</v>
      </c>
      <c r="AJ39" s="95">
        <f t="shared" si="3"/>
        <v>1401.1599999999999</v>
      </c>
      <c r="AK39" s="95">
        <f t="shared" si="4"/>
        <v>80.001000000000005</v>
      </c>
      <c r="AL39" s="95">
        <f t="shared" si="5"/>
        <v>5136.4330000000009</v>
      </c>
      <c r="AM39" s="95">
        <f t="shared" si="6"/>
        <v>821.82928000000015</v>
      </c>
      <c r="AN39" s="95">
        <f t="shared" si="7"/>
        <v>5958.2622800000008</v>
      </c>
    </row>
    <row r="40" spans="1:40" s="8" customFormat="1" ht="15" x14ac:dyDescent="0.25">
      <c r="A40" s="8" t="s">
        <v>340</v>
      </c>
      <c r="B40" s="8" t="s">
        <v>341</v>
      </c>
      <c r="C40" s="8">
        <v>15</v>
      </c>
      <c r="D40" s="8">
        <v>0</v>
      </c>
      <c r="E40" s="8">
        <v>266.67</v>
      </c>
      <c r="F40" s="8">
        <v>282.81</v>
      </c>
      <c r="G40" s="8">
        <v>4000.05</v>
      </c>
      <c r="H40" s="8">
        <v>0</v>
      </c>
      <c r="I40" s="8">
        <v>0</v>
      </c>
      <c r="J40" s="8">
        <v>4000.05</v>
      </c>
      <c r="K40" s="8">
        <v>15</v>
      </c>
      <c r="L40" s="8">
        <v>1793.34</v>
      </c>
      <c r="M40" s="8">
        <v>0</v>
      </c>
      <c r="N40" s="8">
        <v>0</v>
      </c>
      <c r="O40" s="8">
        <v>313.87</v>
      </c>
      <c r="P40" s="8">
        <v>102.51</v>
      </c>
      <c r="Q40" s="8">
        <v>0</v>
      </c>
      <c r="R40" s="8">
        <v>0</v>
      </c>
      <c r="S40" s="8">
        <v>-7.0000000000000007E-2</v>
      </c>
      <c r="T40" s="8">
        <v>2224.65</v>
      </c>
      <c r="U40" s="8">
        <f>+J40-T40</f>
        <v>1775.4</v>
      </c>
      <c r="V40" s="8">
        <v>74.239999999999995</v>
      </c>
      <c r="W40" s="8">
        <v>133.63</v>
      </c>
      <c r="X40" s="8">
        <v>337.62</v>
      </c>
      <c r="Y40" s="8">
        <v>274.83999999999997</v>
      </c>
      <c r="Z40" s="8">
        <v>80</v>
      </c>
      <c r="AA40" s="8">
        <v>33.79</v>
      </c>
      <c r="AB40" s="8">
        <v>545.49</v>
      </c>
      <c r="AC40" s="8">
        <v>212.11</v>
      </c>
      <c r="AD40" s="8">
        <v>232.42</v>
      </c>
      <c r="AE40" s="8">
        <v>110</v>
      </c>
      <c r="AF40" s="8">
        <f>((20/365.24)*15)*E40</f>
        <v>219.03679772204578</v>
      </c>
      <c r="AG40" s="95">
        <f t="shared" si="0"/>
        <v>3583.74</v>
      </c>
      <c r="AH40" s="95">
        <f t="shared" si="1"/>
        <v>71.674799999999991</v>
      </c>
      <c r="AI40" s="95">
        <f t="shared" si="2"/>
        <v>3655.4147999999996</v>
      </c>
      <c r="AJ40" s="95">
        <f t="shared" si="3"/>
        <v>1401.1599999999999</v>
      </c>
      <c r="AK40" s="95">
        <f t="shared" si="4"/>
        <v>80.001000000000005</v>
      </c>
      <c r="AL40" s="95">
        <f t="shared" si="5"/>
        <v>5136.5757999999996</v>
      </c>
      <c r="AM40" s="95">
        <f t="shared" si="6"/>
        <v>821.85212799999999</v>
      </c>
      <c r="AN40" s="95">
        <f t="shared" si="7"/>
        <v>5958.4279279999992</v>
      </c>
    </row>
    <row r="41" spans="1:40" s="8" customFormat="1" ht="15" x14ac:dyDescent="0.25">
      <c r="A41" s="8" t="s">
        <v>244</v>
      </c>
      <c r="B41" s="8" t="s">
        <v>245</v>
      </c>
      <c r="C41" s="8">
        <v>15</v>
      </c>
      <c r="D41" s="8">
        <v>0</v>
      </c>
      <c r="E41" s="8">
        <v>466.67</v>
      </c>
      <c r="F41" s="8">
        <v>494.92</v>
      </c>
      <c r="G41" s="8">
        <v>7000.05</v>
      </c>
      <c r="H41" s="8">
        <v>0</v>
      </c>
      <c r="I41" s="8">
        <v>0</v>
      </c>
      <c r="J41" s="8">
        <v>7000.05</v>
      </c>
      <c r="K41" s="8">
        <v>0</v>
      </c>
      <c r="L41" s="8">
        <v>0</v>
      </c>
      <c r="M41" s="8">
        <v>0</v>
      </c>
      <c r="N41" s="8">
        <v>0</v>
      </c>
      <c r="O41" s="8">
        <v>856.99</v>
      </c>
      <c r="P41" s="8">
        <v>190.81</v>
      </c>
      <c r="Q41" s="8">
        <v>0</v>
      </c>
      <c r="R41" s="8">
        <v>0</v>
      </c>
      <c r="S41" s="9">
        <v>-0.15</v>
      </c>
      <c r="T41" s="8">
        <v>1047.6499999999999</v>
      </c>
      <c r="U41" s="8">
        <f>+J41-T41</f>
        <v>5952.4000000000005</v>
      </c>
      <c r="V41" s="8">
        <v>129.91999999999999</v>
      </c>
      <c r="W41" s="8">
        <v>233.85</v>
      </c>
      <c r="X41" s="8">
        <v>428.3</v>
      </c>
      <c r="Y41" s="8">
        <v>338.48</v>
      </c>
      <c r="Z41" s="8">
        <v>140</v>
      </c>
      <c r="AA41" s="8">
        <v>59.14</v>
      </c>
      <c r="AB41" s="8">
        <v>792.07</v>
      </c>
      <c r="AC41" s="8">
        <v>371.19</v>
      </c>
      <c r="AD41" s="8">
        <v>264.24</v>
      </c>
      <c r="AE41" s="8">
        <v>110</v>
      </c>
      <c r="AF41" s="8">
        <f>((20/365.24)*15)*E41</f>
        <v>383.3123425692695</v>
      </c>
      <c r="AG41" s="95">
        <f t="shared" si="0"/>
        <v>5952.4000000000005</v>
      </c>
      <c r="AH41" s="95">
        <f t="shared" si="1"/>
        <v>119.04800000000002</v>
      </c>
      <c r="AI41" s="95">
        <f t="shared" si="2"/>
        <v>6071.4480000000003</v>
      </c>
      <c r="AJ41" s="95">
        <f t="shared" si="3"/>
        <v>2015.9300000000003</v>
      </c>
      <c r="AK41" s="95">
        <f t="shared" si="4"/>
        <v>140.001</v>
      </c>
      <c r="AL41" s="95">
        <f t="shared" si="5"/>
        <v>8227.3790000000008</v>
      </c>
      <c r="AM41" s="95">
        <f t="shared" si="6"/>
        <v>1316.3806400000001</v>
      </c>
      <c r="AN41" s="95">
        <f t="shared" si="7"/>
        <v>9543.7596400000002</v>
      </c>
    </row>
    <row r="42" spans="1:40" s="8" customFormat="1" ht="15" x14ac:dyDescent="0.25">
      <c r="A42" s="8" t="s">
        <v>113</v>
      </c>
      <c r="B42" s="8" t="s">
        <v>114</v>
      </c>
      <c r="C42" s="8">
        <v>15</v>
      </c>
      <c r="D42" s="8">
        <v>0</v>
      </c>
      <c r="E42" s="8">
        <v>266.67</v>
      </c>
      <c r="F42" s="8">
        <v>282.81</v>
      </c>
      <c r="G42" s="8">
        <v>4000.05</v>
      </c>
      <c r="H42" s="8">
        <v>0</v>
      </c>
      <c r="I42" s="8">
        <v>0</v>
      </c>
      <c r="J42" s="8">
        <v>4000.05</v>
      </c>
      <c r="K42" s="8">
        <v>0</v>
      </c>
      <c r="L42" s="8">
        <v>0</v>
      </c>
      <c r="M42" s="8">
        <v>0</v>
      </c>
      <c r="N42" s="8">
        <v>0</v>
      </c>
      <c r="O42" s="8">
        <v>313.87</v>
      </c>
      <c r="P42" s="8">
        <v>102.51</v>
      </c>
      <c r="Q42" s="8">
        <v>0</v>
      </c>
      <c r="R42" s="8">
        <v>202.5</v>
      </c>
      <c r="S42" s="8">
        <v>0.17</v>
      </c>
      <c r="T42" s="8">
        <v>619.04999999999995</v>
      </c>
      <c r="U42" s="8">
        <f>+J42-T42</f>
        <v>3381</v>
      </c>
      <c r="V42" s="8">
        <v>74.239999999999995</v>
      </c>
      <c r="W42" s="8">
        <v>133.63</v>
      </c>
      <c r="X42" s="8">
        <v>337.62</v>
      </c>
      <c r="Y42" s="8">
        <v>274.83999999999997</v>
      </c>
      <c r="Z42" s="8">
        <v>80</v>
      </c>
      <c r="AA42" s="8">
        <v>33.79</v>
      </c>
      <c r="AB42" s="8">
        <v>545.49</v>
      </c>
      <c r="AC42" s="8">
        <v>212.11</v>
      </c>
      <c r="AD42" s="8">
        <v>232.42</v>
      </c>
      <c r="AE42" s="8">
        <v>110</v>
      </c>
      <c r="AF42" s="8">
        <f>((20/365.24)*15)*E42</f>
        <v>219.03679772204578</v>
      </c>
      <c r="AG42" s="95">
        <f t="shared" si="0"/>
        <v>3583.5</v>
      </c>
      <c r="AH42" s="95">
        <f t="shared" si="1"/>
        <v>71.67</v>
      </c>
      <c r="AI42" s="95">
        <f t="shared" si="2"/>
        <v>3655.17</v>
      </c>
      <c r="AJ42" s="95">
        <f t="shared" si="3"/>
        <v>1401.1599999999999</v>
      </c>
      <c r="AK42" s="95">
        <f t="shared" si="4"/>
        <v>80.001000000000005</v>
      </c>
      <c r="AL42" s="95">
        <f t="shared" si="5"/>
        <v>5136.3310000000001</v>
      </c>
      <c r="AM42" s="95">
        <f t="shared" si="6"/>
        <v>821.81296000000009</v>
      </c>
      <c r="AN42" s="95">
        <f t="shared" si="7"/>
        <v>5958.1439600000003</v>
      </c>
    </row>
    <row r="43" spans="1:40" s="8" customFormat="1" ht="15" x14ac:dyDescent="0.25">
      <c r="A43" s="8" t="s">
        <v>334</v>
      </c>
      <c r="B43" s="8" t="s">
        <v>335</v>
      </c>
      <c r="C43" s="8">
        <v>15</v>
      </c>
      <c r="D43" s="8">
        <v>0</v>
      </c>
      <c r="E43" s="8">
        <v>266.67</v>
      </c>
      <c r="F43" s="8">
        <v>282.81</v>
      </c>
      <c r="G43" s="8">
        <v>4000.05</v>
      </c>
      <c r="H43" s="8">
        <v>0</v>
      </c>
      <c r="I43" s="8">
        <v>0</v>
      </c>
      <c r="J43" s="8">
        <v>4000.05</v>
      </c>
      <c r="K43" s="8">
        <v>0</v>
      </c>
      <c r="L43" s="8">
        <v>0</v>
      </c>
      <c r="M43" s="8">
        <v>0</v>
      </c>
      <c r="N43" s="8">
        <v>0</v>
      </c>
      <c r="O43" s="8">
        <v>313.87</v>
      </c>
      <c r="P43" s="8">
        <v>102.51</v>
      </c>
      <c r="Q43" s="8">
        <v>0</v>
      </c>
      <c r="R43" s="8">
        <v>0</v>
      </c>
      <c r="S43" s="9">
        <v>-0.13</v>
      </c>
      <c r="T43" s="8">
        <v>416.25</v>
      </c>
      <c r="U43" s="8">
        <f>+J43-T43</f>
        <v>3583.8</v>
      </c>
      <c r="V43" s="8">
        <v>74.239999999999995</v>
      </c>
      <c r="W43" s="8">
        <v>133.63</v>
      </c>
      <c r="X43" s="8">
        <v>337.62</v>
      </c>
      <c r="Y43" s="8">
        <v>274.83999999999997</v>
      </c>
      <c r="Z43" s="8">
        <v>80</v>
      </c>
      <c r="AA43" s="8">
        <v>33.79</v>
      </c>
      <c r="AB43" s="8">
        <v>545.49</v>
      </c>
      <c r="AC43" s="8">
        <v>212.11</v>
      </c>
      <c r="AD43" s="8">
        <v>232.42</v>
      </c>
      <c r="AE43" s="8">
        <v>110</v>
      </c>
      <c r="AF43" s="8">
        <f>((20/365.24)*15)*E43</f>
        <v>219.03679772204578</v>
      </c>
      <c r="AG43" s="95">
        <f t="shared" si="0"/>
        <v>3583.8</v>
      </c>
      <c r="AH43" s="95">
        <f t="shared" si="1"/>
        <v>71.676000000000002</v>
      </c>
      <c r="AI43" s="95">
        <f t="shared" si="2"/>
        <v>3655.4760000000001</v>
      </c>
      <c r="AJ43" s="95">
        <f t="shared" si="3"/>
        <v>1401.1599999999999</v>
      </c>
      <c r="AK43" s="95">
        <f t="shared" si="4"/>
        <v>80.001000000000005</v>
      </c>
      <c r="AL43" s="95">
        <f t="shared" si="5"/>
        <v>5136.6370000000006</v>
      </c>
      <c r="AM43" s="95">
        <f t="shared" si="6"/>
        <v>821.86192000000017</v>
      </c>
      <c r="AN43" s="95">
        <f t="shared" si="7"/>
        <v>5958.4989200000009</v>
      </c>
    </row>
    <row r="44" spans="1:40" s="8" customFormat="1" ht="15" x14ac:dyDescent="0.25">
      <c r="A44" s="8" t="s">
        <v>175</v>
      </c>
      <c r="B44" s="8" t="s">
        <v>176</v>
      </c>
      <c r="C44" s="8">
        <v>14</v>
      </c>
      <c r="D44" s="8">
        <v>1</v>
      </c>
      <c r="E44" s="8">
        <v>200</v>
      </c>
      <c r="F44" s="8">
        <v>212.11</v>
      </c>
      <c r="G44" s="8">
        <v>2800</v>
      </c>
      <c r="H44" s="8">
        <v>200</v>
      </c>
      <c r="I44" s="8">
        <v>60</v>
      </c>
      <c r="J44" s="8">
        <v>3060</v>
      </c>
      <c r="K44" s="8">
        <v>0</v>
      </c>
      <c r="L44" s="8">
        <v>0</v>
      </c>
      <c r="M44" s="8">
        <v>0</v>
      </c>
      <c r="N44" s="8">
        <v>0</v>
      </c>
      <c r="O44" s="8">
        <v>59.69</v>
      </c>
      <c r="P44" s="8">
        <v>75.56</v>
      </c>
      <c r="Q44" s="8">
        <v>0</v>
      </c>
      <c r="R44" s="8">
        <v>0</v>
      </c>
      <c r="S44" s="9">
        <v>-0.05</v>
      </c>
      <c r="T44" s="8">
        <v>135.19999999999999</v>
      </c>
      <c r="U44" s="8">
        <f>+J44-T44</f>
        <v>2924.8</v>
      </c>
      <c r="V44" s="8">
        <v>55.68</v>
      </c>
      <c r="W44" s="8">
        <v>100.22</v>
      </c>
      <c r="X44" s="8">
        <v>314.22000000000003</v>
      </c>
      <c r="Y44" s="8">
        <v>253.63</v>
      </c>
      <c r="Z44" s="8">
        <v>61.2</v>
      </c>
      <c r="AA44" s="8">
        <v>25.34</v>
      </c>
      <c r="AB44" s="8">
        <v>470.12</v>
      </c>
      <c r="AC44" s="8">
        <v>159.08000000000001</v>
      </c>
      <c r="AD44" s="8">
        <v>221.82</v>
      </c>
      <c r="AE44" s="8">
        <v>110</v>
      </c>
      <c r="AF44" s="8">
        <f>((20/365.24)*15)*E44</f>
        <v>164.27554484722373</v>
      </c>
      <c r="AG44" s="95">
        <f t="shared" si="0"/>
        <v>2924.8</v>
      </c>
      <c r="AH44" s="95">
        <f t="shared" si="1"/>
        <v>58.496000000000002</v>
      </c>
      <c r="AI44" s="95">
        <f t="shared" si="2"/>
        <v>2983.2960000000003</v>
      </c>
      <c r="AJ44" s="95">
        <f t="shared" si="3"/>
        <v>1205.5500000000002</v>
      </c>
      <c r="AK44" s="95">
        <f t="shared" si="4"/>
        <v>61.2</v>
      </c>
      <c r="AL44" s="95">
        <f t="shared" si="5"/>
        <v>4250.0460000000003</v>
      </c>
      <c r="AM44" s="95">
        <f t="shared" si="6"/>
        <v>680.00736000000006</v>
      </c>
      <c r="AN44" s="95">
        <f t="shared" si="7"/>
        <v>4930.0533599999999</v>
      </c>
    </row>
    <row r="45" spans="1:40" s="8" customFormat="1" ht="15" x14ac:dyDescent="0.25">
      <c r="A45" s="8" t="s">
        <v>280</v>
      </c>
      <c r="B45" s="8" t="s">
        <v>281</v>
      </c>
      <c r="C45" s="8">
        <v>14</v>
      </c>
      <c r="D45" s="8">
        <v>1</v>
      </c>
      <c r="E45" s="8">
        <v>266.67</v>
      </c>
      <c r="F45" s="8">
        <v>282.81</v>
      </c>
      <c r="G45" s="8">
        <v>3733.38</v>
      </c>
      <c r="H45" s="8">
        <v>266.67</v>
      </c>
      <c r="I45" s="8">
        <v>80</v>
      </c>
      <c r="J45" s="8">
        <v>4080.05</v>
      </c>
      <c r="K45" s="8">
        <v>0</v>
      </c>
      <c r="L45" s="8">
        <v>0</v>
      </c>
      <c r="M45" s="8">
        <v>0</v>
      </c>
      <c r="N45" s="8">
        <v>0</v>
      </c>
      <c r="O45" s="8">
        <v>313.87</v>
      </c>
      <c r="P45" s="8">
        <v>102.51</v>
      </c>
      <c r="Q45" s="8">
        <v>0</v>
      </c>
      <c r="R45" s="8">
        <v>0</v>
      </c>
      <c r="S45" s="8">
        <v>7.0000000000000007E-2</v>
      </c>
      <c r="T45" s="8">
        <v>416.45</v>
      </c>
      <c r="U45" s="8">
        <f>+J45-T45</f>
        <v>3663.6000000000004</v>
      </c>
      <c r="V45" s="8">
        <v>74.239999999999995</v>
      </c>
      <c r="W45" s="8">
        <v>133.63</v>
      </c>
      <c r="X45" s="8">
        <v>337.62</v>
      </c>
      <c r="Y45" s="8">
        <v>274.83999999999997</v>
      </c>
      <c r="Z45" s="8">
        <v>81.599999999999994</v>
      </c>
      <c r="AA45" s="8">
        <v>33.79</v>
      </c>
      <c r="AB45" s="8">
        <v>545.49</v>
      </c>
      <c r="AC45" s="8">
        <v>212.11</v>
      </c>
      <c r="AD45" s="8">
        <v>232.42</v>
      </c>
      <c r="AE45" s="8">
        <v>110</v>
      </c>
      <c r="AF45" s="8">
        <f>((20/365.24)*15)*E45</f>
        <v>219.03679772204578</v>
      </c>
      <c r="AG45" s="95">
        <f t="shared" si="0"/>
        <v>3663.6000000000004</v>
      </c>
      <c r="AH45" s="95">
        <f t="shared" si="1"/>
        <v>73.272000000000006</v>
      </c>
      <c r="AI45" s="95">
        <f t="shared" si="2"/>
        <v>3736.8720000000003</v>
      </c>
      <c r="AJ45" s="95">
        <f t="shared" si="3"/>
        <v>1401.1599999999999</v>
      </c>
      <c r="AK45" s="95">
        <f t="shared" si="4"/>
        <v>81.600999999999999</v>
      </c>
      <c r="AL45" s="95">
        <f t="shared" si="5"/>
        <v>5219.6329999999998</v>
      </c>
      <c r="AM45" s="95">
        <f t="shared" si="6"/>
        <v>835.14127999999994</v>
      </c>
      <c r="AN45" s="95">
        <f t="shared" si="7"/>
        <v>6054.7742799999996</v>
      </c>
    </row>
    <row r="46" spans="1:40" s="8" customFormat="1" ht="15" x14ac:dyDescent="0.25">
      <c r="A46" s="8" t="s">
        <v>206</v>
      </c>
      <c r="B46" s="8" t="s">
        <v>207</v>
      </c>
      <c r="C46" s="8">
        <v>15</v>
      </c>
      <c r="D46" s="8">
        <v>0</v>
      </c>
      <c r="E46" s="8">
        <v>266.67</v>
      </c>
      <c r="F46" s="8">
        <v>278.72000000000003</v>
      </c>
      <c r="G46" s="8">
        <v>4000.05</v>
      </c>
      <c r="H46" s="8">
        <v>0</v>
      </c>
      <c r="I46" s="8">
        <v>0</v>
      </c>
      <c r="J46" s="8">
        <v>4000.05</v>
      </c>
      <c r="K46" s="8">
        <v>0</v>
      </c>
      <c r="L46" s="8">
        <v>0</v>
      </c>
      <c r="M46" s="8">
        <v>0</v>
      </c>
      <c r="N46" s="8">
        <v>0</v>
      </c>
      <c r="O46" s="8">
        <v>313.87</v>
      </c>
      <c r="P46" s="8">
        <v>100.81</v>
      </c>
      <c r="Q46" s="8">
        <v>0</v>
      </c>
      <c r="R46" s="8">
        <v>0</v>
      </c>
      <c r="S46" s="9">
        <v>-0.03</v>
      </c>
      <c r="T46" s="8">
        <v>414.65000000000003</v>
      </c>
      <c r="U46" s="8">
        <f>+J46-T46</f>
        <v>3585.4</v>
      </c>
      <c r="V46" s="8">
        <v>73.17</v>
      </c>
      <c r="W46" s="8">
        <v>131.69999999999999</v>
      </c>
      <c r="X46" s="8">
        <v>335.88</v>
      </c>
      <c r="Y46" s="8">
        <v>273.62</v>
      </c>
      <c r="Z46" s="8">
        <v>80</v>
      </c>
      <c r="AA46" s="8">
        <v>33.299999999999997</v>
      </c>
      <c r="AB46" s="8">
        <v>540.75</v>
      </c>
      <c r="AC46" s="8">
        <v>209.04</v>
      </c>
      <c r="AD46" s="8">
        <v>231.81</v>
      </c>
      <c r="AE46" s="8">
        <v>110</v>
      </c>
      <c r="AF46" s="8">
        <f>((20/365.24)*15)*E46</f>
        <v>219.03679772204578</v>
      </c>
      <c r="AG46" s="95">
        <f t="shared" si="0"/>
        <v>3585.4</v>
      </c>
      <c r="AH46" s="95">
        <f t="shared" si="1"/>
        <v>71.707999999999998</v>
      </c>
      <c r="AI46" s="95">
        <f t="shared" si="2"/>
        <v>3657.1080000000002</v>
      </c>
      <c r="AJ46" s="95">
        <f t="shared" si="3"/>
        <v>1389.33</v>
      </c>
      <c r="AK46" s="95">
        <f t="shared" si="4"/>
        <v>80.001000000000005</v>
      </c>
      <c r="AL46" s="95">
        <f t="shared" si="5"/>
        <v>5126.4390000000003</v>
      </c>
      <c r="AM46" s="95">
        <f t="shared" si="6"/>
        <v>820.23024000000009</v>
      </c>
      <c r="AN46" s="95">
        <f t="shared" si="7"/>
        <v>5946.6692400000002</v>
      </c>
    </row>
    <row r="47" spans="1:40" s="8" customFormat="1" ht="15" x14ac:dyDescent="0.25">
      <c r="A47" s="8" t="s">
        <v>319</v>
      </c>
      <c r="B47" s="8" t="s">
        <v>320</v>
      </c>
      <c r="C47" s="8">
        <v>15</v>
      </c>
      <c r="D47" s="8">
        <v>0</v>
      </c>
      <c r="E47" s="8">
        <v>266.67</v>
      </c>
      <c r="F47" s="8">
        <v>278.72000000000003</v>
      </c>
      <c r="G47" s="8">
        <v>4000.05</v>
      </c>
      <c r="H47" s="8">
        <v>0</v>
      </c>
      <c r="I47" s="8">
        <v>0</v>
      </c>
      <c r="J47" s="8">
        <v>4000.05</v>
      </c>
      <c r="K47" s="8">
        <v>0</v>
      </c>
      <c r="L47" s="8">
        <v>0</v>
      </c>
      <c r="M47" s="8">
        <v>0</v>
      </c>
      <c r="N47" s="8">
        <v>0</v>
      </c>
      <c r="O47" s="8">
        <v>313.87</v>
      </c>
      <c r="P47" s="8">
        <v>100.81</v>
      </c>
      <c r="Q47" s="8">
        <v>0</v>
      </c>
      <c r="R47" s="8">
        <v>0</v>
      </c>
      <c r="S47" s="9">
        <v>-0.03</v>
      </c>
      <c r="T47" s="8">
        <v>414.65000000000003</v>
      </c>
      <c r="U47" s="8">
        <f>+J47-T47</f>
        <v>3585.4</v>
      </c>
      <c r="V47" s="8">
        <v>73.17</v>
      </c>
      <c r="W47" s="8">
        <v>131.69999999999999</v>
      </c>
      <c r="X47" s="8">
        <v>335.88</v>
      </c>
      <c r="Y47" s="8">
        <v>273.62</v>
      </c>
      <c r="Z47" s="8">
        <v>80</v>
      </c>
      <c r="AA47" s="8">
        <v>33.299999999999997</v>
      </c>
      <c r="AB47" s="8">
        <v>540.75</v>
      </c>
      <c r="AC47" s="8">
        <v>209.04</v>
      </c>
      <c r="AD47" s="8">
        <v>231.81</v>
      </c>
      <c r="AE47" s="8">
        <v>110</v>
      </c>
      <c r="AF47" s="8">
        <f>((20/365.24)*15)*E47</f>
        <v>219.03679772204578</v>
      </c>
      <c r="AG47" s="95">
        <f t="shared" si="0"/>
        <v>3585.4</v>
      </c>
      <c r="AH47" s="95">
        <f t="shared" si="1"/>
        <v>71.707999999999998</v>
      </c>
      <c r="AI47" s="95">
        <f t="shared" si="2"/>
        <v>3657.1080000000002</v>
      </c>
      <c r="AJ47" s="95">
        <f t="shared" si="3"/>
        <v>1389.33</v>
      </c>
      <c r="AK47" s="95">
        <f t="shared" si="4"/>
        <v>80.001000000000005</v>
      </c>
      <c r="AL47" s="95">
        <f t="shared" si="5"/>
        <v>5126.4390000000003</v>
      </c>
      <c r="AM47" s="95">
        <f t="shared" si="6"/>
        <v>820.23024000000009</v>
      </c>
      <c r="AN47" s="95">
        <f t="shared" si="7"/>
        <v>5946.6692400000002</v>
      </c>
    </row>
    <row r="48" spans="1:40" s="8" customFormat="1" ht="15" x14ac:dyDescent="0.25">
      <c r="A48" s="8" t="s">
        <v>203</v>
      </c>
      <c r="B48" s="8" t="s">
        <v>204</v>
      </c>
      <c r="C48" s="8">
        <v>15</v>
      </c>
      <c r="D48" s="8">
        <v>0</v>
      </c>
      <c r="E48" s="8">
        <v>220.83</v>
      </c>
      <c r="F48" s="8">
        <v>234.2</v>
      </c>
      <c r="G48" s="8">
        <v>3312.45</v>
      </c>
      <c r="H48" s="8">
        <v>0</v>
      </c>
      <c r="I48" s="8">
        <v>0</v>
      </c>
      <c r="J48" s="8">
        <v>3312.45</v>
      </c>
      <c r="K48" s="8">
        <v>15</v>
      </c>
      <c r="L48" s="8">
        <v>1974.09</v>
      </c>
      <c r="M48" s="8">
        <v>0</v>
      </c>
      <c r="N48" s="8">
        <v>0</v>
      </c>
      <c r="O48" s="8">
        <v>113.96</v>
      </c>
      <c r="P48" s="8">
        <v>83.43</v>
      </c>
      <c r="Q48" s="8">
        <v>0</v>
      </c>
      <c r="R48" s="8">
        <v>0</v>
      </c>
      <c r="S48" s="9">
        <v>-0.03</v>
      </c>
      <c r="T48" s="8">
        <v>2186.4499999999994</v>
      </c>
      <c r="U48" s="8">
        <f>+J48-T48</f>
        <v>1126.0000000000005</v>
      </c>
      <c r="V48" s="8">
        <v>61.48</v>
      </c>
      <c r="W48" s="8">
        <v>110.66</v>
      </c>
      <c r="X48" s="8">
        <v>320.02</v>
      </c>
      <c r="Y48" s="8">
        <v>260.26</v>
      </c>
      <c r="Z48" s="8">
        <v>66.25</v>
      </c>
      <c r="AA48" s="8">
        <v>27.98</v>
      </c>
      <c r="AB48" s="8">
        <v>492.16</v>
      </c>
      <c r="AC48" s="8">
        <v>175.65</v>
      </c>
      <c r="AD48" s="8">
        <v>225.13</v>
      </c>
      <c r="AE48" s="8">
        <v>110</v>
      </c>
      <c r="AF48" s="8">
        <f>((20/365.24)*15)*E48</f>
        <v>181.3848428430621</v>
      </c>
      <c r="AG48" s="95">
        <f t="shared" si="0"/>
        <v>3115.09</v>
      </c>
      <c r="AH48" s="95">
        <f t="shared" si="1"/>
        <v>62.301800000000007</v>
      </c>
      <c r="AI48" s="95">
        <f t="shared" si="2"/>
        <v>3177.3918000000003</v>
      </c>
      <c r="AJ48" s="95">
        <f t="shared" si="3"/>
        <v>1264.6100000000001</v>
      </c>
      <c r="AK48" s="95">
        <f t="shared" si="4"/>
        <v>66.248999999999995</v>
      </c>
      <c r="AL48" s="95">
        <f t="shared" si="5"/>
        <v>4508.2507999999998</v>
      </c>
      <c r="AM48" s="95">
        <f t="shared" si="6"/>
        <v>721.32012799999995</v>
      </c>
      <c r="AN48" s="95">
        <f t="shared" si="7"/>
        <v>5229.5709280000001</v>
      </c>
    </row>
    <row r="49" spans="1:40" s="8" customFormat="1" ht="15" x14ac:dyDescent="0.25">
      <c r="A49" s="8" t="s">
        <v>270</v>
      </c>
      <c r="B49" s="8" t="s">
        <v>271</v>
      </c>
      <c r="C49" s="8">
        <v>15</v>
      </c>
      <c r="D49" s="8">
        <v>0</v>
      </c>
      <c r="E49" s="8">
        <v>150</v>
      </c>
      <c r="F49" s="8">
        <v>156.78</v>
      </c>
      <c r="G49" s="8">
        <v>2250</v>
      </c>
      <c r="H49" s="8">
        <v>0</v>
      </c>
      <c r="I49" s="8">
        <v>0</v>
      </c>
      <c r="J49" s="8">
        <v>2250</v>
      </c>
      <c r="K49" s="8">
        <v>15</v>
      </c>
      <c r="L49" s="8">
        <v>0</v>
      </c>
      <c r="M49" s="8">
        <v>746.83</v>
      </c>
      <c r="N49" s="9">
        <v>-43.57</v>
      </c>
      <c r="O49" s="8">
        <v>0</v>
      </c>
      <c r="P49" s="8">
        <v>55.86</v>
      </c>
      <c r="Q49" s="8">
        <v>0</v>
      </c>
      <c r="R49" s="8">
        <v>0</v>
      </c>
      <c r="S49" s="8">
        <v>0.08</v>
      </c>
      <c r="T49" s="8">
        <v>774.2</v>
      </c>
      <c r="U49" s="8">
        <f>+J49-T49</f>
        <v>1475.8</v>
      </c>
      <c r="V49" s="8">
        <v>41.15</v>
      </c>
      <c r="W49" s="8">
        <v>74.08</v>
      </c>
      <c r="X49" s="8">
        <v>299.69</v>
      </c>
      <c r="Y49" s="8">
        <v>237.03</v>
      </c>
      <c r="Z49" s="8">
        <v>45</v>
      </c>
      <c r="AA49" s="8">
        <v>18.73</v>
      </c>
      <c r="AB49" s="8">
        <v>414.92</v>
      </c>
      <c r="AC49" s="8">
        <v>117.58</v>
      </c>
      <c r="AD49" s="8">
        <v>213.52</v>
      </c>
      <c r="AE49" s="8">
        <v>110</v>
      </c>
      <c r="AF49" s="8">
        <f>((20/365.24)*15)*E49</f>
        <v>123.2066586354178</v>
      </c>
      <c r="AG49" s="95">
        <f t="shared" si="0"/>
        <v>2237.63</v>
      </c>
      <c r="AH49" s="95">
        <f t="shared" si="1"/>
        <v>44.752600000000001</v>
      </c>
      <c r="AI49" s="95">
        <f t="shared" si="2"/>
        <v>2282.3825999999999</v>
      </c>
      <c r="AJ49" s="95">
        <f t="shared" si="3"/>
        <v>1057.6400000000001</v>
      </c>
      <c r="AK49" s="95">
        <f t="shared" si="4"/>
        <v>45</v>
      </c>
      <c r="AL49" s="95">
        <f t="shared" si="5"/>
        <v>3385.0226000000002</v>
      </c>
      <c r="AM49" s="95">
        <f t="shared" si="6"/>
        <v>541.6036160000001</v>
      </c>
      <c r="AN49" s="95">
        <f t="shared" si="7"/>
        <v>3926.6262160000006</v>
      </c>
    </row>
    <row r="50" spans="1:40" s="8" customFormat="1" ht="15" x14ac:dyDescent="0.25">
      <c r="A50" s="8" t="s">
        <v>265</v>
      </c>
      <c r="B50" s="8" t="s">
        <v>266</v>
      </c>
      <c r="C50" s="8">
        <v>15</v>
      </c>
      <c r="D50" s="8">
        <v>0</v>
      </c>
      <c r="E50" s="8">
        <v>150</v>
      </c>
      <c r="F50" s="8">
        <v>156.78</v>
      </c>
      <c r="G50" s="8">
        <v>2250</v>
      </c>
      <c r="H50" s="8">
        <v>0</v>
      </c>
      <c r="I50" s="8">
        <v>0</v>
      </c>
      <c r="J50" s="8">
        <v>2250</v>
      </c>
      <c r="K50" s="8">
        <v>0</v>
      </c>
      <c r="L50" s="8">
        <v>0</v>
      </c>
      <c r="M50" s="8">
        <v>0</v>
      </c>
      <c r="N50" s="9">
        <v>-43.57</v>
      </c>
      <c r="O50" s="8">
        <v>0</v>
      </c>
      <c r="P50" s="8">
        <v>55.86</v>
      </c>
      <c r="Q50" s="8">
        <v>0</v>
      </c>
      <c r="R50" s="8">
        <v>0</v>
      </c>
      <c r="S50" s="9">
        <v>-0.09</v>
      </c>
      <c r="T50" s="8">
        <v>12.2</v>
      </c>
      <c r="U50" s="8">
        <f>+J50-T50</f>
        <v>2237.8000000000002</v>
      </c>
      <c r="V50" s="8">
        <v>41.15</v>
      </c>
      <c r="W50" s="8">
        <v>74.08</v>
      </c>
      <c r="X50" s="8">
        <v>299.69</v>
      </c>
      <c r="Y50" s="8">
        <v>237.03</v>
      </c>
      <c r="Z50" s="8">
        <v>45</v>
      </c>
      <c r="AA50" s="8">
        <v>18.73</v>
      </c>
      <c r="AB50" s="8">
        <v>414.92</v>
      </c>
      <c r="AC50" s="8">
        <v>117.58</v>
      </c>
      <c r="AD50" s="8">
        <v>213.52</v>
      </c>
      <c r="AE50" s="8">
        <v>110</v>
      </c>
      <c r="AF50" s="8">
        <f>((20/365.24)*15)*E50</f>
        <v>123.2066586354178</v>
      </c>
      <c r="AG50" s="95">
        <f t="shared" si="0"/>
        <v>2237.8000000000002</v>
      </c>
      <c r="AH50" s="95">
        <f t="shared" si="1"/>
        <v>44.756000000000007</v>
      </c>
      <c r="AI50" s="95">
        <f t="shared" si="2"/>
        <v>2282.556</v>
      </c>
      <c r="AJ50" s="95">
        <f t="shared" si="3"/>
        <v>1057.6400000000001</v>
      </c>
      <c r="AK50" s="95">
        <f t="shared" si="4"/>
        <v>45</v>
      </c>
      <c r="AL50" s="95">
        <f t="shared" si="5"/>
        <v>3385.1959999999999</v>
      </c>
      <c r="AM50" s="95">
        <f t="shared" si="6"/>
        <v>541.63135999999997</v>
      </c>
      <c r="AN50" s="95">
        <f t="shared" si="7"/>
        <v>3926.8273599999998</v>
      </c>
    </row>
    <row r="51" spans="1:40" s="8" customFormat="1" ht="15" x14ac:dyDescent="0.25">
      <c r="A51" s="8" t="s">
        <v>178</v>
      </c>
      <c r="B51" s="8" t="s">
        <v>179</v>
      </c>
      <c r="C51" s="8">
        <v>15</v>
      </c>
      <c r="D51" s="8">
        <v>0</v>
      </c>
      <c r="E51" s="8">
        <v>233.33</v>
      </c>
      <c r="F51" s="8">
        <v>243.88</v>
      </c>
      <c r="G51" s="8">
        <v>3499.95</v>
      </c>
      <c r="H51" s="8">
        <v>0</v>
      </c>
      <c r="I51" s="8">
        <v>0</v>
      </c>
      <c r="J51" s="8">
        <v>3499.95</v>
      </c>
      <c r="K51" s="8">
        <v>0</v>
      </c>
      <c r="L51" s="8">
        <v>0</v>
      </c>
      <c r="M51" s="8">
        <v>0</v>
      </c>
      <c r="N51" s="8">
        <v>0</v>
      </c>
      <c r="O51" s="8">
        <v>134.36000000000001</v>
      </c>
      <c r="P51" s="8">
        <v>86.88</v>
      </c>
      <c r="Q51" s="8">
        <v>0</v>
      </c>
      <c r="R51" s="8">
        <v>0</v>
      </c>
      <c r="S51" s="8">
        <v>0.11</v>
      </c>
      <c r="T51" s="8">
        <v>221.35000000000002</v>
      </c>
      <c r="U51" s="8">
        <f>+J51-T51</f>
        <v>3278.6</v>
      </c>
      <c r="V51" s="8">
        <v>64.02</v>
      </c>
      <c r="W51" s="8">
        <v>115.23</v>
      </c>
      <c r="X51" s="8">
        <v>322.56</v>
      </c>
      <c r="Y51" s="8">
        <v>263.16000000000003</v>
      </c>
      <c r="Z51" s="8">
        <v>70</v>
      </c>
      <c r="AA51" s="8">
        <v>29.14</v>
      </c>
      <c r="AB51" s="8">
        <v>501.81</v>
      </c>
      <c r="AC51" s="8">
        <v>182.91</v>
      </c>
      <c r="AD51" s="8">
        <v>226.58</v>
      </c>
      <c r="AE51" s="8">
        <v>110</v>
      </c>
      <c r="AF51" s="8">
        <f>((20/365.24)*15)*E51</f>
        <v>191.65206439601357</v>
      </c>
      <c r="AG51" s="95">
        <f t="shared" si="0"/>
        <v>3278.6</v>
      </c>
      <c r="AH51" s="95">
        <f t="shared" si="1"/>
        <v>65.572000000000003</v>
      </c>
      <c r="AI51" s="95">
        <f t="shared" si="2"/>
        <v>3344.172</v>
      </c>
      <c r="AJ51" s="95">
        <f t="shared" si="3"/>
        <v>1290.48</v>
      </c>
      <c r="AK51" s="95">
        <f t="shared" si="4"/>
        <v>69.998999999999995</v>
      </c>
      <c r="AL51" s="95">
        <f t="shared" si="5"/>
        <v>4704.6509999999998</v>
      </c>
      <c r="AM51" s="95">
        <f t="shared" si="6"/>
        <v>752.74415999999997</v>
      </c>
      <c r="AN51" s="95">
        <f t="shared" si="7"/>
        <v>5457.39516</v>
      </c>
    </row>
    <row r="52" spans="1:40" s="8" customFormat="1" ht="15" x14ac:dyDescent="0.25">
      <c r="A52" s="8" t="s">
        <v>130</v>
      </c>
      <c r="B52" s="8" t="s">
        <v>131</v>
      </c>
      <c r="C52" s="8">
        <v>15</v>
      </c>
      <c r="D52" s="8">
        <v>0</v>
      </c>
      <c r="E52" s="8">
        <v>233.33</v>
      </c>
      <c r="F52" s="8">
        <v>243.88</v>
      </c>
      <c r="G52" s="8">
        <v>3499.95</v>
      </c>
      <c r="H52" s="8">
        <v>0</v>
      </c>
      <c r="I52" s="8">
        <v>0</v>
      </c>
      <c r="J52" s="8">
        <v>3499.95</v>
      </c>
      <c r="K52" s="8">
        <v>0</v>
      </c>
      <c r="L52" s="8">
        <v>0</v>
      </c>
      <c r="M52" s="8">
        <v>0</v>
      </c>
      <c r="N52" s="8">
        <v>0</v>
      </c>
      <c r="O52" s="8">
        <v>134.36000000000001</v>
      </c>
      <c r="P52" s="8">
        <v>86.88</v>
      </c>
      <c r="Q52" s="8">
        <v>0</v>
      </c>
      <c r="R52" s="8">
        <v>0</v>
      </c>
      <c r="S52" s="9">
        <v>-0.09</v>
      </c>
      <c r="T52" s="8">
        <v>221.15</v>
      </c>
      <c r="U52" s="8">
        <f>+J52-T52</f>
        <v>3278.7999999999997</v>
      </c>
      <c r="V52" s="8">
        <v>64.02</v>
      </c>
      <c r="W52" s="8">
        <v>115.23</v>
      </c>
      <c r="X52" s="8">
        <v>322.56</v>
      </c>
      <c r="Y52" s="8">
        <v>263.16000000000003</v>
      </c>
      <c r="Z52" s="8">
        <v>70</v>
      </c>
      <c r="AA52" s="8">
        <v>29.14</v>
      </c>
      <c r="AB52" s="8">
        <v>501.81</v>
      </c>
      <c r="AC52" s="8">
        <v>182.91</v>
      </c>
      <c r="AD52" s="8">
        <v>226.58</v>
      </c>
      <c r="AE52" s="8">
        <v>110</v>
      </c>
      <c r="AF52" s="8">
        <f>((20/365.24)*15)*E52</f>
        <v>191.65206439601357</v>
      </c>
      <c r="AG52" s="95">
        <f t="shared" si="0"/>
        <v>3278.7999999999997</v>
      </c>
      <c r="AH52" s="95">
        <f t="shared" si="1"/>
        <v>65.575999999999993</v>
      </c>
      <c r="AI52" s="95">
        <f t="shared" si="2"/>
        <v>3344.3759999999997</v>
      </c>
      <c r="AJ52" s="95">
        <f t="shared" si="3"/>
        <v>1290.48</v>
      </c>
      <c r="AK52" s="95">
        <f t="shared" si="4"/>
        <v>69.998999999999995</v>
      </c>
      <c r="AL52" s="95">
        <f t="shared" si="5"/>
        <v>4704.8549999999996</v>
      </c>
      <c r="AM52" s="95">
        <f t="shared" si="6"/>
        <v>752.77679999999998</v>
      </c>
      <c r="AN52" s="95">
        <f t="shared" si="7"/>
        <v>5457.6317999999992</v>
      </c>
    </row>
    <row r="53" spans="1:40" s="8" customFormat="1" ht="15" x14ac:dyDescent="0.25">
      <c r="A53" s="8" t="s">
        <v>247</v>
      </c>
      <c r="B53" s="8" t="s">
        <v>248</v>
      </c>
      <c r="C53" s="8">
        <v>15</v>
      </c>
      <c r="D53" s="8">
        <v>0</v>
      </c>
      <c r="E53" s="8">
        <v>312.87</v>
      </c>
      <c r="F53" s="8">
        <v>327.01</v>
      </c>
      <c r="G53" s="8">
        <v>4693.05</v>
      </c>
      <c r="H53" s="8">
        <v>0</v>
      </c>
      <c r="I53" s="8">
        <v>0</v>
      </c>
      <c r="J53" s="8">
        <v>4693.05</v>
      </c>
      <c r="K53" s="8">
        <v>15</v>
      </c>
      <c r="L53" s="8">
        <v>1825.28</v>
      </c>
      <c r="M53" s="8">
        <v>0</v>
      </c>
      <c r="N53" s="8">
        <v>0</v>
      </c>
      <c r="O53" s="8">
        <v>411.56</v>
      </c>
      <c r="P53" s="8">
        <v>120.9</v>
      </c>
      <c r="Q53" s="8">
        <v>0</v>
      </c>
      <c r="R53" s="8">
        <v>0</v>
      </c>
      <c r="S53" s="9">
        <v>-0.09</v>
      </c>
      <c r="T53" s="8">
        <v>2372.65</v>
      </c>
      <c r="U53" s="8">
        <f>+J53-T53</f>
        <v>2320.4</v>
      </c>
      <c r="V53" s="8">
        <v>85.84</v>
      </c>
      <c r="W53" s="8">
        <v>154.51</v>
      </c>
      <c r="X53" s="8">
        <v>356.51</v>
      </c>
      <c r="Y53" s="8">
        <v>288.10000000000002</v>
      </c>
      <c r="Z53" s="8">
        <v>93.86</v>
      </c>
      <c r="AA53" s="8">
        <v>39.07</v>
      </c>
      <c r="AB53" s="8">
        <v>596.86</v>
      </c>
      <c r="AC53" s="8">
        <v>245.26</v>
      </c>
      <c r="AD53" s="8">
        <v>239.05</v>
      </c>
      <c r="AE53" s="8">
        <v>110</v>
      </c>
      <c r="AF53" s="8">
        <f>((20/365.24)*15)*E53</f>
        <v>256.98444858175446</v>
      </c>
      <c r="AG53" s="95">
        <f t="shared" si="0"/>
        <v>4160.68</v>
      </c>
      <c r="AH53" s="95">
        <f t="shared" si="1"/>
        <v>83.213600000000014</v>
      </c>
      <c r="AI53" s="95">
        <f t="shared" si="2"/>
        <v>4243.8936000000003</v>
      </c>
      <c r="AJ53" s="95">
        <f t="shared" si="3"/>
        <v>1529.24</v>
      </c>
      <c r="AK53" s="95">
        <f t="shared" si="4"/>
        <v>93.861000000000004</v>
      </c>
      <c r="AL53" s="95">
        <f t="shared" si="5"/>
        <v>5866.9946</v>
      </c>
      <c r="AM53" s="95">
        <f t="shared" si="6"/>
        <v>938.71913600000005</v>
      </c>
      <c r="AN53" s="95">
        <f t="shared" si="7"/>
        <v>6805.7137359999997</v>
      </c>
    </row>
    <row r="54" spans="1:40" s="8" customFormat="1" ht="15" x14ac:dyDescent="0.25">
      <c r="A54" s="8" t="s">
        <v>256</v>
      </c>
      <c r="B54" s="8" t="s">
        <v>257</v>
      </c>
      <c r="C54" s="8">
        <v>15</v>
      </c>
      <c r="D54" s="8">
        <v>0</v>
      </c>
      <c r="E54" s="8">
        <v>312.87</v>
      </c>
      <c r="F54" s="8">
        <v>327.01</v>
      </c>
      <c r="G54" s="8">
        <v>4693.05</v>
      </c>
      <c r="H54" s="8">
        <v>0</v>
      </c>
      <c r="I54" s="8">
        <v>0</v>
      </c>
      <c r="J54" s="8">
        <v>4693.05</v>
      </c>
      <c r="K54" s="8">
        <v>15</v>
      </c>
      <c r="L54" s="8">
        <v>2113.19</v>
      </c>
      <c r="M54" s="8">
        <v>0</v>
      </c>
      <c r="N54" s="8">
        <v>0</v>
      </c>
      <c r="O54" s="8">
        <v>411.56</v>
      </c>
      <c r="P54" s="8">
        <v>120.9</v>
      </c>
      <c r="Q54" s="8">
        <v>0</v>
      </c>
      <c r="R54" s="8">
        <v>395.82</v>
      </c>
      <c r="S54" s="9">
        <v>-0.02</v>
      </c>
      <c r="T54" s="8">
        <v>3056.4500000000003</v>
      </c>
      <c r="U54" s="8">
        <f>+J54-T54</f>
        <v>1636.6</v>
      </c>
      <c r="V54" s="8">
        <v>85.84</v>
      </c>
      <c r="W54" s="8">
        <v>154.51</v>
      </c>
      <c r="X54" s="8">
        <v>356.51</v>
      </c>
      <c r="Y54" s="8">
        <v>288.10000000000002</v>
      </c>
      <c r="Z54" s="8">
        <v>93.86</v>
      </c>
      <c r="AA54" s="8">
        <v>39.07</v>
      </c>
      <c r="AB54" s="8">
        <v>596.86</v>
      </c>
      <c r="AC54" s="8">
        <v>245.26</v>
      </c>
      <c r="AD54" s="8">
        <v>239.05</v>
      </c>
      <c r="AE54" s="8">
        <v>110</v>
      </c>
      <c r="AF54" s="8">
        <f>((20/365.24)*15)*E54</f>
        <v>256.98444858175446</v>
      </c>
      <c r="AG54" s="95">
        <f t="shared" si="0"/>
        <v>4160.6099999999997</v>
      </c>
      <c r="AH54" s="95">
        <f t="shared" si="1"/>
        <v>83.212199999999996</v>
      </c>
      <c r="AI54" s="95">
        <f t="shared" si="2"/>
        <v>4243.8221999999996</v>
      </c>
      <c r="AJ54" s="95">
        <f t="shared" si="3"/>
        <v>1529.24</v>
      </c>
      <c r="AK54" s="95">
        <f t="shared" si="4"/>
        <v>93.861000000000004</v>
      </c>
      <c r="AL54" s="95">
        <f t="shared" si="5"/>
        <v>5866.9231999999993</v>
      </c>
      <c r="AM54" s="95">
        <f t="shared" si="6"/>
        <v>938.7077119999999</v>
      </c>
      <c r="AN54" s="95">
        <f t="shared" si="7"/>
        <v>6805.6309119999987</v>
      </c>
    </row>
    <row r="55" spans="1:40" s="8" customFormat="1" ht="15" x14ac:dyDescent="0.25">
      <c r="A55" s="8" t="s">
        <v>329</v>
      </c>
      <c r="B55" s="8" t="s">
        <v>330</v>
      </c>
      <c r="C55" s="8">
        <v>15</v>
      </c>
      <c r="D55" s="8">
        <v>0</v>
      </c>
      <c r="E55" s="8">
        <v>238.84</v>
      </c>
      <c r="F55" s="8">
        <v>249.64</v>
      </c>
      <c r="G55" s="8">
        <v>3582.6</v>
      </c>
      <c r="H55" s="8">
        <v>0</v>
      </c>
      <c r="I55" s="8">
        <v>0</v>
      </c>
      <c r="J55" s="8">
        <v>3582.6</v>
      </c>
      <c r="K55" s="8">
        <v>0</v>
      </c>
      <c r="L55" s="8">
        <v>0</v>
      </c>
      <c r="M55" s="8">
        <v>0</v>
      </c>
      <c r="N55" s="8">
        <v>0</v>
      </c>
      <c r="O55" s="8">
        <v>161.08000000000001</v>
      </c>
      <c r="P55" s="8">
        <v>88.93</v>
      </c>
      <c r="Q55" s="8">
        <v>0</v>
      </c>
      <c r="R55" s="8">
        <v>0</v>
      </c>
      <c r="S55" s="9">
        <v>-0.01</v>
      </c>
      <c r="T55" s="8">
        <v>250.00000000000003</v>
      </c>
      <c r="U55" s="8">
        <f>+J55-T55</f>
        <v>3332.6</v>
      </c>
      <c r="V55" s="8">
        <v>65.53</v>
      </c>
      <c r="W55" s="8">
        <v>117.95</v>
      </c>
      <c r="X55" s="8">
        <v>324.07</v>
      </c>
      <c r="Y55" s="8">
        <v>264.89</v>
      </c>
      <c r="Z55" s="8">
        <v>71.650000000000006</v>
      </c>
      <c r="AA55" s="8">
        <v>29.83</v>
      </c>
      <c r="AB55" s="8">
        <v>507.55</v>
      </c>
      <c r="AC55" s="8">
        <v>187.23</v>
      </c>
      <c r="AD55" s="8">
        <v>227.45</v>
      </c>
      <c r="AE55" s="8">
        <v>110</v>
      </c>
      <c r="AF55" s="8">
        <f>((20/365.24)*15)*E55</f>
        <v>196.17785565655458</v>
      </c>
      <c r="AG55" s="95">
        <f t="shared" si="0"/>
        <v>3332.6</v>
      </c>
      <c r="AH55" s="95">
        <f t="shared" si="1"/>
        <v>66.652000000000001</v>
      </c>
      <c r="AI55" s="95">
        <f t="shared" si="2"/>
        <v>3399.252</v>
      </c>
      <c r="AJ55" s="95">
        <f t="shared" si="3"/>
        <v>1305.8800000000001</v>
      </c>
      <c r="AK55" s="95">
        <f t="shared" si="4"/>
        <v>71.652000000000001</v>
      </c>
      <c r="AL55" s="95">
        <f t="shared" si="5"/>
        <v>4776.7839999999997</v>
      </c>
      <c r="AM55" s="95">
        <f t="shared" si="6"/>
        <v>764.28543999999999</v>
      </c>
      <c r="AN55" s="95">
        <f t="shared" si="7"/>
        <v>5541.0694399999993</v>
      </c>
    </row>
    <row r="56" spans="1:40" s="8" customFormat="1" ht="15" x14ac:dyDescent="0.25">
      <c r="A56" s="8" t="s">
        <v>337</v>
      </c>
      <c r="B56" s="8" t="s">
        <v>338</v>
      </c>
      <c r="C56" s="8">
        <v>15</v>
      </c>
      <c r="D56" s="8">
        <v>0</v>
      </c>
      <c r="E56" s="8">
        <v>238.84</v>
      </c>
      <c r="F56" s="8">
        <v>249.64</v>
      </c>
      <c r="G56" s="8">
        <v>3582.6</v>
      </c>
      <c r="H56" s="8">
        <v>0</v>
      </c>
      <c r="I56" s="8">
        <v>0</v>
      </c>
      <c r="J56" s="8">
        <v>3582.6</v>
      </c>
      <c r="K56" s="8">
        <v>15</v>
      </c>
      <c r="L56" s="8">
        <v>1165.3699999999999</v>
      </c>
      <c r="M56" s="8">
        <v>0</v>
      </c>
      <c r="N56" s="8">
        <v>0</v>
      </c>
      <c r="O56" s="8">
        <v>161.08000000000001</v>
      </c>
      <c r="P56" s="8">
        <v>88.93</v>
      </c>
      <c r="Q56" s="8">
        <v>0</v>
      </c>
      <c r="R56" s="8">
        <v>0</v>
      </c>
      <c r="S56" s="9">
        <v>-0.18</v>
      </c>
      <c r="T56" s="8">
        <v>1430.1999999999998</v>
      </c>
      <c r="U56" s="8">
        <f>+J56-T56</f>
        <v>2152.4</v>
      </c>
      <c r="V56" s="8">
        <v>65.53</v>
      </c>
      <c r="W56" s="8">
        <v>117.95</v>
      </c>
      <c r="X56" s="8">
        <v>324.07</v>
      </c>
      <c r="Y56" s="8">
        <v>264.89</v>
      </c>
      <c r="Z56" s="8">
        <v>71.650000000000006</v>
      </c>
      <c r="AA56" s="8">
        <v>29.83</v>
      </c>
      <c r="AB56" s="8">
        <v>507.55</v>
      </c>
      <c r="AC56" s="8">
        <v>187.23</v>
      </c>
      <c r="AD56" s="8">
        <v>227.45</v>
      </c>
      <c r="AE56" s="8">
        <v>110</v>
      </c>
      <c r="AF56" s="8">
        <f>((20/365.24)*15)*E56</f>
        <v>196.17785565655458</v>
      </c>
      <c r="AG56" s="95">
        <f t="shared" si="0"/>
        <v>3332.77</v>
      </c>
      <c r="AH56" s="95">
        <f t="shared" si="1"/>
        <v>66.6554</v>
      </c>
      <c r="AI56" s="95">
        <f t="shared" si="2"/>
        <v>3399.4254000000001</v>
      </c>
      <c r="AJ56" s="95">
        <f t="shared" si="3"/>
        <v>1305.8800000000001</v>
      </c>
      <c r="AK56" s="95">
        <f t="shared" si="4"/>
        <v>71.652000000000001</v>
      </c>
      <c r="AL56" s="95">
        <f t="shared" si="5"/>
        <v>4776.9574000000002</v>
      </c>
      <c r="AM56" s="95">
        <f t="shared" si="6"/>
        <v>764.31318400000009</v>
      </c>
      <c r="AN56" s="95">
        <f t="shared" si="7"/>
        <v>5541.2705839999999</v>
      </c>
    </row>
    <row r="57" spans="1:40" s="8" customFormat="1" ht="15" x14ac:dyDescent="0.25">
      <c r="A57" s="8" t="s">
        <v>326</v>
      </c>
      <c r="B57" s="8" t="s">
        <v>327</v>
      </c>
      <c r="C57" s="8">
        <v>15</v>
      </c>
      <c r="D57" s="8">
        <v>0</v>
      </c>
      <c r="E57" s="8">
        <v>238.84</v>
      </c>
      <c r="F57" s="8">
        <v>249.64</v>
      </c>
      <c r="G57" s="8">
        <v>3582.6</v>
      </c>
      <c r="H57" s="8">
        <v>0</v>
      </c>
      <c r="I57" s="8">
        <v>0</v>
      </c>
      <c r="J57" s="8">
        <v>3582.6</v>
      </c>
      <c r="K57" s="8">
        <v>15</v>
      </c>
      <c r="L57" s="8">
        <v>0</v>
      </c>
      <c r="M57" s="8">
        <v>1100.54</v>
      </c>
      <c r="N57" s="8">
        <v>0</v>
      </c>
      <c r="O57" s="8">
        <v>161.08000000000001</v>
      </c>
      <c r="P57" s="8">
        <v>88.93</v>
      </c>
      <c r="Q57" s="8">
        <v>0</v>
      </c>
      <c r="R57" s="8">
        <v>426.6</v>
      </c>
      <c r="S57" s="8">
        <v>0.05</v>
      </c>
      <c r="T57" s="8">
        <v>1792.2</v>
      </c>
      <c r="U57" s="8">
        <f>+J57-T57</f>
        <v>1790.3999999999999</v>
      </c>
      <c r="V57" s="8">
        <v>65.53</v>
      </c>
      <c r="W57" s="8">
        <v>117.95</v>
      </c>
      <c r="X57" s="8">
        <v>324.07</v>
      </c>
      <c r="Y57" s="8">
        <v>264.89</v>
      </c>
      <c r="Z57" s="8">
        <v>71.650000000000006</v>
      </c>
      <c r="AA57" s="8">
        <v>29.83</v>
      </c>
      <c r="AB57" s="8">
        <v>507.55</v>
      </c>
      <c r="AC57" s="8">
        <v>187.23</v>
      </c>
      <c r="AD57" s="8">
        <v>227.45</v>
      </c>
      <c r="AE57" s="8">
        <v>110</v>
      </c>
      <c r="AF57" s="8">
        <f>((20/365.24)*15)*E57</f>
        <v>196.17785565655458</v>
      </c>
      <c r="AG57" s="95">
        <f t="shared" si="0"/>
        <v>3332.54</v>
      </c>
      <c r="AH57" s="95">
        <f t="shared" si="1"/>
        <v>66.650800000000004</v>
      </c>
      <c r="AI57" s="95">
        <f t="shared" si="2"/>
        <v>3399.1907999999999</v>
      </c>
      <c r="AJ57" s="95">
        <f t="shared" si="3"/>
        <v>1305.8800000000001</v>
      </c>
      <c r="AK57" s="95">
        <f t="shared" si="4"/>
        <v>71.652000000000001</v>
      </c>
      <c r="AL57" s="95">
        <f t="shared" si="5"/>
        <v>4776.7227999999996</v>
      </c>
      <c r="AM57" s="95">
        <f t="shared" si="6"/>
        <v>764.27564799999993</v>
      </c>
      <c r="AN57" s="95">
        <f t="shared" si="7"/>
        <v>5540.9984479999994</v>
      </c>
    </row>
    <row r="58" spans="1:40" s="8" customFormat="1" ht="15" x14ac:dyDescent="0.25">
      <c r="A58" s="8" t="s">
        <v>136</v>
      </c>
      <c r="B58" s="8" t="s">
        <v>137</v>
      </c>
      <c r="C58" s="8">
        <v>15</v>
      </c>
      <c r="D58" s="8">
        <v>0</v>
      </c>
      <c r="E58" s="8">
        <v>238.84</v>
      </c>
      <c r="F58" s="8">
        <v>249.64</v>
      </c>
      <c r="G58" s="8">
        <v>3582.6</v>
      </c>
      <c r="H58" s="8">
        <v>0</v>
      </c>
      <c r="I58" s="8">
        <v>0</v>
      </c>
      <c r="J58" s="8">
        <v>3582.6</v>
      </c>
      <c r="K58" s="8">
        <v>0</v>
      </c>
      <c r="L58" s="8">
        <v>0</v>
      </c>
      <c r="M58" s="8">
        <v>0</v>
      </c>
      <c r="N58" s="8">
        <v>0</v>
      </c>
      <c r="O58" s="8">
        <v>161.08000000000001</v>
      </c>
      <c r="P58" s="8">
        <v>88.93</v>
      </c>
      <c r="Q58" s="8">
        <v>0</v>
      </c>
      <c r="R58" s="8">
        <v>0</v>
      </c>
      <c r="S58" s="9">
        <v>-0.01</v>
      </c>
      <c r="T58" s="8">
        <v>250.00000000000003</v>
      </c>
      <c r="U58" s="8">
        <f>+J58-T58</f>
        <v>3332.6</v>
      </c>
      <c r="V58" s="8">
        <v>65.53</v>
      </c>
      <c r="W58" s="8">
        <v>117.95</v>
      </c>
      <c r="X58" s="8">
        <v>324.07</v>
      </c>
      <c r="Y58" s="8">
        <v>264.89</v>
      </c>
      <c r="Z58" s="8">
        <v>71.650000000000006</v>
      </c>
      <c r="AA58" s="8">
        <v>29.83</v>
      </c>
      <c r="AB58" s="8">
        <v>507.55</v>
      </c>
      <c r="AC58" s="8">
        <v>187.23</v>
      </c>
      <c r="AD58" s="8">
        <v>227.45</v>
      </c>
      <c r="AE58" s="8">
        <v>110</v>
      </c>
      <c r="AF58" s="8">
        <f>((20/365.24)*15)*E58</f>
        <v>196.17785565655458</v>
      </c>
      <c r="AG58" s="95">
        <f t="shared" si="0"/>
        <v>3332.6</v>
      </c>
      <c r="AH58" s="95">
        <f t="shared" si="1"/>
        <v>66.652000000000001</v>
      </c>
      <c r="AI58" s="95">
        <f t="shared" si="2"/>
        <v>3399.252</v>
      </c>
      <c r="AJ58" s="95">
        <f t="shared" si="3"/>
        <v>1305.8800000000001</v>
      </c>
      <c r="AK58" s="95">
        <f t="shared" si="4"/>
        <v>71.652000000000001</v>
      </c>
      <c r="AL58" s="95">
        <f t="shared" si="5"/>
        <v>4776.7839999999997</v>
      </c>
      <c r="AM58" s="95">
        <f t="shared" si="6"/>
        <v>764.28543999999999</v>
      </c>
      <c r="AN58" s="95">
        <f t="shared" si="7"/>
        <v>5541.0694399999993</v>
      </c>
    </row>
    <row r="59" spans="1:40" s="8" customFormat="1" ht="15" x14ac:dyDescent="0.25">
      <c r="A59" s="8" t="s">
        <v>186</v>
      </c>
      <c r="B59" s="8" t="s">
        <v>187</v>
      </c>
      <c r="C59" s="8">
        <v>15</v>
      </c>
      <c r="D59" s="8">
        <v>0</v>
      </c>
      <c r="E59" s="8">
        <v>200</v>
      </c>
      <c r="F59" s="8">
        <v>212.11</v>
      </c>
      <c r="G59" s="8">
        <v>3000</v>
      </c>
      <c r="H59" s="8">
        <v>0</v>
      </c>
      <c r="I59" s="8">
        <v>0</v>
      </c>
      <c r="J59" s="8">
        <v>3000</v>
      </c>
      <c r="K59" s="8">
        <v>0</v>
      </c>
      <c r="L59" s="8">
        <v>0</v>
      </c>
      <c r="M59" s="8">
        <v>0</v>
      </c>
      <c r="N59" s="8">
        <v>0</v>
      </c>
      <c r="O59" s="8">
        <v>59.69</v>
      </c>
      <c r="P59" s="8">
        <v>75.56</v>
      </c>
      <c r="Q59" s="8">
        <v>0</v>
      </c>
      <c r="R59" s="8">
        <v>385</v>
      </c>
      <c r="S59" s="9">
        <v>-0.05</v>
      </c>
      <c r="T59" s="8">
        <v>520.20000000000005</v>
      </c>
      <c r="U59" s="8">
        <f>+J59-T59</f>
        <v>2479.8000000000002</v>
      </c>
      <c r="V59" s="8">
        <v>55.68</v>
      </c>
      <c r="W59" s="8">
        <v>100.22</v>
      </c>
      <c r="X59" s="8">
        <v>314.22000000000003</v>
      </c>
      <c r="Y59" s="8">
        <v>253.63</v>
      </c>
      <c r="Z59" s="8">
        <v>60</v>
      </c>
      <c r="AA59" s="8">
        <v>25.34</v>
      </c>
      <c r="AB59" s="8">
        <v>470.12</v>
      </c>
      <c r="AC59" s="8">
        <v>159.08000000000001</v>
      </c>
      <c r="AD59" s="8">
        <v>221.82</v>
      </c>
      <c r="AE59" s="8">
        <v>110</v>
      </c>
      <c r="AF59" s="8">
        <f>((20/365.24)*15)*E59</f>
        <v>164.27554484722373</v>
      </c>
      <c r="AG59" s="95">
        <f t="shared" si="0"/>
        <v>2864.8</v>
      </c>
      <c r="AH59" s="95">
        <f t="shared" si="1"/>
        <v>57.296000000000006</v>
      </c>
      <c r="AI59" s="95">
        <f t="shared" si="2"/>
        <v>2922.096</v>
      </c>
      <c r="AJ59" s="95">
        <f t="shared" si="3"/>
        <v>1205.5500000000002</v>
      </c>
      <c r="AK59" s="95">
        <f t="shared" si="4"/>
        <v>60</v>
      </c>
      <c r="AL59" s="95">
        <f t="shared" si="5"/>
        <v>4187.6460000000006</v>
      </c>
      <c r="AM59" s="95">
        <f t="shared" si="6"/>
        <v>670.02336000000014</v>
      </c>
      <c r="AN59" s="95">
        <f t="shared" si="7"/>
        <v>4857.6693600000008</v>
      </c>
    </row>
    <row r="60" spans="1:40" s="8" customFormat="1" ht="15" x14ac:dyDescent="0.25">
      <c r="A60" s="8" t="s">
        <v>159</v>
      </c>
      <c r="B60" s="8" t="s">
        <v>160</v>
      </c>
      <c r="C60" s="8">
        <v>15</v>
      </c>
      <c r="D60" s="8">
        <v>0</v>
      </c>
      <c r="E60" s="8">
        <v>238.84</v>
      </c>
      <c r="F60" s="8">
        <v>249.64</v>
      </c>
      <c r="G60" s="8">
        <v>3582.6</v>
      </c>
      <c r="H60" s="8">
        <v>0</v>
      </c>
      <c r="I60" s="8">
        <v>0</v>
      </c>
      <c r="J60" s="8">
        <v>3582.6</v>
      </c>
      <c r="K60" s="8">
        <v>15</v>
      </c>
      <c r="L60" s="8">
        <v>670.03</v>
      </c>
      <c r="M60" s="8">
        <v>0</v>
      </c>
      <c r="N60" s="8">
        <v>0</v>
      </c>
      <c r="O60" s="8">
        <v>161.08000000000001</v>
      </c>
      <c r="P60" s="8">
        <v>88.93</v>
      </c>
      <c r="Q60" s="8">
        <v>0</v>
      </c>
      <c r="R60" s="8">
        <v>0</v>
      </c>
      <c r="S60" s="9">
        <v>-0.04</v>
      </c>
      <c r="T60" s="8">
        <v>935</v>
      </c>
      <c r="U60" s="8">
        <f>+J60-T60</f>
        <v>2647.6</v>
      </c>
      <c r="V60" s="8">
        <v>65.53</v>
      </c>
      <c r="W60" s="8">
        <v>117.95</v>
      </c>
      <c r="X60" s="8">
        <v>324.07</v>
      </c>
      <c r="Y60" s="8">
        <v>264.89</v>
      </c>
      <c r="Z60" s="8">
        <v>71.650000000000006</v>
      </c>
      <c r="AA60" s="8">
        <v>29.83</v>
      </c>
      <c r="AB60" s="8">
        <v>507.55</v>
      </c>
      <c r="AC60" s="8">
        <v>187.23</v>
      </c>
      <c r="AD60" s="8">
        <v>227.45</v>
      </c>
      <c r="AE60" s="8">
        <v>110</v>
      </c>
      <c r="AF60" s="8">
        <f>((20/365.24)*15)*E60</f>
        <v>196.17785565655458</v>
      </c>
      <c r="AG60" s="95">
        <f t="shared" si="0"/>
        <v>3332.63</v>
      </c>
      <c r="AH60" s="95">
        <f t="shared" si="1"/>
        <v>66.652600000000007</v>
      </c>
      <c r="AI60" s="95">
        <f t="shared" si="2"/>
        <v>3399.2826</v>
      </c>
      <c r="AJ60" s="95">
        <f t="shared" si="3"/>
        <v>1305.8800000000001</v>
      </c>
      <c r="AK60" s="95">
        <f t="shared" si="4"/>
        <v>71.652000000000001</v>
      </c>
      <c r="AL60" s="95">
        <f t="shared" si="5"/>
        <v>4776.8145999999997</v>
      </c>
      <c r="AM60" s="95">
        <f t="shared" si="6"/>
        <v>764.29033600000002</v>
      </c>
      <c r="AN60" s="95">
        <f t="shared" si="7"/>
        <v>5541.1049359999997</v>
      </c>
    </row>
    <row r="61" spans="1:40" s="8" customFormat="1" ht="15" x14ac:dyDescent="0.25">
      <c r="A61" s="8" t="s">
        <v>250</v>
      </c>
      <c r="B61" s="8" t="s">
        <v>251</v>
      </c>
      <c r="C61" s="8">
        <v>14</v>
      </c>
      <c r="D61" s="8">
        <v>1</v>
      </c>
      <c r="E61" s="8">
        <v>166.67</v>
      </c>
      <c r="F61" s="8">
        <v>174.2</v>
      </c>
      <c r="G61" s="8">
        <v>2333.38</v>
      </c>
      <c r="H61" s="8">
        <v>166.67</v>
      </c>
      <c r="I61" s="8">
        <v>50</v>
      </c>
      <c r="J61" s="8">
        <v>2550.0500000000002</v>
      </c>
      <c r="K61" s="8">
        <v>0</v>
      </c>
      <c r="L61" s="8">
        <v>0</v>
      </c>
      <c r="M61" s="8">
        <v>0</v>
      </c>
      <c r="N61" s="9">
        <v>-9.6199999999999992</v>
      </c>
      <c r="O61" s="8">
        <v>0</v>
      </c>
      <c r="P61" s="8">
        <v>62.06</v>
      </c>
      <c r="Q61" s="8">
        <v>0</v>
      </c>
      <c r="R61" s="8">
        <v>0</v>
      </c>
      <c r="S61" s="8">
        <v>0.01</v>
      </c>
      <c r="T61" s="8">
        <v>52.45</v>
      </c>
      <c r="U61" s="8">
        <f>+J61-T61</f>
        <v>2497.6000000000004</v>
      </c>
      <c r="V61" s="8">
        <v>45.73</v>
      </c>
      <c r="W61" s="8">
        <v>82.31</v>
      </c>
      <c r="X61" s="8">
        <v>304.27</v>
      </c>
      <c r="Y61" s="8">
        <v>242.26</v>
      </c>
      <c r="Z61" s="8">
        <v>51</v>
      </c>
      <c r="AA61" s="8">
        <v>20.81</v>
      </c>
      <c r="AB61" s="8">
        <v>432.31</v>
      </c>
      <c r="AC61" s="8">
        <v>130.65</v>
      </c>
      <c r="AD61" s="8">
        <v>216.13</v>
      </c>
      <c r="AE61" s="8">
        <v>110</v>
      </c>
      <c r="AF61" s="8">
        <f>((20/365.24)*15)*E61</f>
        <v>136.89902529843388</v>
      </c>
      <c r="AG61" s="95">
        <f t="shared" si="0"/>
        <v>2497.6000000000004</v>
      </c>
      <c r="AH61" s="95">
        <f t="shared" si="1"/>
        <v>49.952000000000005</v>
      </c>
      <c r="AI61" s="95">
        <f t="shared" si="2"/>
        <v>2547.5520000000006</v>
      </c>
      <c r="AJ61" s="95">
        <f t="shared" si="3"/>
        <v>1104.2199999999998</v>
      </c>
      <c r="AK61" s="95">
        <f t="shared" si="4"/>
        <v>51.001000000000005</v>
      </c>
      <c r="AL61" s="95">
        <f t="shared" si="5"/>
        <v>3702.7730000000006</v>
      </c>
      <c r="AM61" s="95">
        <f t="shared" si="6"/>
        <v>592.44368000000009</v>
      </c>
      <c r="AN61" s="95">
        <f t="shared" si="7"/>
        <v>4295.2166800000005</v>
      </c>
    </row>
    <row r="62" spans="1:40" s="8" customFormat="1" ht="15" x14ac:dyDescent="0.25">
      <c r="A62" s="8" t="s">
        <v>241</v>
      </c>
      <c r="B62" s="8" t="s">
        <v>242</v>
      </c>
      <c r="C62" s="8">
        <v>15</v>
      </c>
      <c r="D62" s="8">
        <v>0</v>
      </c>
      <c r="E62" s="8">
        <v>195.38</v>
      </c>
      <c r="F62" s="8">
        <v>204.21</v>
      </c>
      <c r="G62" s="8">
        <v>2930.7</v>
      </c>
      <c r="H62" s="8">
        <v>0</v>
      </c>
      <c r="I62" s="8">
        <v>0</v>
      </c>
      <c r="J62" s="8">
        <v>2930.7</v>
      </c>
      <c r="K62" s="8">
        <v>15</v>
      </c>
      <c r="L62" s="8">
        <v>859.27</v>
      </c>
      <c r="M62" s="8">
        <v>0</v>
      </c>
      <c r="N62" s="8">
        <v>0</v>
      </c>
      <c r="O62" s="8">
        <v>52.15</v>
      </c>
      <c r="P62" s="8">
        <v>72.75</v>
      </c>
      <c r="Q62" s="8">
        <v>0</v>
      </c>
      <c r="R62" s="8">
        <v>0</v>
      </c>
      <c r="S62" s="9">
        <v>-7.0000000000000007E-2</v>
      </c>
      <c r="T62" s="8">
        <v>999.09999999999991</v>
      </c>
      <c r="U62" s="8">
        <f>+J62-T62</f>
        <v>1931.6</v>
      </c>
      <c r="V62" s="8">
        <v>53.61</v>
      </c>
      <c r="W62" s="8">
        <v>96.49</v>
      </c>
      <c r="X62" s="8">
        <v>312.14</v>
      </c>
      <c r="Y62" s="8">
        <v>251.26</v>
      </c>
      <c r="Z62" s="8">
        <v>58.61</v>
      </c>
      <c r="AA62" s="8">
        <v>24.4</v>
      </c>
      <c r="AB62" s="8">
        <v>462.24</v>
      </c>
      <c r="AC62" s="8">
        <v>153.16</v>
      </c>
      <c r="AD62" s="8">
        <v>220.63</v>
      </c>
      <c r="AE62" s="8">
        <v>110</v>
      </c>
      <c r="AF62" s="8">
        <f>((20/365.24)*15)*E62</f>
        <v>160.48077976125285</v>
      </c>
      <c r="AG62" s="95">
        <f t="shared" si="0"/>
        <v>2805.87</v>
      </c>
      <c r="AH62" s="95">
        <f t="shared" si="1"/>
        <v>56.117399999999996</v>
      </c>
      <c r="AI62" s="95">
        <f t="shared" si="2"/>
        <v>2861.9874</v>
      </c>
      <c r="AJ62" s="95">
        <f t="shared" si="3"/>
        <v>1184.44</v>
      </c>
      <c r="AK62" s="95">
        <f t="shared" si="4"/>
        <v>58.613999999999997</v>
      </c>
      <c r="AL62" s="95">
        <f t="shared" si="5"/>
        <v>4105.0414000000001</v>
      </c>
      <c r="AM62" s="95">
        <f t="shared" si="6"/>
        <v>656.80662400000006</v>
      </c>
      <c r="AN62" s="95">
        <f t="shared" si="7"/>
        <v>4761.8480239999999</v>
      </c>
    </row>
    <row r="63" spans="1:40" s="8" customFormat="1" ht="15" x14ac:dyDescent="0.25">
      <c r="A63" s="8" t="s">
        <v>303</v>
      </c>
      <c r="B63" s="8" t="s">
        <v>304</v>
      </c>
      <c r="C63" s="8">
        <v>15</v>
      </c>
      <c r="D63" s="8">
        <v>0</v>
      </c>
      <c r="E63" s="8">
        <v>195.38</v>
      </c>
      <c r="F63" s="8">
        <v>204.21</v>
      </c>
      <c r="G63" s="8">
        <v>2930.7</v>
      </c>
      <c r="H63" s="8">
        <v>0</v>
      </c>
      <c r="I63" s="8">
        <v>0</v>
      </c>
      <c r="J63" s="8">
        <v>2930.7</v>
      </c>
      <c r="K63" s="8">
        <v>15</v>
      </c>
      <c r="L63" s="8">
        <v>880.29</v>
      </c>
      <c r="M63" s="8">
        <v>0</v>
      </c>
      <c r="N63" s="8">
        <v>0</v>
      </c>
      <c r="O63" s="8">
        <v>52.15</v>
      </c>
      <c r="P63" s="8">
        <v>72.75</v>
      </c>
      <c r="Q63" s="8">
        <v>0</v>
      </c>
      <c r="R63" s="8">
        <v>435.98</v>
      </c>
      <c r="S63" s="9">
        <v>-7.0000000000000007E-2</v>
      </c>
      <c r="T63" s="8">
        <v>1456.1000000000001</v>
      </c>
      <c r="U63" s="8">
        <f>+J63-T63</f>
        <v>1474.5999999999997</v>
      </c>
      <c r="V63" s="8">
        <v>53.61</v>
      </c>
      <c r="W63" s="8">
        <v>96.49</v>
      </c>
      <c r="X63" s="8">
        <v>312.14</v>
      </c>
      <c r="Y63" s="8">
        <v>251.26</v>
      </c>
      <c r="Z63" s="8">
        <v>58.61</v>
      </c>
      <c r="AA63" s="8">
        <v>24.4</v>
      </c>
      <c r="AB63" s="8">
        <v>462.24</v>
      </c>
      <c r="AC63" s="8">
        <v>153.16</v>
      </c>
      <c r="AD63" s="8">
        <v>220.63</v>
      </c>
      <c r="AE63" s="8">
        <v>110</v>
      </c>
      <c r="AF63" s="8">
        <f>((20/365.24)*15)*E63</f>
        <v>160.48077976125285</v>
      </c>
      <c r="AG63" s="95">
        <f t="shared" si="0"/>
        <v>2805.87</v>
      </c>
      <c r="AH63" s="95">
        <f t="shared" si="1"/>
        <v>56.117399999999996</v>
      </c>
      <c r="AI63" s="95">
        <f t="shared" si="2"/>
        <v>2861.9874</v>
      </c>
      <c r="AJ63" s="95">
        <f t="shared" si="3"/>
        <v>1184.44</v>
      </c>
      <c r="AK63" s="95">
        <f t="shared" si="4"/>
        <v>58.613999999999997</v>
      </c>
      <c r="AL63" s="95">
        <f t="shared" si="5"/>
        <v>4105.0414000000001</v>
      </c>
      <c r="AM63" s="95">
        <f t="shared" si="6"/>
        <v>656.80662400000006</v>
      </c>
      <c r="AN63" s="95">
        <f t="shared" si="7"/>
        <v>4761.8480239999999</v>
      </c>
    </row>
    <row r="64" spans="1:40" s="8" customFormat="1" ht="15" x14ac:dyDescent="0.25">
      <c r="A64" s="8" t="s">
        <v>259</v>
      </c>
      <c r="B64" s="8" t="s">
        <v>437</v>
      </c>
      <c r="C64" s="8">
        <v>15</v>
      </c>
      <c r="D64" s="8">
        <v>0</v>
      </c>
      <c r="E64" s="8">
        <v>166.67</v>
      </c>
      <c r="F64" s="8">
        <v>176.76</v>
      </c>
      <c r="G64" s="8">
        <v>2500.0500000000002</v>
      </c>
      <c r="H64" s="8">
        <v>0</v>
      </c>
      <c r="I64" s="8">
        <v>0</v>
      </c>
      <c r="J64" s="8">
        <v>2500.0500000000002</v>
      </c>
      <c r="K64" s="8">
        <v>0</v>
      </c>
      <c r="L64" s="8">
        <v>0</v>
      </c>
      <c r="M64" s="8">
        <v>0</v>
      </c>
      <c r="N64" s="9">
        <v>-9.6199999999999992</v>
      </c>
      <c r="O64" s="8">
        <v>0</v>
      </c>
      <c r="P64" s="8">
        <v>62.97</v>
      </c>
      <c r="Q64" s="8">
        <v>0</v>
      </c>
      <c r="R64" s="8">
        <v>0</v>
      </c>
      <c r="S64" s="8">
        <v>0.1</v>
      </c>
      <c r="T64" s="8">
        <v>53.45</v>
      </c>
      <c r="U64" s="8">
        <f>+J64-T64</f>
        <v>2446.6000000000004</v>
      </c>
      <c r="V64" s="8">
        <v>46.4</v>
      </c>
      <c r="W64" s="8">
        <v>83.52</v>
      </c>
      <c r="X64" s="8">
        <v>304.94</v>
      </c>
      <c r="Y64" s="8">
        <v>243.03</v>
      </c>
      <c r="Z64" s="8">
        <v>50</v>
      </c>
      <c r="AA64" s="8">
        <v>21.12</v>
      </c>
      <c r="AB64" s="8">
        <v>434.86</v>
      </c>
      <c r="AC64" s="8">
        <v>132.57</v>
      </c>
      <c r="AD64" s="8">
        <v>216.51</v>
      </c>
      <c r="AE64" s="8">
        <v>110</v>
      </c>
      <c r="AF64" s="8">
        <f>((20/365.24)*15)*E64</f>
        <v>136.89902529843388</v>
      </c>
      <c r="AG64" s="95">
        <f t="shared" si="0"/>
        <v>2446.6000000000004</v>
      </c>
      <c r="AH64" s="95">
        <f t="shared" si="1"/>
        <v>48.932000000000009</v>
      </c>
      <c r="AI64" s="95">
        <f t="shared" si="2"/>
        <v>2495.5320000000002</v>
      </c>
      <c r="AJ64" s="95">
        <f t="shared" si="3"/>
        <v>1111.06</v>
      </c>
      <c r="AK64" s="95">
        <f t="shared" si="4"/>
        <v>50.001000000000005</v>
      </c>
      <c r="AL64" s="95">
        <f t="shared" si="5"/>
        <v>3656.5930000000003</v>
      </c>
      <c r="AM64" s="95">
        <f t="shared" si="6"/>
        <v>585.05488000000003</v>
      </c>
      <c r="AN64" s="95">
        <f t="shared" si="7"/>
        <v>4241.6478800000004</v>
      </c>
    </row>
    <row r="65" spans="1:40" s="8" customFormat="1" ht="15" x14ac:dyDescent="0.25">
      <c r="A65" s="8" t="s">
        <v>133</v>
      </c>
      <c r="B65" s="8" t="s">
        <v>134</v>
      </c>
      <c r="C65" s="8">
        <v>15</v>
      </c>
      <c r="D65" s="8">
        <v>0</v>
      </c>
      <c r="E65" s="8">
        <v>166.67</v>
      </c>
      <c r="F65" s="8">
        <v>177.03</v>
      </c>
      <c r="G65" s="8">
        <v>2500.0500000000002</v>
      </c>
      <c r="H65" s="8">
        <v>0</v>
      </c>
      <c r="I65" s="8">
        <v>0</v>
      </c>
      <c r="J65" s="8">
        <v>2500.0500000000002</v>
      </c>
      <c r="K65" s="8">
        <v>0</v>
      </c>
      <c r="L65" s="8">
        <v>0</v>
      </c>
      <c r="M65" s="8">
        <v>0</v>
      </c>
      <c r="N65" s="9">
        <v>-9.6199999999999992</v>
      </c>
      <c r="O65" s="8">
        <v>0</v>
      </c>
      <c r="P65" s="8">
        <v>63.07</v>
      </c>
      <c r="Q65" s="8">
        <v>0</v>
      </c>
      <c r="R65" s="8">
        <v>0</v>
      </c>
      <c r="S65" s="8" t="s">
        <v>444</v>
      </c>
      <c r="T65" s="8">
        <v>53.45</v>
      </c>
      <c r="U65" s="8">
        <f>+J65-T65</f>
        <v>2446.6000000000004</v>
      </c>
      <c r="V65" s="8">
        <v>46.47</v>
      </c>
      <c r="W65" s="8">
        <v>83.65</v>
      </c>
      <c r="X65" s="8">
        <v>305.01</v>
      </c>
      <c r="Y65" s="8">
        <v>243.11</v>
      </c>
      <c r="Z65" s="8">
        <v>50</v>
      </c>
      <c r="AA65" s="8">
        <v>21.15</v>
      </c>
      <c r="AB65" s="8">
        <v>435.13</v>
      </c>
      <c r="AC65" s="8">
        <v>132.77000000000001</v>
      </c>
      <c r="AD65" s="8">
        <v>216.55</v>
      </c>
      <c r="AE65" s="8">
        <v>110</v>
      </c>
      <c r="AF65" s="8">
        <f>((20/365.24)*15)*E65</f>
        <v>136.89902529843388</v>
      </c>
      <c r="AG65" s="95">
        <f t="shared" si="0"/>
        <v>2446.6000000000004</v>
      </c>
      <c r="AH65" s="95">
        <f t="shared" si="1"/>
        <v>48.932000000000009</v>
      </c>
      <c r="AI65" s="95">
        <f t="shared" si="2"/>
        <v>2495.5320000000002</v>
      </c>
      <c r="AJ65" s="95">
        <f t="shared" si="3"/>
        <v>1111.78</v>
      </c>
      <c r="AK65" s="95">
        <f t="shared" si="4"/>
        <v>50.001000000000005</v>
      </c>
      <c r="AL65" s="95">
        <f t="shared" si="5"/>
        <v>3657.3130000000001</v>
      </c>
      <c r="AM65" s="95">
        <f t="shared" si="6"/>
        <v>585.17007999999998</v>
      </c>
      <c r="AN65" s="95">
        <f t="shared" si="7"/>
        <v>4242.48308</v>
      </c>
    </row>
    <row r="66" spans="1:40" s="8" customFormat="1" ht="15" x14ac:dyDescent="0.25">
      <c r="A66" s="8" t="s">
        <v>199</v>
      </c>
      <c r="B66" s="8" t="s">
        <v>438</v>
      </c>
      <c r="C66" s="8">
        <v>15</v>
      </c>
      <c r="D66" s="8">
        <v>0</v>
      </c>
      <c r="E66" s="8">
        <v>200</v>
      </c>
      <c r="F66" s="8">
        <v>209.04</v>
      </c>
      <c r="G66" s="8">
        <v>3000</v>
      </c>
      <c r="H66" s="8">
        <v>0</v>
      </c>
      <c r="I66" s="8">
        <v>0</v>
      </c>
      <c r="J66" s="8">
        <v>3000</v>
      </c>
      <c r="K66" s="8">
        <v>0</v>
      </c>
      <c r="L66" s="8">
        <v>0</v>
      </c>
      <c r="M66" s="8">
        <v>0</v>
      </c>
      <c r="N66" s="8">
        <v>0</v>
      </c>
      <c r="O66" s="8">
        <v>59.69</v>
      </c>
      <c r="P66" s="8">
        <v>74.48</v>
      </c>
      <c r="Q66" s="8">
        <v>0</v>
      </c>
      <c r="R66" s="8">
        <v>0</v>
      </c>
      <c r="S66" s="8">
        <v>0.03</v>
      </c>
      <c r="T66" s="8">
        <v>134.20000000000002</v>
      </c>
      <c r="U66" s="8">
        <f>+J66-T66</f>
        <v>2865.8</v>
      </c>
      <c r="V66" s="8">
        <v>54.87</v>
      </c>
      <c r="W66" s="8">
        <v>98.77</v>
      </c>
      <c r="X66" s="8">
        <v>313.41000000000003</v>
      </c>
      <c r="Y66" s="8">
        <v>252.71</v>
      </c>
      <c r="Z66" s="8">
        <v>60</v>
      </c>
      <c r="AA66" s="8">
        <v>24.98</v>
      </c>
      <c r="AB66" s="8">
        <v>467.05</v>
      </c>
      <c r="AC66" s="8">
        <v>156.78</v>
      </c>
      <c r="AD66" s="8">
        <v>221.36</v>
      </c>
      <c r="AE66" s="8">
        <v>110</v>
      </c>
      <c r="AF66" s="8">
        <f>((20/365.24)*15)*E66</f>
        <v>164.27554484722373</v>
      </c>
      <c r="AG66" s="95">
        <f t="shared" si="0"/>
        <v>2865.8</v>
      </c>
      <c r="AH66" s="95">
        <f t="shared" si="1"/>
        <v>57.316000000000003</v>
      </c>
      <c r="AI66" s="95">
        <f t="shared" si="2"/>
        <v>2923.116</v>
      </c>
      <c r="AJ66" s="95">
        <f t="shared" si="3"/>
        <v>1197.3600000000001</v>
      </c>
      <c r="AK66" s="95">
        <f t="shared" si="4"/>
        <v>60</v>
      </c>
      <c r="AL66" s="95">
        <f t="shared" si="5"/>
        <v>4180.4760000000006</v>
      </c>
      <c r="AM66" s="95">
        <f t="shared" si="6"/>
        <v>668.87616000000014</v>
      </c>
      <c r="AN66" s="95">
        <f t="shared" si="7"/>
        <v>4849.3521600000004</v>
      </c>
    </row>
    <row r="67" spans="1:40" s="8" customFormat="1" ht="15" x14ac:dyDescent="0.25">
      <c r="A67" s="8" t="s">
        <v>219</v>
      </c>
      <c r="B67" s="8" t="s">
        <v>220</v>
      </c>
      <c r="C67" s="8">
        <v>15</v>
      </c>
      <c r="D67" s="8">
        <v>0</v>
      </c>
      <c r="E67" s="8">
        <v>166.67</v>
      </c>
      <c r="F67" s="8">
        <v>175.8</v>
      </c>
      <c r="G67" s="8">
        <v>2500.0500000000002</v>
      </c>
      <c r="H67" s="8">
        <v>0</v>
      </c>
      <c r="I67" s="8">
        <v>0</v>
      </c>
      <c r="J67" s="8">
        <v>2500.0500000000002</v>
      </c>
      <c r="K67" s="8">
        <v>0</v>
      </c>
      <c r="L67" s="8">
        <v>0</v>
      </c>
      <c r="M67" s="8">
        <v>0</v>
      </c>
      <c r="N67" s="9">
        <v>-9.6199999999999992</v>
      </c>
      <c r="O67" s="8">
        <v>0</v>
      </c>
      <c r="P67" s="8">
        <v>62.63</v>
      </c>
      <c r="Q67" s="8">
        <v>0</v>
      </c>
      <c r="R67" s="8">
        <v>0</v>
      </c>
      <c r="S67" s="9">
        <v>-0.16</v>
      </c>
      <c r="T67" s="8">
        <v>52.850000000000009</v>
      </c>
      <c r="U67" s="8">
        <f>+J67-T67</f>
        <v>2447.2000000000003</v>
      </c>
      <c r="V67" s="8">
        <v>46.15</v>
      </c>
      <c r="W67" s="8">
        <v>83.07</v>
      </c>
      <c r="X67" s="8">
        <v>304.69</v>
      </c>
      <c r="Y67" s="8">
        <v>242.74</v>
      </c>
      <c r="Z67" s="8">
        <v>50</v>
      </c>
      <c r="AA67" s="8">
        <v>21.01</v>
      </c>
      <c r="AB67" s="8">
        <v>433.91</v>
      </c>
      <c r="AC67" s="8">
        <v>131.85</v>
      </c>
      <c r="AD67" s="8">
        <v>216.37</v>
      </c>
      <c r="AE67" s="8">
        <v>110</v>
      </c>
      <c r="AF67" s="8">
        <f>((20/365.24)*15)*E67</f>
        <v>136.89902529843388</v>
      </c>
      <c r="AG67" s="95">
        <f t="shared" si="0"/>
        <v>2447.2000000000003</v>
      </c>
      <c r="AH67" s="95">
        <f t="shared" si="1"/>
        <v>48.94400000000001</v>
      </c>
      <c r="AI67" s="95">
        <f t="shared" si="2"/>
        <v>2496.1440000000002</v>
      </c>
      <c r="AJ67" s="95">
        <f t="shared" si="3"/>
        <v>1108.51</v>
      </c>
      <c r="AK67" s="95">
        <f t="shared" si="4"/>
        <v>50.001000000000005</v>
      </c>
      <c r="AL67" s="95">
        <f t="shared" si="5"/>
        <v>3654.6550000000007</v>
      </c>
      <c r="AM67" s="95">
        <f t="shared" si="6"/>
        <v>584.74480000000017</v>
      </c>
      <c r="AN67" s="95">
        <f t="shared" si="7"/>
        <v>4239.3998000000011</v>
      </c>
    </row>
    <row r="68" spans="1:40" s="8" customFormat="1" ht="15" x14ac:dyDescent="0.25">
      <c r="A68" s="8" t="s">
        <v>262</v>
      </c>
      <c r="B68" s="8" t="s">
        <v>263</v>
      </c>
      <c r="C68" s="8">
        <v>15</v>
      </c>
      <c r="D68" s="8">
        <v>0</v>
      </c>
      <c r="E68" s="8">
        <v>166.66</v>
      </c>
      <c r="F68" s="8">
        <v>174.19</v>
      </c>
      <c r="G68" s="8">
        <v>2499.9</v>
      </c>
      <c r="H68" s="8">
        <v>0</v>
      </c>
      <c r="I68" s="8">
        <v>0</v>
      </c>
      <c r="J68" s="8">
        <v>2499.9</v>
      </c>
      <c r="K68" s="8">
        <v>15</v>
      </c>
      <c r="L68" s="8">
        <v>398.9</v>
      </c>
      <c r="M68" s="8">
        <v>0</v>
      </c>
      <c r="N68" s="9">
        <v>-9.64</v>
      </c>
      <c r="O68" s="8">
        <v>0</v>
      </c>
      <c r="P68" s="8">
        <v>62.06</v>
      </c>
      <c r="Q68" s="8">
        <v>0</v>
      </c>
      <c r="R68" s="8">
        <v>0</v>
      </c>
      <c r="S68" s="9">
        <v>-0.02</v>
      </c>
      <c r="T68" s="8">
        <v>466.3</v>
      </c>
      <c r="U68" s="8">
        <f>+J68-T68</f>
        <v>2033.6000000000001</v>
      </c>
      <c r="V68" s="8">
        <v>45.73</v>
      </c>
      <c r="W68" s="8">
        <v>82.31</v>
      </c>
      <c r="X68" s="8">
        <v>304.27</v>
      </c>
      <c r="Y68" s="8">
        <v>242.26</v>
      </c>
      <c r="Z68" s="8">
        <v>50</v>
      </c>
      <c r="AA68" s="8">
        <v>20.81</v>
      </c>
      <c r="AB68" s="8">
        <v>432.31</v>
      </c>
      <c r="AC68" s="8">
        <v>130.65</v>
      </c>
      <c r="AD68" s="8">
        <v>216.13</v>
      </c>
      <c r="AE68" s="8">
        <v>110</v>
      </c>
      <c r="AF68" s="8">
        <f>((20/365.24)*15)*E68</f>
        <v>136.89081152119152</v>
      </c>
      <c r="AG68" s="95">
        <f t="shared" si="0"/>
        <v>2447.5000000000005</v>
      </c>
      <c r="AH68" s="95">
        <f t="shared" si="1"/>
        <v>48.95000000000001</v>
      </c>
      <c r="AI68" s="95">
        <f t="shared" si="2"/>
        <v>2496.4500000000003</v>
      </c>
      <c r="AJ68" s="95">
        <f t="shared" si="3"/>
        <v>1104.2199999999998</v>
      </c>
      <c r="AK68" s="95">
        <f t="shared" si="4"/>
        <v>49.998000000000005</v>
      </c>
      <c r="AL68" s="95">
        <f t="shared" si="5"/>
        <v>3650.6680000000001</v>
      </c>
      <c r="AM68" s="95">
        <f t="shared" si="6"/>
        <v>584.10688000000005</v>
      </c>
      <c r="AN68" s="95">
        <f t="shared" si="7"/>
        <v>4234.7748799999999</v>
      </c>
    </row>
    <row r="69" spans="1:40" s="8" customFormat="1" ht="15" x14ac:dyDescent="0.25">
      <c r="A69" s="8" t="s">
        <v>228</v>
      </c>
      <c r="B69" s="8" t="s">
        <v>229</v>
      </c>
      <c r="C69" s="8">
        <v>15</v>
      </c>
      <c r="D69" s="8">
        <v>0</v>
      </c>
      <c r="E69" s="8">
        <v>256.67</v>
      </c>
      <c r="F69" s="8">
        <v>272.20999999999998</v>
      </c>
      <c r="G69" s="8">
        <v>3850.05</v>
      </c>
      <c r="H69" s="8">
        <v>0</v>
      </c>
      <c r="I69" s="8">
        <v>0</v>
      </c>
      <c r="J69" s="8">
        <v>3850.05</v>
      </c>
      <c r="K69" s="8">
        <v>0</v>
      </c>
      <c r="L69" s="8">
        <v>0</v>
      </c>
      <c r="M69" s="8">
        <v>0</v>
      </c>
      <c r="N69" s="8">
        <v>0</v>
      </c>
      <c r="O69" s="8">
        <v>297.55</v>
      </c>
      <c r="P69" s="8">
        <v>98.1</v>
      </c>
      <c r="Q69" s="8">
        <v>0</v>
      </c>
      <c r="R69" s="8">
        <v>0</v>
      </c>
      <c r="S69" s="8" t="s">
        <v>444</v>
      </c>
      <c r="T69" s="8">
        <v>395.65</v>
      </c>
      <c r="U69" s="8">
        <f>+J69-T69</f>
        <v>3454.4</v>
      </c>
      <c r="V69" s="8">
        <v>71.459999999999994</v>
      </c>
      <c r="W69" s="8">
        <v>128.62</v>
      </c>
      <c r="X69" s="8">
        <v>333.08</v>
      </c>
      <c r="Y69" s="8">
        <v>271.66000000000003</v>
      </c>
      <c r="Z69" s="8">
        <v>77</v>
      </c>
      <c r="AA69" s="8">
        <v>32.53</v>
      </c>
      <c r="AB69" s="8">
        <v>533.16</v>
      </c>
      <c r="AC69" s="8">
        <v>204.16</v>
      </c>
      <c r="AD69" s="8">
        <v>230.83</v>
      </c>
      <c r="AE69" s="8">
        <v>110</v>
      </c>
      <c r="AF69" s="8">
        <f>((20/365.24)*15)*E69</f>
        <v>210.8230204796846</v>
      </c>
      <c r="AG69" s="95">
        <f t="shared" si="0"/>
        <v>3454.4</v>
      </c>
      <c r="AH69" s="95">
        <f t="shared" si="1"/>
        <v>69.088000000000008</v>
      </c>
      <c r="AI69" s="95">
        <f t="shared" si="2"/>
        <v>3523.4880000000003</v>
      </c>
      <c r="AJ69" s="95">
        <f t="shared" si="3"/>
        <v>1370.44</v>
      </c>
      <c r="AK69" s="95">
        <f t="shared" si="4"/>
        <v>77.001000000000005</v>
      </c>
      <c r="AL69" s="95">
        <f t="shared" si="5"/>
        <v>4970.9290000000001</v>
      </c>
      <c r="AM69" s="95">
        <f t="shared" si="6"/>
        <v>795.34864000000005</v>
      </c>
      <c r="AN69" s="95">
        <f t="shared" si="7"/>
        <v>5766.2776400000002</v>
      </c>
    </row>
    <row r="70" spans="1:40" s="8" customFormat="1" ht="15" x14ac:dyDescent="0.25">
      <c r="A70" s="8" t="s">
        <v>299</v>
      </c>
      <c r="B70" s="8" t="s">
        <v>300</v>
      </c>
      <c r="C70" s="8">
        <v>15</v>
      </c>
      <c r="D70" s="8">
        <v>0</v>
      </c>
      <c r="E70" s="8">
        <v>166.67</v>
      </c>
      <c r="F70" s="8">
        <v>174.2</v>
      </c>
      <c r="G70" s="8">
        <v>2500.0500000000002</v>
      </c>
      <c r="H70" s="8">
        <v>0</v>
      </c>
      <c r="I70" s="8">
        <v>0</v>
      </c>
      <c r="J70" s="8">
        <v>2500.0500000000002</v>
      </c>
      <c r="K70" s="8">
        <v>0</v>
      </c>
      <c r="L70" s="8">
        <v>0</v>
      </c>
      <c r="M70" s="8">
        <v>0</v>
      </c>
      <c r="N70" s="9">
        <v>-9.6199999999999992</v>
      </c>
      <c r="O70" s="8">
        <v>0</v>
      </c>
      <c r="P70" s="8">
        <v>62.06</v>
      </c>
      <c r="Q70" s="8">
        <v>0</v>
      </c>
      <c r="R70" s="8">
        <v>0</v>
      </c>
      <c r="S70" s="8">
        <v>0.01</v>
      </c>
      <c r="T70" s="8">
        <v>52.45</v>
      </c>
      <c r="U70" s="8">
        <f>+J70-T70</f>
        <v>2447.6000000000004</v>
      </c>
      <c r="V70" s="8">
        <v>45.73</v>
      </c>
      <c r="W70" s="8">
        <v>82.31</v>
      </c>
      <c r="X70" s="8">
        <v>304.27</v>
      </c>
      <c r="Y70" s="8">
        <v>242.26</v>
      </c>
      <c r="Z70" s="8">
        <v>50</v>
      </c>
      <c r="AA70" s="8">
        <v>20.82</v>
      </c>
      <c r="AB70" s="8">
        <v>432.31</v>
      </c>
      <c r="AC70" s="8">
        <v>130.65</v>
      </c>
      <c r="AD70" s="8">
        <v>216.13</v>
      </c>
      <c r="AE70" s="8">
        <v>110</v>
      </c>
      <c r="AF70" s="8">
        <f>((20/365.24)*15)*E70</f>
        <v>136.89902529843388</v>
      </c>
      <c r="AG70" s="95">
        <f t="shared" si="0"/>
        <v>2447.6000000000004</v>
      </c>
      <c r="AH70" s="95">
        <f t="shared" si="1"/>
        <v>48.952000000000005</v>
      </c>
      <c r="AI70" s="95">
        <f t="shared" si="2"/>
        <v>2496.5520000000006</v>
      </c>
      <c r="AJ70" s="95">
        <f t="shared" si="3"/>
        <v>1104.23</v>
      </c>
      <c r="AK70" s="95">
        <f t="shared" si="4"/>
        <v>50.001000000000005</v>
      </c>
      <c r="AL70" s="95">
        <f t="shared" si="5"/>
        <v>3650.7830000000008</v>
      </c>
      <c r="AM70" s="95">
        <f t="shared" si="6"/>
        <v>584.12528000000009</v>
      </c>
      <c r="AN70" s="95">
        <f t="shared" si="7"/>
        <v>4234.9082800000006</v>
      </c>
    </row>
    <row r="71" spans="1:40" s="8" customFormat="1" ht="15" x14ac:dyDescent="0.25">
      <c r="A71" s="8" t="s">
        <v>313</v>
      </c>
      <c r="B71" s="8" t="s">
        <v>314</v>
      </c>
      <c r="C71" s="8">
        <v>15</v>
      </c>
      <c r="D71" s="8">
        <v>0</v>
      </c>
      <c r="E71" s="8">
        <v>233.33</v>
      </c>
      <c r="F71" s="8">
        <v>243.88</v>
      </c>
      <c r="G71" s="8">
        <v>3499.95</v>
      </c>
      <c r="H71" s="8">
        <v>0</v>
      </c>
      <c r="I71" s="8">
        <v>0</v>
      </c>
      <c r="J71" s="8">
        <v>3499.95</v>
      </c>
      <c r="K71" s="8">
        <v>0</v>
      </c>
      <c r="L71" s="8">
        <v>0</v>
      </c>
      <c r="M71" s="8">
        <v>0</v>
      </c>
      <c r="N71" s="8">
        <v>0</v>
      </c>
      <c r="O71" s="8">
        <v>134.36000000000001</v>
      </c>
      <c r="P71" s="8">
        <v>86.88</v>
      </c>
      <c r="Q71" s="8">
        <v>0</v>
      </c>
      <c r="R71" s="8">
        <v>0</v>
      </c>
      <c r="S71" s="9">
        <v>-0.09</v>
      </c>
      <c r="T71" s="8">
        <v>221.15</v>
      </c>
      <c r="U71" s="8">
        <f>+J71-T71</f>
        <v>3278.7999999999997</v>
      </c>
      <c r="V71" s="8">
        <v>64.02</v>
      </c>
      <c r="W71" s="8">
        <v>115.23</v>
      </c>
      <c r="X71" s="8">
        <v>322.56</v>
      </c>
      <c r="Y71" s="8">
        <v>263.16000000000003</v>
      </c>
      <c r="Z71" s="8">
        <v>70</v>
      </c>
      <c r="AA71" s="8">
        <v>29.14</v>
      </c>
      <c r="AB71" s="8">
        <v>501.81</v>
      </c>
      <c r="AC71" s="8">
        <v>182.91</v>
      </c>
      <c r="AD71" s="8">
        <v>226.58</v>
      </c>
      <c r="AE71" s="8">
        <v>110</v>
      </c>
      <c r="AF71" s="8">
        <f>((20/365.24)*15)*E71</f>
        <v>191.65206439601357</v>
      </c>
      <c r="AG71" s="95">
        <f t="shared" si="0"/>
        <v>3278.7999999999997</v>
      </c>
      <c r="AH71" s="95">
        <f t="shared" si="1"/>
        <v>65.575999999999993</v>
      </c>
      <c r="AI71" s="95">
        <f t="shared" si="2"/>
        <v>3344.3759999999997</v>
      </c>
      <c r="AJ71" s="95">
        <f t="shared" si="3"/>
        <v>1290.48</v>
      </c>
      <c r="AK71" s="95">
        <f t="shared" si="4"/>
        <v>69.998999999999995</v>
      </c>
      <c r="AL71" s="95">
        <f t="shared" si="5"/>
        <v>4704.8549999999996</v>
      </c>
      <c r="AM71" s="95">
        <f t="shared" si="6"/>
        <v>752.77679999999998</v>
      </c>
      <c r="AN71" s="95">
        <f t="shared" si="7"/>
        <v>5457.6317999999992</v>
      </c>
    </row>
    <row r="72" spans="1:40" s="8" customFormat="1" ht="15" x14ac:dyDescent="0.25">
      <c r="A72" s="8" t="s">
        <v>213</v>
      </c>
      <c r="B72" s="8" t="s">
        <v>214</v>
      </c>
      <c r="C72" s="8">
        <v>15</v>
      </c>
      <c r="D72" s="8">
        <v>0</v>
      </c>
      <c r="E72" s="8">
        <v>233.33</v>
      </c>
      <c r="F72" s="8">
        <v>247.46</v>
      </c>
      <c r="G72" s="8">
        <v>3499.95</v>
      </c>
      <c r="H72" s="8">
        <v>0</v>
      </c>
      <c r="I72" s="8">
        <v>0</v>
      </c>
      <c r="J72" s="8">
        <v>3499.95</v>
      </c>
      <c r="K72" s="8">
        <v>15</v>
      </c>
      <c r="L72" s="8">
        <v>1401.51</v>
      </c>
      <c r="M72" s="8">
        <v>0</v>
      </c>
      <c r="N72" s="8">
        <v>0</v>
      </c>
      <c r="O72" s="8">
        <v>134.36000000000001</v>
      </c>
      <c r="P72" s="8">
        <v>88.16</v>
      </c>
      <c r="Q72" s="8">
        <v>0</v>
      </c>
      <c r="R72" s="8">
        <v>0</v>
      </c>
      <c r="S72" s="8">
        <v>0.12</v>
      </c>
      <c r="T72" s="8">
        <v>1639.1499999999999</v>
      </c>
      <c r="U72" s="8">
        <f>+J72-T72</f>
        <v>1860.8</v>
      </c>
      <c r="V72" s="8">
        <v>64.959999999999994</v>
      </c>
      <c r="W72" s="8">
        <v>116.92</v>
      </c>
      <c r="X72" s="8">
        <v>323.5</v>
      </c>
      <c r="Y72" s="8">
        <v>264.24</v>
      </c>
      <c r="Z72" s="8">
        <v>70</v>
      </c>
      <c r="AA72" s="8">
        <v>29.57</v>
      </c>
      <c r="AB72" s="8">
        <v>505.38</v>
      </c>
      <c r="AC72" s="8">
        <v>185.6</v>
      </c>
      <c r="AD72" s="8">
        <v>227.12</v>
      </c>
      <c r="AE72" s="8">
        <v>110</v>
      </c>
      <c r="AF72" s="8">
        <f>((20/365.24)*15)*E72</f>
        <v>191.65206439601357</v>
      </c>
      <c r="AG72" s="95">
        <f t="shared" si="0"/>
        <v>3277.31</v>
      </c>
      <c r="AH72" s="95">
        <f t="shared" si="1"/>
        <v>65.546199999999999</v>
      </c>
      <c r="AI72" s="95">
        <f t="shared" si="2"/>
        <v>3342.8562000000002</v>
      </c>
      <c r="AJ72" s="95">
        <f t="shared" si="3"/>
        <v>1300.0700000000002</v>
      </c>
      <c r="AK72" s="95">
        <f t="shared" si="4"/>
        <v>69.998999999999995</v>
      </c>
      <c r="AL72" s="95">
        <f t="shared" si="5"/>
        <v>4712.9251999999997</v>
      </c>
      <c r="AM72" s="95">
        <f t="shared" si="6"/>
        <v>754.06803200000002</v>
      </c>
      <c r="AN72" s="95">
        <f t="shared" si="7"/>
        <v>5466.9932319999998</v>
      </c>
    </row>
    <row r="73" spans="1:40" s="8" customFormat="1" ht="15" x14ac:dyDescent="0.25">
      <c r="A73" s="8" t="s">
        <v>293</v>
      </c>
      <c r="B73" s="8" t="s">
        <v>294</v>
      </c>
      <c r="C73" s="8">
        <v>15</v>
      </c>
      <c r="D73" s="8">
        <v>0</v>
      </c>
      <c r="E73" s="8">
        <v>210</v>
      </c>
      <c r="F73" s="8">
        <v>222.72</v>
      </c>
      <c r="G73" s="8">
        <v>3150</v>
      </c>
      <c r="H73" s="8">
        <v>0</v>
      </c>
      <c r="I73" s="8">
        <v>0</v>
      </c>
      <c r="J73" s="8">
        <v>3150</v>
      </c>
      <c r="K73" s="8">
        <v>0</v>
      </c>
      <c r="L73" s="8">
        <v>0</v>
      </c>
      <c r="M73" s="8">
        <v>0</v>
      </c>
      <c r="N73" s="8">
        <v>0</v>
      </c>
      <c r="O73" s="8">
        <v>96.29</v>
      </c>
      <c r="P73" s="8">
        <v>79.34</v>
      </c>
      <c r="Q73" s="8">
        <v>0</v>
      </c>
      <c r="R73" s="8">
        <v>0</v>
      </c>
      <c r="S73" s="8">
        <v>0.17</v>
      </c>
      <c r="T73" s="8">
        <v>175.79999999999998</v>
      </c>
      <c r="U73" s="8">
        <f>+J73-T73</f>
        <v>2974.2</v>
      </c>
      <c r="V73" s="8">
        <v>58.46</v>
      </c>
      <c r="W73" s="8">
        <v>105.24</v>
      </c>
      <c r="X73" s="8">
        <v>317.01</v>
      </c>
      <c r="Y73" s="8">
        <v>256.82</v>
      </c>
      <c r="Z73" s="8">
        <v>63</v>
      </c>
      <c r="AA73" s="8">
        <v>26.61</v>
      </c>
      <c r="AB73" s="8">
        <v>480.71</v>
      </c>
      <c r="AC73" s="8">
        <v>167.04</v>
      </c>
      <c r="AD73" s="8">
        <v>223.41</v>
      </c>
      <c r="AE73" s="8">
        <v>110</v>
      </c>
      <c r="AF73" s="8">
        <f>((20/365.24)*15)*E73</f>
        <v>172.48932208958493</v>
      </c>
      <c r="AG73" s="95">
        <f t="shared" si="0"/>
        <v>2974.2</v>
      </c>
      <c r="AH73" s="95">
        <f t="shared" si="1"/>
        <v>59.483999999999995</v>
      </c>
      <c r="AI73" s="95">
        <f t="shared" si="2"/>
        <v>3033.6839999999997</v>
      </c>
      <c r="AJ73" s="95">
        <f t="shared" si="3"/>
        <v>1233.9299999999998</v>
      </c>
      <c r="AK73" s="95">
        <f t="shared" si="4"/>
        <v>63</v>
      </c>
      <c r="AL73" s="95">
        <f t="shared" si="5"/>
        <v>4330.6139999999996</v>
      </c>
      <c r="AM73" s="95">
        <f t="shared" si="6"/>
        <v>692.89823999999999</v>
      </c>
      <c r="AN73" s="95">
        <f t="shared" si="7"/>
        <v>5023.51224</v>
      </c>
    </row>
    <row r="74" spans="1:40" s="8" customFormat="1" ht="15" x14ac:dyDescent="0.25">
      <c r="A74" s="8" t="s">
        <v>222</v>
      </c>
      <c r="B74" s="8" t="s">
        <v>223</v>
      </c>
      <c r="C74" s="8">
        <v>15</v>
      </c>
      <c r="D74" s="8">
        <v>0</v>
      </c>
      <c r="E74" s="8">
        <v>210</v>
      </c>
      <c r="F74" s="8">
        <v>222.72</v>
      </c>
      <c r="G74" s="8">
        <v>3150</v>
      </c>
      <c r="H74" s="8">
        <v>0</v>
      </c>
      <c r="I74" s="8">
        <v>0</v>
      </c>
      <c r="J74" s="8">
        <v>3150</v>
      </c>
      <c r="K74" s="8">
        <v>15</v>
      </c>
      <c r="L74" s="8">
        <v>0</v>
      </c>
      <c r="M74" s="8">
        <v>303.54000000000002</v>
      </c>
      <c r="N74" s="8">
        <v>0</v>
      </c>
      <c r="O74" s="8">
        <v>96.29</v>
      </c>
      <c r="P74" s="8">
        <v>79.34</v>
      </c>
      <c r="Q74" s="8">
        <v>0</v>
      </c>
      <c r="R74" s="8">
        <v>0</v>
      </c>
      <c r="S74" s="8">
        <v>0.03</v>
      </c>
      <c r="T74" s="8">
        <v>494.20000000000005</v>
      </c>
      <c r="U74" s="8">
        <f>+J74-T74</f>
        <v>2655.8</v>
      </c>
      <c r="V74" s="8">
        <v>58.46</v>
      </c>
      <c r="W74" s="8">
        <v>105.24</v>
      </c>
      <c r="X74" s="8">
        <v>317.01</v>
      </c>
      <c r="Y74" s="8">
        <v>256.82</v>
      </c>
      <c r="Z74" s="8">
        <v>63</v>
      </c>
      <c r="AA74" s="8">
        <v>26.61</v>
      </c>
      <c r="AB74" s="8">
        <v>480.71</v>
      </c>
      <c r="AC74" s="8">
        <v>167.04</v>
      </c>
      <c r="AD74" s="8">
        <v>223.41</v>
      </c>
      <c r="AE74" s="8">
        <v>110</v>
      </c>
      <c r="AF74" s="8">
        <f>((20/365.24)*15)*E74</f>
        <v>172.48932208958493</v>
      </c>
      <c r="AG74" s="95">
        <f t="shared" ref="AG74:AG91" si="8">U74+R74+K74+L74+M74+Q74</f>
        <v>2974.34</v>
      </c>
      <c r="AH74" s="95">
        <f t="shared" ref="AH74:AH91" si="9">AG74*2%</f>
        <v>59.486800000000002</v>
      </c>
      <c r="AI74" s="95">
        <f t="shared" ref="AI74:AI91" si="10">AG74+AH74</f>
        <v>3033.8268000000003</v>
      </c>
      <c r="AJ74" s="95">
        <f t="shared" ref="AJ74:AJ91" si="11">P74+V74+W74+X74+Y74+AA74+AC74+AD74</f>
        <v>1233.9299999999998</v>
      </c>
      <c r="AK74" s="95">
        <f t="shared" ref="AK74:AK91" si="12">J74*2%</f>
        <v>63</v>
      </c>
      <c r="AL74" s="95">
        <f t="shared" ref="AL74:AL91" si="13">AI74+AJ74+AK74</f>
        <v>4330.7568000000001</v>
      </c>
      <c r="AM74" s="95">
        <f t="shared" ref="AM74:AM91" si="14">AL74*16%</f>
        <v>692.92108800000005</v>
      </c>
      <c r="AN74" s="95">
        <f t="shared" ref="AN74:AN91" si="15">AL74+AM74</f>
        <v>5023.6778880000002</v>
      </c>
    </row>
    <row r="75" spans="1:40" s="8" customFormat="1" ht="15" x14ac:dyDescent="0.25">
      <c r="A75" s="8" t="s">
        <v>101</v>
      </c>
      <c r="B75" s="8" t="s">
        <v>102</v>
      </c>
      <c r="C75" s="8">
        <v>15</v>
      </c>
      <c r="D75" s="8">
        <v>0</v>
      </c>
      <c r="E75" s="8">
        <v>210</v>
      </c>
      <c r="F75" s="8">
        <v>222.72</v>
      </c>
      <c r="G75" s="8">
        <v>3150</v>
      </c>
      <c r="H75" s="8">
        <v>0</v>
      </c>
      <c r="I75" s="8">
        <v>0</v>
      </c>
      <c r="J75" s="8">
        <v>3150</v>
      </c>
      <c r="K75" s="8">
        <v>0</v>
      </c>
      <c r="L75" s="8">
        <v>0</v>
      </c>
      <c r="M75" s="8">
        <v>0</v>
      </c>
      <c r="N75" s="8">
        <v>0</v>
      </c>
      <c r="O75" s="8">
        <v>96.29</v>
      </c>
      <c r="P75" s="8">
        <v>79.34</v>
      </c>
      <c r="Q75" s="8">
        <v>0</v>
      </c>
      <c r="R75" s="8">
        <v>0</v>
      </c>
      <c r="S75" s="9">
        <v>-0.03</v>
      </c>
      <c r="T75" s="8">
        <v>175.6</v>
      </c>
      <c r="U75" s="8">
        <f>+J75-T75</f>
        <v>2974.4</v>
      </c>
      <c r="V75" s="8">
        <v>58.46</v>
      </c>
      <c r="W75" s="8">
        <v>105.24</v>
      </c>
      <c r="X75" s="8">
        <v>317.01</v>
      </c>
      <c r="Y75" s="8">
        <v>256.82</v>
      </c>
      <c r="Z75" s="8">
        <v>63</v>
      </c>
      <c r="AA75" s="8">
        <v>26.61</v>
      </c>
      <c r="AB75" s="8">
        <v>480.71</v>
      </c>
      <c r="AC75" s="8">
        <v>167.04</v>
      </c>
      <c r="AD75" s="8">
        <v>223.41</v>
      </c>
      <c r="AE75" s="8">
        <v>110</v>
      </c>
      <c r="AF75" s="8">
        <f>((20/365.24)*15)*E75</f>
        <v>172.48932208958493</v>
      </c>
      <c r="AG75" s="95">
        <f t="shared" si="8"/>
        <v>2974.4</v>
      </c>
      <c r="AH75" s="95">
        <f t="shared" si="9"/>
        <v>59.488</v>
      </c>
      <c r="AI75" s="95">
        <f t="shared" si="10"/>
        <v>3033.8879999999999</v>
      </c>
      <c r="AJ75" s="95">
        <f t="shared" si="11"/>
        <v>1233.9299999999998</v>
      </c>
      <c r="AK75" s="95">
        <f t="shared" si="12"/>
        <v>63</v>
      </c>
      <c r="AL75" s="95">
        <f t="shared" si="13"/>
        <v>4330.8179999999993</v>
      </c>
      <c r="AM75" s="95">
        <f t="shared" si="14"/>
        <v>692.93087999999989</v>
      </c>
      <c r="AN75" s="95">
        <f t="shared" si="15"/>
        <v>5023.7488799999992</v>
      </c>
    </row>
    <row r="76" spans="1:40" s="8" customFormat="1" ht="15" x14ac:dyDescent="0.25">
      <c r="A76" s="8" t="s">
        <v>120</v>
      </c>
      <c r="B76" s="8" t="s">
        <v>121</v>
      </c>
      <c r="C76" s="8">
        <v>15</v>
      </c>
      <c r="D76" s="8">
        <v>0</v>
      </c>
      <c r="E76" s="8">
        <v>210</v>
      </c>
      <c r="F76" s="8">
        <v>222.72</v>
      </c>
      <c r="G76" s="8">
        <v>3150</v>
      </c>
      <c r="H76" s="8">
        <v>0</v>
      </c>
      <c r="I76" s="8">
        <v>0</v>
      </c>
      <c r="J76" s="8">
        <v>3150</v>
      </c>
      <c r="K76" s="8">
        <v>15</v>
      </c>
      <c r="L76" s="8">
        <v>0</v>
      </c>
      <c r="M76" s="8">
        <v>942.33</v>
      </c>
      <c r="N76" s="8">
        <v>0</v>
      </c>
      <c r="O76" s="8">
        <v>96.29</v>
      </c>
      <c r="P76" s="8">
        <v>79.34</v>
      </c>
      <c r="Q76" s="8">
        <v>0</v>
      </c>
      <c r="R76" s="8">
        <v>0</v>
      </c>
      <c r="S76" s="8">
        <v>0.04</v>
      </c>
      <c r="T76" s="8">
        <v>1133</v>
      </c>
      <c r="U76" s="8">
        <f>+J76-T76</f>
        <v>2017</v>
      </c>
      <c r="V76" s="8">
        <v>58.46</v>
      </c>
      <c r="W76" s="8">
        <v>105.24</v>
      </c>
      <c r="X76" s="8">
        <v>317.01</v>
      </c>
      <c r="Y76" s="8">
        <v>256.82</v>
      </c>
      <c r="Z76" s="8">
        <v>63</v>
      </c>
      <c r="AA76" s="8">
        <v>26.61</v>
      </c>
      <c r="AB76" s="8">
        <v>480.71</v>
      </c>
      <c r="AC76" s="8">
        <v>167.04</v>
      </c>
      <c r="AD76" s="8">
        <v>223.41</v>
      </c>
      <c r="AE76" s="8">
        <v>110</v>
      </c>
      <c r="AF76" s="8">
        <f>((20/365.24)*15)*E76</f>
        <v>172.48932208958493</v>
      </c>
      <c r="AG76" s="95">
        <f t="shared" si="8"/>
        <v>2974.33</v>
      </c>
      <c r="AH76" s="95">
        <f t="shared" si="9"/>
        <v>59.486600000000003</v>
      </c>
      <c r="AI76" s="95">
        <f t="shared" si="10"/>
        <v>3033.8166000000001</v>
      </c>
      <c r="AJ76" s="95">
        <f t="shared" si="11"/>
        <v>1233.9299999999998</v>
      </c>
      <c r="AK76" s="95">
        <f t="shared" si="12"/>
        <v>63</v>
      </c>
      <c r="AL76" s="95">
        <f t="shared" si="13"/>
        <v>4330.7466000000004</v>
      </c>
      <c r="AM76" s="95">
        <f t="shared" si="14"/>
        <v>692.91945600000008</v>
      </c>
      <c r="AN76" s="95">
        <f t="shared" si="15"/>
        <v>5023.666056</v>
      </c>
    </row>
    <row r="77" spans="1:40" s="8" customFormat="1" ht="15" x14ac:dyDescent="0.25">
      <c r="A77" s="8" t="s">
        <v>166</v>
      </c>
      <c r="B77" s="8" t="s">
        <v>167</v>
      </c>
      <c r="C77" s="8">
        <v>15</v>
      </c>
      <c r="D77" s="8">
        <v>0</v>
      </c>
      <c r="E77" s="8">
        <v>200</v>
      </c>
      <c r="F77" s="8">
        <v>209.04</v>
      </c>
      <c r="G77" s="8">
        <v>3000</v>
      </c>
      <c r="H77" s="8">
        <v>0</v>
      </c>
      <c r="I77" s="8">
        <v>0</v>
      </c>
      <c r="J77" s="8">
        <v>3000</v>
      </c>
      <c r="K77" s="8">
        <v>15</v>
      </c>
      <c r="L77" s="8">
        <v>0</v>
      </c>
      <c r="M77" s="8">
        <v>1575.59</v>
      </c>
      <c r="N77" s="8">
        <v>0</v>
      </c>
      <c r="O77" s="8">
        <v>59.69</v>
      </c>
      <c r="P77" s="8">
        <v>74.48</v>
      </c>
      <c r="Q77" s="8">
        <v>0</v>
      </c>
      <c r="R77" s="8">
        <v>0</v>
      </c>
      <c r="S77" s="8">
        <v>0.04</v>
      </c>
      <c r="T77" s="8">
        <v>1724.8</v>
      </c>
      <c r="U77" s="8">
        <f>+J77-T77</f>
        <v>1275.2</v>
      </c>
      <c r="V77" s="8">
        <v>54.87</v>
      </c>
      <c r="W77" s="8">
        <v>98.77</v>
      </c>
      <c r="X77" s="8">
        <v>313.41000000000003</v>
      </c>
      <c r="Y77" s="8">
        <v>252.71</v>
      </c>
      <c r="Z77" s="8">
        <v>60</v>
      </c>
      <c r="AA77" s="8">
        <v>24.98</v>
      </c>
      <c r="AB77" s="8">
        <v>467.05</v>
      </c>
      <c r="AC77" s="8">
        <v>156.78</v>
      </c>
      <c r="AD77" s="8">
        <v>221.36</v>
      </c>
      <c r="AE77" s="8">
        <v>110</v>
      </c>
      <c r="AF77" s="8">
        <f>((20/365.24)*15)*E77</f>
        <v>164.27554484722373</v>
      </c>
      <c r="AG77" s="95">
        <f t="shared" si="8"/>
        <v>2865.79</v>
      </c>
      <c r="AH77" s="95">
        <f t="shared" si="9"/>
        <v>57.315800000000003</v>
      </c>
      <c r="AI77" s="95">
        <f t="shared" si="10"/>
        <v>2923.1057999999998</v>
      </c>
      <c r="AJ77" s="95">
        <f t="shared" si="11"/>
        <v>1197.3600000000001</v>
      </c>
      <c r="AK77" s="95">
        <f t="shared" si="12"/>
        <v>60</v>
      </c>
      <c r="AL77" s="95">
        <f t="shared" si="13"/>
        <v>4180.4657999999999</v>
      </c>
      <c r="AM77" s="95">
        <f t="shared" si="14"/>
        <v>668.87452800000005</v>
      </c>
      <c r="AN77" s="95">
        <f t="shared" si="15"/>
        <v>4849.3403280000002</v>
      </c>
    </row>
    <row r="78" spans="1:40" s="8" customFormat="1" ht="15" x14ac:dyDescent="0.25">
      <c r="A78" s="8" t="s">
        <v>190</v>
      </c>
      <c r="B78" s="8" t="s">
        <v>191</v>
      </c>
      <c r="C78" s="8">
        <v>15</v>
      </c>
      <c r="D78" s="8">
        <v>0</v>
      </c>
      <c r="E78" s="8">
        <v>200</v>
      </c>
      <c r="F78" s="8">
        <v>209.04</v>
      </c>
      <c r="G78" s="8">
        <v>3000</v>
      </c>
      <c r="H78" s="8">
        <v>0</v>
      </c>
      <c r="I78" s="8">
        <v>0</v>
      </c>
      <c r="J78" s="8">
        <v>3000</v>
      </c>
      <c r="K78" s="8">
        <v>0</v>
      </c>
      <c r="L78" s="8">
        <v>0</v>
      </c>
      <c r="M78" s="8">
        <v>0</v>
      </c>
      <c r="N78" s="8">
        <v>0</v>
      </c>
      <c r="O78" s="8">
        <v>59.69</v>
      </c>
      <c r="P78" s="8">
        <v>74.48</v>
      </c>
      <c r="Q78" s="8">
        <v>0</v>
      </c>
      <c r="R78" s="8">
        <v>0</v>
      </c>
      <c r="S78" s="8">
        <v>0.03</v>
      </c>
      <c r="T78" s="8">
        <v>134.20000000000002</v>
      </c>
      <c r="U78" s="8">
        <f>+J78-T78</f>
        <v>2865.8</v>
      </c>
      <c r="V78" s="8">
        <v>54.87</v>
      </c>
      <c r="W78" s="8">
        <v>98.77</v>
      </c>
      <c r="X78" s="8">
        <v>313.41000000000003</v>
      </c>
      <c r="Y78" s="8">
        <v>252.71</v>
      </c>
      <c r="Z78" s="8">
        <v>60</v>
      </c>
      <c r="AA78" s="8">
        <v>24.98</v>
      </c>
      <c r="AB78" s="8">
        <v>467.05</v>
      </c>
      <c r="AC78" s="8">
        <v>156.78</v>
      </c>
      <c r="AD78" s="8">
        <v>221.36</v>
      </c>
      <c r="AE78" s="8">
        <v>110</v>
      </c>
      <c r="AF78" s="8">
        <f>((20/365.24)*15)*E78</f>
        <v>164.27554484722373</v>
      </c>
      <c r="AG78" s="95">
        <f t="shared" si="8"/>
        <v>2865.8</v>
      </c>
      <c r="AH78" s="95">
        <f t="shared" si="9"/>
        <v>57.316000000000003</v>
      </c>
      <c r="AI78" s="95">
        <f t="shared" si="10"/>
        <v>2923.116</v>
      </c>
      <c r="AJ78" s="95">
        <f t="shared" si="11"/>
        <v>1197.3600000000001</v>
      </c>
      <c r="AK78" s="95">
        <f t="shared" si="12"/>
        <v>60</v>
      </c>
      <c r="AL78" s="95">
        <f t="shared" si="13"/>
        <v>4180.4760000000006</v>
      </c>
      <c r="AM78" s="95">
        <f t="shared" si="14"/>
        <v>668.87616000000014</v>
      </c>
      <c r="AN78" s="95">
        <f t="shared" si="15"/>
        <v>4849.3521600000004</v>
      </c>
    </row>
    <row r="79" spans="1:40" s="8" customFormat="1" ht="15" x14ac:dyDescent="0.25">
      <c r="A79" s="8" t="s">
        <v>104</v>
      </c>
      <c r="B79" s="8" t="s">
        <v>105</v>
      </c>
      <c r="C79" s="8">
        <v>15</v>
      </c>
      <c r="D79" s="8">
        <v>0</v>
      </c>
      <c r="E79" s="8">
        <v>200</v>
      </c>
      <c r="F79" s="8">
        <v>212.11</v>
      </c>
      <c r="G79" s="8">
        <v>3000</v>
      </c>
      <c r="H79" s="8">
        <v>0</v>
      </c>
      <c r="I79" s="8">
        <v>0</v>
      </c>
      <c r="J79" s="8">
        <v>3000</v>
      </c>
      <c r="K79" s="8">
        <v>15</v>
      </c>
      <c r="L79" s="8">
        <v>0</v>
      </c>
      <c r="M79" s="8">
        <v>466.28</v>
      </c>
      <c r="N79" s="8">
        <v>0</v>
      </c>
      <c r="O79" s="8">
        <v>59.69</v>
      </c>
      <c r="P79" s="8">
        <v>75.56</v>
      </c>
      <c r="Q79" s="8">
        <v>0</v>
      </c>
      <c r="R79" s="8">
        <v>0</v>
      </c>
      <c r="S79" s="8">
        <v>7.0000000000000007E-2</v>
      </c>
      <c r="T79" s="8">
        <v>616.6</v>
      </c>
      <c r="U79" s="8">
        <f>+J79-T79</f>
        <v>2383.4</v>
      </c>
      <c r="V79" s="8">
        <v>55.68</v>
      </c>
      <c r="W79" s="8">
        <v>100.22</v>
      </c>
      <c r="X79" s="8">
        <v>314.22000000000003</v>
      </c>
      <c r="Y79" s="8">
        <v>253.63</v>
      </c>
      <c r="Z79" s="8">
        <v>60</v>
      </c>
      <c r="AA79" s="8">
        <v>25.34</v>
      </c>
      <c r="AB79" s="8">
        <v>470.12</v>
      </c>
      <c r="AC79" s="8">
        <v>159.08000000000001</v>
      </c>
      <c r="AD79" s="8">
        <v>221.82</v>
      </c>
      <c r="AE79" s="8">
        <v>110</v>
      </c>
      <c r="AF79" s="8">
        <f>((20/365.24)*15)*E79</f>
        <v>164.27554484722373</v>
      </c>
      <c r="AG79" s="95">
        <f t="shared" si="8"/>
        <v>2864.6800000000003</v>
      </c>
      <c r="AH79" s="95">
        <f t="shared" si="9"/>
        <v>57.293600000000005</v>
      </c>
      <c r="AI79" s="95">
        <f t="shared" si="10"/>
        <v>2921.9736000000003</v>
      </c>
      <c r="AJ79" s="95">
        <f t="shared" si="11"/>
        <v>1205.5500000000002</v>
      </c>
      <c r="AK79" s="95">
        <f t="shared" si="12"/>
        <v>60</v>
      </c>
      <c r="AL79" s="95">
        <f t="shared" si="13"/>
        <v>4187.5236000000004</v>
      </c>
      <c r="AM79" s="95">
        <f t="shared" si="14"/>
        <v>670.00377600000013</v>
      </c>
      <c r="AN79" s="95">
        <f t="shared" si="15"/>
        <v>4857.5273760000009</v>
      </c>
    </row>
    <row r="80" spans="1:40" s="8" customFormat="1" ht="15" x14ac:dyDescent="0.25">
      <c r="A80" s="8" t="s">
        <v>210</v>
      </c>
      <c r="B80" s="8" t="s">
        <v>211</v>
      </c>
      <c r="C80" s="8">
        <v>15</v>
      </c>
      <c r="D80" s="8">
        <v>0</v>
      </c>
      <c r="E80" s="8">
        <v>116.67</v>
      </c>
      <c r="F80" s="8">
        <v>123.73</v>
      </c>
      <c r="G80" s="8">
        <v>1750.05</v>
      </c>
      <c r="H80" s="8">
        <v>0</v>
      </c>
      <c r="I80" s="8">
        <v>0</v>
      </c>
      <c r="J80" s="8">
        <v>1750.05</v>
      </c>
      <c r="K80" s="8">
        <v>15</v>
      </c>
      <c r="L80" s="8">
        <v>0</v>
      </c>
      <c r="M80" s="8">
        <v>836.5</v>
      </c>
      <c r="N80" s="9">
        <v>-89.5</v>
      </c>
      <c r="O80" s="8">
        <v>0</v>
      </c>
      <c r="P80" s="8">
        <v>44.08</v>
      </c>
      <c r="Q80" s="8">
        <v>0</v>
      </c>
      <c r="R80" s="8">
        <v>0</v>
      </c>
      <c r="S80" s="9">
        <v>-0.03</v>
      </c>
      <c r="T80" s="8">
        <v>806.05000000000007</v>
      </c>
      <c r="U80" s="8">
        <f>+J80-T80</f>
        <v>943.99999999999989</v>
      </c>
      <c r="V80" s="8">
        <v>32.479999999999997</v>
      </c>
      <c r="W80" s="8">
        <v>58.46</v>
      </c>
      <c r="X80" s="8">
        <v>291.02</v>
      </c>
      <c r="Y80" s="8">
        <v>227.12</v>
      </c>
      <c r="Z80" s="8">
        <v>35</v>
      </c>
      <c r="AA80" s="8">
        <v>14.78</v>
      </c>
      <c r="AB80" s="8">
        <v>381.96</v>
      </c>
      <c r="AC80" s="8">
        <v>92.8</v>
      </c>
      <c r="AD80" s="8">
        <v>208.56</v>
      </c>
      <c r="AE80" s="8">
        <v>110</v>
      </c>
      <c r="AF80" s="8">
        <f>((20/365.24)*15)*E80</f>
        <v>95.830139086627966</v>
      </c>
      <c r="AG80" s="95">
        <f t="shared" si="8"/>
        <v>1795.5</v>
      </c>
      <c r="AH80" s="95">
        <f t="shared" si="9"/>
        <v>35.910000000000004</v>
      </c>
      <c r="AI80" s="95">
        <f t="shared" si="10"/>
        <v>1831.41</v>
      </c>
      <c r="AJ80" s="95">
        <f t="shared" si="11"/>
        <v>969.3</v>
      </c>
      <c r="AK80" s="95">
        <f t="shared" si="12"/>
        <v>35.000999999999998</v>
      </c>
      <c r="AL80" s="95">
        <f t="shared" si="13"/>
        <v>2835.7110000000002</v>
      </c>
      <c r="AM80" s="95">
        <f t="shared" si="14"/>
        <v>453.71376000000004</v>
      </c>
      <c r="AN80" s="95">
        <f t="shared" si="15"/>
        <v>3289.4247600000003</v>
      </c>
    </row>
    <row r="81" spans="1:40" s="8" customFormat="1" ht="15" x14ac:dyDescent="0.25">
      <c r="A81" s="8" t="s">
        <v>322</v>
      </c>
      <c r="B81" s="8" t="s">
        <v>323</v>
      </c>
      <c r="C81" s="8">
        <v>15</v>
      </c>
      <c r="D81" s="8">
        <v>0</v>
      </c>
      <c r="E81" s="8">
        <v>116.67</v>
      </c>
      <c r="F81" s="8">
        <v>123.73</v>
      </c>
      <c r="G81" s="8">
        <v>1750.05</v>
      </c>
      <c r="H81" s="8">
        <v>0</v>
      </c>
      <c r="I81" s="8">
        <v>0</v>
      </c>
      <c r="J81" s="8">
        <v>1750.05</v>
      </c>
      <c r="K81" s="8">
        <v>15</v>
      </c>
      <c r="L81" s="8">
        <v>721.52</v>
      </c>
      <c r="M81" s="8">
        <v>0</v>
      </c>
      <c r="N81" s="9">
        <v>-89.5</v>
      </c>
      <c r="O81" s="8">
        <v>0</v>
      </c>
      <c r="P81" s="8">
        <v>44.08</v>
      </c>
      <c r="Q81" s="8">
        <v>0</v>
      </c>
      <c r="R81" s="8">
        <v>0</v>
      </c>
      <c r="S81" s="9">
        <v>-0.05</v>
      </c>
      <c r="T81" s="8">
        <v>691.05000000000007</v>
      </c>
      <c r="U81" s="8">
        <f>+J81-T81</f>
        <v>1059</v>
      </c>
      <c r="V81" s="8">
        <v>32.479999999999997</v>
      </c>
      <c r="W81" s="8">
        <v>58.46</v>
      </c>
      <c r="X81" s="8">
        <v>291.02</v>
      </c>
      <c r="Y81" s="8">
        <v>227.12</v>
      </c>
      <c r="Z81" s="8">
        <v>35</v>
      </c>
      <c r="AA81" s="8">
        <v>14.78</v>
      </c>
      <c r="AB81" s="8">
        <v>381.96</v>
      </c>
      <c r="AC81" s="8">
        <v>92.8</v>
      </c>
      <c r="AD81" s="8">
        <v>208.56</v>
      </c>
      <c r="AE81" s="8">
        <v>110</v>
      </c>
      <c r="AF81" s="8">
        <f>((20/365.24)*15)*E81</f>
        <v>95.830139086627966</v>
      </c>
      <c r="AG81" s="95">
        <f t="shared" si="8"/>
        <v>1795.52</v>
      </c>
      <c r="AH81" s="95">
        <f t="shared" si="9"/>
        <v>35.910400000000003</v>
      </c>
      <c r="AI81" s="95">
        <f t="shared" si="10"/>
        <v>1831.4304</v>
      </c>
      <c r="AJ81" s="95">
        <f t="shared" si="11"/>
        <v>969.3</v>
      </c>
      <c r="AK81" s="95">
        <f t="shared" si="12"/>
        <v>35.000999999999998</v>
      </c>
      <c r="AL81" s="95">
        <f t="shared" si="13"/>
        <v>2835.7314000000001</v>
      </c>
      <c r="AM81" s="95">
        <f t="shared" si="14"/>
        <v>453.71702400000004</v>
      </c>
      <c r="AN81" s="95">
        <f t="shared" si="15"/>
        <v>3289.4484240000002</v>
      </c>
    </row>
    <row r="82" spans="1:40" s="8" customFormat="1" ht="15" x14ac:dyDescent="0.25">
      <c r="A82" s="8" t="s">
        <v>277</v>
      </c>
      <c r="B82" s="8" t="s">
        <v>278</v>
      </c>
      <c r="C82" s="8">
        <v>15</v>
      </c>
      <c r="D82" s="8">
        <v>0</v>
      </c>
      <c r="E82" s="8">
        <v>210</v>
      </c>
      <c r="F82" s="8">
        <v>222.72</v>
      </c>
      <c r="G82" s="8">
        <v>3150</v>
      </c>
      <c r="H82" s="8">
        <v>0</v>
      </c>
      <c r="I82" s="8">
        <v>0</v>
      </c>
      <c r="J82" s="8">
        <v>3150</v>
      </c>
      <c r="K82" s="8">
        <v>0</v>
      </c>
      <c r="L82" s="8">
        <v>0</v>
      </c>
      <c r="M82" s="8">
        <v>0</v>
      </c>
      <c r="N82" s="8">
        <v>0</v>
      </c>
      <c r="O82" s="8">
        <v>96.29</v>
      </c>
      <c r="P82" s="8">
        <v>79.34</v>
      </c>
      <c r="Q82" s="8">
        <v>0</v>
      </c>
      <c r="R82" s="8">
        <v>0</v>
      </c>
      <c r="S82" s="8">
        <v>0.17</v>
      </c>
      <c r="T82" s="8">
        <v>175.79999999999998</v>
      </c>
      <c r="U82" s="8">
        <f>+J82-T82</f>
        <v>2974.2</v>
      </c>
      <c r="V82" s="8">
        <v>58.46</v>
      </c>
      <c r="W82" s="8">
        <v>105.24</v>
      </c>
      <c r="X82" s="8">
        <v>317.01</v>
      </c>
      <c r="Y82" s="8">
        <v>256.82</v>
      </c>
      <c r="Z82" s="8">
        <v>63</v>
      </c>
      <c r="AA82" s="8">
        <v>26.61</v>
      </c>
      <c r="AB82" s="8">
        <v>480.71</v>
      </c>
      <c r="AC82" s="8">
        <v>167.04</v>
      </c>
      <c r="AD82" s="8">
        <v>223.41</v>
      </c>
      <c r="AE82" s="8">
        <v>110</v>
      </c>
      <c r="AF82" s="8">
        <f>((20/365.24)*15)*E82</f>
        <v>172.48932208958493</v>
      </c>
      <c r="AG82" s="95">
        <f t="shared" si="8"/>
        <v>2974.2</v>
      </c>
      <c r="AH82" s="95">
        <f t="shared" si="9"/>
        <v>59.483999999999995</v>
      </c>
      <c r="AI82" s="95">
        <f t="shared" si="10"/>
        <v>3033.6839999999997</v>
      </c>
      <c r="AJ82" s="95">
        <f t="shared" si="11"/>
        <v>1233.9299999999998</v>
      </c>
      <c r="AK82" s="95">
        <f t="shared" si="12"/>
        <v>63</v>
      </c>
      <c r="AL82" s="95">
        <f t="shared" si="13"/>
        <v>4330.6139999999996</v>
      </c>
      <c r="AM82" s="95">
        <f t="shared" si="14"/>
        <v>692.89823999999999</v>
      </c>
      <c r="AN82" s="95">
        <f t="shared" si="15"/>
        <v>5023.51224</v>
      </c>
    </row>
    <row r="83" spans="1:40" s="8" customFormat="1" ht="15" x14ac:dyDescent="0.25">
      <c r="A83" s="8" t="s">
        <v>139</v>
      </c>
      <c r="B83" s="8" t="s">
        <v>140</v>
      </c>
      <c r="C83" s="8">
        <v>15</v>
      </c>
      <c r="D83" s="8">
        <v>0</v>
      </c>
      <c r="E83" s="8">
        <v>233.33</v>
      </c>
      <c r="F83" s="8">
        <v>247.46</v>
      </c>
      <c r="G83" s="8">
        <v>3499.95</v>
      </c>
      <c r="H83" s="8">
        <v>0</v>
      </c>
      <c r="I83" s="8">
        <v>0</v>
      </c>
      <c r="J83" s="8">
        <v>3499.95</v>
      </c>
      <c r="K83" s="8">
        <v>0</v>
      </c>
      <c r="L83" s="8">
        <v>0</v>
      </c>
      <c r="M83" s="8">
        <v>0</v>
      </c>
      <c r="N83" s="8">
        <v>0</v>
      </c>
      <c r="O83" s="8">
        <v>134.36000000000001</v>
      </c>
      <c r="P83" s="8">
        <v>88.16</v>
      </c>
      <c r="Q83" s="8">
        <v>0</v>
      </c>
      <c r="R83" s="8">
        <v>0</v>
      </c>
      <c r="S83" s="8">
        <v>0.03</v>
      </c>
      <c r="T83" s="8">
        <v>222.55</v>
      </c>
      <c r="U83" s="8">
        <f>+J83-T83</f>
        <v>3277.3999999999996</v>
      </c>
      <c r="V83" s="8">
        <v>64.959999999999994</v>
      </c>
      <c r="W83" s="8">
        <v>116.92</v>
      </c>
      <c r="X83" s="8">
        <v>323.5</v>
      </c>
      <c r="Y83" s="8">
        <v>264.24</v>
      </c>
      <c r="Z83" s="8">
        <v>70</v>
      </c>
      <c r="AA83" s="8">
        <v>29.57</v>
      </c>
      <c r="AB83" s="8">
        <v>505.38</v>
      </c>
      <c r="AC83" s="8">
        <v>185.6</v>
      </c>
      <c r="AD83" s="8">
        <v>227.12</v>
      </c>
      <c r="AE83" s="8">
        <v>110</v>
      </c>
      <c r="AF83" s="8">
        <f>((20/365.24)*15)*E83</f>
        <v>191.65206439601357</v>
      </c>
      <c r="AG83" s="95">
        <f t="shared" si="8"/>
        <v>3277.3999999999996</v>
      </c>
      <c r="AH83" s="95">
        <f t="shared" si="9"/>
        <v>65.547999999999988</v>
      </c>
      <c r="AI83" s="95">
        <f t="shared" si="10"/>
        <v>3342.9479999999994</v>
      </c>
      <c r="AJ83" s="95">
        <f t="shared" si="11"/>
        <v>1300.0700000000002</v>
      </c>
      <c r="AK83" s="95">
        <f t="shared" si="12"/>
        <v>69.998999999999995</v>
      </c>
      <c r="AL83" s="95">
        <f t="shared" si="13"/>
        <v>4713.0169999999998</v>
      </c>
      <c r="AM83" s="95">
        <f t="shared" si="14"/>
        <v>754.08271999999999</v>
      </c>
      <c r="AN83" s="95">
        <f t="shared" si="15"/>
        <v>5467.0997200000002</v>
      </c>
    </row>
    <row r="84" spans="1:40" s="8" customFormat="1" ht="15" x14ac:dyDescent="0.25">
      <c r="A84" s="8" t="s">
        <v>169</v>
      </c>
      <c r="B84" s="8" t="s">
        <v>170</v>
      </c>
      <c r="C84" s="8">
        <v>15</v>
      </c>
      <c r="D84" s="8">
        <v>0</v>
      </c>
      <c r="E84" s="8">
        <v>210</v>
      </c>
      <c r="F84" s="8">
        <v>219.49</v>
      </c>
      <c r="G84" s="8">
        <v>3150</v>
      </c>
      <c r="H84" s="8">
        <v>0</v>
      </c>
      <c r="I84" s="8">
        <v>0</v>
      </c>
      <c r="J84" s="8">
        <v>3150</v>
      </c>
      <c r="K84" s="8">
        <v>15</v>
      </c>
      <c r="L84" s="8">
        <v>1073.1400000000001</v>
      </c>
      <c r="M84" s="8">
        <v>0</v>
      </c>
      <c r="N84" s="8">
        <v>0</v>
      </c>
      <c r="O84" s="8">
        <v>96.29</v>
      </c>
      <c r="P84" s="8">
        <v>78.2</v>
      </c>
      <c r="Q84" s="8">
        <v>0</v>
      </c>
      <c r="R84" s="8">
        <v>0</v>
      </c>
      <c r="S84" s="9">
        <v>-0.03</v>
      </c>
      <c r="T84" s="8">
        <v>1262.6000000000001</v>
      </c>
      <c r="U84" s="8">
        <f>+J84-T84</f>
        <v>1887.3999999999999</v>
      </c>
      <c r="V84" s="8">
        <v>57.62</v>
      </c>
      <c r="W84" s="8">
        <v>103.71</v>
      </c>
      <c r="X84" s="8">
        <v>316.16000000000003</v>
      </c>
      <c r="Y84" s="8">
        <v>255.85</v>
      </c>
      <c r="Z84" s="8">
        <v>63</v>
      </c>
      <c r="AA84" s="8">
        <v>26.23</v>
      </c>
      <c r="AB84" s="8">
        <v>477.49</v>
      </c>
      <c r="AC84" s="8">
        <v>164.62</v>
      </c>
      <c r="AD84" s="8">
        <v>222.92</v>
      </c>
      <c r="AE84" s="8">
        <v>110</v>
      </c>
      <c r="AF84" s="8">
        <f>((20/365.24)*15)*E84</f>
        <v>172.48932208958493</v>
      </c>
      <c r="AG84" s="95">
        <f t="shared" si="8"/>
        <v>2975.54</v>
      </c>
      <c r="AH84" s="95">
        <f t="shared" si="9"/>
        <v>59.510800000000003</v>
      </c>
      <c r="AI84" s="95">
        <f t="shared" si="10"/>
        <v>3035.0508</v>
      </c>
      <c r="AJ84" s="95">
        <f t="shared" si="11"/>
        <v>1225.3100000000002</v>
      </c>
      <c r="AK84" s="95">
        <f t="shared" si="12"/>
        <v>63</v>
      </c>
      <c r="AL84" s="95">
        <f t="shared" si="13"/>
        <v>4323.3608000000004</v>
      </c>
      <c r="AM84" s="95">
        <f t="shared" si="14"/>
        <v>691.73772800000006</v>
      </c>
      <c r="AN84" s="95">
        <f t="shared" si="15"/>
        <v>5015.0985280000004</v>
      </c>
    </row>
    <row r="85" spans="1:40" s="8" customFormat="1" ht="15" x14ac:dyDescent="0.25">
      <c r="A85" s="8" t="s">
        <v>94</v>
      </c>
      <c r="B85" s="8" t="s">
        <v>96</v>
      </c>
      <c r="C85" s="8">
        <v>15</v>
      </c>
      <c r="D85" s="8">
        <v>0</v>
      </c>
      <c r="E85" s="8">
        <v>200</v>
      </c>
      <c r="F85" s="8">
        <v>212.11</v>
      </c>
      <c r="G85" s="8">
        <v>3000</v>
      </c>
      <c r="H85" s="8">
        <v>0</v>
      </c>
      <c r="I85" s="8">
        <v>0</v>
      </c>
      <c r="J85" s="8">
        <v>3000</v>
      </c>
      <c r="K85" s="8">
        <v>0</v>
      </c>
      <c r="L85" s="8">
        <v>0</v>
      </c>
      <c r="M85" s="8">
        <v>0</v>
      </c>
      <c r="N85" s="8">
        <v>0</v>
      </c>
      <c r="O85" s="8">
        <v>59.69</v>
      </c>
      <c r="P85" s="8">
        <v>75.56</v>
      </c>
      <c r="Q85" s="8">
        <v>0</v>
      </c>
      <c r="R85" s="8">
        <v>0</v>
      </c>
      <c r="S85" s="9">
        <v>-0.05</v>
      </c>
      <c r="T85" s="8">
        <v>135.19999999999999</v>
      </c>
      <c r="U85" s="8">
        <f>+J85-T85</f>
        <v>2864.8</v>
      </c>
      <c r="V85" s="8">
        <v>55.68</v>
      </c>
      <c r="W85" s="8">
        <v>100.22</v>
      </c>
      <c r="X85" s="8">
        <v>314.22000000000003</v>
      </c>
      <c r="Y85" s="8">
        <v>253.63</v>
      </c>
      <c r="Z85" s="8">
        <v>60</v>
      </c>
      <c r="AA85" s="8">
        <v>25.34</v>
      </c>
      <c r="AB85" s="8">
        <v>470.12</v>
      </c>
      <c r="AC85" s="8">
        <v>159.08000000000001</v>
      </c>
      <c r="AD85" s="8">
        <v>221.82</v>
      </c>
      <c r="AE85" s="8">
        <v>110</v>
      </c>
      <c r="AF85" s="8">
        <f>((20/365.24)*15)*E85</f>
        <v>164.27554484722373</v>
      </c>
      <c r="AG85" s="95">
        <f t="shared" si="8"/>
        <v>2864.8</v>
      </c>
      <c r="AH85" s="95">
        <f t="shared" si="9"/>
        <v>57.296000000000006</v>
      </c>
      <c r="AI85" s="95">
        <f t="shared" si="10"/>
        <v>2922.096</v>
      </c>
      <c r="AJ85" s="95">
        <f t="shared" si="11"/>
        <v>1205.5500000000002</v>
      </c>
      <c r="AK85" s="95">
        <f t="shared" si="12"/>
        <v>60</v>
      </c>
      <c r="AL85" s="95">
        <f t="shared" si="13"/>
        <v>4187.6460000000006</v>
      </c>
      <c r="AM85" s="95">
        <f t="shared" si="14"/>
        <v>670.02336000000014</v>
      </c>
      <c r="AN85" s="95">
        <f t="shared" si="15"/>
        <v>4857.6693600000008</v>
      </c>
    </row>
    <row r="86" spans="1:40" s="8" customFormat="1" ht="15" x14ac:dyDescent="0.25">
      <c r="A86" s="8" t="s">
        <v>343</v>
      </c>
      <c r="B86" s="8" t="s">
        <v>344</v>
      </c>
      <c r="C86" s="8">
        <v>15</v>
      </c>
      <c r="D86" s="8">
        <v>0</v>
      </c>
      <c r="E86" s="8">
        <v>200</v>
      </c>
      <c r="F86" s="8">
        <v>212.11</v>
      </c>
      <c r="G86" s="8">
        <v>3000</v>
      </c>
      <c r="H86" s="8">
        <v>0</v>
      </c>
      <c r="I86" s="8">
        <v>0</v>
      </c>
      <c r="J86" s="8">
        <v>3000</v>
      </c>
      <c r="K86" s="8">
        <v>15</v>
      </c>
      <c r="L86" s="8">
        <v>604.79</v>
      </c>
      <c r="M86" s="8">
        <v>0</v>
      </c>
      <c r="N86" s="8">
        <v>0</v>
      </c>
      <c r="O86" s="8">
        <v>59.69</v>
      </c>
      <c r="P86" s="8">
        <v>75.56</v>
      </c>
      <c r="Q86" s="8">
        <v>636.6</v>
      </c>
      <c r="R86" s="8">
        <v>0</v>
      </c>
      <c r="S86" s="9">
        <v>-0.04</v>
      </c>
      <c r="T86" s="8">
        <v>1391.6</v>
      </c>
      <c r="U86" s="8">
        <f>+J86-T86</f>
        <v>1608.4</v>
      </c>
      <c r="V86" s="8">
        <v>55.68</v>
      </c>
      <c r="W86" s="8">
        <v>100.22</v>
      </c>
      <c r="X86" s="8">
        <v>314.22000000000003</v>
      </c>
      <c r="Y86" s="8">
        <v>253.63</v>
      </c>
      <c r="Z86" s="8">
        <v>60</v>
      </c>
      <c r="AA86" s="8">
        <v>25.34</v>
      </c>
      <c r="AB86" s="8">
        <v>470.12</v>
      </c>
      <c r="AC86" s="8">
        <v>159.08000000000001</v>
      </c>
      <c r="AD86" s="8">
        <v>221.82</v>
      </c>
      <c r="AE86" s="8">
        <v>110</v>
      </c>
      <c r="AF86" s="8">
        <f>((20/365.24)*15)*E86</f>
        <v>164.27554484722373</v>
      </c>
      <c r="AG86" s="95">
        <f t="shared" si="8"/>
        <v>2864.79</v>
      </c>
      <c r="AH86" s="95">
        <f t="shared" si="9"/>
        <v>57.2958</v>
      </c>
      <c r="AI86" s="95">
        <f t="shared" si="10"/>
        <v>2922.0857999999998</v>
      </c>
      <c r="AJ86" s="95">
        <f t="shared" si="11"/>
        <v>1205.5500000000002</v>
      </c>
      <c r="AK86" s="95">
        <f t="shared" si="12"/>
        <v>60</v>
      </c>
      <c r="AL86" s="95">
        <f t="shared" si="13"/>
        <v>4187.6358</v>
      </c>
      <c r="AM86" s="95">
        <f t="shared" si="14"/>
        <v>670.02172800000005</v>
      </c>
      <c r="AN86" s="95">
        <f t="shared" si="15"/>
        <v>4857.6575279999997</v>
      </c>
    </row>
    <row r="87" spans="1:40" s="8" customFormat="1" ht="15" x14ac:dyDescent="0.25">
      <c r="A87" s="8" t="s">
        <v>384</v>
      </c>
      <c r="B87" s="8" t="s">
        <v>350</v>
      </c>
      <c r="C87" s="8">
        <v>15</v>
      </c>
      <c r="D87" s="8">
        <v>0</v>
      </c>
      <c r="E87" s="8">
        <v>166.67</v>
      </c>
      <c r="F87" s="8">
        <v>176.76</v>
      </c>
      <c r="G87" s="8">
        <v>2500.0500000000002</v>
      </c>
      <c r="H87" s="8">
        <v>0</v>
      </c>
      <c r="I87" s="8">
        <v>0</v>
      </c>
      <c r="J87" s="8">
        <v>2500.0500000000002</v>
      </c>
      <c r="K87" s="8">
        <v>0</v>
      </c>
      <c r="L87" s="8">
        <v>0</v>
      </c>
      <c r="M87" s="8">
        <v>0</v>
      </c>
      <c r="N87" s="9">
        <v>-9.6199999999999992</v>
      </c>
      <c r="O87" s="8">
        <v>0</v>
      </c>
      <c r="P87" s="8">
        <v>62.97</v>
      </c>
      <c r="Q87" s="8">
        <v>0</v>
      </c>
      <c r="R87" s="8">
        <v>0</v>
      </c>
      <c r="S87" s="8">
        <v>0.1</v>
      </c>
      <c r="T87" s="8">
        <v>53.45</v>
      </c>
      <c r="U87" s="8">
        <f>+J87-T87</f>
        <v>2446.6000000000004</v>
      </c>
      <c r="V87" s="8">
        <v>46.4</v>
      </c>
      <c r="W87" s="8">
        <v>83.52</v>
      </c>
      <c r="X87" s="8">
        <v>304.94</v>
      </c>
      <c r="Y87" s="8">
        <v>243.03</v>
      </c>
      <c r="Z87" s="8">
        <v>50</v>
      </c>
      <c r="AA87" s="8">
        <v>21.12</v>
      </c>
      <c r="AB87" s="8">
        <v>434.86</v>
      </c>
      <c r="AC87" s="8">
        <v>132.57</v>
      </c>
      <c r="AD87" s="8">
        <v>216.51</v>
      </c>
      <c r="AE87" s="8">
        <v>110</v>
      </c>
      <c r="AF87" s="8">
        <f>((20/365.24)*15)*E87</f>
        <v>136.89902529843388</v>
      </c>
      <c r="AG87" s="95">
        <f t="shared" si="8"/>
        <v>2446.6000000000004</v>
      </c>
      <c r="AH87" s="95">
        <f t="shared" si="9"/>
        <v>48.932000000000009</v>
      </c>
      <c r="AI87" s="95">
        <f t="shared" si="10"/>
        <v>2495.5320000000002</v>
      </c>
      <c r="AJ87" s="95">
        <f t="shared" si="11"/>
        <v>1111.06</v>
      </c>
      <c r="AK87" s="95">
        <f t="shared" si="12"/>
        <v>50.001000000000005</v>
      </c>
      <c r="AL87" s="95">
        <f t="shared" si="13"/>
        <v>3656.5930000000003</v>
      </c>
      <c r="AM87" s="95">
        <f t="shared" si="14"/>
        <v>585.05488000000003</v>
      </c>
      <c r="AN87" s="95">
        <f t="shared" si="15"/>
        <v>4241.6478800000004</v>
      </c>
    </row>
    <row r="88" spans="1:40" s="8" customFormat="1" ht="15" x14ac:dyDescent="0.25">
      <c r="A88" s="8" t="s">
        <v>385</v>
      </c>
      <c r="B88" s="8" t="s">
        <v>352</v>
      </c>
      <c r="C88" s="8">
        <v>14</v>
      </c>
      <c r="D88" s="8">
        <v>0</v>
      </c>
      <c r="E88" s="8">
        <v>200</v>
      </c>
      <c r="F88" s="8">
        <v>209.04</v>
      </c>
      <c r="G88" s="8">
        <v>2800</v>
      </c>
      <c r="H88" s="8">
        <v>0</v>
      </c>
      <c r="I88" s="8">
        <v>0</v>
      </c>
      <c r="J88" s="8">
        <f>+G88</f>
        <v>2800</v>
      </c>
      <c r="K88" s="8">
        <v>0</v>
      </c>
      <c r="L88" s="8">
        <v>0</v>
      </c>
      <c r="M88" s="8">
        <v>0</v>
      </c>
      <c r="N88" s="8">
        <v>0</v>
      </c>
      <c r="O88" s="8">
        <v>37.93</v>
      </c>
      <c r="P88" s="8">
        <v>70.81</v>
      </c>
      <c r="Q88" s="8">
        <v>0</v>
      </c>
      <c r="R88" s="8">
        <v>0</v>
      </c>
      <c r="S88" s="8">
        <v>0.06</v>
      </c>
      <c r="T88" s="8">
        <v>108.80000000000001</v>
      </c>
      <c r="U88" s="8">
        <f>+J88-T88</f>
        <v>2691.2</v>
      </c>
      <c r="V88" s="8">
        <v>54.87</v>
      </c>
      <c r="W88" s="8">
        <v>98.77</v>
      </c>
      <c r="X88" s="8">
        <v>313.41000000000003</v>
      </c>
      <c r="Y88" s="8">
        <v>252.71</v>
      </c>
      <c r="Z88" s="8">
        <v>60</v>
      </c>
      <c r="AA88" s="8">
        <v>24.98</v>
      </c>
      <c r="AB88" s="8">
        <v>467.05</v>
      </c>
      <c r="AC88" s="8">
        <v>156.78</v>
      </c>
      <c r="AD88" s="8">
        <v>221.36</v>
      </c>
      <c r="AE88" s="8">
        <v>110</v>
      </c>
      <c r="AF88" s="8">
        <f>((20/365.24)*15)*E88</f>
        <v>164.27554484722373</v>
      </c>
      <c r="AG88" s="95">
        <f t="shared" si="8"/>
        <v>2691.2</v>
      </c>
      <c r="AH88" s="95">
        <f t="shared" si="9"/>
        <v>53.823999999999998</v>
      </c>
      <c r="AI88" s="95">
        <f t="shared" si="10"/>
        <v>2745.0239999999999</v>
      </c>
      <c r="AJ88" s="95">
        <f t="shared" si="11"/>
        <v>1193.69</v>
      </c>
      <c r="AK88" s="95">
        <f t="shared" si="12"/>
        <v>56</v>
      </c>
      <c r="AL88" s="95">
        <f t="shared" si="13"/>
        <v>3994.7139999999999</v>
      </c>
      <c r="AM88" s="95">
        <f t="shared" si="14"/>
        <v>639.15423999999996</v>
      </c>
      <c r="AN88" s="95">
        <f t="shared" si="15"/>
        <v>4633.8682399999998</v>
      </c>
    </row>
    <row r="89" spans="1:40" s="8" customFormat="1" ht="15" x14ac:dyDescent="0.25">
      <c r="A89" s="8" t="s">
        <v>439</v>
      </c>
      <c r="B89" s="8" t="s">
        <v>440</v>
      </c>
      <c r="C89" s="8">
        <v>3</v>
      </c>
      <c r="D89" s="8">
        <v>0</v>
      </c>
      <c r="E89" s="8">
        <v>210</v>
      </c>
      <c r="F89" s="8">
        <v>219.83</v>
      </c>
      <c r="G89" s="8">
        <v>630</v>
      </c>
      <c r="H89" s="8">
        <v>0</v>
      </c>
      <c r="I89" s="8">
        <v>0</v>
      </c>
      <c r="J89" s="8">
        <v>630</v>
      </c>
      <c r="K89" s="8">
        <v>0</v>
      </c>
      <c r="L89" s="8">
        <v>0</v>
      </c>
      <c r="M89" s="8">
        <v>0</v>
      </c>
      <c r="N89" s="9">
        <v>-173.3</v>
      </c>
      <c r="O89" s="8">
        <v>0</v>
      </c>
      <c r="P89" s="8">
        <v>15.66</v>
      </c>
      <c r="Q89" s="8">
        <v>0</v>
      </c>
      <c r="R89" s="8">
        <v>0</v>
      </c>
      <c r="S89" s="8">
        <v>0.04</v>
      </c>
      <c r="T89" s="8">
        <v>-157.60000000000002</v>
      </c>
      <c r="U89" s="8">
        <f>+J89-T89</f>
        <v>787.6</v>
      </c>
      <c r="V89" s="8">
        <v>11.54</v>
      </c>
      <c r="W89" s="8">
        <v>20.77</v>
      </c>
      <c r="X89" s="8">
        <v>63.25</v>
      </c>
      <c r="Y89" s="8">
        <v>203.19</v>
      </c>
      <c r="Z89" s="8">
        <v>12.6</v>
      </c>
      <c r="AA89" s="8">
        <v>5.25</v>
      </c>
      <c r="AB89" s="8">
        <v>95.56</v>
      </c>
      <c r="AC89" s="8">
        <v>32.97</v>
      </c>
      <c r="AD89" s="8">
        <v>196.59</v>
      </c>
      <c r="AE89" s="8">
        <v>0</v>
      </c>
      <c r="AF89" s="8">
        <f>((20/365.24)*15)*E89</f>
        <v>172.48932208958493</v>
      </c>
      <c r="AG89" s="95">
        <f t="shared" si="8"/>
        <v>787.6</v>
      </c>
      <c r="AH89" s="95">
        <f t="shared" si="9"/>
        <v>15.752000000000001</v>
      </c>
      <c r="AI89" s="95">
        <f t="shared" si="10"/>
        <v>803.35199999999998</v>
      </c>
      <c r="AJ89" s="95">
        <f t="shared" si="11"/>
        <v>549.22</v>
      </c>
      <c r="AK89" s="95">
        <f t="shared" si="12"/>
        <v>12.6</v>
      </c>
      <c r="AL89" s="95">
        <f t="shared" si="13"/>
        <v>1365.172</v>
      </c>
      <c r="AM89" s="95">
        <f t="shared" si="14"/>
        <v>218.42752000000002</v>
      </c>
      <c r="AN89" s="95">
        <f t="shared" si="15"/>
        <v>1583.59952</v>
      </c>
    </row>
    <row r="90" spans="1:40" s="8" customFormat="1" ht="15" x14ac:dyDescent="0.25">
      <c r="A90" s="8" t="s">
        <v>162</v>
      </c>
      <c r="B90" s="8" t="s">
        <v>163</v>
      </c>
      <c r="C90" s="8">
        <v>15</v>
      </c>
      <c r="D90" s="8">
        <v>0</v>
      </c>
      <c r="E90" s="8">
        <v>266.67</v>
      </c>
      <c r="F90" s="8">
        <v>282.81</v>
      </c>
      <c r="G90" s="8">
        <v>4000.05</v>
      </c>
      <c r="H90" s="8">
        <v>0</v>
      </c>
      <c r="I90" s="8">
        <v>0</v>
      </c>
      <c r="J90" s="8">
        <v>4000.05</v>
      </c>
      <c r="K90" s="8">
        <v>0</v>
      </c>
      <c r="L90" s="8">
        <v>0</v>
      </c>
      <c r="M90" s="8">
        <v>0</v>
      </c>
      <c r="N90" s="8">
        <v>0</v>
      </c>
      <c r="O90" s="8">
        <v>313.87</v>
      </c>
      <c r="P90" s="8">
        <v>102.51</v>
      </c>
      <c r="Q90" s="8">
        <v>0</v>
      </c>
      <c r="R90" s="8">
        <v>0</v>
      </c>
      <c r="S90" s="9">
        <v>-0.13</v>
      </c>
      <c r="T90" s="8">
        <v>416.25</v>
      </c>
      <c r="U90" s="8">
        <f>+J90-T90</f>
        <v>3583.8</v>
      </c>
      <c r="V90" s="8">
        <v>74.239999999999995</v>
      </c>
      <c r="W90" s="8">
        <v>133.63</v>
      </c>
      <c r="X90" s="8">
        <v>337.62</v>
      </c>
      <c r="Y90" s="8">
        <v>274.83999999999997</v>
      </c>
      <c r="Z90" s="8">
        <v>80</v>
      </c>
      <c r="AA90" s="8">
        <v>33.79</v>
      </c>
      <c r="AB90" s="8">
        <v>545.49</v>
      </c>
      <c r="AC90" s="8">
        <v>212.11</v>
      </c>
      <c r="AD90" s="8">
        <v>232.42</v>
      </c>
      <c r="AE90" s="8">
        <v>110</v>
      </c>
      <c r="AF90" s="8">
        <f>((20/365.24)*15)*E90</f>
        <v>219.03679772204578</v>
      </c>
      <c r="AG90" s="95">
        <f t="shared" si="8"/>
        <v>3583.8</v>
      </c>
      <c r="AH90" s="95">
        <f t="shared" si="9"/>
        <v>71.676000000000002</v>
      </c>
      <c r="AI90" s="95">
        <f t="shared" si="10"/>
        <v>3655.4760000000001</v>
      </c>
      <c r="AJ90" s="95">
        <f t="shared" si="11"/>
        <v>1401.1599999999999</v>
      </c>
      <c r="AK90" s="95">
        <f t="shared" si="12"/>
        <v>80.001000000000005</v>
      </c>
      <c r="AL90" s="95">
        <f t="shared" si="13"/>
        <v>5136.6370000000006</v>
      </c>
      <c r="AM90" s="95">
        <f t="shared" si="14"/>
        <v>821.86192000000017</v>
      </c>
      <c r="AN90" s="95">
        <f t="shared" si="15"/>
        <v>5958.4989200000009</v>
      </c>
    </row>
    <row r="91" spans="1:40" s="11" customFormat="1" ht="15" x14ac:dyDescent="0.25">
      <c r="C91" s="11" t="s">
        <v>75</v>
      </c>
      <c r="D91" s="11" t="s">
        <v>75</v>
      </c>
      <c r="E91" s="11" t="s">
        <v>75</v>
      </c>
      <c r="F91" s="11" t="s">
        <v>75</v>
      </c>
      <c r="G91" s="11" t="s">
        <v>75</v>
      </c>
      <c r="H91" s="11" t="s">
        <v>75</v>
      </c>
      <c r="I91" s="11" t="s">
        <v>75</v>
      </c>
      <c r="J91" s="11" t="s">
        <v>75</v>
      </c>
      <c r="K91" s="11" t="s">
        <v>75</v>
      </c>
      <c r="L91" s="11" t="s">
        <v>75</v>
      </c>
      <c r="M91" s="11" t="s">
        <v>75</v>
      </c>
      <c r="N91" s="11" t="s">
        <v>75</v>
      </c>
      <c r="O91" s="11" t="s">
        <v>75</v>
      </c>
      <c r="P91" s="11" t="s">
        <v>75</v>
      </c>
      <c r="Q91" s="11" t="s">
        <v>75</v>
      </c>
      <c r="R91" s="11" t="s">
        <v>75</v>
      </c>
      <c r="S91" s="11" t="s">
        <v>75</v>
      </c>
      <c r="T91" s="11" t="s">
        <v>75</v>
      </c>
      <c r="U91" s="11" t="s">
        <v>75</v>
      </c>
      <c r="V91" s="11" t="s">
        <v>75</v>
      </c>
      <c r="W91" s="11" t="s">
        <v>75</v>
      </c>
      <c r="X91" s="11" t="s">
        <v>75</v>
      </c>
      <c r="Y91" s="11" t="s">
        <v>75</v>
      </c>
      <c r="Z91" s="11" t="s">
        <v>75</v>
      </c>
      <c r="AA91" s="11" t="s">
        <v>75</v>
      </c>
      <c r="AB91" s="11" t="s">
        <v>75</v>
      </c>
      <c r="AC91" s="11" t="s">
        <v>75</v>
      </c>
      <c r="AD91" s="11" t="s">
        <v>75</v>
      </c>
      <c r="AE91" s="11" t="s">
        <v>75</v>
      </c>
      <c r="AF91" s="11" t="s">
        <v>75</v>
      </c>
      <c r="AG91" s="95"/>
      <c r="AH91" s="95"/>
      <c r="AI91" s="95"/>
      <c r="AJ91" s="95"/>
      <c r="AK91" s="95"/>
      <c r="AL91" s="95"/>
      <c r="AM91" s="95"/>
      <c r="AN91" s="95"/>
    </row>
    <row r="92" spans="1:40" s="8" customFormat="1" x14ac:dyDescent="0.2">
      <c r="A92" s="10" t="s">
        <v>76</v>
      </c>
      <c r="B92" s="8" t="s">
        <v>77</v>
      </c>
      <c r="C92" s="12">
        <f t="shared" ref="C92:AE92" si="16">SUM(C9:C90)</f>
        <v>1212</v>
      </c>
      <c r="D92" s="12">
        <f t="shared" si="16"/>
        <v>5</v>
      </c>
      <c r="E92" s="12">
        <f t="shared" si="16"/>
        <v>19588.929999999997</v>
      </c>
      <c r="F92" s="12">
        <f t="shared" si="16"/>
        <v>20657.980000000007</v>
      </c>
      <c r="G92" s="12">
        <f t="shared" si="16"/>
        <v>290014.03999999998</v>
      </c>
      <c r="H92" s="12">
        <f t="shared" si="16"/>
        <v>1100.0100000000002</v>
      </c>
      <c r="I92" s="12">
        <f t="shared" si="16"/>
        <v>330</v>
      </c>
      <c r="J92" s="12">
        <f t="shared" si="16"/>
        <v>291444.04999999993</v>
      </c>
      <c r="K92" s="12">
        <f t="shared" si="16"/>
        <v>405</v>
      </c>
      <c r="L92" s="12">
        <f t="shared" si="16"/>
        <v>20086.79</v>
      </c>
      <c r="M92" s="12">
        <f t="shared" si="16"/>
        <v>8916.73</v>
      </c>
      <c r="N92" s="12">
        <f t="shared" si="16"/>
        <v>-556.15000000000009</v>
      </c>
      <c r="O92" s="12">
        <f t="shared" si="16"/>
        <v>16478.100000000013</v>
      </c>
      <c r="P92" s="12">
        <f t="shared" si="16"/>
        <v>7415.6300000000056</v>
      </c>
      <c r="Q92" s="12">
        <f t="shared" si="16"/>
        <v>1836.6</v>
      </c>
      <c r="R92" s="12">
        <f t="shared" si="16"/>
        <v>3501.6</v>
      </c>
      <c r="S92" s="12">
        <f t="shared" si="16"/>
        <v>-1.0500000000000003</v>
      </c>
      <c r="T92" s="12">
        <f t="shared" si="16"/>
        <v>58083.249999999993</v>
      </c>
      <c r="U92" s="12">
        <f>SUM(U9:U90)</f>
        <v>233360.79999999996</v>
      </c>
      <c r="V92" s="12">
        <f t="shared" si="16"/>
        <v>5376.5999999999995</v>
      </c>
      <c r="W92" s="12">
        <f t="shared" si="16"/>
        <v>9677.8299999999963</v>
      </c>
      <c r="X92" s="12">
        <f t="shared" si="16"/>
        <v>26707.209999999995</v>
      </c>
      <c r="Y92" s="12">
        <f t="shared" si="16"/>
        <v>21724.589999999997</v>
      </c>
      <c r="Z92" s="12">
        <f t="shared" si="16"/>
        <v>5832.84</v>
      </c>
      <c r="AA92" s="12">
        <f t="shared" si="16"/>
        <v>2447.2500000000005</v>
      </c>
      <c r="AB92" s="12">
        <f t="shared" si="16"/>
        <v>41761.640000000014</v>
      </c>
      <c r="AC92" s="12">
        <f t="shared" si="16"/>
        <v>15361.62</v>
      </c>
      <c r="AD92" s="12">
        <f t="shared" si="16"/>
        <v>18652.359999999997</v>
      </c>
      <c r="AE92" s="12">
        <f t="shared" si="16"/>
        <v>8910</v>
      </c>
      <c r="AF92" s="12">
        <f>SUM(AF9:AF90)</f>
        <v>16089.910743620625</v>
      </c>
    </row>
    <row r="94" spans="1:40" x14ac:dyDescent="0.2">
      <c r="G94" s="1" t="s">
        <v>77</v>
      </c>
      <c r="H94" s="1" t="s">
        <v>77</v>
      </c>
      <c r="I94" s="1" t="s">
        <v>77</v>
      </c>
      <c r="J94" s="1" t="s">
        <v>77</v>
      </c>
      <c r="K94" s="1" t="s">
        <v>77</v>
      </c>
      <c r="L94" s="1" t="s">
        <v>77</v>
      </c>
      <c r="M94" s="1" t="s">
        <v>77</v>
      </c>
      <c r="N94" s="1" t="s">
        <v>77</v>
      </c>
      <c r="O94" s="1" t="s">
        <v>77</v>
      </c>
      <c r="P94" s="1" t="s">
        <v>77</v>
      </c>
      <c r="Q94" s="1" t="s">
        <v>77</v>
      </c>
      <c r="R94" s="1" t="s">
        <v>77</v>
      </c>
      <c r="S94" s="1" t="s">
        <v>77</v>
      </c>
      <c r="T94" s="1" t="s">
        <v>77</v>
      </c>
      <c r="U94" s="1" t="s">
        <v>77</v>
      </c>
      <c r="V94" s="1" t="s">
        <v>77</v>
      </c>
      <c r="W94" s="1" t="s">
        <v>77</v>
      </c>
      <c r="X94" s="1" t="s">
        <v>77</v>
      </c>
      <c r="Y94" s="1" t="s">
        <v>77</v>
      </c>
      <c r="Z94" s="1" t="s">
        <v>77</v>
      </c>
      <c r="AA94" s="1" t="s">
        <v>77</v>
      </c>
      <c r="AB94" s="1" t="s">
        <v>77</v>
      </c>
      <c r="AC94" s="1" t="s">
        <v>77</v>
      </c>
      <c r="AD94" s="1" t="s">
        <v>77</v>
      </c>
      <c r="AE94" s="1" t="s">
        <v>77</v>
      </c>
    </row>
    <row r="95" spans="1:40" ht="15.75" x14ac:dyDescent="0.25">
      <c r="A95" s="2" t="s">
        <v>77</v>
      </c>
      <c r="B95" s="1" t="s">
        <v>77</v>
      </c>
      <c r="G95" s="7"/>
      <c r="H95" s="7"/>
      <c r="I95" s="119" t="s">
        <v>421</v>
      </c>
      <c r="J95" s="119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40" ht="12.75" x14ac:dyDescent="0.2">
      <c r="I96" s="96" t="s">
        <v>410</v>
      </c>
      <c r="J96" s="97">
        <f>+U92</f>
        <v>233360.79999999996</v>
      </c>
    </row>
    <row r="97" spans="4:10" ht="12.75" x14ac:dyDescent="0.2">
      <c r="D97" s="8"/>
      <c r="G97" s="100"/>
      <c r="I97" s="96" t="s">
        <v>411</v>
      </c>
      <c r="J97" s="97">
        <f>+R92</f>
        <v>3501.6</v>
      </c>
    </row>
    <row r="98" spans="4:10" ht="12.75" x14ac:dyDescent="0.2">
      <c r="D98" s="8"/>
      <c r="G98" s="100"/>
      <c r="I98" s="96" t="s">
        <v>412</v>
      </c>
      <c r="J98" s="97">
        <f>+K92+L92+M92</f>
        <v>29408.52</v>
      </c>
    </row>
    <row r="99" spans="4:10" ht="12.75" x14ac:dyDescent="0.2">
      <c r="G99" s="100"/>
      <c r="I99" s="96" t="s">
        <v>413</v>
      </c>
      <c r="J99" s="97">
        <v>0</v>
      </c>
    </row>
    <row r="100" spans="4:10" ht="12.75" x14ac:dyDescent="0.2">
      <c r="G100" s="100"/>
      <c r="I100" s="96" t="s">
        <v>414</v>
      </c>
      <c r="J100" s="97">
        <f>SUM(J96:J99)</f>
        <v>266270.92</v>
      </c>
    </row>
    <row r="101" spans="4:10" ht="12.75" x14ac:dyDescent="0.2">
      <c r="G101" s="100"/>
      <c r="I101" s="96" t="s">
        <v>415</v>
      </c>
      <c r="J101" s="97">
        <f>+J100*2%</f>
        <v>5325.4183999999996</v>
      </c>
    </row>
    <row r="102" spans="4:10" ht="12.75" x14ac:dyDescent="0.2">
      <c r="G102" s="100"/>
      <c r="I102" s="96" t="s">
        <v>416</v>
      </c>
      <c r="J102" s="97">
        <f>+J100+J101</f>
        <v>271596.33840000001</v>
      </c>
    </row>
    <row r="103" spans="4:10" ht="12.75" x14ac:dyDescent="0.2">
      <c r="G103" s="100"/>
      <c r="I103" s="96" t="s">
        <v>417</v>
      </c>
      <c r="J103" s="97">
        <f>+P92+V92+W92+X92+Y92+AA92+AC92+AD92</f>
        <v>107363.08999999998</v>
      </c>
    </row>
    <row r="104" spans="4:10" ht="12.75" x14ac:dyDescent="0.2">
      <c r="G104" s="100"/>
      <c r="I104" s="96" t="s">
        <v>418</v>
      </c>
      <c r="J104" s="97">
        <f>+J92*2%</f>
        <v>5828.8809999999985</v>
      </c>
    </row>
    <row r="105" spans="4:10" ht="12.75" x14ac:dyDescent="0.2">
      <c r="G105" s="100"/>
      <c r="I105" s="96" t="s">
        <v>419</v>
      </c>
      <c r="J105" s="97">
        <f>+J102+J103+J104</f>
        <v>384788.30939999997</v>
      </c>
    </row>
    <row r="106" spans="4:10" ht="12.75" x14ac:dyDescent="0.2">
      <c r="G106" s="100"/>
      <c r="I106" s="96" t="s">
        <v>31</v>
      </c>
      <c r="J106" s="97">
        <f>+J105*16%</f>
        <v>61566.129503999997</v>
      </c>
    </row>
    <row r="107" spans="4:10" ht="12.75" x14ac:dyDescent="0.2">
      <c r="G107" s="100"/>
      <c r="I107" s="96" t="s">
        <v>88</v>
      </c>
      <c r="J107" s="97">
        <f>+J105+J106</f>
        <v>446354.43890399998</v>
      </c>
    </row>
    <row r="108" spans="4:10" ht="12.75" x14ac:dyDescent="0.2">
      <c r="G108" s="100"/>
      <c r="I108" s="30"/>
      <c r="J108" s="30"/>
    </row>
    <row r="109" spans="4:10" ht="12.75" x14ac:dyDescent="0.2">
      <c r="G109" s="100"/>
      <c r="I109" s="120" t="s">
        <v>420</v>
      </c>
      <c r="J109" s="120"/>
    </row>
    <row r="110" spans="4:10" ht="15.75" x14ac:dyDescent="0.25">
      <c r="G110" s="100"/>
      <c r="I110" s="112" t="s">
        <v>421</v>
      </c>
      <c r="J110" s="112"/>
    </row>
    <row r="111" spans="4:10" ht="12.75" x14ac:dyDescent="0.2">
      <c r="G111" s="100"/>
      <c r="I111" s="96" t="s">
        <v>414</v>
      </c>
      <c r="J111" s="97">
        <f>+AF92</f>
        <v>16089.910743620625</v>
      </c>
    </row>
    <row r="112" spans="4:10" ht="12.75" x14ac:dyDescent="0.2">
      <c r="G112" s="100"/>
      <c r="I112" s="96" t="s">
        <v>415</v>
      </c>
      <c r="J112" s="97">
        <f>+J111*2%</f>
        <v>321.79821487241253</v>
      </c>
    </row>
    <row r="113" spans="7:10" ht="12.75" x14ac:dyDescent="0.2">
      <c r="G113" s="100"/>
      <c r="I113" s="96" t="s">
        <v>416</v>
      </c>
      <c r="J113" s="97">
        <f>+J111+J112</f>
        <v>16411.708958493036</v>
      </c>
    </row>
    <row r="114" spans="7:10" ht="12.75" x14ac:dyDescent="0.2">
      <c r="G114" s="100"/>
      <c r="I114" s="96" t="s">
        <v>418</v>
      </c>
      <c r="J114" s="97">
        <f>+J111*2%</f>
        <v>321.79821487241253</v>
      </c>
    </row>
    <row r="115" spans="7:10" ht="12.75" x14ac:dyDescent="0.2">
      <c r="G115" s="100"/>
      <c r="I115" s="96" t="s">
        <v>419</v>
      </c>
      <c r="J115" s="97">
        <f>+J113+J114</f>
        <v>16733.507173365448</v>
      </c>
    </row>
    <row r="116" spans="7:10" ht="12.75" x14ac:dyDescent="0.2">
      <c r="G116" s="100"/>
      <c r="I116" s="96" t="s">
        <v>31</v>
      </c>
      <c r="J116" s="97">
        <f>+J115*16%</f>
        <v>2677.3611477384716</v>
      </c>
    </row>
    <row r="117" spans="7:10" ht="12.75" x14ac:dyDescent="0.2">
      <c r="G117" s="100"/>
      <c r="I117" s="96" t="s">
        <v>88</v>
      </c>
      <c r="J117" s="97">
        <f>+J115+J116</f>
        <v>19410.868321103921</v>
      </c>
    </row>
    <row r="118" spans="7:10" x14ac:dyDescent="0.2">
      <c r="G118" s="100"/>
    </row>
    <row r="119" spans="7:10" x14ac:dyDescent="0.2">
      <c r="G119" s="100"/>
    </row>
    <row r="120" spans="7:10" x14ac:dyDescent="0.2">
      <c r="G120" s="100"/>
    </row>
    <row r="121" spans="7:10" x14ac:dyDescent="0.2">
      <c r="G121" s="100"/>
    </row>
    <row r="122" spans="7:10" x14ac:dyDescent="0.2">
      <c r="G122" s="100"/>
    </row>
    <row r="123" spans="7:10" x14ac:dyDescent="0.2">
      <c r="G123" s="100"/>
    </row>
    <row r="124" spans="7:10" x14ac:dyDescent="0.2">
      <c r="G124" s="100"/>
    </row>
    <row r="125" spans="7:10" x14ac:dyDescent="0.2">
      <c r="G125" s="100"/>
    </row>
    <row r="126" spans="7:10" x14ac:dyDescent="0.2">
      <c r="G126" s="100"/>
    </row>
    <row r="127" spans="7:10" x14ac:dyDescent="0.2">
      <c r="G127" s="100"/>
    </row>
    <row r="128" spans="7:10" x14ac:dyDescent="0.2">
      <c r="G128" s="100"/>
    </row>
    <row r="129" spans="7:7" x14ac:dyDescent="0.2">
      <c r="G129" s="100"/>
    </row>
    <row r="130" spans="7:7" x14ac:dyDescent="0.2">
      <c r="G130" s="100"/>
    </row>
    <row r="131" spans="7:7" x14ac:dyDescent="0.2">
      <c r="G131" s="100"/>
    </row>
    <row r="132" spans="7:7" x14ac:dyDescent="0.2">
      <c r="G132" s="100"/>
    </row>
    <row r="133" spans="7:7" x14ac:dyDescent="0.2">
      <c r="G133" s="100"/>
    </row>
    <row r="134" spans="7:7" x14ac:dyDescent="0.2">
      <c r="G134" s="100"/>
    </row>
    <row r="135" spans="7:7" x14ac:dyDescent="0.2">
      <c r="G135" s="100"/>
    </row>
    <row r="136" spans="7:7" x14ac:dyDescent="0.2">
      <c r="G136" s="100"/>
    </row>
    <row r="137" spans="7:7" x14ac:dyDescent="0.2">
      <c r="G137" s="100"/>
    </row>
    <row r="138" spans="7:7" x14ac:dyDescent="0.2">
      <c r="G138" s="100"/>
    </row>
    <row r="139" spans="7:7" x14ac:dyDescent="0.2">
      <c r="G139" s="100"/>
    </row>
    <row r="140" spans="7:7" x14ac:dyDescent="0.2">
      <c r="G140" s="100"/>
    </row>
    <row r="141" spans="7:7" x14ac:dyDescent="0.2">
      <c r="G141" s="100"/>
    </row>
    <row r="142" spans="7:7" x14ac:dyDescent="0.2">
      <c r="G142" s="100"/>
    </row>
    <row r="143" spans="7:7" x14ac:dyDescent="0.2">
      <c r="G143" s="100"/>
    </row>
    <row r="144" spans="7:7" x14ac:dyDescent="0.2">
      <c r="G144" s="100"/>
    </row>
    <row r="145" spans="7:7" x14ac:dyDescent="0.2">
      <c r="G145" s="100"/>
    </row>
    <row r="146" spans="7:7" x14ac:dyDescent="0.2">
      <c r="G146" s="100"/>
    </row>
    <row r="147" spans="7:7" x14ac:dyDescent="0.2">
      <c r="G147" s="100"/>
    </row>
    <row r="148" spans="7:7" x14ac:dyDescent="0.2">
      <c r="G148" s="100"/>
    </row>
    <row r="149" spans="7:7" x14ac:dyDescent="0.2">
      <c r="G149" s="100"/>
    </row>
    <row r="150" spans="7:7" x14ac:dyDescent="0.2">
      <c r="G150" s="100"/>
    </row>
    <row r="151" spans="7:7" x14ac:dyDescent="0.2">
      <c r="G151" s="100"/>
    </row>
    <row r="152" spans="7:7" x14ac:dyDescent="0.2">
      <c r="G152" s="100"/>
    </row>
    <row r="153" spans="7:7" x14ac:dyDescent="0.2">
      <c r="G153" s="100"/>
    </row>
    <row r="154" spans="7:7" x14ac:dyDescent="0.2">
      <c r="G154" s="100"/>
    </row>
    <row r="155" spans="7:7" x14ac:dyDescent="0.2">
      <c r="G155" s="100"/>
    </row>
    <row r="156" spans="7:7" x14ac:dyDescent="0.2">
      <c r="G156" s="100"/>
    </row>
    <row r="157" spans="7:7" x14ac:dyDescent="0.2">
      <c r="G157" s="100"/>
    </row>
    <row r="158" spans="7:7" x14ac:dyDescent="0.2">
      <c r="G158" s="100"/>
    </row>
    <row r="159" spans="7:7" x14ac:dyDescent="0.2">
      <c r="G159" s="100"/>
    </row>
    <row r="160" spans="7:7" x14ac:dyDescent="0.2">
      <c r="G160" s="100"/>
    </row>
    <row r="161" spans="7:7" x14ac:dyDescent="0.2">
      <c r="G161" s="100"/>
    </row>
    <row r="162" spans="7:7" x14ac:dyDescent="0.2">
      <c r="G162" s="100"/>
    </row>
    <row r="163" spans="7:7" x14ac:dyDescent="0.2">
      <c r="G163" s="100"/>
    </row>
    <row r="164" spans="7:7" x14ac:dyDescent="0.2">
      <c r="G164" s="100"/>
    </row>
    <row r="165" spans="7:7" x14ac:dyDescent="0.2">
      <c r="G165" s="100"/>
    </row>
    <row r="166" spans="7:7" x14ac:dyDescent="0.2">
      <c r="G166" s="100"/>
    </row>
    <row r="167" spans="7:7" x14ac:dyDescent="0.2">
      <c r="G167" s="100"/>
    </row>
    <row r="168" spans="7:7" x14ac:dyDescent="0.2">
      <c r="G168" s="100"/>
    </row>
    <row r="169" spans="7:7" x14ac:dyDescent="0.2">
      <c r="G169" s="100"/>
    </row>
    <row r="170" spans="7:7" x14ac:dyDescent="0.2">
      <c r="G170" s="100"/>
    </row>
    <row r="171" spans="7:7" x14ac:dyDescent="0.2">
      <c r="G171" s="100"/>
    </row>
    <row r="172" spans="7:7" x14ac:dyDescent="0.2">
      <c r="G172" s="100"/>
    </row>
    <row r="173" spans="7:7" x14ac:dyDescent="0.2">
      <c r="G173" s="100"/>
    </row>
    <row r="174" spans="7:7" x14ac:dyDescent="0.2">
      <c r="G174" s="100"/>
    </row>
    <row r="175" spans="7:7" x14ac:dyDescent="0.2">
      <c r="G175" s="100"/>
    </row>
    <row r="176" spans="7:7" x14ac:dyDescent="0.2">
      <c r="G176" s="100"/>
    </row>
    <row r="177" spans="7:7" x14ac:dyDescent="0.2">
      <c r="G177" s="100"/>
    </row>
    <row r="178" spans="7:7" x14ac:dyDescent="0.2">
      <c r="G178" s="100"/>
    </row>
  </sheetData>
  <mergeCells count="7">
    <mergeCell ref="I110:J110"/>
    <mergeCell ref="B1:F1"/>
    <mergeCell ref="B2:F2"/>
    <mergeCell ref="B3:F3"/>
    <mergeCell ref="B4:F4"/>
    <mergeCell ref="I95:J95"/>
    <mergeCell ref="I109:J10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6"/>
  <sheetViews>
    <sheetView showGridLines="0" zoomScale="90" zoomScaleNormal="90" zoomScaleSheetLayoutView="50" workbookViewId="0">
      <pane xSplit="3" ySplit="2" topLeftCell="D3" activePane="bottomRight" state="frozen"/>
      <selection activeCell="E31" sqref="E31"/>
      <selection pane="topRight" activeCell="E31" sqref="E31"/>
      <selection pane="bottomLeft" activeCell="E31" sqref="E31"/>
      <selection pane="bottomRight" activeCell="T7" sqref="T7"/>
    </sheetView>
  </sheetViews>
  <sheetFormatPr baseColWidth="10" defaultColWidth="11.42578125" defaultRowHeight="12.75" x14ac:dyDescent="0.2"/>
  <cols>
    <col min="1" max="1" width="10.85546875" style="18" hidden="1" customWidth="1"/>
    <col min="2" max="2" width="15.28515625" style="18" customWidth="1"/>
    <col min="3" max="3" width="36.5703125" style="18" customWidth="1"/>
    <col min="4" max="7" width="15" style="18" customWidth="1"/>
    <col min="8" max="8" width="17.140625" style="18" customWidth="1"/>
    <col min="9" max="9" width="3.7109375" style="19" hidden="1" customWidth="1"/>
    <col min="10" max="10" width="16" style="18" hidden="1" customWidth="1"/>
    <col min="11" max="13" width="15.85546875" style="18" hidden="1" customWidth="1"/>
    <col min="14" max="14" width="19.140625" style="18" hidden="1" customWidth="1"/>
    <col min="15" max="15" width="0" style="18" hidden="1" customWidth="1"/>
    <col min="16" max="16384" width="11.42578125" style="18"/>
  </cols>
  <sheetData>
    <row r="1" spans="1:18" ht="18.75" x14ac:dyDescent="0.2">
      <c r="D1" s="121" t="s">
        <v>79</v>
      </c>
      <c r="E1" s="121"/>
      <c r="F1" s="121"/>
      <c r="G1" s="121"/>
      <c r="H1" s="121"/>
      <c r="J1" s="121" t="s">
        <v>80</v>
      </c>
      <c r="K1" s="121"/>
      <c r="L1" s="121"/>
      <c r="M1" s="121"/>
      <c r="N1" s="121"/>
    </row>
    <row r="2" spans="1:18" ht="26.25" thickBot="1" x14ac:dyDescent="0.25">
      <c r="A2" s="20" t="s">
        <v>81</v>
      </c>
      <c r="B2" s="20" t="s">
        <v>82</v>
      </c>
      <c r="C2" s="20" t="s">
        <v>83</v>
      </c>
      <c r="D2" s="20" t="s">
        <v>84</v>
      </c>
      <c r="E2" s="20" t="s">
        <v>85</v>
      </c>
      <c r="F2" s="20" t="s">
        <v>86</v>
      </c>
      <c r="G2" s="20" t="s">
        <v>87</v>
      </c>
      <c r="H2" s="21" t="s">
        <v>88</v>
      </c>
      <c r="I2" s="22"/>
      <c r="J2" s="23" t="s">
        <v>89</v>
      </c>
      <c r="K2" s="20" t="s">
        <v>90</v>
      </c>
      <c r="L2" s="20" t="s">
        <v>91</v>
      </c>
      <c r="M2" s="20" t="s">
        <v>92</v>
      </c>
      <c r="N2" s="20" t="s">
        <v>93</v>
      </c>
      <c r="P2" s="18" t="s">
        <v>447</v>
      </c>
      <c r="Q2" s="18" t="s">
        <v>456</v>
      </c>
      <c r="R2" s="18" t="s">
        <v>452</v>
      </c>
    </row>
    <row r="3" spans="1:18" ht="13.5" thickTop="1" x14ac:dyDescent="0.2">
      <c r="A3" s="26" t="s">
        <v>49</v>
      </c>
      <c r="B3" s="18" t="s">
        <v>110</v>
      </c>
      <c r="C3" s="18" t="s">
        <v>50</v>
      </c>
      <c r="D3" s="18">
        <v>1557.96</v>
      </c>
      <c r="E3" s="18">
        <v>420</v>
      </c>
      <c r="F3" s="18">
        <v>320</v>
      </c>
      <c r="G3" s="18">
        <f t="shared" ref="G3:G20" si="0">+N3</f>
        <v>91.499999999999972</v>
      </c>
      <c r="H3" s="18">
        <f t="shared" ref="H3:H34" si="1">SUM(D3:G3)</f>
        <v>2389.46</v>
      </c>
      <c r="J3" s="18">
        <f>VLOOKUP($C3,'CPD PITSS'!$B$9:$V$26,3,0)</f>
        <v>2</v>
      </c>
      <c r="K3" s="25">
        <v>10150</v>
      </c>
      <c r="L3" s="18">
        <f t="shared" ref="L3:L34" si="2">(((+K3/30)*J3)*30%)</f>
        <v>202.99999999999997</v>
      </c>
      <c r="M3" s="18">
        <f>VLOOKUP($C3,'CPD PITSS'!$B$9:$V$26,8,0)</f>
        <v>111.5</v>
      </c>
      <c r="N3" s="18">
        <f t="shared" ref="N3:N34" si="3">+L3-M3</f>
        <v>91.499999999999972</v>
      </c>
      <c r="O3" s="18" t="s">
        <v>111</v>
      </c>
      <c r="P3" s="18">
        <f t="shared" ref="P3:P8" si="4">H3*2%</f>
        <v>47.789200000000001</v>
      </c>
      <c r="Q3" s="18">
        <f t="shared" ref="Q3:Q8" si="5">H3+P3</f>
        <v>2437.2492000000002</v>
      </c>
      <c r="R3" s="18">
        <f t="shared" ref="R3:R8" si="6">Q3*16%</f>
        <v>389.95987200000002</v>
      </c>
    </row>
    <row r="4" spans="1:18" x14ac:dyDescent="0.2">
      <c r="A4" s="18" t="s">
        <v>59</v>
      </c>
      <c r="B4" s="18" t="s">
        <v>110</v>
      </c>
      <c r="C4" s="18" t="s">
        <v>60</v>
      </c>
      <c r="D4" s="18">
        <v>2104.9000000000005</v>
      </c>
      <c r="G4" s="18">
        <f t="shared" si="0"/>
        <v>281.66999999999996</v>
      </c>
      <c r="H4" s="18">
        <f t="shared" si="1"/>
        <v>2386.5700000000006</v>
      </c>
      <c r="J4" s="18">
        <v>4</v>
      </c>
      <c r="K4" s="25">
        <v>13000</v>
      </c>
      <c r="L4" s="18">
        <f t="shared" si="2"/>
        <v>520</v>
      </c>
      <c r="M4" s="18">
        <f>VLOOKUP($C4,'CPD PITSS'!$B$9:$V$26,8,0)</f>
        <v>238.33</v>
      </c>
      <c r="N4" s="18">
        <f t="shared" si="3"/>
        <v>281.66999999999996</v>
      </c>
      <c r="O4" s="18" t="s">
        <v>112</v>
      </c>
      <c r="P4" s="18">
        <f t="shared" si="4"/>
        <v>47.731400000000015</v>
      </c>
      <c r="Q4" s="18">
        <f t="shared" si="5"/>
        <v>2434.3014000000007</v>
      </c>
      <c r="R4" s="18">
        <f t="shared" si="6"/>
        <v>389.48822400000012</v>
      </c>
    </row>
    <row r="5" spans="1:18" x14ac:dyDescent="0.2">
      <c r="A5" s="18" t="s">
        <v>116</v>
      </c>
      <c r="B5" s="18" t="s">
        <v>110</v>
      </c>
      <c r="C5" s="27" t="s">
        <v>72</v>
      </c>
      <c r="D5" s="18">
        <v>16803.400000000001</v>
      </c>
      <c r="F5" s="24"/>
      <c r="G5" s="18">
        <f t="shared" si="0"/>
        <v>0</v>
      </c>
      <c r="H5" s="18">
        <f t="shared" si="1"/>
        <v>16803.400000000001</v>
      </c>
      <c r="J5" s="18">
        <f>VLOOKUP(C5,'CPD PITSS'!$B$9:$V$26,3,0)</f>
        <v>0</v>
      </c>
      <c r="K5" s="25">
        <v>40000</v>
      </c>
      <c r="L5" s="18">
        <f t="shared" si="2"/>
        <v>0</v>
      </c>
      <c r="M5" s="18">
        <f>VLOOKUP($C5,'CPD PITSS'!$B$9:$V$26,8,0)</f>
        <v>0</v>
      </c>
      <c r="N5" s="18">
        <f t="shared" si="3"/>
        <v>0</v>
      </c>
      <c r="O5" s="18" t="s">
        <v>117</v>
      </c>
      <c r="P5" s="18">
        <f t="shared" si="4"/>
        <v>336.06800000000004</v>
      </c>
      <c r="Q5" s="18">
        <f t="shared" si="5"/>
        <v>17139.468000000001</v>
      </c>
      <c r="R5" s="18">
        <f t="shared" si="6"/>
        <v>2742.3148800000004</v>
      </c>
    </row>
    <row r="6" spans="1:18" x14ac:dyDescent="0.2">
      <c r="A6" s="18" t="s">
        <v>53</v>
      </c>
      <c r="B6" s="18" t="s">
        <v>110</v>
      </c>
      <c r="C6" s="18" t="s">
        <v>54</v>
      </c>
      <c r="D6" s="18">
        <v>1558.0900000000001</v>
      </c>
      <c r="E6" s="18">
        <v>330</v>
      </c>
      <c r="F6" s="24">
        <v>320</v>
      </c>
      <c r="G6" s="18">
        <f t="shared" si="0"/>
        <v>0</v>
      </c>
      <c r="H6" s="18">
        <f t="shared" si="1"/>
        <v>2208.09</v>
      </c>
      <c r="J6" s="18">
        <f>VLOOKUP(C6,'CPD PITSS'!$B$9:$V$26,3,0)</f>
        <v>0</v>
      </c>
      <c r="K6" s="25">
        <v>10150</v>
      </c>
      <c r="L6" s="18">
        <f t="shared" si="2"/>
        <v>0</v>
      </c>
      <c r="M6" s="18">
        <f>VLOOKUP($C6,'CPD PITSS'!$B$9:$V$26,8,0)</f>
        <v>0</v>
      </c>
      <c r="N6" s="18">
        <f t="shared" si="3"/>
        <v>0</v>
      </c>
      <c r="O6" s="18" t="s">
        <v>118</v>
      </c>
      <c r="P6" s="18">
        <f t="shared" si="4"/>
        <v>44.161800000000007</v>
      </c>
      <c r="Q6" s="18">
        <f t="shared" si="5"/>
        <v>2252.2518</v>
      </c>
      <c r="R6" s="18">
        <f t="shared" si="6"/>
        <v>360.36028800000003</v>
      </c>
    </row>
    <row r="7" spans="1:18" x14ac:dyDescent="0.2">
      <c r="A7" s="18" t="s">
        <v>69</v>
      </c>
      <c r="B7" s="18" t="s">
        <v>110</v>
      </c>
      <c r="C7" s="18" t="s">
        <v>70</v>
      </c>
      <c r="D7" s="18">
        <v>1608.1</v>
      </c>
      <c r="E7" s="24">
        <v>270</v>
      </c>
      <c r="F7" s="24"/>
      <c r="G7" s="18">
        <f t="shared" si="0"/>
        <v>0</v>
      </c>
      <c r="H7" s="18">
        <f t="shared" si="1"/>
        <v>1878.1</v>
      </c>
      <c r="J7" s="18">
        <f>VLOOKUP(C7,'CPD PITSS'!$B$9:$V$26,3,0)</f>
        <v>0</v>
      </c>
      <c r="K7" s="25">
        <v>10250</v>
      </c>
      <c r="L7" s="18">
        <f t="shared" si="2"/>
        <v>0</v>
      </c>
      <c r="M7" s="18">
        <f>VLOOKUP($C7,'CPD PITSS'!$B$9:$V$26,8,0)</f>
        <v>0</v>
      </c>
      <c r="N7" s="18">
        <f t="shared" si="3"/>
        <v>0</v>
      </c>
      <c r="O7" s="18" t="s">
        <v>119</v>
      </c>
      <c r="P7" s="18">
        <f t="shared" si="4"/>
        <v>37.561999999999998</v>
      </c>
      <c r="Q7" s="18">
        <f t="shared" si="5"/>
        <v>1915.6619999999998</v>
      </c>
      <c r="R7" s="18">
        <f t="shared" si="6"/>
        <v>306.50592</v>
      </c>
    </row>
    <row r="8" spans="1:18" x14ac:dyDescent="0.2">
      <c r="A8" s="18" t="s">
        <v>55</v>
      </c>
      <c r="B8" s="18" t="s">
        <v>110</v>
      </c>
      <c r="C8" s="27" t="s">
        <v>56</v>
      </c>
      <c r="D8" s="18">
        <v>1891.1999999999998</v>
      </c>
      <c r="F8" s="24"/>
      <c r="G8" s="18">
        <f t="shared" si="0"/>
        <v>0</v>
      </c>
      <c r="H8" s="18">
        <f t="shared" si="1"/>
        <v>1891.1999999999998</v>
      </c>
      <c r="J8" s="18">
        <f>VLOOKUP(C8,'CPD PITSS'!$B$9:$V$26,3,0)</f>
        <v>0</v>
      </c>
      <c r="K8" s="25">
        <v>12000</v>
      </c>
      <c r="L8" s="18">
        <f t="shared" si="2"/>
        <v>0</v>
      </c>
      <c r="M8" s="18">
        <f>VLOOKUP($C8,'CPD PITSS'!$B$9:$V$26,8,0)</f>
        <v>0</v>
      </c>
      <c r="N8" s="18">
        <f t="shared" si="3"/>
        <v>0</v>
      </c>
      <c r="O8" s="18" t="s">
        <v>123</v>
      </c>
      <c r="P8" s="18">
        <f t="shared" si="4"/>
        <v>37.823999999999998</v>
      </c>
      <c r="Q8" s="18">
        <f t="shared" si="5"/>
        <v>1929.0239999999999</v>
      </c>
      <c r="R8" s="18">
        <f t="shared" si="6"/>
        <v>308.64384000000001</v>
      </c>
    </row>
    <row r="9" spans="1:18" x14ac:dyDescent="0.2">
      <c r="A9" s="18" t="s">
        <v>67</v>
      </c>
      <c r="B9" s="18" t="s">
        <v>110</v>
      </c>
      <c r="C9" s="18" t="s">
        <v>68</v>
      </c>
      <c r="D9" s="18">
        <v>1558.0000000000005</v>
      </c>
      <c r="E9" s="18">
        <v>270</v>
      </c>
      <c r="F9" s="24">
        <v>320</v>
      </c>
      <c r="G9" s="18">
        <f t="shared" si="0"/>
        <v>91.499999999999972</v>
      </c>
      <c r="H9" s="18">
        <f t="shared" si="1"/>
        <v>2239.5000000000005</v>
      </c>
      <c r="J9" s="18">
        <f>VLOOKUP(C9,'CPD PITSS'!$B$9:$V$26,3,0)</f>
        <v>2</v>
      </c>
      <c r="K9" s="25">
        <v>10150</v>
      </c>
      <c r="L9" s="18">
        <f t="shared" si="2"/>
        <v>202.99999999999997</v>
      </c>
      <c r="M9" s="18">
        <f>VLOOKUP($C9,'CPD PITSS'!$B$9:$V$26,8,0)</f>
        <v>111.5</v>
      </c>
      <c r="N9" s="18">
        <f t="shared" si="3"/>
        <v>91.499999999999972</v>
      </c>
      <c r="O9" s="18" t="s">
        <v>165</v>
      </c>
      <c r="P9" s="18">
        <f>H9*2%</f>
        <v>44.790000000000013</v>
      </c>
      <c r="Q9" s="18">
        <f>H9+P9</f>
        <v>2284.2900000000004</v>
      </c>
      <c r="R9" s="18">
        <f t="shared" ref="R9:R72" si="7">Q9*16%</f>
        <v>365.48640000000006</v>
      </c>
    </row>
    <row r="10" spans="1:18" x14ac:dyDescent="0.2">
      <c r="A10" s="18" t="s">
        <v>51</v>
      </c>
      <c r="B10" s="18" t="s">
        <v>110</v>
      </c>
      <c r="C10" s="18" t="s">
        <v>52</v>
      </c>
      <c r="D10" s="18">
        <v>2600.3700000000003</v>
      </c>
      <c r="E10" s="18">
        <v>150</v>
      </c>
      <c r="F10" s="24"/>
      <c r="G10" s="18">
        <f t="shared" si="0"/>
        <v>0</v>
      </c>
      <c r="H10" s="18">
        <f t="shared" si="1"/>
        <v>2750.3700000000003</v>
      </c>
      <c r="J10" s="18">
        <f>VLOOKUP(C10,'CPD PITSS'!$B$9:$V$26,3,0)</f>
        <v>0</v>
      </c>
      <c r="K10" s="25">
        <v>15000</v>
      </c>
      <c r="L10" s="18">
        <f t="shared" si="2"/>
        <v>0</v>
      </c>
      <c r="M10" s="18">
        <f>VLOOKUP($C10,'CPD PITSS'!$B$9:$V$26,8,0)</f>
        <v>0</v>
      </c>
      <c r="N10" s="18">
        <f t="shared" si="3"/>
        <v>0</v>
      </c>
      <c r="O10" s="18" t="s">
        <v>189</v>
      </c>
      <c r="P10" s="18">
        <f t="shared" ref="P10:P73" si="8">H10*2%</f>
        <v>55.007400000000011</v>
      </c>
      <c r="Q10" s="18">
        <f t="shared" ref="Q10:Q73" si="9">H10+P10</f>
        <v>2805.3774000000003</v>
      </c>
      <c r="R10" s="18">
        <f t="shared" si="7"/>
        <v>448.86038400000007</v>
      </c>
    </row>
    <row r="11" spans="1:18" s="24" customFormat="1" x14ac:dyDescent="0.2">
      <c r="A11" s="18" t="s">
        <v>39</v>
      </c>
      <c r="B11" s="18" t="s">
        <v>110</v>
      </c>
      <c r="C11" s="18" t="s">
        <v>40</v>
      </c>
      <c r="D11" s="18">
        <v>1475.4</v>
      </c>
      <c r="E11" s="18">
        <v>100</v>
      </c>
      <c r="G11" s="18">
        <f t="shared" si="0"/>
        <v>0</v>
      </c>
      <c r="H11" s="18">
        <f t="shared" si="1"/>
        <v>1575.4</v>
      </c>
      <c r="I11" s="19"/>
      <c r="J11" s="18">
        <f>VLOOKUP(C11,'CPD PITSS'!$B$9:$V$26,3,0)</f>
        <v>0</v>
      </c>
      <c r="K11" s="25">
        <v>8500</v>
      </c>
      <c r="L11" s="18">
        <f t="shared" si="2"/>
        <v>0</v>
      </c>
      <c r="M11" s="18">
        <f>VLOOKUP($C11,'CPD PITSS'!$B$9:$V$26,8,0)</f>
        <v>0</v>
      </c>
      <c r="N11" s="18">
        <f t="shared" si="3"/>
        <v>0</v>
      </c>
      <c r="O11" s="18" t="s">
        <v>202</v>
      </c>
      <c r="P11" s="18">
        <f t="shared" si="8"/>
        <v>31.508000000000003</v>
      </c>
      <c r="Q11" s="18">
        <f t="shared" si="9"/>
        <v>1606.9080000000001</v>
      </c>
      <c r="R11" s="18">
        <f t="shared" si="7"/>
        <v>257.10528000000005</v>
      </c>
    </row>
    <row r="12" spans="1:18" x14ac:dyDescent="0.2">
      <c r="A12" s="18" t="s">
        <v>61</v>
      </c>
      <c r="B12" s="18" t="s">
        <v>110</v>
      </c>
      <c r="C12" s="18" t="s">
        <v>62</v>
      </c>
      <c r="D12" s="18">
        <v>2600.1999999999998</v>
      </c>
      <c r="E12" s="18">
        <v>337.5</v>
      </c>
      <c r="F12" s="24"/>
      <c r="G12" s="18">
        <f t="shared" si="0"/>
        <v>0</v>
      </c>
      <c r="H12" s="18">
        <f t="shared" si="1"/>
        <v>2937.7</v>
      </c>
      <c r="J12" s="18">
        <f>VLOOKUP(C12,'CPD PITSS'!$B$9:$V$26,3,0)</f>
        <v>0</v>
      </c>
      <c r="K12" s="25">
        <v>15000</v>
      </c>
      <c r="L12" s="18">
        <f t="shared" si="2"/>
        <v>0</v>
      </c>
      <c r="M12" s="18">
        <f>VLOOKUP($C12,'CPD PITSS'!$B$9:$V$26,8,0)</f>
        <v>0</v>
      </c>
      <c r="N12" s="18">
        <f t="shared" si="3"/>
        <v>0</v>
      </c>
      <c r="O12" s="18" t="s">
        <v>209</v>
      </c>
      <c r="P12" s="18">
        <f t="shared" si="8"/>
        <v>58.753999999999998</v>
      </c>
      <c r="Q12" s="18">
        <f t="shared" si="9"/>
        <v>2996.4539999999997</v>
      </c>
      <c r="R12" s="18">
        <f t="shared" si="7"/>
        <v>479.43263999999999</v>
      </c>
    </row>
    <row r="13" spans="1:18" x14ac:dyDescent="0.2">
      <c r="A13" s="18" t="s">
        <v>57</v>
      </c>
      <c r="B13" s="18" t="s">
        <v>110</v>
      </c>
      <c r="C13" s="18" t="s">
        <v>58</v>
      </c>
      <c r="D13" s="18">
        <v>2751</v>
      </c>
      <c r="E13" s="18">
        <v>165</v>
      </c>
      <c r="F13" s="24"/>
      <c r="G13" s="18">
        <f t="shared" si="0"/>
        <v>0</v>
      </c>
      <c r="H13" s="18">
        <f t="shared" si="1"/>
        <v>2916</v>
      </c>
      <c r="J13" s="18">
        <f>VLOOKUP(C13,'CPD PITSS'!$B$9:$V$26,3,0)</f>
        <v>0</v>
      </c>
      <c r="K13" s="25">
        <v>15000</v>
      </c>
      <c r="L13" s="18">
        <f t="shared" si="2"/>
        <v>0</v>
      </c>
      <c r="M13" s="18">
        <f>VLOOKUP($C13,'CPD PITSS'!$B$9:$V$26,8,0)</f>
        <v>0</v>
      </c>
      <c r="N13" s="18">
        <f t="shared" si="3"/>
        <v>0</v>
      </c>
      <c r="O13" s="18" t="s">
        <v>234</v>
      </c>
      <c r="P13" s="18">
        <f t="shared" si="8"/>
        <v>58.32</v>
      </c>
      <c r="Q13" s="18">
        <f t="shared" si="9"/>
        <v>2974.32</v>
      </c>
      <c r="R13" s="18">
        <f t="shared" si="7"/>
        <v>475.89120000000003</v>
      </c>
    </row>
    <row r="14" spans="1:18" x14ac:dyDescent="0.2">
      <c r="A14" s="18" t="s">
        <v>43</v>
      </c>
      <c r="B14" s="18" t="s">
        <v>110</v>
      </c>
      <c r="C14" s="18" t="s">
        <v>44</v>
      </c>
      <c r="D14" s="18">
        <v>2464</v>
      </c>
      <c r="E14" s="18">
        <v>1000</v>
      </c>
      <c r="F14" s="24"/>
      <c r="G14" s="18">
        <f t="shared" si="0"/>
        <v>0</v>
      </c>
      <c r="H14" s="18">
        <f t="shared" si="1"/>
        <v>3464</v>
      </c>
      <c r="J14" s="18">
        <f>VLOOKUP(C14,'CPD PITSS'!$B$9:$V$26,3,0)</f>
        <v>0</v>
      </c>
      <c r="K14" s="25">
        <v>13000</v>
      </c>
      <c r="L14" s="18">
        <f t="shared" si="2"/>
        <v>0</v>
      </c>
      <c r="M14" s="18">
        <f>VLOOKUP($C14,'CPD PITSS'!$B$9:$V$26,8,0)</f>
        <v>0</v>
      </c>
      <c r="N14" s="18">
        <f t="shared" si="3"/>
        <v>0</v>
      </c>
      <c r="O14" s="18" t="s">
        <v>276</v>
      </c>
      <c r="P14" s="18">
        <f t="shared" si="8"/>
        <v>69.28</v>
      </c>
      <c r="Q14" s="18">
        <f t="shared" si="9"/>
        <v>3533.28</v>
      </c>
      <c r="R14" s="18">
        <f t="shared" si="7"/>
        <v>565.3248000000001</v>
      </c>
    </row>
    <row r="15" spans="1:18" x14ac:dyDescent="0.2">
      <c r="A15" s="18" t="s">
        <v>47</v>
      </c>
      <c r="B15" s="18" t="s">
        <v>110</v>
      </c>
      <c r="C15" s="18" t="s">
        <v>48</v>
      </c>
      <c r="D15" s="18">
        <v>2600.3999999999996</v>
      </c>
      <c r="E15" s="18">
        <v>337.5</v>
      </c>
      <c r="F15" s="24"/>
      <c r="G15" s="18">
        <f t="shared" si="0"/>
        <v>0</v>
      </c>
      <c r="H15" s="18">
        <f t="shared" si="1"/>
        <v>2937.8999999999996</v>
      </c>
      <c r="J15" s="18">
        <f>VLOOKUP(C15,'CPD PITSS'!$B$9:$V$26,3,0)</f>
        <v>0</v>
      </c>
      <c r="K15" s="25">
        <v>15000</v>
      </c>
      <c r="L15" s="18">
        <f t="shared" si="2"/>
        <v>0</v>
      </c>
      <c r="M15" s="18">
        <f>VLOOKUP($C15,'CPD PITSS'!$B$9:$V$26,8,0)</f>
        <v>0</v>
      </c>
      <c r="N15" s="18">
        <f t="shared" si="3"/>
        <v>0</v>
      </c>
      <c r="O15" s="18" t="s">
        <v>283</v>
      </c>
      <c r="P15" s="18">
        <f t="shared" si="8"/>
        <v>58.757999999999996</v>
      </c>
      <c r="Q15" s="18">
        <f t="shared" si="9"/>
        <v>2996.6579999999994</v>
      </c>
      <c r="R15" s="18">
        <f t="shared" si="7"/>
        <v>479.46527999999989</v>
      </c>
    </row>
    <row r="16" spans="1:18" x14ac:dyDescent="0.2">
      <c r="A16" s="18" t="s">
        <v>63</v>
      </c>
      <c r="B16" s="18" t="s">
        <v>110</v>
      </c>
      <c r="C16" s="18" t="s">
        <v>64</v>
      </c>
      <c r="D16" s="18">
        <v>1483.13</v>
      </c>
      <c r="E16" s="18">
        <v>20</v>
      </c>
      <c r="F16" s="24"/>
      <c r="G16" s="18">
        <f t="shared" si="0"/>
        <v>0</v>
      </c>
      <c r="H16" s="18">
        <f t="shared" si="1"/>
        <v>1503.13</v>
      </c>
      <c r="J16" s="18">
        <f>VLOOKUP(C16,'CPD PITSS'!$B$9:$V$26,3,0)</f>
        <v>0</v>
      </c>
      <c r="K16" s="25">
        <v>10000</v>
      </c>
      <c r="L16" s="18">
        <f t="shared" si="2"/>
        <v>0</v>
      </c>
      <c r="M16" s="18">
        <f>VLOOKUP($C16,'CPD PITSS'!$B$9:$V$26,8,0)</f>
        <v>0</v>
      </c>
      <c r="N16" s="18">
        <f t="shared" si="3"/>
        <v>0</v>
      </c>
      <c r="O16" s="18" t="s">
        <v>292</v>
      </c>
      <c r="P16" s="18">
        <f t="shared" si="8"/>
        <v>30.062600000000003</v>
      </c>
      <c r="Q16" s="18">
        <f t="shared" si="9"/>
        <v>1533.1926000000001</v>
      </c>
      <c r="R16" s="18">
        <f t="shared" si="7"/>
        <v>245.31081600000002</v>
      </c>
    </row>
    <row r="17" spans="1:18" x14ac:dyDescent="0.2">
      <c r="A17" s="18" t="s">
        <v>41</v>
      </c>
      <c r="B17" s="18" t="s">
        <v>110</v>
      </c>
      <c r="C17" s="18" t="s">
        <v>42</v>
      </c>
      <c r="D17" s="18">
        <v>1588.0000000000005</v>
      </c>
      <c r="E17" s="18">
        <v>400</v>
      </c>
      <c r="F17" s="24"/>
      <c r="G17" s="18">
        <f t="shared" si="0"/>
        <v>0</v>
      </c>
      <c r="H17" s="18">
        <f t="shared" si="1"/>
        <v>1988.0000000000005</v>
      </c>
      <c r="J17" s="18">
        <f>VLOOKUP(C17,'CPD PITSS'!$B$9:$V$26,3,0)</f>
        <v>0</v>
      </c>
      <c r="K17" s="25">
        <v>9000</v>
      </c>
      <c r="L17" s="18">
        <f t="shared" si="2"/>
        <v>0</v>
      </c>
      <c r="M17" s="18">
        <f>VLOOKUP($C17,'CPD PITSS'!$B$9:$V$26,8,0)</f>
        <v>0</v>
      </c>
      <c r="N17" s="18">
        <f t="shared" si="3"/>
        <v>0</v>
      </c>
      <c r="O17" s="18" t="s">
        <v>302</v>
      </c>
      <c r="P17" s="18">
        <f t="shared" si="8"/>
        <v>39.760000000000012</v>
      </c>
      <c r="Q17" s="18">
        <f t="shared" si="9"/>
        <v>2027.7600000000004</v>
      </c>
      <c r="R17" s="18">
        <f t="shared" si="7"/>
        <v>324.44160000000005</v>
      </c>
    </row>
    <row r="18" spans="1:18" x14ac:dyDescent="0.2">
      <c r="A18" s="18" t="s">
        <v>65</v>
      </c>
      <c r="B18" s="18" t="s">
        <v>110</v>
      </c>
      <c r="C18" s="18" t="s">
        <v>66</v>
      </c>
      <c r="D18" s="18">
        <v>12613.2</v>
      </c>
      <c r="F18" s="24"/>
      <c r="G18" s="18">
        <f t="shared" si="0"/>
        <v>281.75</v>
      </c>
      <c r="H18" s="18">
        <f t="shared" si="1"/>
        <v>12894.95</v>
      </c>
      <c r="J18" s="18">
        <f>VLOOKUP(C18,'CPD PITSS'!$B$9:$V$26,3,0)</f>
        <v>1</v>
      </c>
      <c r="K18" s="25">
        <v>60000</v>
      </c>
      <c r="L18" s="18">
        <f t="shared" si="2"/>
        <v>600</v>
      </c>
      <c r="M18" s="18">
        <f>VLOOKUP($C18,'CPD PITSS'!$B$9:$V$26,8,0)</f>
        <v>318.25</v>
      </c>
      <c r="N18" s="18">
        <f t="shared" si="3"/>
        <v>281.75</v>
      </c>
      <c r="O18" s="18" t="s">
        <v>312</v>
      </c>
      <c r="P18" s="18">
        <f t="shared" si="8"/>
        <v>257.899</v>
      </c>
      <c r="Q18" s="18">
        <f t="shared" si="9"/>
        <v>13152.849</v>
      </c>
      <c r="R18" s="18">
        <f t="shared" si="7"/>
        <v>2104.4558400000001</v>
      </c>
    </row>
    <row r="19" spans="1:18" x14ac:dyDescent="0.2">
      <c r="A19" s="18" t="s">
        <v>73</v>
      </c>
      <c r="B19" s="18" t="s">
        <v>110</v>
      </c>
      <c r="C19" s="18" t="s">
        <v>74</v>
      </c>
      <c r="D19" s="18">
        <v>2464</v>
      </c>
      <c r="E19" s="18">
        <v>1000</v>
      </c>
      <c r="F19" s="24"/>
      <c r="G19" s="18">
        <f t="shared" si="0"/>
        <v>0</v>
      </c>
      <c r="H19" s="18">
        <f t="shared" si="1"/>
        <v>3464</v>
      </c>
      <c r="J19" s="18">
        <f>VLOOKUP(C19,'CPD PITSS'!$B$9:$V$26,3,0)</f>
        <v>0</v>
      </c>
      <c r="K19" s="25">
        <v>13000</v>
      </c>
      <c r="L19" s="18">
        <f t="shared" si="2"/>
        <v>0</v>
      </c>
      <c r="M19" s="18">
        <f>VLOOKUP($C19,'CPD PITSS'!$B$9:$V$26,8,0)</f>
        <v>0</v>
      </c>
      <c r="N19" s="18">
        <f t="shared" si="3"/>
        <v>0</v>
      </c>
      <c r="O19" s="18" t="s">
        <v>325</v>
      </c>
      <c r="P19" s="18">
        <f t="shared" si="8"/>
        <v>69.28</v>
      </c>
      <c r="Q19" s="18">
        <f t="shared" si="9"/>
        <v>3533.28</v>
      </c>
      <c r="R19" s="18">
        <f t="shared" si="7"/>
        <v>565.3248000000001</v>
      </c>
    </row>
    <row r="20" spans="1:18" x14ac:dyDescent="0.2">
      <c r="A20" s="18" t="s">
        <v>45</v>
      </c>
      <c r="B20" s="18" t="s">
        <v>110</v>
      </c>
      <c r="C20" s="18" t="s">
        <v>46</v>
      </c>
      <c r="D20" s="18">
        <v>4175.9999999999991</v>
      </c>
      <c r="E20" s="18">
        <v>750</v>
      </c>
      <c r="F20" s="24"/>
      <c r="G20" s="18">
        <f t="shared" si="0"/>
        <v>0</v>
      </c>
      <c r="H20" s="18">
        <f t="shared" si="1"/>
        <v>4925.9999999999991</v>
      </c>
      <c r="J20" s="18">
        <f>VLOOKUP(C20,'CPD PITSS'!$B$9:$V$26,3,0)</f>
        <v>0</v>
      </c>
      <c r="K20" s="25">
        <v>18500</v>
      </c>
      <c r="L20" s="18">
        <f t="shared" si="2"/>
        <v>0</v>
      </c>
      <c r="M20" s="18">
        <f>VLOOKUP($C20,'CPD PITSS'!$B$9:$V$26,8,0)</f>
        <v>0</v>
      </c>
      <c r="N20" s="18">
        <f t="shared" si="3"/>
        <v>0</v>
      </c>
      <c r="O20" s="18" t="s">
        <v>346</v>
      </c>
      <c r="P20" s="18">
        <f t="shared" si="8"/>
        <v>98.519999999999982</v>
      </c>
      <c r="Q20" s="18">
        <f t="shared" si="9"/>
        <v>5024.5199999999986</v>
      </c>
      <c r="R20" s="18">
        <f t="shared" si="7"/>
        <v>803.92319999999984</v>
      </c>
    </row>
    <row r="21" spans="1:18" x14ac:dyDescent="0.2">
      <c r="A21" s="18" t="s">
        <v>94</v>
      </c>
      <c r="B21" s="18" t="s">
        <v>95</v>
      </c>
      <c r="C21" s="18" t="s">
        <v>96</v>
      </c>
      <c r="D21" s="18">
        <v>135.19999999999982</v>
      </c>
      <c r="F21" s="24"/>
      <c r="H21" s="18">
        <f>SUM(D21:G21)</f>
        <v>135.19999999999982</v>
      </c>
      <c r="J21" s="18">
        <f>VLOOKUP(C21,'IP PITSS'!$B$9:$U$90,3,0)</f>
        <v>0</v>
      </c>
      <c r="K21" s="25">
        <v>6000</v>
      </c>
      <c r="L21" s="18">
        <f t="shared" si="2"/>
        <v>0</v>
      </c>
      <c r="M21" s="18">
        <f>VLOOKUP(C21,'IP PITSS'!$B$9:$I$90,8,0)</f>
        <v>0</v>
      </c>
      <c r="N21" s="18">
        <f t="shared" si="3"/>
        <v>0</v>
      </c>
      <c r="O21" s="18" t="s">
        <v>97</v>
      </c>
      <c r="P21" s="18">
        <f t="shared" si="8"/>
        <v>2.7039999999999966</v>
      </c>
      <c r="Q21" s="18">
        <f t="shared" si="9"/>
        <v>137.90399999999983</v>
      </c>
      <c r="R21" s="18">
        <f t="shared" si="7"/>
        <v>22.064639999999972</v>
      </c>
    </row>
    <row r="22" spans="1:18" x14ac:dyDescent="0.2">
      <c r="A22" s="18" t="s">
        <v>98</v>
      </c>
      <c r="B22" s="18" t="s">
        <v>95</v>
      </c>
      <c r="C22" s="18" t="s">
        <v>99</v>
      </c>
      <c r="D22" s="18">
        <v>135.14000000000033</v>
      </c>
      <c r="E22" s="18">
        <v>455</v>
      </c>
      <c r="F22" s="24"/>
      <c r="G22" s="18">
        <f t="shared" ref="G22:G53" si="10">+N22</f>
        <v>0</v>
      </c>
      <c r="H22" s="18">
        <f t="shared" si="1"/>
        <v>590.14000000000033</v>
      </c>
      <c r="J22" s="18">
        <f>VLOOKUP(C22,'IP PITSS'!$B$9:$U$90,3,0)</f>
        <v>0</v>
      </c>
      <c r="K22" s="25">
        <v>6000</v>
      </c>
      <c r="L22" s="18">
        <f t="shared" si="2"/>
        <v>0</v>
      </c>
      <c r="M22" s="18">
        <f>VLOOKUP(C22,'IP PITSS'!$B$9:$I$90,8,0)</f>
        <v>0</v>
      </c>
      <c r="N22" s="18">
        <f t="shared" si="3"/>
        <v>0</v>
      </c>
      <c r="O22" s="18" t="s">
        <v>100</v>
      </c>
      <c r="P22" s="18">
        <f t="shared" si="8"/>
        <v>11.802800000000007</v>
      </c>
      <c r="Q22" s="18">
        <f t="shared" si="9"/>
        <v>601.94280000000037</v>
      </c>
      <c r="R22" s="18">
        <f t="shared" si="7"/>
        <v>96.310848000000064</v>
      </c>
    </row>
    <row r="23" spans="1:18" x14ac:dyDescent="0.2">
      <c r="A23" s="18" t="s">
        <v>101</v>
      </c>
      <c r="B23" s="18" t="s">
        <v>95</v>
      </c>
      <c r="C23" s="18" t="s">
        <v>102</v>
      </c>
      <c r="D23" s="18">
        <v>175.59999999999991</v>
      </c>
      <c r="E23" s="24">
        <v>1068.75</v>
      </c>
      <c r="F23" s="24"/>
      <c r="G23" s="18">
        <f t="shared" si="10"/>
        <v>0</v>
      </c>
      <c r="H23" s="18">
        <f t="shared" si="1"/>
        <v>1244.3499999999999</v>
      </c>
      <c r="J23" s="18">
        <f>VLOOKUP(C23,'IP PITSS'!$B$9:$U$90,3,0)</f>
        <v>0</v>
      </c>
      <c r="K23" s="25">
        <v>6300</v>
      </c>
      <c r="L23" s="18">
        <f t="shared" si="2"/>
        <v>0</v>
      </c>
      <c r="M23" s="18">
        <f>VLOOKUP(C23,'IP PITSS'!$B$9:$I$90,8,0)</f>
        <v>0</v>
      </c>
      <c r="N23" s="18">
        <f t="shared" si="3"/>
        <v>0</v>
      </c>
      <c r="O23" s="18" t="s">
        <v>103</v>
      </c>
      <c r="P23" s="18">
        <f t="shared" si="8"/>
        <v>24.887</v>
      </c>
      <c r="Q23" s="18">
        <f t="shared" si="9"/>
        <v>1269.2369999999999</v>
      </c>
      <c r="R23" s="18">
        <f t="shared" si="7"/>
        <v>203.07791999999998</v>
      </c>
    </row>
    <row r="24" spans="1:18" x14ac:dyDescent="0.2">
      <c r="A24" s="18" t="s">
        <v>104</v>
      </c>
      <c r="B24" s="18" t="s">
        <v>95</v>
      </c>
      <c r="C24" s="18" t="s">
        <v>105</v>
      </c>
      <c r="D24" s="18">
        <v>3135.3199999999997</v>
      </c>
      <c r="E24" s="18">
        <v>750</v>
      </c>
      <c r="F24" s="24"/>
      <c r="G24" s="18">
        <f t="shared" si="10"/>
        <v>0</v>
      </c>
      <c r="H24" s="18">
        <f t="shared" si="1"/>
        <v>3885.3199999999997</v>
      </c>
      <c r="J24" s="18">
        <f>VLOOKUP(C24,'IP PITSS'!$B$9:$U$90,3,0)</f>
        <v>0</v>
      </c>
      <c r="K24" s="25">
        <v>12000</v>
      </c>
      <c r="L24" s="18">
        <f t="shared" si="2"/>
        <v>0</v>
      </c>
      <c r="M24" s="18">
        <f>VLOOKUP(C24,'IP PITSS'!$B$9:$I$90,8,0)</f>
        <v>0</v>
      </c>
      <c r="N24" s="18">
        <f t="shared" si="3"/>
        <v>0</v>
      </c>
      <c r="O24" s="18" t="s">
        <v>106</v>
      </c>
      <c r="P24" s="18">
        <f t="shared" si="8"/>
        <v>77.706400000000002</v>
      </c>
      <c r="Q24" s="18">
        <f t="shared" si="9"/>
        <v>3963.0263999999997</v>
      </c>
      <c r="R24" s="18">
        <f t="shared" si="7"/>
        <v>634.08422399999995</v>
      </c>
    </row>
    <row r="25" spans="1:18" x14ac:dyDescent="0.2">
      <c r="A25" s="18" t="s">
        <v>107</v>
      </c>
      <c r="B25" s="18" t="s">
        <v>95</v>
      </c>
      <c r="C25" s="18" t="s">
        <v>108</v>
      </c>
      <c r="D25" s="18">
        <v>255.19999999999982</v>
      </c>
      <c r="E25" s="18">
        <v>455</v>
      </c>
      <c r="F25" s="24"/>
      <c r="G25" s="18">
        <f t="shared" si="10"/>
        <v>0</v>
      </c>
      <c r="H25" s="18">
        <f t="shared" si="1"/>
        <v>710.19999999999982</v>
      </c>
      <c r="J25" s="18">
        <f>VLOOKUP(C25,'IP PITSS'!$B$9:$U$90,3,0)</f>
        <v>1</v>
      </c>
      <c r="K25" s="25">
        <v>6000</v>
      </c>
      <c r="L25" s="18">
        <f t="shared" si="2"/>
        <v>60</v>
      </c>
      <c r="M25" s="18">
        <f>VLOOKUP(C25,'IP PITSS'!$B$9:$I$90,8,0)</f>
        <v>60</v>
      </c>
      <c r="N25" s="18">
        <f t="shared" si="3"/>
        <v>0</v>
      </c>
      <c r="O25" s="18" t="s">
        <v>109</v>
      </c>
      <c r="P25" s="18">
        <f t="shared" si="8"/>
        <v>14.203999999999997</v>
      </c>
      <c r="Q25" s="18">
        <f t="shared" si="9"/>
        <v>724.40399999999977</v>
      </c>
      <c r="R25" s="18">
        <f t="shared" si="7"/>
        <v>115.90463999999997</v>
      </c>
    </row>
    <row r="26" spans="1:18" x14ac:dyDescent="0.2">
      <c r="A26" s="18" t="s">
        <v>113</v>
      </c>
      <c r="B26" s="18" t="s">
        <v>95</v>
      </c>
      <c r="C26" s="18" t="s">
        <v>114</v>
      </c>
      <c r="D26" s="18">
        <v>416.5</v>
      </c>
      <c r="E26" s="18">
        <v>480</v>
      </c>
      <c r="F26" s="24"/>
      <c r="G26" s="18">
        <f t="shared" si="10"/>
        <v>0</v>
      </c>
      <c r="H26" s="18">
        <f t="shared" si="1"/>
        <v>896.5</v>
      </c>
      <c r="J26" s="18">
        <f>VLOOKUP(C26,'IP PITSS'!$B$9:$U$90,3,0)</f>
        <v>0</v>
      </c>
      <c r="K26" s="25">
        <v>8000</v>
      </c>
      <c r="L26" s="18">
        <f t="shared" si="2"/>
        <v>0</v>
      </c>
      <c r="M26" s="18">
        <f>VLOOKUP(C26,'IP PITSS'!$B$9:$I$90,8,0)</f>
        <v>0</v>
      </c>
      <c r="N26" s="18">
        <f t="shared" si="3"/>
        <v>0</v>
      </c>
      <c r="O26" s="18" t="s">
        <v>115</v>
      </c>
      <c r="P26" s="18">
        <f t="shared" si="8"/>
        <v>17.93</v>
      </c>
      <c r="Q26" s="18">
        <f t="shared" si="9"/>
        <v>914.43</v>
      </c>
      <c r="R26" s="18">
        <f t="shared" si="7"/>
        <v>146.30879999999999</v>
      </c>
    </row>
    <row r="27" spans="1:18" x14ac:dyDescent="0.2">
      <c r="A27" s="18" t="s">
        <v>120</v>
      </c>
      <c r="B27" s="18" t="s">
        <v>95</v>
      </c>
      <c r="C27" s="18" t="s">
        <v>121</v>
      </c>
      <c r="D27" s="18">
        <v>175.67000000000007</v>
      </c>
      <c r="E27" s="24">
        <v>675</v>
      </c>
      <c r="F27" s="24"/>
      <c r="G27" s="18">
        <f t="shared" si="10"/>
        <v>0</v>
      </c>
      <c r="H27" s="18">
        <f t="shared" si="1"/>
        <v>850.67000000000007</v>
      </c>
      <c r="J27" s="18">
        <f>VLOOKUP(C27,'IP PITSS'!$B$9:$U$90,3,0)</f>
        <v>0</v>
      </c>
      <c r="K27" s="25">
        <v>6300</v>
      </c>
      <c r="L27" s="18">
        <f t="shared" si="2"/>
        <v>0</v>
      </c>
      <c r="M27" s="18">
        <f>VLOOKUP(C27,'IP PITSS'!$B$9:$I$90,8,0)</f>
        <v>0</v>
      </c>
      <c r="N27" s="18">
        <f t="shared" si="3"/>
        <v>0</v>
      </c>
      <c r="O27" s="18" t="s">
        <v>122</v>
      </c>
      <c r="P27" s="18">
        <f t="shared" si="8"/>
        <v>17.013400000000001</v>
      </c>
      <c r="Q27" s="18">
        <f t="shared" si="9"/>
        <v>867.68340000000012</v>
      </c>
      <c r="R27" s="18">
        <f t="shared" si="7"/>
        <v>138.82934400000002</v>
      </c>
    </row>
    <row r="28" spans="1:18" x14ac:dyDescent="0.2">
      <c r="A28" s="18" t="s">
        <v>124</v>
      </c>
      <c r="B28" s="18" t="s">
        <v>95</v>
      </c>
      <c r="C28" s="18" t="s">
        <v>125</v>
      </c>
      <c r="D28" s="18">
        <v>384.85500000000002</v>
      </c>
      <c r="E28" s="18">
        <v>135</v>
      </c>
      <c r="F28" s="24"/>
      <c r="G28" s="18">
        <f t="shared" si="10"/>
        <v>0</v>
      </c>
      <c r="H28" s="18">
        <f t="shared" si="1"/>
        <v>519.85500000000002</v>
      </c>
      <c r="J28" s="18">
        <f>VLOOKUP(C28,'IP PITSS'!$B$9:$U$90,3,0)</f>
        <v>0</v>
      </c>
      <c r="K28" s="25">
        <v>7505.99</v>
      </c>
      <c r="L28" s="18">
        <f t="shared" si="2"/>
        <v>0</v>
      </c>
      <c r="M28" s="18">
        <f>VLOOKUP(C28,'IP PITSS'!$B$9:$I$90,8,0)</f>
        <v>0</v>
      </c>
      <c r="N28" s="18">
        <f t="shared" si="3"/>
        <v>0</v>
      </c>
      <c r="O28" s="18" t="s">
        <v>126</v>
      </c>
      <c r="P28" s="18">
        <f t="shared" si="8"/>
        <v>10.3971</v>
      </c>
      <c r="Q28" s="18">
        <f t="shared" si="9"/>
        <v>530.25210000000004</v>
      </c>
      <c r="R28" s="18">
        <f t="shared" si="7"/>
        <v>84.840336000000008</v>
      </c>
    </row>
    <row r="29" spans="1:18" x14ac:dyDescent="0.2">
      <c r="A29" s="24" t="s">
        <v>127</v>
      </c>
      <c r="B29" s="18" t="s">
        <v>95</v>
      </c>
      <c r="C29" s="24" t="s">
        <v>128</v>
      </c>
      <c r="D29" s="18">
        <v>135.19999999999982</v>
      </c>
      <c r="E29" s="18">
        <v>450</v>
      </c>
      <c r="F29" s="24"/>
      <c r="G29" s="18">
        <f t="shared" si="10"/>
        <v>0</v>
      </c>
      <c r="H29" s="18">
        <f t="shared" si="1"/>
        <v>585.19999999999982</v>
      </c>
      <c r="J29" s="18">
        <f>VLOOKUP(C29,'IP PITSS'!$B$9:$U$90,3,0)</f>
        <v>0</v>
      </c>
      <c r="K29" s="25">
        <v>6000</v>
      </c>
      <c r="L29" s="18">
        <f t="shared" si="2"/>
        <v>0</v>
      </c>
      <c r="M29" s="18">
        <f>VLOOKUP(C29,'IP PITSS'!$B$9:$I$90,8,0)</f>
        <v>0</v>
      </c>
      <c r="N29" s="18">
        <f t="shared" si="3"/>
        <v>0</v>
      </c>
      <c r="O29" s="18" t="s">
        <v>129</v>
      </c>
      <c r="P29" s="18">
        <f t="shared" si="8"/>
        <v>11.703999999999997</v>
      </c>
      <c r="Q29" s="18">
        <f t="shared" si="9"/>
        <v>596.90399999999977</v>
      </c>
      <c r="R29" s="18">
        <f t="shared" si="7"/>
        <v>95.504639999999966</v>
      </c>
    </row>
    <row r="30" spans="1:18" s="24" customFormat="1" x14ac:dyDescent="0.2">
      <c r="A30" s="18" t="s">
        <v>130</v>
      </c>
      <c r="B30" s="18" t="s">
        <v>95</v>
      </c>
      <c r="C30" s="18" t="s">
        <v>131</v>
      </c>
      <c r="D30" s="18">
        <v>4001.2000000000007</v>
      </c>
      <c r="E30" s="18">
        <v>437.5</v>
      </c>
      <c r="F30" s="24">
        <v>840</v>
      </c>
      <c r="G30" s="18">
        <f t="shared" si="10"/>
        <v>0</v>
      </c>
      <c r="H30" s="18">
        <f t="shared" si="1"/>
        <v>5278.7000000000007</v>
      </c>
      <c r="I30" s="19"/>
      <c r="J30" s="18">
        <f>VLOOKUP(C30,'IP PITSS'!$B$9:$U$90,3,0)</f>
        <v>0</v>
      </c>
      <c r="K30" s="25">
        <v>14000</v>
      </c>
      <c r="L30" s="18">
        <f t="shared" si="2"/>
        <v>0</v>
      </c>
      <c r="M30" s="18">
        <f>VLOOKUP(C30,'IP PITSS'!$B$9:$I$90,8,0)</f>
        <v>0</v>
      </c>
      <c r="N30" s="18">
        <f t="shared" si="3"/>
        <v>0</v>
      </c>
      <c r="O30" s="18" t="s">
        <v>132</v>
      </c>
      <c r="P30" s="18">
        <f t="shared" si="8"/>
        <v>105.57400000000001</v>
      </c>
      <c r="Q30" s="18">
        <f t="shared" si="9"/>
        <v>5384.2740000000003</v>
      </c>
      <c r="R30" s="18">
        <f t="shared" si="7"/>
        <v>861.4838400000001</v>
      </c>
    </row>
    <row r="31" spans="1:18" x14ac:dyDescent="0.2">
      <c r="A31" s="18" t="s">
        <v>133</v>
      </c>
      <c r="B31" s="18" t="s">
        <v>95</v>
      </c>
      <c r="C31" s="18" t="s">
        <v>134</v>
      </c>
      <c r="D31" s="18">
        <v>2553.3999999999996</v>
      </c>
      <c r="E31" s="18">
        <v>400</v>
      </c>
      <c r="F31" s="24"/>
      <c r="G31" s="18">
        <f t="shared" si="10"/>
        <v>0</v>
      </c>
      <c r="H31" s="18">
        <f t="shared" si="1"/>
        <v>2953.3999999999996</v>
      </c>
      <c r="J31" s="18">
        <f>VLOOKUP(C31,'IP PITSS'!$B$9:$U$90,3,0)</f>
        <v>0</v>
      </c>
      <c r="K31" s="25">
        <v>10000</v>
      </c>
      <c r="L31" s="18">
        <f t="shared" si="2"/>
        <v>0</v>
      </c>
      <c r="M31" s="18">
        <f>VLOOKUP(C31,'IP PITSS'!$B$9:$I$90,8,0)</f>
        <v>0</v>
      </c>
      <c r="N31" s="18">
        <f t="shared" si="3"/>
        <v>0</v>
      </c>
      <c r="O31" s="18" t="s">
        <v>135</v>
      </c>
      <c r="P31" s="18">
        <f t="shared" si="8"/>
        <v>59.067999999999991</v>
      </c>
      <c r="Q31" s="18">
        <f t="shared" si="9"/>
        <v>3012.4679999999998</v>
      </c>
      <c r="R31" s="18">
        <f t="shared" si="7"/>
        <v>481.99487999999997</v>
      </c>
    </row>
    <row r="32" spans="1:18" x14ac:dyDescent="0.2">
      <c r="A32" s="18" t="s">
        <v>136</v>
      </c>
      <c r="B32" s="18" t="s">
        <v>95</v>
      </c>
      <c r="C32" s="18" t="s">
        <v>137</v>
      </c>
      <c r="D32" s="18">
        <v>2667.3999999999996</v>
      </c>
      <c r="E32" s="18">
        <v>750</v>
      </c>
      <c r="F32" s="24">
        <v>400</v>
      </c>
      <c r="G32" s="18">
        <f t="shared" si="10"/>
        <v>0</v>
      </c>
      <c r="H32" s="18">
        <f t="shared" si="1"/>
        <v>3817.3999999999996</v>
      </c>
      <c r="J32" s="18">
        <f>VLOOKUP(C32,'IP PITSS'!$B$9:$U$90,3,0)</f>
        <v>0</v>
      </c>
      <c r="K32" s="25">
        <v>12000</v>
      </c>
      <c r="L32" s="18">
        <f t="shared" si="2"/>
        <v>0</v>
      </c>
      <c r="M32" s="18">
        <f>VLOOKUP(C32,'IP PITSS'!$B$9:$I$90,8,0)</f>
        <v>0</v>
      </c>
      <c r="N32" s="18">
        <f t="shared" si="3"/>
        <v>0</v>
      </c>
      <c r="O32" s="18" t="s">
        <v>138</v>
      </c>
      <c r="P32" s="18">
        <f t="shared" si="8"/>
        <v>76.347999999999999</v>
      </c>
      <c r="Q32" s="18">
        <f t="shared" si="9"/>
        <v>3893.7479999999996</v>
      </c>
      <c r="R32" s="18">
        <f t="shared" si="7"/>
        <v>622.9996799999999</v>
      </c>
    </row>
    <row r="33" spans="1:18" x14ac:dyDescent="0.2">
      <c r="A33" s="18" t="s">
        <v>139</v>
      </c>
      <c r="B33" s="18" t="s">
        <v>95</v>
      </c>
      <c r="C33" s="18" t="s">
        <v>140</v>
      </c>
      <c r="D33" s="18">
        <v>222.60000000000036</v>
      </c>
      <c r="E33" s="18">
        <v>250</v>
      </c>
      <c r="F33" s="24"/>
      <c r="G33" s="18">
        <f t="shared" si="10"/>
        <v>0</v>
      </c>
      <c r="H33" s="18">
        <f t="shared" si="1"/>
        <v>472.60000000000036</v>
      </c>
      <c r="J33" s="18">
        <f>VLOOKUP(C33,'IP PITSS'!$B$9:$U$90,3,0)</f>
        <v>0</v>
      </c>
      <c r="K33" s="25">
        <v>7000</v>
      </c>
      <c r="L33" s="18">
        <f t="shared" si="2"/>
        <v>0</v>
      </c>
      <c r="M33" s="18">
        <f>VLOOKUP(C33,'IP PITSS'!$B$9:$I$90,8,0)</f>
        <v>0</v>
      </c>
      <c r="N33" s="18">
        <f t="shared" si="3"/>
        <v>0</v>
      </c>
      <c r="O33" s="18" t="s">
        <v>141</v>
      </c>
      <c r="P33" s="18">
        <f t="shared" si="8"/>
        <v>9.4520000000000071</v>
      </c>
      <c r="Q33" s="18">
        <f t="shared" si="9"/>
        <v>482.05200000000036</v>
      </c>
      <c r="R33" s="18">
        <f t="shared" si="7"/>
        <v>77.128320000000059</v>
      </c>
    </row>
    <row r="34" spans="1:18" x14ac:dyDescent="0.2">
      <c r="A34" s="18" t="s">
        <v>73</v>
      </c>
      <c r="B34" s="18" t="s">
        <v>95</v>
      </c>
      <c r="C34" s="18" t="s">
        <v>142</v>
      </c>
      <c r="D34" s="18">
        <v>1047.7999999999993</v>
      </c>
      <c r="E34" s="18">
        <v>687.5</v>
      </c>
      <c r="F34" s="24"/>
      <c r="G34" s="18">
        <f t="shared" si="10"/>
        <v>0</v>
      </c>
      <c r="H34" s="18">
        <f t="shared" si="1"/>
        <v>1735.2999999999993</v>
      </c>
      <c r="J34" s="18">
        <f>VLOOKUP(C34,'IP PITSS'!$B$9:$U$90,3,0)</f>
        <v>0</v>
      </c>
      <c r="K34" s="25">
        <v>14000</v>
      </c>
      <c r="L34" s="18">
        <f t="shared" si="2"/>
        <v>0</v>
      </c>
      <c r="M34" s="18">
        <f>VLOOKUP(C34,'IP PITSS'!$B$9:$I$90,8,0)</f>
        <v>0</v>
      </c>
      <c r="N34" s="18">
        <f t="shared" si="3"/>
        <v>0</v>
      </c>
      <c r="O34" s="18" t="s">
        <v>143</v>
      </c>
      <c r="P34" s="18">
        <f t="shared" si="8"/>
        <v>34.705999999999989</v>
      </c>
      <c r="Q34" s="18">
        <f t="shared" si="9"/>
        <v>1770.0059999999992</v>
      </c>
      <c r="R34" s="18">
        <f t="shared" si="7"/>
        <v>283.2009599999999</v>
      </c>
    </row>
    <row r="35" spans="1:18" x14ac:dyDescent="0.2">
      <c r="A35" s="18" t="s">
        <v>144</v>
      </c>
      <c r="B35" s="18" t="s">
        <v>95</v>
      </c>
      <c r="C35" s="18" t="s">
        <v>145</v>
      </c>
      <c r="D35" s="18">
        <v>334.60000000000036</v>
      </c>
      <c r="E35" s="18">
        <v>450</v>
      </c>
      <c r="F35" s="24"/>
      <c r="G35" s="18">
        <f t="shared" si="10"/>
        <v>0</v>
      </c>
      <c r="H35" s="18">
        <f t="shared" ref="H35:H66" si="11">SUM(D35:G35)</f>
        <v>784.60000000000036</v>
      </c>
      <c r="J35" s="18">
        <f>VLOOKUP(C35,'IP PITSS'!$B$9:$U$90,3,0)</f>
        <v>1</v>
      </c>
      <c r="K35" s="25">
        <v>8000</v>
      </c>
      <c r="L35" s="18">
        <f t="shared" ref="L35:L66" si="12">(((+K35/30)*J35)*30%)</f>
        <v>80</v>
      </c>
      <c r="M35" s="18">
        <f>VLOOKUP(C35,'IP PITSS'!$B$9:$I$90,8,0)</f>
        <v>80</v>
      </c>
      <c r="N35" s="18">
        <f t="shared" ref="N35:N66" si="13">+L35-M35</f>
        <v>0</v>
      </c>
      <c r="O35" s="18" t="s">
        <v>146</v>
      </c>
      <c r="P35" s="18">
        <f t="shared" si="8"/>
        <v>15.692000000000007</v>
      </c>
      <c r="Q35" s="18">
        <f t="shared" si="9"/>
        <v>800.29200000000037</v>
      </c>
      <c r="R35" s="18">
        <f t="shared" si="7"/>
        <v>128.04672000000005</v>
      </c>
    </row>
    <row r="36" spans="1:18" x14ac:dyDescent="0.2">
      <c r="A36" s="18" t="s">
        <v>147</v>
      </c>
      <c r="B36" s="18" t="s">
        <v>95</v>
      </c>
      <c r="C36" s="18" t="s">
        <v>148</v>
      </c>
      <c r="D36" s="18">
        <v>593.60000000000036</v>
      </c>
      <c r="E36" s="18">
        <v>110</v>
      </c>
      <c r="F36" s="24"/>
      <c r="G36" s="18">
        <f t="shared" si="10"/>
        <v>0</v>
      </c>
      <c r="H36" s="18">
        <f t="shared" si="11"/>
        <v>703.60000000000036</v>
      </c>
      <c r="J36" s="18">
        <f>VLOOKUP(C36,'IP PITSS'!$B$9:$U$90,3,0)</f>
        <v>0</v>
      </c>
      <c r="K36" s="25">
        <v>10000</v>
      </c>
      <c r="L36" s="18">
        <f t="shared" si="12"/>
        <v>0</v>
      </c>
      <c r="M36" s="18">
        <f>VLOOKUP(C36,'IP PITSS'!$B$9:$I$90,8,0)</f>
        <v>0</v>
      </c>
      <c r="N36" s="18">
        <f t="shared" si="13"/>
        <v>0</v>
      </c>
      <c r="O36" s="18" t="s">
        <v>149</v>
      </c>
      <c r="P36" s="18">
        <f t="shared" si="8"/>
        <v>14.072000000000008</v>
      </c>
      <c r="Q36" s="18">
        <f t="shared" si="9"/>
        <v>717.67200000000037</v>
      </c>
      <c r="R36" s="18">
        <f t="shared" si="7"/>
        <v>114.82752000000006</v>
      </c>
    </row>
    <row r="37" spans="1:18" s="107" customFormat="1" x14ac:dyDescent="0.2">
      <c r="A37" s="107" t="s">
        <v>150</v>
      </c>
      <c r="B37" s="107" t="s">
        <v>95</v>
      </c>
      <c r="C37" s="107" t="s">
        <v>151</v>
      </c>
      <c r="D37" s="107">
        <v>0</v>
      </c>
      <c r="G37" s="107">
        <f t="shared" si="10"/>
        <v>0</v>
      </c>
      <c r="H37" s="107">
        <f t="shared" si="11"/>
        <v>0</v>
      </c>
      <c r="I37" s="108"/>
      <c r="J37" s="107">
        <v>0</v>
      </c>
      <c r="K37" s="109">
        <v>6300</v>
      </c>
      <c r="L37" s="107">
        <f t="shared" si="12"/>
        <v>0</v>
      </c>
      <c r="M37" s="101">
        <v>0</v>
      </c>
      <c r="N37" s="107">
        <f t="shared" si="13"/>
        <v>0</v>
      </c>
      <c r="O37" s="107" t="s">
        <v>152</v>
      </c>
      <c r="P37" s="18">
        <f t="shared" si="8"/>
        <v>0</v>
      </c>
      <c r="Q37" s="18">
        <f t="shared" si="9"/>
        <v>0</v>
      </c>
      <c r="R37" s="18">
        <f t="shared" si="7"/>
        <v>0</v>
      </c>
    </row>
    <row r="38" spans="1:18" x14ac:dyDescent="0.2">
      <c r="A38" s="18" t="s">
        <v>153</v>
      </c>
      <c r="B38" s="18" t="s">
        <v>95</v>
      </c>
      <c r="C38" s="18" t="s">
        <v>154</v>
      </c>
      <c r="D38" s="18">
        <v>554.19999999999982</v>
      </c>
      <c r="E38" s="18">
        <v>225</v>
      </c>
      <c r="F38" s="24"/>
      <c r="G38" s="18">
        <f t="shared" si="10"/>
        <v>0</v>
      </c>
      <c r="H38" s="18">
        <f t="shared" si="11"/>
        <v>779.19999999999982</v>
      </c>
      <c r="J38" s="18">
        <f>VLOOKUP(C38,'IP PITSS'!$B$9:$U$90,3,0)</f>
        <v>0</v>
      </c>
      <c r="K38" s="25">
        <v>6000</v>
      </c>
      <c r="L38" s="18">
        <f t="shared" si="12"/>
        <v>0</v>
      </c>
      <c r="M38" s="18">
        <f>VLOOKUP(C38,'IP PITSS'!$B$9:$I$90,8,0)</f>
        <v>0</v>
      </c>
      <c r="N38" s="18">
        <f t="shared" si="13"/>
        <v>0</v>
      </c>
      <c r="O38" s="18" t="s">
        <v>155</v>
      </c>
      <c r="P38" s="18">
        <f t="shared" si="8"/>
        <v>15.583999999999996</v>
      </c>
      <c r="Q38" s="18">
        <f t="shared" si="9"/>
        <v>794.78399999999976</v>
      </c>
      <c r="R38" s="18">
        <f t="shared" si="7"/>
        <v>127.16543999999996</v>
      </c>
    </row>
    <row r="39" spans="1:18" x14ac:dyDescent="0.2">
      <c r="A39" s="18" t="s">
        <v>156</v>
      </c>
      <c r="B39" s="18" t="s">
        <v>95</v>
      </c>
      <c r="C39" s="18" t="s">
        <v>157</v>
      </c>
      <c r="D39" s="18">
        <v>52.349999999999909</v>
      </c>
      <c r="E39" s="18">
        <v>250</v>
      </c>
      <c r="F39" s="24"/>
      <c r="G39" s="18">
        <f t="shared" si="10"/>
        <v>0</v>
      </c>
      <c r="H39" s="18">
        <f t="shared" si="11"/>
        <v>302.34999999999991</v>
      </c>
      <c r="J39" s="18">
        <f>VLOOKUP(C39,'IP PITSS'!$B$9:$U$90,3,0)</f>
        <v>0</v>
      </c>
      <c r="K39" s="25">
        <v>5000</v>
      </c>
      <c r="L39" s="18">
        <f t="shared" si="12"/>
        <v>0</v>
      </c>
      <c r="M39" s="18">
        <f>VLOOKUP(C39,'IP PITSS'!$B$9:$I$90,8,0)</f>
        <v>0</v>
      </c>
      <c r="N39" s="18">
        <f t="shared" si="13"/>
        <v>0</v>
      </c>
      <c r="O39" s="18" t="s">
        <v>158</v>
      </c>
      <c r="P39" s="18">
        <f t="shared" si="8"/>
        <v>6.0469999999999979</v>
      </c>
      <c r="Q39" s="18">
        <f t="shared" si="9"/>
        <v>308.39699999999993</v>
      </c>
      <c r="R39" s="18">
        <f t="shared" si="7"/>
        <v>49.343519999999991</v>
      </c>
    </row>
    <row r="40" spans="1:18" x14ac:dyDescent="0.2">
      <c r="A40" s="18" t="s">
        <v>159</v>
      </c>
      <c r="B40" s="18" t="s">
        <v>95</v>
      </c>
      <c r="C40" s="18" t="s">
        <v>160</v>
      </c>
      <c r="D40" s="18">
        <v>1667.37</v>
      </c>
      <c r="E40" s="18">
        <v>465</v>
      </c>
      <c r="F40" s="24"/>
      <c r="G40" s="18">
        <f t="shared" si="10"/>
        <v>0</v>
      </c>
      <c r="H40" s="18">
        <f t="shared" si="11"/>
        <v>2132.37</v>
      </c>
      <c r="J40" s="18">
        <f>VLOOKUP(C40,'IP PITSS'!$B$9:$U$90,3,0)</f>
        <v>0</v>
      </c>
      <c r="K40" s="25">
        <v>10000</v>
      </c>
      <c r="L40" s="18">
        <f t="shared" si="12"/>
        <v>0</v>
      </c>
      <c r="M40" s="18">
        <f>VLOOKUP(C40,'IP PITSS'!$B$9:$I$90,8,0)</f>
        <v>0</v>
      </c>
      <c r="N40" s="18">
        <f t="shared" si="13"/>
        <v>0</v>
      </c>
      <c r="O40" s="18" t="s">
        <v>161</v>
      </c>
      <c r="P40" s="18">
        <f t="shared" si="8"/>
        <v>42.647399999999998</v>
      </c>
      <c r="Q40" s="18">
        <f t="shared" si="9"/>
        <v>2175.0173999999997</v>
      </c>
      <c r="R40" s="18">
        <f t="shared" si="7"/>
        <v>348.00278399999996</v>
      </c>
    </row>
    <row r="41" spans="1:18" x14ac:dyDescent="0.2">
      <c r="A41" s="18" t="s">
        <v>162</v>
      </c>
      <c r="B41" s="18" t="s">
        <v>95</v>
      </c>
      <c r="C41" s="18" t="s">
        <v>163</v>
      </c>
      <c r="D41" s="18">
        <v>416.19999999999982</v>
      </c>
      <c r="E41" s="18">
        <v>480</v>
      </c>
      <c r="F41" s="24"/>
      <c r="G41" s="18">
        <f t="shared" si="10"/>
        <v>0</v>
      </c>
      <c r="H41" s="18">
        <f t="shared" si="11"/>
        <v>896.19999999999982</v>
      </c>
      <c r="J41" s="18">
        <f>VLOOKUP(C41,'IP PITSS'!$B$9:$U$90,3,0)</f>
        <v>0</v>
      </c>
      <c r="K41" s="25">
        <v>8000</v>
      </c>
      <c r="L41" s="18">
        <f t="shared" si="12"/>
        <v>0</v>
      </c>
      <c r="M41" s="18">
        <f>VLOOKUP(C41,'IP PITSS'!$B$9:$I$90,8,0)</f>
        <v>0</v>
      </c>
      <c r="N41" s="18">
        <f t="shared" si="13"/>
        <v>0</v>
      </c>
      <c r="O41" s="18" t="s">
        <v>164</v>
      </c>
      <c r="P41" s="18">
        <f t="shared" si="8"/>
        <v>17.923999999999996</v>
      </c>
      <c r="Q41" s="18">
        <f t="shared" si="9"/>
        <v>914.1239999999998</v>
      </c>
      <c r="R41" s="18">
        <f t="shared" si="7"/>
        <v>146.25983999999997</v>
      </c>
    </row>
    <row r="42" spans="1:18" x14ac:dyDescent="0.2">
      <c r="A42" s="18" t="s">
        <v>166</v>
      </c>
      <c r="B42" s="18" t="s">
        <v>95</v>
      </c>
      <c r="C42" s="18" t="s">
        <v>167</v>
      </c>
      <c r="D42" s="18">
        <v>134.21000000000004</v>
      </c>
      <c r="E42" s="24">
        <v>225</v>
      </c>
      <c r="F42" s="24"/>
      <c r="G42" s="18">
        <f t="shared" si="10"/>
        <v>0</v>
      </c>
      <c r="H42" s="18">
        <f t="shared" si="11"/>
        <v>359.21000000000004</v>
      </c>
      <c r="J42" s="18">
        <f>VLOOKUP(C42,'IP PITSS'!$B$9:$U$90,3,0)</f>
        <v>0</v>
      </c>
      <c r="K42" s="25">
        <v>6000</v>
      </c>
      <c r="L42" s="18">
        <f t="shared" si="12"/>
        <v>0</v>
      </c>
      <c r="M42" s="18">
        <f>VLOOKUP(C42,'IP PITSS'!$B$9:$I$90,8,0)</f>
        <v>0</v>
      </c>
      <c r="N42" s="18">
        <f t="shared" si="13"/>
        <v>0</v>
      </c>
      <c r="O42" s="18" t="s">
        <v>168</v>
      </c>
      <c r="P42" s="18">
        <f t="shared" si="8"/>
        <v>7.1842000000000006</v>
      </c>
      <c r="Q42" s="18">
        <f t="shared" si="9"/>
        <v>366.39420000000001</v>
      </c>
      <c r="R42" s="18">
        <f t="shared" si="7"/>
        <v>58.623072000000001</v>
      </c>
    </row>
    <row r="43" spans="1:18" x14ac:dyDescent="0.2">
      <c r="A43" s="18" t="s">
        <v>169</v>
      </c>
      <c r="B43" s="18" t="s">
        <v>95</v>
      </c>
      <c r="C43" s="18" t="s">
        <v>170</v>
      </c>
      <c r="D43" s="18">
        <v>174.46000000000004</v>
      </c>
      <c r="E43" s="18">
        <v>590.63</v>
      </c>
      <c r="F43" s="24"/>
      <c r="G43" s="18">
        <f t="shared" si="10"/>
        <v>0</v>
      </c>
      <c r="H43" s="18">
        <f t="shared" si="11"/>
        <v>765.09</v>
      </c>
      <c r="J43" s="18">
        <f>VLOOKUP(C43,'IP PITSS'!$B$9:$U$90,3,0)</f>
        <v>0</v>
      </c>
      <c r="K43" s="25">
        <v>6300</v>
      </c>
      <c r="L43" s="18">
        <f t="shared" si="12"/>
        <v>0</v>
      </c>
      <c r="M43" s="18">
        <f>VLOOKUP(C43,'IP PITSS'!$B$9:$I$90,8,0)</f>
        <v>0</v>
      </c>
      <c r="N43" s="18">
        <f t="shared" si="13"/>
        <v>0</v>
      </c>
      <c r="O43" s="18" t="s">
        <v>171</v>
      </c>
      <c r="P43" s="18">
        <f t="shared" si="8"/>
        <v>15.3018</v>
      </c>
      <c r="Q43" s="18">
        <f t="shared" si="9"/>
        <v>780.39179999999999</v>
      </c>
      <c r="R43" s="18">
        <f t="shared" si="7"/>
        <v>124.86268800000001</v>
      </c>
    </row>
    <row r="44" spans="1:18" x14ac:dyDescent="0.2">
      <c r="A44" s="18" t="s">
        <v>172</v>
      </c>
      <c r="B44" s="18" t="s">
        <v>95</v>
      </c>
      <c r="C44" s="18" t="s">
        <v>173</v>
      </c>
      <c r="D44" s="18">
        <v>1416.1999999999998</v>
      </c>
      <c r="E44" s="18">
        <v>718.75</v>
      </c>
      <c r="F44" s="24"/>
      <c r="G44" s="18">
        <f t="shared" si="10"/>
        <v>0</v>
      </c>
      <c r="H44" s="18">
        <f t="shared" si="11"/>
        <v>2134.9499999999998</v>
      </c>
      <c r="J44" s="18">
        <f>VLOOKUP(C44,'IP PITSS'!$B$9:$U$90,3,0)</f>
        <v>0</v>
      </c>
      <c r="K44" s="25">
        <v>10000</v>
      </c>
      <c r="L44" s="18">
        <f t="shared" si="12"/>
        <v>0</v>
      </c>
      <c r="M44" s="18">
        <f>VLOOKUP(C44,'IP PITSS'!$B$9:$I$90,8,0)</f>
        <v>0</v>
      </c>
      <c r="N44" s="18">
        <f t="shared" si="13"/>
        <v>0</v>
      </c>
      <c r="O44" s="18" t="s">
        <v>174</v>
      </c>
      <c r="P44" s="18">
        <f t="shared" si="8"/>
        <v>42.698999999999998</v>
      </c>
      <c r="Q44" s="18">
        <f t="shared" si="9"/>
        <v>2177.6489999999999</v>
      </c>
      <c r="R44" s="18">
        <f t="shared" si="7"/>
        <v>348.42383999999998</v>
      </c>
    </row>
    <row r="45" spans="1:18" x14ac:dyDescent="0.2">
      <c r="A45" s="18" t="s">
        <v>175</v>
      </c>
      <c r="B45" s="18" t="s">
        <v>95</v>
      </c>
      <c r="C45" s="18" t="s">
        <v>176</v>
      </c>
      <c r="D45" s="18">
        <v>135.19999999999982</v>
      </c>
      <c r="E45" s="18">
        <v>455</v>
      </c>
      <c r="F45" s="24"/>
      <c r="G45" s="18">
        <f t="shared" si="10"/>
        <v>0</v>
      </c>
      <c r="H45" s="18">
        <f t="shared" si="11"/>
        <v>590.19999999999982</v>
      </c>
      <c r="J45" s="18">
        <f>VLOOKUP(C45,'IP PITSS'!$B$9:$U$90,3,0)</f>
        <v>1</v>
      </c>
      <c r="K45" s="25">
        <v>6000</v>
      </c>
      <c r="L45" s="18">
        <f t="shared" si="12"/>
        <v>60</v>
      </c>
      <c r="M45" s="18">
        <f>VLOOKUP(C45,'IP PITSS'!$B$9:$I$90,8,0)</f>
        <v>60</v>
      </c>
      <c r="N45" s="18">
        <f t="shared" si="13"/>
        <v>0</v>
      </c>
      <c r="O45" s="18" t="s">
        <v>177</v>
      </c>
      <c r="P45" s="18">
        <f t="shared" si="8"/>
        <v>11.803999999999997</v>
      </c>
      <c r="Q45" s="18">
        <f t="shared" si="9"/>
        <v>602.00399999999979</v>
      </c>
      <c r="R45" s="18">
        <f t="shared" si="7"/>
        <v>96.320639999999969</v>
      </c>
    </row>
    <row r="46" spans="1:18" x14ac:dyDescent="0.2">
      <c r="A46" s="18" t="s">
        <v>178</v>
      </c>
      <c r="B46" s="18" t="s">
        <v>95</v>
      </c>
      <c r="C46" s="18" t="s">
        <v>179</v>
      </c>
      <c r="D46" s="18">
        <v>3721.4</v>
      </c>
      <c r="E46" s="18">
        <v>375</v>
      </c>
      <c r="F46" s="24"/>
      <c r="G46" s="18">
        <f t="shared" si="10"/>
        <v>0</v>
      </c>
      <c r="H46" s="18">
        <f t="shared" si="11"/>
        <v>4096.3999999999996</v>
      </c>
      <c r="J46" s="18">
        <f>VLOOKUP(C46,'IP PITSS'!$B$9:$U$90,3,0)</f>
        <v>0</v>
      </c>
      <c r="K46" s="25">
        <v>14000</v>
      </c>
      <c r="L46" s="18">
        <f t="shared" si="12"/>
        <v>0</v>
      </c>
      <c r="M46" s="18">
        <f>VLOOKUP(C46,'IP PITSS'!$B$9:$I$90,8,0)</f>
        <v>0</v>
      </c>
      <c r="N46" s="18">
        <f t="shared" si="13"/>
        <v>0</v>
      </c>
      <c r="O46" s="18" t="s">
        <v>180</v>
      </c>
      <c r="P46" s="18">
        <f t="shared" si="8"/>
        <v>81.927999999999997</v>
      </c>
      <c r="Q46" s="18">
        <f t="shared" si="9"/>
        <v>4178.3279999999995</v>
      </c>
      <c r="R46" s="18">
        <f t="shared" si="7"/>
        <v>668.53247999999996</v>
      </c>
    </row>
    <row r="47" spans="1:18" s="24" customFormat="1" x14ac:dyDescent="0.2">
      <c r="A47" s="18" t="s">
        <v>38</v>
      </c>
      <c r="B47" s="18" t="s">
        <v>95</v>
      </c>
      <c r="C47" s="18" t="s">
        <v>181</v>
      </c>
      <c r="D47" s="18">
        <v>416.19999999999982</v>
      </c>
      <c r="E47" s="28">
        <v>130</v>
      </c>
      <c r="G47" s="18">
        <f t="shared" si="10"/>
        <v>0</v>
      </c>
      <c r="H47" s="18">
        <f t="shared" si="11"/>
        <v>546.19999999999982</v>
      </c>
      <c r="I47" s="19"/>
      <c r="J47" s="18">
        <f>VLOOKUP(C47,'IP PITSS'!$B$9:$U$90,3,0)</f>
        <v>0</v>
      </c>
      <c r="K47" s="25">
        <v>8000</v>
      </c>
      <c r="L47" s="18">
        <f t="shared" si="12"/>
        <v>0</v>
      </c>
      <c r="M47" s="18">
        <f>VLOOKUP(C47,'IP PITSS'!$B$9:$I$90,8,0)</f>
        <v>0</v>
      </c>
      <c r="N47" s="18">
        <f t="shared" si="13"/>
        <v>0</v>
      </c>
      <c r="O47" s="18" t="s">
        <v>182</v>
      </c>
      <c r="P47" s="18">
        <f t="shared" si="8"/>
        <v>10.923999999999996</v>
      </c>
      <c r="Q47" s="18">
        <f t="shared" si="9"/>
        <v>557.1239999999998</v>
      </c>
      <c r="R47" s="18">
        <f t="shared" si="7"/>
        <v>89.139839999999964</v>
      </c>
    </row>
    <row r="48" spans="1:18" x14ac:dyDescent="0.2">
      <c r="A48" s="18" t="s">
        <v>183</v>
      </c>
      <c r="B48" s="18" t="s">
        <v>95</v>
      </c>
      <c r="C48" s="18" t="s">
        <v>184</v>
      </c>
      <c r="D48" s="18">
        <v>451.00500000000011</v>
      </c>
      <c r="E48" s="18">
        <v>412</v>
      </c>
      <c r="F48" s="24"/>
      <c r="G48" s="18">
        <f t="shared" si="10"/>
        <v>0</v>
      </c>
      <c r="H48" s="18">
        <f t="shared" si="11"/>
        <v>863.00500000000011</v>
      </c>
      <c r="J48" s="18">
        <f>VLOOKUP(C48,'IP PITSS'!$B$9:$U$90,3,0)</f>
        <v>0</v>
      </c>
      <c r="K48" s="25">
        <v>8500.01</v>
      </c>
      <c r="L48" s="18">
        <f t="shared" si="12"/>
        <v>0</v>
      </c>
      <c r="M48" s="18">
        <f>VLOOKUP(C48,'IP PITSS'!$B$9:$I$90,8,0)</f>
        <v>0</v>
      </c>
      <c r="N48" s="18">
        <f t="shared" si="13"/>
        <v>0</v>
      </c>
      <c r="O48" s="18" t="s">
        <v>185</v>
      </c>
      <c r="P48" s="18">
        <f t="shared" si="8"/>
        <v>17.260100000000001</v>
      </c>
      <c r="Q48" s="18">
        <f t="shared" si="9"/>
        <v>880.26510000000007</v>
      </c>
      <c r="R48" s="18">
        <f t="shared" si="7"/>
        <v>140.84241600000001</v>
      </c>
    </row>
    <row r="49" spans="1:18" x14ac:dyDescent="0.2">
      <c r="A49" s="18" t="s">
        <v>186</v>
      </c>
      <c r="B49" s="18" t="s">
        <v>95</v>
      </c>
      <c r="C49" s="18" t="s">
        <v>187</v>
      </c>
      <c r="D49" s="18">
        <v>3135.2</v>
      </c>
      <c r="E49" s="18">
        <v>225</v>
      </c>
      <c r="F49" s="24"/>
      <c r="G49" s="18">
        <f t="shared" si="10"/>
        <v>0</v>
      </c>
      <c r="H49" s="18">
        <f t="shared" si="11"/>
        <v>3360.2</v>
      </c>
      <c r="J49" s="18">
        <f>VLOOKUP(C49,'IP PITSS'!$B$9:$U$90,3,0)</f>
        <v>0</v>
      </c>
      <c r="K49" s="25">
        <v>12000</v>
      </c>
      <c r="L49" s="18">
        <f t="shared" si="12"/>
        <v>0</v>
      </c>
      <c r="M49" s="18">
        <f>VLOOKUP(C49,'IP PITSS'!$B$9:$I$90,8,0)</f>
        <v>0</v>
      </c>
      <c r="N49" s="18">
        <f t="shared" si="13"/>
        <v>0</v>
      </c>
      <c r="O49" s="18" t="s">
        <v>188</v>
      </c>
      <c r="P49" s="18">
        <f t="shared" si="8"/>
        <v>67.203999999999994</v>
      </c>
      <c r="Q49" s="18">
        <f t="shared" si="9"/>
        <v>3427.404</v>
      </c>
      <c r="R49" s="18">
        <f t="shared" si="7"/>
        <v>548.38463999999999</v>
      </c>
    </row>
    <row r="50" spans="1:18" x14ac:dyDescent="0.2">
      <c r="A50" s="18" t="s">
        <v>190</v>
      </c>
      <c r="B50" s="18" t="s">
        <v>95</v>
      </c>
      <c r="C50" s="18" t="s">
        <v>191</v>
      </c>
      <c r="D50" s="18">
        <v>134.19999999999982</v>
      </c>
      <c r="E50" s="18">
        <v>130</v>
      </c>
      <c r="F50" s="24"/>
      <c r="G50" s="18">
        <f t="shared" si="10"/>
        <v>0</v>
      </c>
      <c r="H50" s="18">
        <f t="shared" si="11"/>
        <v>264.19999999999982</v>
      </c>
      <c r="J50" s="18">
        <f>VLOOKUP(C50,'IP PITSS'!$B$9:$U$90,3,0)</f>
        <v>0</v>
      </c>
      <c r="K50" s="25">
        <v>6000</v>
      </c>
      <c r="L50" s="18">
        <f t="shared" si="12"/>
        <v>0</v>
      </c>
      <c r="M50" s="18">
        <f>VLOOKUP(C50,'IP PITSS'!$B$9:$I$90,8,0)</f>
        <v>0</v>
      </c>
      <c r="N50" s="18">
        <f t="shared" si="13"/>
        <v>0</v>
      </c>
      <c r="O50" s="18" t="s">
        <v>192</v>
      </c>
      <c r="P50" s="18">
        <f t="shared" si="8"/>
        <v>5.2839999999999963</v>
      </c>
      <c r="Q50" s="18">
        <f t="shared" si="9"/>
        <v>269.48399999999981</v>
      </c>
      <c r="R50" s="18">
        <f t="shared" si="7"/>
        <v>43.117439999999974</v>
      </c>
    </row>
    <row r="51" spans="1:18" x14ac:dyDescent="0.2">
      <c r="A51" s="18" t="s">
        <v>193</v>
      </c>
      <c r="B51" s="18" t="s">
        <v>95</v>
      </c>
      <c r="C51" s="18" t="s">
        <v>194</v>
      </c>
      <c r="D51" s="18">
        <v>1367.3000000000002</v>
      </c>
      <c r="E51" s="18">
        <v>390.63</v>
      </c>
      <c r="F51" s="24"/>
      <c r="G51" s="18">
        <f t="shared" si="10"/>
        <v>0</v>
      </c>
      <c r="H51" s="18">
        <f t="shared" si="11"/>
        <v>1757.9300000000003</v>
      </c>
      <c r="J51" s="18">
        <f>VLOOKUP(C51,'IP PITSS'!$B$9:$U$90,3,0)</f>
        <v>0</v>
      </c>
      <c r="K51" s="29">
        <v>13125</v>
      </c>
      <c r="L51" s="18">
        <f t="shared" si="12"/>
        <v>0</v>
      </c>
      <c r="M51" s="18">
        <f>VLOOKUP(C51,'IP PITSS'!$B$9:$I$90,8,0)</f>
        <v>0</v>
      </c>
      <c r="N51" s="18">
        <f t="shared" si="13"/>
        <v>0</v>
      </c>
      <c r="O51" s="18" t="s">
        <v>195</v>
      </c>
      <c r="P51" s="18">
        <f t="shared" si="8"/>
        <v>35.158600000000007</v>
      </c>
      <c r="Q51" s="18">
        <f t="shared" si="9"/>
        <v>1793.0886000000003</v>
      </c>
      <c r="R51" s="18">
        <f t="shared" si="7"/>
        <v>286.89417600000007</v>
      </c>
    </row>
    <row r="52" spans="1:18" x14ac:dyDescent="0.2">
      <c r="A52" s="18" t="s">
        <v>196</v>
      </c>
      <c r="B52" s="18" t="s">
        <v>95</v>
      </c>
      <c r="C52" s="18" t="s">
        <v>197</v>
      </c>
      <c r="D52" s="18">
        <v>416.34999999999991</v>
      </c>
      <c r="E52" s="18">
        <v>275</v>
      </c>
      <c r="F52" s="24"/>
      <c r="G52" s="18">
        <f t="shared" si="10"/>
        <v>0</v>
      </c>
      <c r="H52" s="18">
        <f t="shared" si="11"/>
        <v>691.34999999999991</v>
      </c>
      <c r="J52" s="18">
        <f>VLOOKUP(C52,'IP PITSS'!$B$9:$U$90,3,0)</f>
        <v>0</v>
      </c>
      <c r="K52" s="25">
        <v>8000</v>
      </c>
      <c r="L52" s="18">
        <f t="shared" si="12"/>
        <v>0</v>
      </c>
      <c r="M52" s="18">
        <f>VLOOKUP(C52,'IP PITSS'!$B$9:$I$90,8,0)</f>
        <v>0</v>
      </c>
      <c r="N52" s="18">
        <f t="shared" si="13"/>
        <v>0</v>
      </c>
      <c r="O52" s="18" t="s">
        <v>198</v>
      </c>
      <c r="P52" s="18">
        <f t="shared" si="8"/>
        <v>13.826999999999998</v>
      </c>
      <c r="Q52" s="18">
        <f t="shared" si="9"/>
        <v>705.17699999999991</v>
      </c>
      <c r="R52" s="18">
        <f t="shared" si="7"/>
        <v>112.82831999999999</v>
      </c>
    </row>
    <row r="53" spans="1:18" x14ac:dyDescent="0.2">
      <c r="A53" s="18" t="s">
        <v>199</v>
      </c>
      <c r="B53" s="18" t="s">
        <v>95</v>
      </c>
      <c r="C53" s="24" t="s">
        <v>200</v>
      </c>
      <c r="D53" s="18">
        <v>284.19999999999982</v>
      </c>
      <c r="E53" s="18">
        <v>281.25</v>
      </c>
      <c r="F53" s="24"/>
      <c r="G53" s="18">
        <f t="shared" si="10"/>
        <v>0</v>
      </c>
      <c r="H53" s="18">
        <f t="shared" si="11"/>
        <v>565.44999999999982</v>
      </c>
      <c r="J53" s="18">
        <f>'IP PITSS'!$D$66</f>
        <v>0</v>
      </c>
      <c r="K53" s="25">
        <v>6300</v>
      </c>
      <c r="L53" s="18">
        <f t="shared" si="12"/>
        <v>0</v>
      </c>
      <c r="M53" s="18">
        <v>0</v>
      </c>
      <c r="N53" s="18">
        <f t="shared" si="13"/>
        <v>0</v>
      </c>
      <c r="O53" s="18" t="s">
        <v>201</v>
      </c>
      <c r="P53" s="18">
        <f t="shared" si="8"/>
        <v>11.308999999999996</v>
      </c>
      <c r="Q53" s="18">
        <f t="shared" si="9"/>
        <v>576.75899999999979</v>
      </c>
      <c r="R53" s="18">
        <f t="shared" si="7"/>
        <v>92.281439999999961</v>
      </c>
    </row>
    <row r="54" spans="1:18" x14ac:dyDescent="0.2">
      <c r="A54" s="18" t="s">
        <v>203</v>
      </c>
      <c r="B54" s="18" t="s">
        <v>95</v>
      </c>
      <c r="C54" s="18" t="s">
        <v>204</v>
      </c>
      <c r="D54" s="18">
        <v>2884.91</v>
      </c>
      <c r="E54" s="18">
        <v>225</v>
      </c>
      <c r="F54" s="24"/>
      <c r="G54" s="18">
        <f t="shared" ref="G54:G76" si="14">+N54</f>
        <v>0</v>
      </c>
      <c r="H54" s="18">
        <f t="shared" si="11"/>
        <v>3109.91</v>
      </c>
      <c r="J54" s="18">
        <f>VLOOKUP(C54,'IP PITSS'!$B$9:$U$90,3,0)</f>
        <v>0</v>
      </c>
      <c r="K54" s="25">
        <v>12000</v>
      </c>
      <c r="L54" s="18">
        <f t="shared" si="12"/>
        <v>0</v>
      </c>
      <c r="M54" s="18">
        <f>VLOOKUP(C54,'IP PITSS'!$B$9:$I$90,8,0)</f>
        <v>0</v>
      </c>
      <c r="N54" s="18">
        <f t="shared" si="13"/>
        <v>0</v>
      </c>
      <c r="O54" s="18" t="s">
        <v>205</v>
      </c>
      <c r="P54" s="18">
        <f t="shared" si="8"/>
        <v>62.1982</v>
      </c>
      <c r="Q54" s="18">
        <f t="shared" si="9"/>
        <v>3172.1081999999997</v>
      </c>
      <c r="R54" s="18">
        <f t="shared" si="7"/>
        <v>507.53731199999999</v>
      </c>
    </row>
    <row r="55" spans="1:18" x14ac:dyDescent="0.2">
      <c r="A55" s="18" t="s">
        <v>206</v>
      </c>
      <c r="B55" s="18" t="s">
        <v>95</v>
      </c>
      <c r="C55" s="18" t="s">
        <v>207</v>
      </c>
      <c r="D55" s="18">
        <v>414.59999999999991</v>
      </c>
      <c r="E55" s="18">
        <v>120</v>
      </c>
      <c r="F55" s="24"/>
      <c r="G55" s="18">
        <f t="shared" si="14"/>
        <v>0</v>
      </c>
      <c r="H55" s="18">
        <f t="shared" si="11"/>
        <v>534.59999999999991</v>
      </c>
      <c r="J55" s="18">
        <f>VLOOKUP(C55,'IP PITSS'!$B$9:$U$90,3,0)</f>
        <v>0</v>
      </c>
      <c r="K55" s="25">
        <v>8000</v>
      </c>
      <c r="L55" s="18">
        <f t="shared" si="12"/>
        <v>0</v>
      </c>
      <c r="M55" s="18">
        <f>VLOOKUP(C55,'IP PITSS'!$B$9:$I$90,8,0)</f>
        <v>0</v>
      </c>
      <c r="N55" s="18">
        <f t="shared" si="13"/>
        <v>0</v>
      </c>
      <c r="O55" s="18" t="s">
        <v>208</v>
      </c>
      <c r="P55" s="18">
        <f t="shared" si="8"/>
        <v>10.691999999999998</v>
      </c>
      <c r="Q55" s="18">
        <f t="shared" si="9"/>
        <v>545.29199999999992</v>
      </c>
      <c r="R55" s="18">
        <f t="shared" si="7"/>
        <v>87.246719999999982</v>
      </c>
    </row>
    <row r="56" spans="1:18" s="24" customFormat="1" x14ac:dyDescent="0.2">
      <c r="A56" s="18" t="s">
        <v>210</v>
      </c>
      <c r="B56" s="18" t="s">
        <v>95</v>
      </c>
      <c r="C56" s="18" t="s">
        <v>211</v>
      </c>
      <c r="D56" s="18">
        <v>1704.5</v>
      </c>
      <c r="E56" s="18">
        <v>125</v>
      </c>
      <c r="G56" s="18">
        <f t="shared" si="14"/>
        <v>0</v>
      </c>
      <c r="H56" s="18">
        <f t="shared" si="11"/>
        <v>1829.5</v>
      </c>
      <c r="I56" s="19"/>
      <c r="J56" s="18">
        <f>VLOOKUP(C56,'IP PITSS'!$B$9:$U$90,3,0)</f>
        <v>0</v>
      </c>
      <c r="K56" s="25">
        <v>7000</v>
      </c>
      <c r="L56" s="18">
        <f t="shared" si="12"/>
        <v>0</v>
      </c>
      <c r="M56" s="18">
        <f>VLOOKUP(C56,'IP PITSS'!$B$9:$I$90,8,0)</f>
        <v>0</v>
      </c>
      <c r="N56" s="18">
        <f t="shared" si="13"/>
        <v>0</v>
      </c>
      <c r="O56" s="18" t="s">
        <v>212</v>
      </c>
      <c r="P56" s="18">
        <f t="shared" si="8"/>
        <v>36.590000000000003</v>
      </c>
      <c r="Q56" s="18">
        <f t="shared" si="9"/>
        <v>1866.09</v>
      </c>
      <c r="R56" s="18">
        <f t="shared" si="7"/>
        <v>298.57439999999997</v>
      </c>
    </row>
    <row r="57" spans="1:18" x14ac:dyDescent="0.2">
      <c r="A57" s="30" t="s">
        <v>213</v>
      </c>
      <c r="B57" s="18" t="s">
        <v>95</v>
      </c>
      <c r="C57" s="30" t="s">
        <v>214</v>
      </c>
      <c r="D57" s="18">
        <v>222.6899999999996</v>
      </c>
      <c r="E57" s="24">
        <v>550</v>
      </c>
      <c r="F57" s="24">
        <v>400</v>
      </c>
      <c r="G57" s="18">
        <f t="shared" si="14"/>
        <v>0</v>
      </c>
      <c r="H57" s="18">
        <f t="shared" si="11"/>
        <v>1172.6899999999996</v>
      </c>
      <c r="J57" s="18">
        <f>VLOOKUP(C57,'IP PITSS'!$B$9:$U$90,3,0)</f>
        <v>0</v>
      </c>
      <c r="K57" s="25">
        <v>7000</v>
      </c>
      <c r="L57" s="18">
        <f t="shared" si="12"/>
        <v>0</v>
      </c>
      <c r="M57" s="18">
        <f>VLOOKUP(C57,'IP PITSS'!$B$9:$I$90,8,0)</f>
        <v>0</v>
      </c>
      <c r="N57" s="18">
        <f t="shared" si="13"/>
        <v>0</v>
      </c>
      <c r="O57" s="18" t="s">
        <v>215</v>
      </c>
      <c r="P57" s="18">
        <f t="shared" si="8"/>
        <v>23.453799999999994</v>
      </c>
      <c r="Q57" s="18">
        <f t="shared" si="9"/>
        <v>1196.1437999999996</v>
      </c>
      <c r="R57" s="18">
        <f t="shared" si="7"/>
        <v>191.38300799999993</v>
      </c>
    </row>
    <row r="58" spans="1:18" x14ac:dyDescent="0.2">
      <c r="A58" s="18" t="s">
        <v>216</v>
      </c>
      <c r="B58" s="18" t="s">
        <v>95</v>
      </c>
      <c r="C58" s="18" t="s">
        <v>217</v>
      </c>
      <c r="D58" s="18">
        <v>1450.88</v>
      </c>
      <c r="F58" s="24">
        <v>800</v>
      </c>
      <c r="G58" s="18">
        <f t="shared" si="14"/>
        <v>0</v>
      </c>
      <c r="H58" s="18">
        <f t="shared" si="11"/>
        <v>2250.88</v>
      </c>
      <c r="J58" s="18">
        <f>VLOOKUP(C58,'IP PITSS'!$B$9:$U$90,3,0)</f>
        <v>0</v>
      </c>
      <c r="K58" s="25">
        <v>8500.01</v>
      </c>
      <c r="L58" s="18">
        <f t="shared" si="12"/>
        <v>0</v>
      </c>
      <c r="M58" s="18">
        <f>VLOOKUP(C58,'IP PITSS'!$B$9:$I$90,8,0)</f>
        <v>0</v>
      </c>
      <c r="N58" s="18">
        <f t="shared" si="13"/>
        <v>0</v>
      </c>
      <c r="O58" s="18" t="s">
        <v>218</v>
      </c>
      <c r="P58" s="18">
        <f t="shared" si="8"/>
        <v>45.017600000000002</v>
      </c>
      <c r="Q58" s="18">
        <f t="shared" si="9"/>
        <v>2295.8976000000002</v>
      </c>
      <c r="R58" s="18">
        <f t="shared" si="7"/>
        <v>367.34361600000005</v>
      </c>
    </row>
    <row r="59" spans="1:18" x14ac:dyDescent="0.2">
      <c r="A59" s="18" t="s">
        <v>219</v>
      </c>
      <c r="B59" s="18" t="s">
        <v>95</v>
      </c>
      <c r="C59" s="18" t="s">
        <v>220</v>
      </c>
      <c r="D59" s="18">
        <v>52.799999999999727</v>
      </c>
      <c r="E59" s="18">
        <v>160</v>
      </c>
      <c r="F59" s="24"/>
      <c r="G59" s="18">
        <f t="shared" si="14"/>
        <v>0</v>
      </c>
      <c r="H59" s="18">
        <f t="shared" si="11"/>
        <v>212.79999999999973</v>
      </c>
      <c r="J59" s="18">
        <f>VLOOKUP(C59,'IP PITSS'!$B$9:$U$90,3,0)</f>
        <v>0</v>
      </c>
      <c r="K59" s="25">
        <v>5000</v>
      </c>
      <c r="L59" s="18">
        <f t="shared" si="12"/>
        <v>0</v>
      </c>
      <c r="M59" s="18">
        <f>VLOOKUP(C59,'IP PITSS'!$B$9:$I$90,8,0)</f>
        <v>0</v>
      </c>
      <c r="N59" s="18">
        <f t="shared" si="13"/>
        <v>0</v>
      </c>
      <c r="O59" s="18" t="s">
        <v>221</v>
      </c>
      <c r="P59" s="18">
        <f t="shared" si="8"/>
        <v>4.2559999999999949</v>
      </c>
      <c r="Q59" s="18">
        <f t="shared" si="9"/>
        <v>217.05599999999973</v>
      </c>
      <c r="R59" s="18">
        <f t="shared" si="7"/>
        <v>34.728959999999958</v>
      </c>
    </row>
    <row r="60" spans="1:18" x14ac:dyDescent="0.2">
      <c r="A60" s="30" t="s">
        <v>222</v>
      </c>
      <c r="B60" s="18" t="s">
        <v>95</v>
      </c>
      <c r="C60" s="30" t="s">
        <v>223</v>
      </c>
      <c r="D60" s="18">
        <v>175.65999999999985</v>
      </c>
      <c r="E60" s="24"/>
      <c r="F60" s="24"/>
      <c r="G60" s="18">
        <f t="shared" si="14"/>
        <v>0</v>
      </c>
      <c r="H60" s="18">
        <f t="shared" si="11"/>
        <v>175.65999999999985</v>
      </c>
      <c r="J60" s="18">
        <f>VLOOKUP(C60,'IP PITSS'!$B$9:$U$90,3,0)</f>
        <v>0</v>
      </c>
      <c r="K60" s="25">
        <v>6300</v>
      </c>
      <c r="L60" s="18">
        <f t="shared" si="12"/>
        <v>0</v>
      </c>
      <c r="M60" s="18">
        <f>VLOOKUP(C60,'IP PITSS'!$B$9:$I$90,8,0)</f>
        <v>0</v>
      </c>
      <c r="N60" s="18">
        <f t="shared" si="13"/>
        <v>0</v>
      </c>
      <c r="O60" s="18" t="s">
        <v>224</v>
      </c>
      <c r="P60" s="18">
        <f t="shared" si="8"/>
        <v>3.5131999999999972</v>
      </c>
      <c r="Q60" s="18">
        <f t="shared" si="9"/>
        <v>179.17319999999984</v>
      </c>
      <c r="R60" s="18">
        <f t="shared" si="7"/>
        <v>28.667711999999973</v>
      </c>
    </row>
    <row r="61" spans="1:18" x14ac:dyDescent="0.2">
      <c r="A61" s="24" t="s">
        <v>225</v>
      </c>
      <c r="B61" s="18" t="s">
        <v>95</v>
      </c>
      <c r="C61" s="24" t="s">
        <v>226</v>
      </c>
      <c r="D61" s="18">
        <v>1047.7999999999993</v>
      </c>
      <c r="E61" s="24">
        <v>562.5</v>
      </c>
      <c r="F61" s="24"/>
      <c r="G61" s="18">
        <f t="shared" si="14"/>
        <v>0</v>
      </c>
      <c r="H61" s="18">
        <f t="shared" si="11"/>
        <v>1610.2999999999993</v>
      </c>
      <c r="J61" s="18">
        <f>VLOOKUP(C61,'IP PITSS'!$B$9:$U$90,3,0)</f>
        <v>0</v>
      </c>
      <c r="K61" s="25">
        <v>14000</v>
      </c>
      <c r="L61" s="24">
        <f t="shared" si="12"/>
        <v>0</v>
      </c>
      <c r="M61" s="18">
        <f>VLOOKUP(C61,'IP PITSS'!$B$9:$I$90,8,0)</f>
        <v>0</v>
      </c>
      <c r="N61" s="18">
        <f t="shared" si="13"/>
        <v>0</v>
      </c>
      <c r="O61" s="18" t="s">
        <v>227</v>
      </c>
      <c r="P61" s="18">
        <f t="shared" si="8"/>
        <v>32.205999999999989</v>
      </c>
      <c r="Q61" s="18">
        <f t="shared" si="9"/>
        <v>1642.5059999999992</v>
      </c>
      <c r="R61" s="18">
        <f t="shared" si="7"/>
        <v>262.80095999999986</v>
      </c>
    </row>
    <row r="62" spans="1:18" x14ac:dyDescent="0.2">
      <c r="A62" s="18" t="s">
        <v>228</v>
      </c>
      <c r="B62" s="18" t="s">
        <v>95</v>
      </c>
      <c r="C62" s="24" t="s">
        <v>229</v>
      </c>
      <c r="D62" s="18">
        <v>6520.6</v>
      </c>
      <c r="E62" s="18">
        <v>1938</v>
      </c>
      <c r="F62" s="24"/>
      <c r="G62" s="18">
        <f t="shared" si="14"/>
        <v>0</v>
      </c>
      <c r="H62" s="18">
        <f t="shared" si="11"/>
        <v>8458.6</v>
      </c>
      <c r="J62" s="18">
        <f>VLOOKUP(C62,'IP PITSS'!$B$9:$U$90,3,0)</f>
        <v>0</v>
      </c>
      <c r="K62" s="25">
        <v>19950</v>
      </c>
      <c r="L62" s="18">
        <f t="shared" si="12"/>
        <v>0</v>
      </c>
      <c r="M62" s="18">
        <f>VLOOKUP(C62,'IP PITSS'!$B$9:$I$90,8,0)</f>
        <v>0</v>
      </c>
      <c r="N62" s="18">
        <f t="shared" si="13"/>
        <v>0</v>
      </c>
      <c r="O62" s="18" t="s">
        <v>230</v>
      </c>
      <c r="P62" s="18">
        <f t="shared" si="8"/>
        <v>169.172</v>
      </c>
      <c r="Q62" s="18">
        <f t="shared" si="9"/>
        <v>8627.7720000000008</v>
      </c>
      <c r="R62" s="18">
        <f t="shared" si="7"/>
        <v>1380.4435200000003</v>
      </c>
    </row>
    <row r="63" spans="1:18" x14ac:dyDescent="0.2">
      <c r="A63" s="18" t="s">
        <v>231</v>
      </c>
      <c r="B63" s="18" t="s">
        <v>95</v>
      </c>
      <c r="C63" s="27" t="s">
        <v>232</v>
      </c>
      <c r="D63" s="18">
        <v>414.59999999999991</v>
      </c>
      <c r="E63" s="18">
        <v>165</v>
      </c>
      <c r="F63" s="24"/>
      <c r="G63" s="18">
        <f t="shared" si="14"/>
        <v>0</v>
      </c>
      <c r="H63" s="18">
        <f t="shared" si="11"/>
        <v>579.59999999999991</v>
      </c>
      <c r="J63" s="18">
        <f>VLOOKUP(C63,'IP PITSS'!$B$9:$U$90,3,0)</f>
        <v>0</v>
      </c>
      <c r="K63" s="25">
        <v>8000</v>
      </c>
      <c r="L63" s="18">
        <f t="shared" si="12"/>
        <v>0</v>
      </c>
      <c r="M63" s="18">
        <f>VLOOKUP(C63,'IP PITSS'!$B$9:$I$90,8,0)</f>
        <v>0</v>
      </c>
      <c r="N63" s="18">
        <f t="shared" si="13"/>
        <v>0</v>
      </c>
      <c r="O63" s="18" t="s">
        <v>233</v>
      </c>
      <c r="P63" s="18">
        <f t="shared" si="8"/>
        <v>11.591999999999999</v>
      </c>
      <c r="Q63" s="18">
        <f t="shared" si="9"/>
        <v>591.19199999999989</v>
      </c>
      <c r="R63" s="18">
        <f t="shared" si="7"/>
        <v>94.59071999999999</v>
      </c>
    </row>
    <row r="64" spans="1:18" x14ac:dyDescent="0.2">
      <c r="A64" s="24" t="s">
        <v>235</v>
      </c>
      <c r="B64" s="18" t="s">
        <v>95</v>
      </c>
      <c r="C64" s="24" t="s">
        <v>236</v>
      </c>
      <c r="D64" s="18">
        <v>416.39999999999964</v>
      </c>
      <c r="E64" s="18">
        <v>120</v>
      </c>
      <c r="F64" s="24"/>
      <c r="G64" s="18">
        <f t="shared" si="14"/>
        <v>0</v>
      </c>
      <c r="H64" s="18">
        <f t="shared" si="11"/>
        <v>536.39999999999964</v>
      </c>
      <c r="J64" s="18">
        <f>VLOOKUP(C64,'IP PITSS'!$B$9:$U$90,3,0)</f>
        <v>0</v>
      </c>
      <c r="K64" s="25">
        <v>8000</v>
      </c>
      <c r="L64" s="18">
        <f t="shared" si="12"/>
        <v>0</v>
      </c>
      <c r="M64" s="18">
        <f>VLOOKUP(C64,'IP PITSS'!$B$9:$I$90,8,0)</f>
        <v>0</v>
      </c>
      <c r="N64" s="18">
        <f t="shared" si="13"/>
        <v>0</v>
      </c>
      <c r="O64" s="18" t="s">
        <v>237</v>
      </c>
      <c r="P64" s="18">
        <f t="shared" si="8"/>
        <v>10.727999999999993</v>
      </c>
      <c r="Q64" s="18">
        <f t="shared" si="9"/>
        <v>547.12799999999959</v>
      </c>
      <c r="R64" s="18">
        <f t="shared" si="7"/>
        <v>87.540479999999931</v>
      </c>
    </row>
    <row r="65" spans="1:18" s="27" customFormat="1" x14ac:dyDescent="0.2">
      <c r="A65" s="18" t="s">
        <v>238</v>
      </c>
      <c r="B65" s="18" t="s">
        <v>95</v>
      </c>
      <c r="C65" s="18" t="s">
        <v>239</v>
      </c>
      <c r="D65" s="18">
        <v>416.19999999999982</v>
      </c>
      <c r="E65" s="18">
        <v>240</v>
      </c>
      <c r="F65" s="24"/>
      <c r="G65" s="18">
        <f t="shared" si="14"/>
        <v>0</v>
      </c>
      <c r="H65" s="18">
        <f t="shared" si="11"/>
        <v>656.19999999999982</v>
      </c>
      <c r="I65" s="19"/>
      <c r="J65" s="18">
        <f>VLOOKUP(C65,'IP PITSS'!$B$9:$U$90,3,0)</f>
        <v>0</v>
      </c>
      <c r="K65" s="25">
        <v>8000</v>
      </c>
      <c r="L65" s="18">
        <f t="shared" si="12"/>
        <v>0</v>
      </c>
      <c r="M65" s="18">
        <f>VLOOKUP(C65,'IP PITSS'!$B$9:$I$90,8,0)</f>
        <v>0</v>
      </c>
      <c r="N65" s="18">
        <f t="shared" si="13"/>
        <v>0</v>
      </c>
      <c r="O65" s="18" t="s">
        <v>240</v>
      </c>
      <c r="P65" s="18">
        <f t="shared" si="8"/>
        <v>13.123999999999997</v>
      </c>
      <c r="Q65" s="18">
        <f t="shared" si="9"/>
        <v>669.32399999999984</v>
      </c>
      <c r="R65" s="18">
        <f t="shared" si="7"/>
        <v>107.09183999999998</v>
      </c>
    </row>
    <row r="66" spans="1:18" x14ac:dyDescent="0.2">
      <c r="A66" s="18" t="s">
        <v>241</v>
      </c>
      <c r="B66" s="18" t="s">
        <v>95</v>
      </c>
      <c r="C66" s="18" t="s">
        <v>242</v>
      </c>
      <c r="D66" s="18">
        <v>1694.13</v>
      </c>
      <c r="E66" s="18">
        <v>225</v>
      </c>
      <c r="F66" s="24"/>
      <c r="G66" s="18">
        <f t="shared" si="14"/>
        <v>0</v>
      </c>
      <c r="H66" s="18">
        <f t="shared" si="11"/>
        <v>1919.13</v>
      </c>
      <c r="J66" s="18">
        <f>VLOOKUP(C66,'IP PITSS'!$B$9:$U$90,3,0)</f>
        <v>0</v>
      </c>
      <c r="K66" s="25">
        <v>9000</v>
      </c>
      <c r="L66" s="18">
        <f t="shared" si="12"/>
        <v>0</v>
      </c>
      <c r="M66" s="18">
        <f>VLOOKUP(C66,'IP PITSS'!$B$9:$I$90,8,0)</f>
        <v>0</v>
      </c>
      <c r="N66" s="18">
        <f t="shared" si="13"/>
        <v>0</v>
      </c>
      <c r="O66" s="18" t="s">
        <v>243</v>
      </c>
      <c r="P66" s="18">
        <f t="shared" si="8"/>
        <v>38.382600000000004</v>
      </c>
      <c r="Q66" s="18">
        <f t="shared" si="9"/>
        <v>1957.5126</v>
      </c>
      <c r="R66" s="18">
        <f t="shared" si="7"/>
        <v>313.20201600000001</v>
      </c>
    </row>
    <row r="67" spans="1:18" x14ac:dyDescent="0.2">
      <c r="A67" s="18" t="s">
        <v>244</v>
      </c>
      <c r="B67" s="18" t="s">
        <v>95</v>
      </c>
      <c r="C67" s="18" t="s">
        <v>245</v>
      </c>
      <c r="D67" s="18">
        <v>1047.5999999999995</v>
      </c>
      <c r="E67" s="31">
        <v>125</v>
      </c>
      <c r="F67" s="24"/>
      <c r="G67" s="18">
        <f t="shared" si="14"/>
        <v>0</v>
      </c>
      <c r="H67" s="18">
        <f t="shared" ref="H67:H74" si="15">SUM(D67:G67)</f>
        <v>1172.5999999999995</v>
      </c>
      <c r="J67" s="18">
        <f>VLOOKUP(C67,'IP PITSS'!$B$9:$U$90,3,0)</f>
        <v>0</v>
      </c>
      <c r="K67" s="25">
        <v>14000</v>
      </c>
      <c r="L67" s="18">
        <f t="shared" ref="L67:L81" si="16">(((+K67/30)*J67)*30%)</f>
        <v>0</v>
      </c>
      <c r="M67" s="18">
        <f>VLOOKUP(C67,'IP PITSS'!$B$9:$I$90,8,0)</f>
        <v>0</v>
      </c>
      <c r="N67" s="18">
        <f t="shared" ref="N67:N81" si="17">+L67-M67</f>
        <v>0</v>
      </c>
      <c r="O67" s="18" t="s">
        <v>246</v>
      </c>
      <c r="P67" s="18">
        <f t="shared" si="8"/>
        <v>23.451999999999991</v>
      </c>
      <c r="Q67" s="18">
        <f t="shared" si="9"/>
        <v>1196.0519999999995</v>
      </c>
      <c r="R67" s="18">
        <f t="shared" si="7"/>
        <v>191.36831999999993</v>
      </c>
    </row>
    <row r="68" spans="1:18" x14ac:dyDescent="0.2">
      <c r="A68" s="18" t="s">
        <v>247</v>
      </c>
      <c r="B68" s="18" t="s">
        <v>95</v>
      </c>
      <c r="C68" s="18" t="s">
        <v>248</v>
      </c>
      <c r="D68" s="18">
        <v>3339.3200000000006</v>
      </c>
      <c r="E68" s="18">
        <v>412.5</v>
      </c>
      <c r="F68" s="24">
        <v>1880</v>
      </c>
      <c r="G68" s="18">
        <f t="shared" si="14"/>
        <v>0</v>
      </c>
      <c r="H68" s="18">
        <f t="shared" si="15"/>
        <v>5631.8200000000006</v>
      </c>
      <c r="J68" s="18">
        <f>VLOOKUP(C68,'IP PITSS'!$B$9:$U$90,3,0)</f>
        <v>0</v>
      </c>
      <c r="K68" s="25">
        <v>15000</v>
      </c>
      <c r="L68" s="18">
        <f t="shared" si="16"/>
        <v>0</v>
      </c>
      <c r="M68" s="18">
        <f>VLOOKUP(C68,'IP PITSS'!$B$9:$I$90,8,0)</f>
        <v>0</v>
      </c>
      <c r="N68" s="18">
        <f t="shared" si="17"/>
        <v>0</v>
      </c>
      <c r="O68" s="18" t="s">
        <v>249</v>
      </c>
      <c r="P68" s="18">
        <f t="shared" si="8"/>
        <v>112.63640000000001</v>
      </c>
      <c r="Q68" s="18">
        <f t="shared" si="9"/>
        <v>5744.4564000000009</v>
      </c>
      <c r="R68" s="18">
        <f t="shared" si="7"/>
        <v>919.11302400000022</v>
      </c>
    </row>
    <row r="69" spans="1:18" x14ac:dyDescent="0.2">
      <c r="A69" s="18" t="s">
        <v>250</v>
      </c>
      <c r="B69" s="18" t="s">
        <v>95</v>
      </c>
      <c r="C69" s="18" t="s">
        <v>251</v>
      </c>
      <c r="D69" s="18">
        <v>2502.3999999999996</v>
      </c>
      <c r="E69" s="18">
        <v>160</v>
      </c>
      <c r="F69" s="24"/>
      <c r="G69" s="18">
        <f t="shared" si="14"/>
        <v>49.999999999999986</v>
      </c>
      <c r="H69" s="18">
        <f t="shared" si="15"/>
        <v>2712.3999999999996</v>
      </c>
      <c r="J69" s="18">
        <f>VLOOKUP(C69,'IP PITSS'!$B$9:$U$90,3,0)</f>
        <v>1</v>
      </c>
      <c r="K69" s="25">
        <v>10000</v>
      </c>
      <c r="L69" s="18">
        <f t="shared" si="16"/>
        <v>99.999999999999986</v>
      </c>
      <c r="M69" s="18">
        <f>VLOOKUP(C69,'IP PITSS'!$B$9:$I$90,8,0)</f>
        <v>50</v>
      </c>
      <c r="N69" s="18">
        <f t="shared" si="17"/>
        <v>49.999999999999986</v>
      </c>
      <c r="O69" s="18" t="s">
        <v>252</v>
      </c>
      <c r="P69" s="18">
        <f t="shared" si="8"/>
        <v>54.24799999999999</v>
      </c>
      <c r="Q69" s="18">
        <f t="shared" si="9"/>
        <v>2766.6479999999997</v>
      </c>
      <c r="R69" s="18">
        <f t="shared" si="7"/>
        <v>442.66367999999994</v>
      </c>
    </row>
    <row r="70" spans="1:18" x14ac:dyDescent="0.2">
      <c r="A70" s="18" t="s">
        <v>253</v>
      </c>
      <c r="B70" s="18" t="s">
        <v>95</v>
      </c>
      <c r="C70" s="18" t="s">
        <v>254</v>
      </c>
      <c r="D70" s="18">
        <v>549.8149999999996</v>
      </c>
      <c r="E70" s="18">
        <v>625</v>
      </c>
      <c r="F70" s="24"/>
      <c r="G70" s="18">
        <f t="shared" si="14"/>
        <v>0</v>
      </c>
      <c r="H70" s="18">
        <f t="shared" si="15"/>
        <v>1174.8149999999996</v>
      </c>
      <c r="J70" s="18">
        <f>VLOOKUP(C70,'IP PITSS'!$B$9:$U$90,3,0)</f>
        <v>0</v>
      </c>
      <c r="K70" s="25">
        <v>9550.01</v>
      </c>
      <c r="L70" s="18">
        <f t="shared" si="16"/>
        <v>0</v>
      </c>
      <c r="M70" s="18">
        <f>VLOOKUP(C70,'IP PITSS'!$B$9:$I$90,8,0)</f>
        <v>0</v>
      </c>
      <c r="N70" s="18">
        <f t="shared" si="17"/>
        <v>0</v>
      </c>
      <c r="O70" s="18" t="s">
        <v>255</v>
      </c>
      <c r="P70" s="18">
        <f t="shared" si="8"/>
        <v>23.496299999999991</v>
      </c>
      <c r="Q70" s="18">
        <f t="shared" si="9"/>
        <v>1198.3112999999996</v>
      </c>
      <c r="R70" s="18">
        <f t="shared" si="7"/>
        <v>191.72980799999993</v>
      </c>
    </row>
    <row r="71" spans="1:18" x14ac:dyDescent="0.2">
      <c r="A71" s="18" t="s">
        <v>256</v>
      </c>
      <c r="B71" s="18" t="s">
        <v>95</v>
      </c>
      <c r="C71" s="18" t="s">
        <v>257</v>
      </c>
      <c r="D71" s="18">
        <v>4339.3900000000003</v>
      </c>
      <c r="E71" s="18">
        <v>281.25</v>
      </c>
      <c r="F71" s="24">
        <v>1160</v>
      </c>
      <c r="G71" s="18">
        <f t="shared" si="14"/>
        <v>0</v>
      </c>
      <c r="H71" s="18">
        <f t="shared" si="15"/>
        <v>5780.64</v>
      </c>
      <c r="J71" s="18">
        <f>VLOOKUP(C71,'IP PITSS'!$B$9:$U$90,3,0)</f>
        <v>0</v>
      </c>
      <c r="K71" s="25">
        <v>17000</v>
      </c>
      <c r="L71" s="18">
        <f t="shared" si="16"/>
        <v>0</v>
      </c>
      <c r="M71" s="18">
        <f>VLOOKUP(C71,'IP PITSS'!$B$9:$I$90,8,0)</f>
        <v>0</v>
      </c>
      <c r="N71" s="18">
        <f t="shared" si="17"/>
        <v>0</v>
      </c>
      <c r="O71" s="18" t="s">
        <v>258</v>
      </c>
      <c r="P71" s="18">
        <f t="shared" si="8"/>
        <v>115.61280000000001</v>
      </c>
      <c r="Q71" s="18">
        <f t="shared" si="9"/>
        <v>5896.2528000000002</v>
      </c>
      <c r="R71" s="18">
        <f t="shared" si="7"/>
        <v>943.4004480000001</v>
      </c>
    </row>
    <row r="72" spans="1:18" x14ac:dyDescent="0.2">
      <c r="A72" s="18" t="s">
        <v>259</v>
      </c>
      <c r="B72" s="18" t="s">
        <v>95</v>
      </c>
      <c r="C72" s="24" t="s">
        <v>260</v>
      </c>
      <c r="D72" s="18">
        <v>3553.3999999999996</v>
      </c>
      <c r="E72" s="18">
        <v>500</v>
      </c>
      <c r="F72" s="24"/>
      <c r="G72" s="18">
        <f t="shared" si="14"/>
        <v>0</v>
      </c>
      <c r="H72" s="18">
        <f t="shared" si="15"/>
        <v>4053.3999999999996</v>
      </c>
      <c r="J72" s="18">
        <f>'IP PITSS'!$D$64</f>
        <v>0</v>
      </c>
      <c r="K72" s="25">
        <v>12000</v>
      </c>
      <c r="L72" s="18">
        <f t="shared" si="16"/>
        <v>0</v>
      </c>
      <c r="M72" s="18">
        <v>0</v>
      </c>
      <c r="N72" s="18">
        <f t="shared" si="17"/>
        <v>0</v>
      </c>
      <c r="O72" s="18" t="s">
        <v>261</v>
      </c>
      <c r="P72" s="18">
        <f t="shared" si="8"/>
        <v>81.067999999999998</v>
      </c>
      <c r="Q72" s="18">
        <f t="shared" si="9"/>
        <v>4134.4679999999998</v>
      </c>
      <c r="R72" s="18">
        <f t="shared" si="7"/>
        <v>661.51487999999995</v>
      </c>
    </row>
    <row r="73" spans="1:18" x14ac:dyDescent="0.2">
      <c r="A73" s="18" t="s">
        <v>262</v>
      </c>
      <c r="B73" s="18" t="s">
        <v>95</v>
      </c>
      <c r="C73" s="18" t="s">
        <v>263</v>
      </c>
      <c r="D73" s="18">
        <v>52.499999999999545</v>
      </c>
      <c r="E73" s="18">
        <v>310</v>
      </c>
      <c r="F73" s="24"/>
      <c r="G73" s="18">
        <f t="shared" si="14"/>
        <v>0</v>
      </c>
      <c r="H73" s="18">
        <f t="shared" si="15"/>
        <v>362.49999999999955</v>
      </c>
      <c r="J73" s="18">
        <f>VLOOKUP(C73,'IP PITSS'!$B$9:$U$90,3,0)</f>
        <v>0</v>
      </c>
      <c r="K73" s="25">
        <v>5000</v>
      </c>
      <c r="L73" s="18">
        <f t="shared" si="16"/>
        <v>0</v>
      </c>
      <c r="M73" s="18">
        <f>VLOOKUP(C73,'IP PITSS'!$B$9:$I$90,8,0)</f>
        <v>0</v>
      </c>
      <c r="N73" s="18">
        <f t="shared" si="17"/>
        <v>0</v>
      </c>
      <c r="O73" s="18" t="s">
        <v>264</v>
      </c>
      <c r="P73" s="18">
        <f t="shared" si="8"/>
        <v>7.2499999999999911</v>
      </c>
      <c r="Q73" s="18">
        <f t="shared" si="9"/>
        <v>369.74999999999955</v>
      </c>
      <c r="R73" s="18">
        <f t="shared" ref="R73:R110" si="18">Q73*16%</f>
        <v>59.159999999999926</v>
      </c>
    </row>
    <row r="74" spans="1:18" x14ac:dyDescent="0.2">
      <c r="A74" s="18" t="s">
        <v>265</v>
      </c>
      <c r="B74" s="18" t="s">
        <v>95</v>
      </c>
      <c r="C74" s="18" t="s">
        <v>266</v>
      </c>
      <c r="D74" s="18">
        <v>2262.1999999999998</v>
      </c>
      <c r="F74" s="24"/>
      <c r="G74" s="18">
        <f t="shared" si="14"/>
        <v>0</v>
      </c>
      <c r="H74" s="18">
        <f t="shared" si="15"/>
        <v>2262.1999999999998</v>
      </c>
      <c r="J74" s="18">
        <f>VLOOKUP(C74,'IP PITSS'!$B$9:$U$90,3,0)</f>
        <v>0</v>
      </c>
      <c r="K74" s="25">
        <v>9000</v>
      </c>
      <c r="L74" s="18">
        <f t="shared" si="16"/>
        <v>0</v>
      </c>
      <c r="M74" s="18">
        <f>VLOOKUP(C74,'IP PITSS'!$B$9:$I$90,8,0)</f>
        <v>0</v>
      </c>
      <c r="N74" s="18">
        <f t="shared" si="17"/>
        <v>0</v>
      </c>
      <c r="O74" s="18" t="s">
        <v>267</v>
      </c>
      <c r="P74" s="18">
        <f t="shared" ref="P74:P110" si="19">H74*2%</f>
        <v>45.244</v>
      </c>
      <c r="Q74" s="18">
        <f t="shared" ref="Q74:Q110" si="20">H74+P74</f>
        <v>2307.444</v>
      </c>
      <c r="R74" s="18">
        <f t="shared" si="18"/>
        <v>369.19103999999999</v>
      </c>
    </row>
    <row r="75" spans="1:18" x14ac:dyDescent="0.2">
      <c r="B75" s="18" t="s">
        <v>95</v>
      </c>
      <c r="C75" s="18" t="s">
        <v>268</v>
      </c>
      <c r="D75" s="18">
        <v>706.80000000000018</v>
      </c>
      <c r="E75" s="33">
        <v>500</v>
      </c>
      <c r="F75" s="33"/>
      <c r="G75" s="18">
        <f t="shared" si="14"/>
        <v>0</v>
      </c>
      <c r="H75" s="33">
        <f>+D75+E75+F75+G75</f>
        <v>1206.8000000000002</v>
      </c>
      <c r="I75" s="34"/>
      <c r="J75" s="18">
        <f>VLOOKUP(C75,'IP PITSS'!$B$9:$U$90,3,0)</f>
        <v>0</v>
      </c>
      <c r="K75" s="35">
        <v>8800</v>
      </c>
      <c r="L75" s="32">
        <f t="shared" si="16"/>
        <v>0</v>
      </c>
      <c r="M75" s="18">
        <f>VLOOKUP(C75,'IP PITSS'!$B$9:$I$90,8,0)</f>
        <v>0</v>
      </c>
      <c r="N75" s="32">
        <f t="shared" si="17"/>
        <v>0</v>
      </c>
      <c r="O75" s="18" t="s">
        <v>269</v>
      </c>
      <c r="P75" s="18">
        <f t="shared" si="19"/>
        <v>24.136000000000003</v>
      </c>
      <c r="Q75" s="18">
        <f t="shared" si="20"/>
        <v>1230.9360000000001</v>
      </c>
      <c r="R75" s="18">
        <f t="shared" si="18"/>
        <v>196.94976000000003</v>
      </c>
    </row>
    <row r="76" spans="1:18" x14ac:dyDescent="0.2">
      <c r="A76" s="18" t="s">
        <v>270</v>
      </c>
      <c r="B76" s="18" t="s">
        <v>95</v>
      </c>
      <c r="C76" s="18" t="s">
        <v>271</v>
      </c>
      <c r="D76" s="18">
        <v>2262.37</v>
      </c>
      <c r="E76" s="18">
        <v>300</v>
      </c>
      <c r="F76" s="24"/>
      <c r="G76" s="18">
        <f t="shared" si="14"/>
        <v>0</v>
      </c>
      <c r="H76" s="18">
        <f t="shared" ref="H76:H102" si="21">SUM(D76:G76)</f>
        <v>2562.37</v>
      </c>
      <c r="J76" s="18">
        <f>VLOOKUP(C76,'IP PITSS'!$B$9:$U$90,3,0)</f>
        <v>0</v>
      </c>
      <c r="K76" s="25">
        <v>9000</v>
      </c>
      <c r="L76" s="18">
        <f t="shared" si="16"/>
        <v>0</v>
      </c>
      <c r="M76" s="18">
        <f>VLOOKUP(C76,'IP PITSS'!$B$9:$I$90,8,0)</f>
        <v>0</v>
      </c>
      <c r="N76" s="18">
        <f t="shared" si="17"/>
        <v>0</v>
      </c>
      <c r="O76" s="18" t="s">
        <v>272</v>
      </c>
      <c r="P76" s="18">
        <f t="shared" si="19"/>
        <v>51.247399999999999</v>
      </c>
      <c r="Q76" s="18">
        <f t="shared" si="20"/>
        <v>2613.6174000000001</v>
      </c>
      <c r="R76" s="18">
        <f t="shared" si="18"/>
        <v>418.17878400000001</v>
      </c>
    </row>
    <row r="77" spans="1:18" x14ac:dyDescent="0.2">
      <c r="A77" s="18" t="s">
        <v>273</v>
      </c>
      <c r="B77" s="18" t="s">
        <v>95</v>
      </c>
      <c r="C77" s="27" t="s">
        <v>274</v>
      </c>
      <c r="D77" s="18">
        <v>414.59999999999991</v>
      </c>
      <c r="E77" s="18">
        <v>225</v>
      </c>
      <c r="F77" s="24"/>
      <c r="G77" s="18">
        <v>0</v>
      </c>
      <c r="H77" s="18">
        <f t="shared" si="21"/>
        <v>639.59999999999991</v>
      </c>
      <c r="J77" s="18">
        <f>VLOOKUP(C77,'IP PITSS'!$B$9:$U$90,3,0)</f>
        <v>0</v>
      </c>
      <c r="K77" s="25">
        <v>8000</v>
      </c>
      <c r="L77" s="18">
        <f t="shared" si="16"/>
        <v>0</v>
      </c>
      <c r="M77" s="18">
        <f>VLOOKUP(C77,'IP PITSS'!$B$9:$I$90,8,0)</f>
        <v>0</v>
      </c>
      <c r="N77" s="18">
        <f t="shared" si="17"/>
        <v>0</v>
      </c>
      <c r="O77" s="18" t="s">
        <v>275</v>
      </c>
      <c r="P77" s="18">
        <f t="shared" si="19"/>
        <v>12.791999999999998</v>
      </c>
      <c r="Q77" s="18">
        <f t="shared" si="20"/>
        <v>652.39199999999994</v>
      </c>
      <c r="R77" s="18">
        <f t="shared" si="18"/>
        <v>104.38271999999999</v>
      </c>
    </row>
    <row r="78" spans="1:18" x14ac:dyDescent="0.2">
      <c r="A78" s="18" t="s">
        <v>277</v>
      </c>
      <c r="B78" s="18" t="s">
        <v>95</v>
      </c>
      <c r="C78" s="18" t="s">
        <v>278</v>
      </c>
      <c r="D78" s="18">
        <v>175.80000000000018</v>
      </c>
      <c r="E78" s="18">
        <v>843.75</v>
      </c>
      <c r="F78" s="24"/>
      <c r="G78" s="18">
        <f t="shared" ref="G78:G102" si="22">+N78</f>
        <v>0</v>
      </c>
      <c r="H78" s="18">
        <f t="shared" si="21"/>
        <v>1019.5500000000002</v>
      </c>
      <c r="J78" s="18">
        <f>VLOOKUP(C78,'IP PITSS'!$B$9:$U$90,3,0)</f>
        <v>0</v>
      </c>
      <c r="K78" s="25">
        <v>6300</v>
      </c>
      <c r="L78" s="18">
        <f t="shared" si="16"/>
        <v>0</v>
      </c>
      <c r="M78" s="18">
        <f>VLOOKUP(C78,'IP PITSS'!$B$9:$I$90,8,0)</f>
        <v>0</v>
      </c>
      <c r="N78" s="18">
        <f t="shared" si="17"/>
        <v>0</v>
      </c>
      <c r="O78" s="18" t="s">
        <v>279</v>
      </c>
      <c r="P78" s="18">
        <f t="shared" si="19"/>
        <v>20.391000000000005</v>
      </c>
      <c r="Q78" s="18">
        <f t="shared" si="20"/>
        <v>1039.9410000000003</v>
      </c>
      <c r="R78" s="18">
        <f t="shared" si="18"/>
        <v>166.39056000000005</v>
      </c>
    </row>
    <row r="79" spans="1:18" x14ac:dyDescent="0.2">
      <c r="A79" s="18" t="s">
        <v>280</v>
      </c>
      <c r="B79" s="18" t="s">
        <v>95</v>
      </c>
      <c r="C79" s="18" t="s">
        <v>281</v>
      </c>
      <c r="D79" s="18">
        <v>336.39999999999964</v>
      </c>
      <c r="E79" s="18">
        <v>1500</v>
      </c>
      <c r="F79" s="24"/>
      <c r="G79" s="18">
        <f t="shared" si="22"/>
        <v>0</v>
      </c>
      <c r="H79" s="18">
        <f t="shared" si="21"/>
        <v>1836.3999999999996</v>
      </c>
      <c r="J79" s="18">
        <f>VLOOKUP(C79,'IP PITSS'!$B$9:$U$90,3,0)</f>
        <v>1</v>
      </c>
      <c r="K79" s="25">
        <v>8000</v>
      </c>
      <c r="L79" s="18">
        <f t="shared" si="16"/>
        <v>80</v>
      </c>
      <c r="M79" s="18">
        <f>VLOOKUP(C79,'IP PITSS'!$B$9:$I$90,8,0)</f>
        <v>80</v>
      </c>
      <c r="N79" s="18">
        <f t="shared" si="17"/>
        <v>0</v>
      </c>
      <c r="O79" s="18" t="s">
        <v>282</v>
      </c>
      <c r="P79" s="18">
        <f t="shared" si="19"/>
        <v>36.727999999999994</v>
      </c>
      <c r="Q79" s="18">
        <f t="shared" si="20"/>
        <v>1873.1279999999997</v>
      </c>
      <c r="R79" s="18">
        <f t="shared" si="18"/>
        <v>299.70047999999997</v>
      </c>
    </row>
    <row r="80" spans="1:18" x14ac:dyDescent="0.2">
      <c r="A80" s="18" t="s">
        <v>284</v>
      </c>
      <c r="B80" s="18" t="s">
        <v>95</v>
      </c>
      <c r="C80" s="18" t="s">
        <v>285</v>
      </c>
      <c r="D80" s="18">
        <v>414.63999999999987</v>
      </c>
      <c r="E80" s="18">
        <v>200</v>
      </c>
      <c r="F80" s="24"/>
      <c r="G80" s="18">
        <f t="shared" si="22"/>
        <v>0</v>
      </c>
      <c r="H80" s="18">
        <f t="shared" si="21"/>
        <v>614.63999999999987</v>
      </c>
      <c r="J80" s="18">
        <f>VLOOKUP(C80,'IP PITSS'!$B$9:$U$90,3,0)</f>
        <v>0</v>
      </c>
      <c r="K80" s="25">
        <v>8000</v>
      </c>
      <c r="L80" s="18">
        <f t="shared" si="16"/>
        <v>0</v>
      </c>
      <c r="M80" s="18">
        <f>VLOOKUP(C80,'IP PITSS'!$B$9:$I$90,8,0)</f>
        <v>0</v>
      </c>
      <c r="N80" s="18">
        <f t="shared" si="17"/>
        <v>0</v>
      </c>
      <c r="O80" s="18" t="s">
        <v>286</v>
      </c>
      <c r="P80" s="18">
        <f t="shared" si="19"/>
        <v>12.292799999999998</v>
      </c>
      <c r="Q80" s="18">
        <f t="shared" si="20"/>
        <v>626.93279999999982</v>
      </c>
      <c r="R80" s="18">
        <f t="shared" si="18"/>
        <v>100.30924799999997</v>
      </c>
    </row>
    <row r="81" spans="1:18" x14ac:dyDescent="0.2">
      <c r="A81" s="18" t="s">
        <v>287</v>
      </c>
      <c r="B81" s="18" t="s">
        <v>95</v>
      </c>
      <c r="C81" s="18" t="s">
        <v>288</v>
      </c>
      <c r="D81" s="18">
        <v>593.60000000000036</v>
      </c>
      <c r="E81" s="18">
        <v>90</v>
      </c>
      <c r="F81" s="24">
        <v>1440</v>
      </c>
      <c r="G81" s="18">
        <f t="shared" si="22"/>
        <v>0</v>
      </c>
      <c r="H81" s="18">
        <f t="shared" si="21"/>
        <v>2123.6000000000004</v>
      </c>
      <c r="J81" s="18">
        <f>VLOOKUP(C81,'IP PITSS'!$B$9:$U$90,3,0)</f>
        <v>0</v>
      </c>
      <c r="K81" s="25">
        <v>10000</v>
      </c>
      <c r="L81" s="18">
        <f t="shared" si="16"/>
        <v>0</v>
      </c>
      <c r="M81" s="18">
        <f>VLOOKUP(C81,'IP PITSS'!$B$9:$I$90,8,0)</f>
        <v>0</v>
      </c>
      <c r="N81" s="18">
        <f t="shared" si="17"/>
        <v>0</v>
      </c>
      <c r="O81" s="18" t="s">
        <v>289</v>
      </c>
      <c r="P81" s="18">
        <f t="shared" si="19"/>
        <v>42.472000000000008</v>
      </c>
      <c r="Q81" s="18">
        <f t="shared" si="20"/>
        <v>2166.0720000000006</v>
      </c>
      <c r="R81" s="18">
        <f t="shared" si="18"/>
        <v>346.57152000000008</v>
      </c>
    </row>
    <row r="82" spans="1:18" x14ac:dyDescent="0.2">
      <c r="B82" s="18" t="s">
        <v>95</v>
      </c>
      <c r="C82" s="18" t="s">
        <v>290</v>
      </c>
      <c r="D82" s="18">
        <v>392.29000000000042</v>
      </c>
      <c r="E82" s="18">
        <v>2642.92</v>
      </c>
      <c r="F82" s="24"/>
      <c r="G82" s="18">
        <f t="shared" si="22"/>
        <v>0</v>
      </c>
      <c r="H82" s="18">
        <f t="shared" si="21"/>
        <v>3035.2100000000005</v>
      </c>
      <c r="J82" s="18">
        <f>VLOOKUP(C82,'IP PITSS'!$B$9:$U$90,3,0)</f>
        <v>0</v>
      </c>
      <c r="K82" s="25">
        <v>5000</v>
      </c>
      <c r="M82" s="18">
        <f>VLOOKUP(C82,'IP PITSS'!$B$9:$I$90,8,0)</f>
        <v>0</v>
      </c>
      <c r="O82" s="18" t="s">
        <v>291</v>
      </c>
      <c r="P82" s="18">
        <f t="shared" si="19"/>
        <v>60.704200000000014</v>
      </c>
      <c r="Q82" s="18">
        <f t="shared" si="20"/>
        <v>3095.9142000000006</v>
      </c>
      <c r="R82" s="18">
        <f t="shared" si="18"/>
        <v>495.34627200000011</v>
      </c>
    </row>
    <row r="83" spans="1:18" x14ac:dyDescent="0.2">
      <c r="A83" s="30" t="s">
        <v>293</v>
      </c>
      <c r="B83" s="18" t="s">
        <v>95</v>
      </c>
      <c r="C83" s="30" t="s">
        <v>294</v>
      </c>
      <c r="D83" s="18">
        <v>175.80000000000018</v>
      </c>
      <c r="E83" s="24">
        <v>900</v>
      </c>
      <c r="F83" s="24"/>
      <c r="G83" s="18">
        <f t="shared" si="22"/>
        <v>0</v>
      </c>
      <c r="H83" s="18">
        <f t="shared" si="21"/>
        <v>1075.8000000000002</v>
      </c>
      <c r="J83" s="18">
        <f>VLOOKUP(C83,'IP PITSS'!$B$9:$U$90,3,0)</f>
        <v>0</v>
      </c>
      <c r="K83" s="25">
        <v>6300</v>
      </c>
      <c r="L83" s="18">
        <f t="shared" ref="L83:L101" si="23">(((+K83/30)*J83)*30%)</f>
        <v>0</v>
      </c>
      <c r="M83" s="18">
        <f>VLOOKUP(C83,'IP PITSS'!$B$9:$I$90,8,0)</f>
        <v>0</v>
      </c>
      <c r="N83" s="18">
        <f t="shared" ref="N83:N101" si="24">+L83-M83</f>
        <v>0</v>
      </c>
      <c r="O83" s="18" t="s">
        <v>295</v>
      </c>
      <c r="P83" s="18">
        <f t="shared" si="19"/>
        <v>21.516000000000005</v>
      </c>
      <c r="Q83" s="18">
        <f t="shared" si="20"/>
        <v>1097.3160000000003</v>
      </c>
      <c r="R83" s="18">
        <f t="shared" si="18"/>
        <v>175.57056000000006</v>
      </c>
    </row>
    <row r="84" spans="1:18" x14ac:dyDescent="0.2">
      <c r="A84" s="18" t="s">
        <v>296</v>
      </c>
      <c r="B84" s="18" t="s">
        <v>95</v>
      </c>
      <c r="C84" s="18" t="s">
        <v>297</v>
      </c>
      <c r="D84" s="18">
        <v>416.39999999999964</v>
      </c>
      <c r="E84" s="18">
        <v>330</v>
      </c>
      <c r="F84" s="24"/>
      <c r="G84" s="18">
        <f t="shared" si="22"/>
        <v>0</v>
      </c>
      <c r="H84" s="18">
        <f t="shared" si="21"/>
        <v>746.39999999999964</v>
      </c>
      <c r="J84" s="18">
        <f>VLOOKUP(C84,'IP PITSS'!$B$9:$U$90,3,0)</f>
        <v>0</v>
      </c>
      <c r="K84" s="25">
        <v>8000</v>
      </c>
      <c r="L84" s="18">
        <f t="shared" si="23"/>
        <v>0</v>
      </c>
      <c r="M84" s="18">
        <f>VLOOKUP(C84,'IP PITSS'!$B$9:$I$90,8,0)</f>
        <v>0</v>
      </c>
      <c r="N84" s="18">
        <f t="shared" si="24"/>
        <v>0</v>
      </c>
      <c r="O84" s="18" t="s">
        <v>298</v>
      </c>
      <c r="P84" s="18">
        <f t="shared" si="19"/>
        <v>14.927999999999994</v>
      </c>
      <c r="Q84" s="18">
        <f t="shared" si="20"/>
        <v>761.32799999999963</v>
      </c>
      <c r="R84" s="18">
        <f t="shared" si="18"/>
        <v>121.81247999999994</v>
      </c>
    </row>
    <row r="85" spans="1:18" x14ac:dyDescent="0.2">
      <c r="A85" s="30" t="s">
        <v>299</v>
      </c>
      <c r="B85" s="18" t="s">
        <v>95</v>
      </c>
      <c r="C85" s="36" t="s">
        <v>300</v>
      </c>
      <c r="D85" s="18">
        <v>52.399999999999636</v>
      </c>
      <c r="E85" s="24">
        <v>70</v>
      </c>
      <c r="F85" s="24"/>
      <c r="G85" s="18">
        <f t="shared" si="22"/>
        <v>0</v>
      </c>
      <c r="H85" s="18">
        <f t="shared" si="21"/>
        <v>122.39999999999964</v>
      </c>
      <c r="J85" s="18">
        <f>VLOOKUP(C85,'IP PITSS'!$B$9:$U$90,3,0)</f>
        <v>0</v>
      </c>
      <c r="K85" s="25">
        <v>5000</v>
      </c>
      <c r="L85" s="18">
        <f t="shared" si="23"/>
        <v>0</v>
      </c>
      <c r="M85" s="18">
        <f>VLOOKUP(C85,'IP PITSS'!$B$9:$I$90,8,0)</f>
        <v>0</v>
      </c>
      <c r="N85" s="18">
        <f t="shared" si="24"/>
        <v>0</v>
      </c>
      <c r="O85" s="18" t="s">
        <v>301</v>
      </c>
      <c r="P85" s="18">
        <f t="shared" si="19"/>
        <v>2.4479999999999928</v>
      </c>
      <c r="Q85" s="18">
        <f t="shared" si="20"/>
        <v>124.84799999999963</v>
      </c>
      <c r="R85" s="18">
        <f t="shared" si="18"/>
        <v>19.97567999999994</v>
      </c>
    </row>
    <row r="86" spans="1:18" x14ac:dyDescent="0.2">
      <c r="A86" s="18" t="s">
        <v>303</v>
      </c>
      <c r="B86" s="18" t="s">
        <v>95</v>
      </c>
      <c r="C86" s="18" t="s">
        <v>304</v>
      </c>
      <c r="D86" s="18">
        <v>2838.88</v>
      </c>
      <c r="E86" s="18">
        <v>110</v>
      </c>
      <c r="F86" s="24"/>
      <c r="G86" s="18">
        <f t="shared" si="22"/>
        <v>0</v>
      </c>
      <c r="H86" s="18">
        <f t="shared" si="21"/>
        <v>2948.88</v>
      </c>
      <c r="J86" s="18">
        <f>VLOOKUP(C86,'IP PITSS'!$B$9:$U$90,3,0)</f>
        <v>0</v>
      </c>
      <c r="K86" s="25">
        <v>10000</v>
      </c>
      <c r="L86" s="18">
        <f t="shared" si="23"/>
        <v>0</v>
      </c>
      <c r="M86" s="18">
        <f>VLOOKUP(C86,'IP PITSS'!$B$9:$I$90,8,0)</f>
        <v>0</v>
      </c>
      <c r="N86" s="18">
        <f t="shared" si="24"/>
        <v>0</v>
      </c>
      <c r="O86" s="18" t="s">
        <v>305</v>
      </c>
      <c r="P86" s="18">
        <f t="shared" si="19"/>
        <v>58.977600000000002</v>
      </c>
      <c r="Q86" s="18">
        <f t="shared" si="20"/>
        <v>3007.8576000000003</v>
      </c>
      <c r="R86" s="18">
        <f t="shared" si="18"/>
        <v>481.25721600000003</v>
      </c>
    </row>
    <row r="87" spans="1:18" x14ac:dyDescent="0.2">
      <c r="A87" s="18" t="s">
        <v>306</v>
      </c>
      <c r="B87" s="18" t="s">
        <v>95</v>
      </c>
      <c r="C87" s="18" t="s">
        <v>307</v>
      </c>
      <c r="D87" s="18">
        <v>416.40000000000009</v>
      </c>
      <c r="E87" s="18">
        <v>60</v>
      </c>
      <c r="F87" s="24"/>
      <c r="G87" s="18">
        <f t="shared" si="22"/>
        <v>0</v>
      </c>
      <c r="H87" s="18">
        <f t="shared" si="21"/>
        <v>476.40000000000009</v>
      </c>
      <c r="J87" s="18">
        <f>VLOOKUP(C87,'IP PITSS'!$B$9:$U$90,3,0)</f>
        <v>0</v>
      </c>
      <c r="K87" s="25">
        <v>8000</v>
      </c>
      <c r="L87" s="18">
        <f t="shared" si="23"/>
        <v>0</v>
      </c>
      <c r="M87" s="18">
        <f>VLOOKUP(C87,'IP PITSS'!$B$9:$I$90,8,0)</f>
        <v>0</v>
      </c>
      <c r="N87" s="18">
        <f t="shared" si="24"/>
        <v>0</v>
      </c>
      <c r="O87" s="18" t="s">
        <v>308</v>
      </c>
      <c r="P87" s="18">
        <f t="shared" si="19"/>
        <v>9.5280000000000022</v>
      </c>
      <c r="Q87" s="18">
        <f t="shared" si="20"/>
        <v>485.92800000000011</v>
      </c>
      <c r="R87" s="18">
        <f t="shared" si="18"/>
        <v>77.748480000000015</v>
      </c>
    </row>
    <row r="88" spans="1:18" x14ac:dyDescent="0.2">
      <c r="A88" s="18" t="s">
        <v>309</v>
      </c>
      <c r="B88" s="18" t="s">
        <v>95</v>
      </c>
      <c r="C88" s="18" t="s">
        <v>310</v>
      </c>
      <c r="D88" s="18">
        <v>222.60000000000036</v>
      </c>
      <c r="E88" s="24">
        <v>75</v>
      </c>
      <c r="F88" s="24"/>
      <c r="G88" s="18">
        <f t="shared" si="22"/>
        <v>0</v>
      </c>
      <c r="H88" s="18">
        <f t="shared" si="21"/>
        <v>297.60000000000036</v>
      </c>
      <c r="J88" s="18">
        <f>VLOOKUP(C88,'IP PITSS'!$B$9:$U$90,3,0)</f>
        <v>0</v>
      </c>
      <c r="K88" s="25">
        <v>7000</v>
      </c>
      <c r="L88" s="18">
        <f t="shared" si="23"/>
        <v>0</v>
      </c>
      <c r="M88" s="18">
        <f>VLOOKUP(C88,'IP PITSS'!$B$9:$I$90,8,0)</f>
        <v>0</v>
      </c>
      <c r="N88" s="18">
        <f t="shared" si="24"/>
        <v>0</v>
      </c>
      <c r="O88" s="18" t="s">
        <v>311</v>
      </c>
      <c r="P88" s="18">
        <f t="shared" si="19"/>
        <v>5.9520000000000071</v>
      </c>
      <c r="Q88" s="18">
        <f t="shared" si="20"/>
        <v>303.55200000000036</v>
      </c>
      <c r="R88" s="18">
        <f t="shared" si="18"/>
        <v>48.568320000000057</v>
      </c>
    </row>
    <row r="89" spans="1:18" x14ac:dyDescent="0.2">
      <c r="A89" s="30" t="s">
        <v>313</v>
      </c>
      <c r="B89" s="18" t="s">
        <v>95</v>
      </c>
      <c r="C89" s="30" t="s">
        <v>314</v>
      </c>
      <c r="D89" s="18">
        <v>221.20000000000027</v>
      </c>
      <c r="E89" s="24"/>
      <c r="F89" s="24"/>
      <c r="G89" s="18">
        <f t="shared" si="22"/>
        <v>0</v>
      </c>
      <c r="H89" s="18">
        <f t="shared" si="21"/>
        <v>221.20000000000027</v>
      </c>
      <c r="J89" s="18">
        <f>VLOOKUP(C89,'IP PITSS'!$B$9:$U$90,3,0)</f>
        <v>0</v>
      </c>
      <c r="K89" s="25">
        <v>7000</v>
      </c>
      <c r="L89" s="18">
        <f t="shared" si="23"/>
        <v>0</v>
      </c>
      <c r="M89" s="18">
        <f>VLOOKUP(C89,'IP PITSS'!$B$9:$I$90,8,0)</f>
        <v>0</v>
      </c>
      <c r="N89" s="18">
        <f t="shared" si="24"/>
        <v>0</v>
      </c>
      <c r="O89" s="18" t="s">
        <v>315</v>
      </c>
      <c r="P89" s="18">
        <f t="shared" si="19"/>
        <v>4.4240000000000057</v>
      </c>
      <c r="Q89" s="18">
        <f t="shared" si="20"/>
        <v>225.62400000000028</v>
      </c>
      <c r="R89" s="18">
        <f t="shared" si="18"/>
        <v>36.099840000000043</v>
      </c>
    </row>
    <row r="90" spans="1:18" x14ac:dyDescent="0.2">
      <c r="A90" s="18" t="s">
        <v>316</v>
      </c>
      <c r="B90" s="18" t="s">
        <v>95</v>
      </c>
      <c r="C90" s="18" t="s">
        <v>317</v>
      </c>
      <c r="D90" s="18">
        <v>416.39999999999964</v>
      </c>
      <c r="E90" s="18">
        <v>180</v>
      </c>
      <c r="F90" s="24"/>
      <c r="G90" s="18">
        <f t="shared" si="22"/>
        <v>0</v>
      </c>
      <c r="H90" s="18">
        <f t="shared" si="21"/>
        <v>596.39999999999964</v>
      </c>
      <c r="J90" s="18">
        <f>VLOOKUP(C90,'IP PITSS'!$B$9:$U$90,3,0)</f>
        <v>0</v>
      </c>
      <c r="K90" s="25">
        <v>8000</v>
      </c>
      <c r="L90" s="18">
        <f t="shared" si="23"/>
        <v>0</v>
      </c>
      <c r="M90" s="18">
        <f>VLOOKUP(C90,'IP PITSS'!$B$9:$I$90,8,0)</f>
        <v>0</v>
      </c>
      <c r="N90" s="18">
        <f t="shared" si="24"/>
        <v>0</v>
      </c>
      <c r="O90" s="18" t="s">
        <v>318</v>
      </c>
      <c r="P90" s="18">
        <f t="shared" si="19"/>
        <v>11.927999999999994</v>
      </c>
      <c r="Q90" s="18">
        <f t="shared" si="20"/>
        <v>608.32799999999963</v>
      </c>
      <c r="R90" s="18">
        <f t="shared" si="18"/>
        <v>97.332479999999947</v>
      </c>
    </row>
    <row r="91" spans="1:18" x14ac:dyDescent="0.2">
      <c r="A91" s="18" t="s">
        <v>319</v>
      </c>
      <c r="B91" s="18" t="s">
        <v>95</v>
      </c>
      <c r="C91" s="18" t="s">
        <v>320</v>
      </c>
      <c r="D91" s="18">
        <v>414.59999999999991</v>
      </c>
      <c r="E91" s="18">
        <v>480</v>
      </c>
      <c r="F91" s="24"/>
      <c r="G91" s="18">
        <f t="shared" si="22"/>
        <v>0</v>
      </c>
      <c r="H91" s="18">
        <f t="shared" si="21"/>
        <v>894.59999999999991</v>
      </c>
      <c r="J91" s="18">
        <f>VLOOKUP(C91,'IP PITSS'!$B$9:$U$90,3,0)</f>
        <v>0</v>
      </c>
      <c r="K91" s="25">
        <v>8000</v>
      </c>
      <c r="L91" s="18">
        <f t="shared" si="23"/>
        <v>0</v>
      </c>
      <c r="M91" s="18">
        <f>VLOOKUP(C91,'IP PITSS'!$B$9:$I$90,8,0)</f>
        <v>0</v>
      </c>
      <c r="N91" s="18">
        <f t="shared" si="24"/>
        <v>0</v>
      </c>
      <c r="O91" s="18" t="s">
        <v>321</v>
      </c>
      <c r="P91" s="18">
        <f t="shared" si="19"/>
        <v>17.891999999999999</v>
      </c>
      <c r="Q91" s="18">
        <f t="shared" si="20"/>
        <v>912.49199999999996</v>
      </c>
      <c r="R91" s="18">
        <f t="shared" si="18"/>
        <v>145.99871999999999</v>
      </c>
    </row>
    <row r="92" spans="1:18" x14ac:dyDescent="0.2">
      <c r="A92" s="18" t="s">
        <v>322</v>
      </c>
      <c r="B92" s="18" t="s">
        <v>95</v>
      </c>
      <c r="C92" s="18" t="s">
        <v>323</v>
      </c>
      <c r="D92" s="18">
        <v>1704.48</v>
      </c>
      <c r="E92" s="18">
        <v>750</v>
      </c>
      <c r="F92" s="24"/>
      <c r="G92" s="18">
        <f t="shared" si="22"/>
        <v>0</v>
      </c>
      <c r="H92" s="18">
        <f t="shared" si="21"/>
        <v>2454.48</v>
      </c>
      <c r="J92" s="18">
        <f>VLOOKUP(C92,'IP PITSS'!$B$9:$U$90,3,0)</f>
        <v>0</v>
      </c>
      <c r="K92" s="25">
        <v>7000</v>
      </c>
      <c r="L92" s="18">
        <f t="shared" si="23"/>
        <v>0</v>
      </c>
      <c r="M92" s="18">
        <f>VLOOKUP(C92,'IP PITSS'!$B$9:$I$90,8,0)</f>
        <v>0</v>
      </c>
      <c r="N92" s="18">
        <f t="shared" si="24"/>
        <v>0</v>
      </c>
      <c r="O92" s="18" t="s">
        <v>324</v>
      </c>
      <c r="P92" s="18">
        <f t="shared" si="19"/>
        <v>49.089600000000004</v>
      </c>
      <c r="Q92" s="18">
        <f t="shared" si="20"/>
        <v>2503.5695999999998</v>
      </c>
      <c r="R92" s="18">
        <f t="shared" si="18"/>
        <v>400.57113599999997</v>
      </c>
    </row>
    <row r="93" spans="1:18" x14ac:dyDescent="0.2">
      <c r="A93" s="18" t="s">
        <v>326</v>
      </c>
      <c r="B93" s="18" t="s">
        <v>95</v>
      </c>
      <c r="C93" s="18" t="s">
        <v>327</v>
      </c>
      <c r="D93" s="18">
        <v>1667.4600000000005</v>
      </c>
      <c r="E93" s="18">
        <v>165</v>
      </c>
      <c r="F93" s="24">
        <v>320</v>
      </c>
      <c r="G93" s="18">
        <f t="shared" si="22"/>
        <v>0</v>
      </c>
      <c r="H93" s="18">
        <f t="shared" si="21"/>
        <v>2152.4600000000005</v>
      </c>
      <c r="J93" s="18">
        <f>VLOOKUP(C93,'IP PITSS'!$B$9:$U$90,3,0)</f>
        <v>0</v>
      </c>
      <c r="K93" s="25">
        <v>10000</v>
      </c>
      <c r="L93" s="18">
        <f t="shared" si="23"/>
        <v>0</v>
      </c>
      <c r="M93" s="18">
        <f>VLOOKUP(C93,'IP PITSS'!$B$9:$I$90,8,0)</f>
        <v>0</v>
      </c>
      <c r="N93" s="18">
        <f t="shared" si="24"/>
        <v>0</v>
      </c>
      <c r="O93" s="18" t="s">
        <v>328</v>
      </c>
      <c r="P93" s="18">
        <f t="shared" si="19"/>
        <v>43.049200000000013</v>
      </c>
      <c r="Q93" s="18">
        <f t="shared" si="20"/>
        <v>2195.5092000000004</v>
      </c>
      <c r="R93" s="18">
        <f t="shared" si="18"/>
        <v>351.28147200000006</v>
      </c>
    </row>
    <row r="94" spans="1:18" x14ac:dyDescent="0.2">
      <c r="A94" s="18" t="s">
        <v>329</v>
      </c>
      <c r="B94" s="18" t="s">
        <v>95</v>
      </c>
      <c r="C94" s="18" t="s">
        <v>330</v>
      </c>
      <c r="D94" s="18">
        <v>1917.3999999999996</v>
      </c>
      <c r="E94" s="18">
        <v>1200</v>
      </c>
      <c r="F94" s="24">
        <v>2000</v>
      </c>
      <c r="G94" s="18">
        <f t="shared" si="22"/>
        <v>0</v>
      </c>
      <c r="H94" s="18">
        <f t="shared" si="21"/>
        <v>5117.3999999999996</v>
      </c>
      <c r="J94" s="18">
        <f>VLOOKUP(C94,'IP PITSS'!$B$9:$U$90,3,0)</f>
        <v>0</v>
      </c>
      <c r="K94" s="25">
        <v>10500</v>
      </c>
      <c r="L94" s="18">
        <f t="shared" si="23"/>
        <v>0</v>
      </c>
      <c r="M94" s="18">
        <f>VLOOKUP(C94,'IP PITSS'!$B$9:$I$90,8,0)</f>
        <v>0</v>
      </c>
      <c r="N94" s="18">
        <f t="shared" si="24"/>
        <v>0</v>
      </c>
      <c r="O94" s="18" t="s">
        <v>331</v>
      </c>
      <c r="P94" s="18">
        <f t="shared" si="19"/>
        <v>102.348</v>
      </c>
      <c r="Q94" s="18">
        <f t="shared" si="20"/>
        <v>5219.7479999999996</v>
      </c>
      <c r="R94" s="18">
        <f t="shared" si="18"/>
        <v>835.15967999999998</v>
      </c>
    </row>
    <row r="95" spans="1:18" x14ac:dyDescent="0.2">
      <c r="A95" s="18" t="s">
        <v>37</v>
      </c>
      <c r="B95" s="18" t="s">
        <v>95</v>
      </c>
      <c r="C95" s="18" t="s">
        <v>332</v>
      </c>
      <c r="D95" s="18">
        <v>414.59999999999991</v>
      </c>
      <c r="E95" s="18">
        <v>225</v>
      </c>
      <c r="F95" s="24"/>
      <c r="G95" s="18">
        <f t="shared" si="22"/>
        <v>0</v>
      </c>
      <c r="H95" s="18">
        <f t="shared" si="21"/>
        <v>639.59999999999991</v>
      </c>
      <c r="J95" s="18">
        <f>VLOOKUP(C95,'IP PITSS'!$B$9:$U$90,3,0)</f>
        <v>0</v>
      </c>
      <c r="K95" s="25">
        <v>8000</v>
      </c>
      <c r="L95" s="18">
        <f t="shared" si="23"/>
        <v>0</v>
      </c>
      <c r="M95" s="18">
        <f>VLOOKUP(C95,'IP PITSS'!$B$9:$I$90,8,0)</f>
        <v>0</v>
      </c>
      <c r="N95" s="18">
        <f t="shared" si="24"/>
        <v>0</v>
      </c>
      <c r="O95" s="18" t="s">
        <v>333</v>
      </c>
      <c r="P95" s="18">
        <f t="shared" si="19"/>
        <v>12.791999999999998</v>
      </c>
      <c r="Q95" s="18">
        <f t="shared" si="20"/>
        <v>652.39199999999994</v>
      </c>
      <c r="R95" s="18">
        <f t="shared" si="18"/>
        <v>104.38271999999999</v>
      </c>
    </row>
    <row r="96" spans="1:18" x14ac:dyDescent="0.2">
      <c r="A96" s="18" t="s">
        <v>334</v>
      </c>
      <c r="B96" s="18" t="s">
        <v>95</v>
      </c>
      <c r="C96" s="18" t="s">
        <v>335</v>
      </c>
      <c r="D96" s="18">
        <v>416.19999999999982</v>
      </c>
      <c r="E96" s="18">
        <v>510</v>
      </c>
      <c r="F96" s="24"/>
      <c r="G96" s="18">
        <f t="shared" si="22"/>
        <v>0</v>
      </c>
      <c r="H96" s="18">
        <f t="shared" si="21"/>
        <v>926.19999999999982</v>
      </c>
      <c r="J96" s="18">
        <f>VLOOKUP(C96,'IP PITSS'!$B$9:$U$90,3,0)</f>
        <v>0</v>
      </c>
      <c r="K96" s="25">
        <v>8000</v>
      </c>
      <c r="L96" s="18">
        <f t="shared" si="23"/>
        <v>0</v>
      </c>
      <c r="M96" s="18">
        <f>VLOOKUP(C96,'IP PITSS'!$B$9:$I$90,8,0)</f>
        <v>0</v>
      </c>
      <c r="N96" s="18">
        <f t="shared" si="24"/>
        <v>0</v>
      </c>
      <c r="O96" s="18" t="s">
        <v>336</v>
      </c>
      <c r="P96" s="18">
        <f t="shared" si="19"/>
        <v>18.523999999999997</v>
      </c>
      <c r="Q96" s="18">
        <f t="shared" si="20"/>
        <v>944.72399999999982</v>
      </c>
      <c r="R96" s="18">
        <f t="shared" si="18"/>
        <v>151.15583999999998</v>
      </c>
    </row>
    <row r="97" spans="1:18" x14ac:dyDescent="0.2">
      <c r="A97" s="18" t="s">
        <v>337</v>
      </c>
      <c r="B97" s="18" t="s">
        <v>95</v>
      </c>
      <c r="C97" s="18" t="s">
        <v>338</v>
      </c>
      <c r="D97" s="18">
        <v>2667.23</v>
      </c>
      <c r="F97" s="24">
        <v>760</v>
      </c>
      <c r="G97" s="18">
        <f t="shared" si="22"/>
        <v>0</v>
      </c>
      <c r="H97" s="18">
        <f t="shared" si="21"/>
        <v>3427.23</v>
      </c>
      <c r="J97" s="18">
        <f>VLOOKUP(C97,'IP PITSS'!$B$9:$U$90,3,0)</f>
        <v>0</v>
      </c>
      <c r="K97" s="25">
        <v>12000</v>
      </c>
      <c r="L97" s="18">
        <f t="shared" si="23"/>
        <v>0</v>
      </c>
      <c r="M97" s="18">
        <f>VLOOKUP(C97,'IP PITSS'!$B$9:$I$90,8,0)</f>
        <v>0</v>
      </c>
      <c r="N97" s="18">
        <f t="shared" si="24"/>
        <v>0</v>
      </c>
      <c r="O97" s="18" t="s">
        <v>339</v>
      </c>
      <c r="P97" s="18">
        <f t="shared" si="19"/>
        <v>68.544600000000003</v>
      </c>
      <c r="Q97" s="18">
        <f t="shared" si="20"/>
        <v>3495.7746000000002</v>
      </c>
      <c r="R97" s="18">
        <f t="shared" si="18"/>
        <v>559.323936</v>
      </c>
    </row>
    <row r="98" spans="1:18" ht="14.25" customHeight="1" x14ac:dyDescent="0.2">
      <c r="A98" s="18" t="s">
        <v>340</v>
      </c>
      <c r="B98" s="18" t="s">
        <v>95</v>
      </c>
      <c r="C98" s="18" t="s">
        <v>341</v>
      </c>
      <c r="D98" s="18">
        <v>656.26000000000022</v>
      </c>
      <c r="E98" s="18">
        <v>270</v>
      </c>
      <c r="F98" s="24"/>
      <c r="G98" s="18">
        <f t="shared" si="22"/>
        <v>0</v>
      </c>
      <c r="H98" s="18">
        <f t="shared" si="21"/>
        <v>926.26000000000022</v>
      </c>
      <c r="J98" s="18">
        <f>VLOOKUP(C98,'IP PITSS'!$B$9:$U$90,3,0)</f>
        <v>0</v>
      </c>
      <c r="K98" s="25">
        <v>8000</v>
      </c>
      <c r="L98" s="18">
        <f t="shared" si="23"/>
        <v>0</v>
      </c>
      <c r="M98" s="18">
        <f>VLOOKUP(C98,'IP PITSS'!$B$9:$I$90,8,0)</f>
        <v>0</v>
      </c>
      <c r="N98" s="18">
        <f t="shared" si="24"/>
        <v>0</v>
      </c>
      <c r="O98" s="18" t="s">
        <v>342</v>
      </c>
      <c r="P98" s="18">
        <f t="shared" si="19"/>
        <v>18.525200000000005</v>
      </c>
      <c r="Q98" s="18">
        <f t="shared" si="20"/>
        <v>944.78520000000026</v>
      </c>
      <c r="R98" s="18">
        <f t="shared" si="18"/>
        <v>151.16563200000004</v>
      </c>
    </row>
    <row r="99" spans="1:18" ht="14.25" customHeight="1" x14ac:dyDescent="0.2">
      <c r="A99" s="18" t="s">
        <v>343</v>
      </c>
      <c r="B99" s="18" t="s">
        <v>95</v>
      </c>
      <c r="C99" s="18" t="s">
        <v>344</v>
      </c>
      <c r="D99" s="18">
        <v>135.21000000000004</v>
      </c>
      <c r="F99" s="24"/>
      <c r="G99" s="18">
        <f t="shared" si="22"/>
        <v>0</v>
      </c>
      <c r="H99" s="18">
        <f t="shared" si="21"/>
        <v>135.21000000000004</v>
      </c>
      <c r="J99" s="18">
        <f>VLOOKUP(C99,'IP PITSS'!$B$9:$U$90,3,0)</f>
        <v>0</v>
      </c>
      <c r="K99" s="25">
        <v>6000</v>
      </c>
      <c r="L99" s="18">
        <f t="shared" si="23"/>
        <v>0</v>
      </c>
      <c r="M99" s="18">
        <f>VLOOKUP(C99,'IP PITSS'!$B$9:$I$90,8,0)</f>
        <v>0</v>
      </c>
      <c r="N99" s="18">
        <f t="shared" si="24"/>
        <v>0</v>
      </c>
      <c r="O99" s="18" t="s">
        <v>345</v>
      </c>
      <c r="P99" s="18">
        <f t="shared" si="19"/>
        <v>2.7042000000000006</v>
      </c>
      <c r="Q99" s="18">
        <f t="shared" si="20"/>
        <v>137.91420000000005</v>
      </c>
      <c r="R99" s="18">
        <f t="shared" si="18"/>
        <v>22.066272000000009</v>
      </c>
    </row>
    <row r="100" spans="1:18" ht="14.25" customHeight="1" x14ac:dyDescent="0.2">
      <c r="A100" s="18" t="s">
        <v>347</v>
      </c>
      <c r="B100" s="18" t="s">
        <v>95</v>
      </c>
      <c r="C100" s="18" t="s">
        <v>348</v>
      </c>
      <c r="D100" s="18">
        <v>1135.19</v>
      </c>
      <c r="F100" s="24"/>
      <c r="G100" s="18">
        <f t="shared" si="22"/>
        <v>0</v>
      </c>
      <c r="H100" s="18">
        <f t="shared" si="21"/>
        <v>1135.19</v>
      </c>
      <c r="J100" s="18">
        <f>VLOOKUP(C100,'IP PITSS'!$B$9:$U$90,3,0)</f>
        <v>0</v>
      </c>
      <c r="K100" s="25">
        <v>8000</v>
      </c>
      <c r="L100" s="18">
        <f t="shared" si="23"/>
        <v>0</v>
      </c>
      <c r="M100" s="18">
        <f>VLOOKUP(C100,'IP PITSS'!$B$9:$I$90,8,0)</f>
        <v>0</v>
      </c>
      <c r="N100" s="18">
        <f t="shared" si="24"/>
        <v>0</v>
      </c>
      <c r="O100" s="18" t="s">
        <v>349</v>
      </c>
      <c r="P100" s="18">
        <f t="shared" si="19"/>
        <v>22.703800000000001</v>
      </c>
      <c r="Q100" s="18">
        <f t="shared" si="20"/>
        <v>1157.8938000000001</v>
      </c>
      <c r="R100" s="18">
        <f t="shared" si="18"/>
        <v>185.26300800000001</v>
      </c>
    </row>
    <row r="101" spans="1:18" ht="14.25" customHeight="1" x14ac:dyDescent="0.2">
      <c r="B101" s="18" t="s">
        <v>95</v>
      </c>
      <c r="C101" s="18" t="s">
        <v>350</v>
      </c>
      <c r="D101" s="18">
        <v>53.399999999999636</v>
      </c>
      <c r="F101" s="24"/>
      <c r="G101" s="18">
        <f t="shared" si="22"/>
        <v>0</v>
      </c>
      <c r="H101" s="18">
        <f t="shared" si="21"/>
        <v>53.399999999999636</v>
      </c>
      <c r="J101" s="18">
        <f>VLOOKUP(C101,'IP PITSS'!$B$9:$U$90,3,0)</f>
        <v>0</v>
      </c>
      <c r="K101" s="25">
        <v>5000</v>
      </c>
      <c r="L101" s="18">
        <f t="shared" si="23"/>
        <v>0</v>
      </c>
      <c r="M101" s="18">
        <f>VLOOKUP(C101,'IP PITSS'!$B$9:$I$90,8,0)</f>
        <v>0</v>
      </c>
      <c r="N101" s="18">
        <f t="shared" si="24"/>
        <v>0</v>
      </c>
      <c r="O101" s="18" t="s">
        <v>351</v>
      </c>
      <c r="P101" s="18">
        <f t="shared" si="19"/>
        <v>1.0679999999999927</v>
      </c>
      <c r="Q101" s="18">
        <f t="shared" si="20"/>
        <v>54.467999999999627</v>
      </c>
      <c r="R101" s="18">
        <f t="shared" si="18"/>
        <v>8.7148799999999405</v>
      </c>
    </row>
    <row r="102" spans="1:18" ht="14.25" customHeight="1" x14ac:dyDescent="0.25">
      <c r="B102" s="37" t="s">
        <v>95</v>
      </c>
      <c r="C102" s="38" t="s">
        <v>352</v>
      </c>
      <c r="D102" s="18">
        <v>308.80000000000018</v>
      </c>
      <c r="E102" s="18">
        <v>325</v>
      </c>
      <c r="F102" s="24"/>
      <c r="G102" s="18">
        <f t="shared" si="22"/>
        <v>0</v>
      </c>
      <c r="H102" s="18">
        <f t="shared" si="21"/>
        <v>633.80000000000018</v>
      </c>
      <c r="J102" s="18">
        <f>VLOOKUP(C102,'IP PITSS'!$B$9:$U$90,3,0)</f>
        <v>0</v>
      </c>
      <c r="K102" s="25"/>
      <c r="M102" s="18">
        <f>VLOOKUP(C102,'IP PITSS'!$B$9:$I$90,8,0)</f>
        <v>0</v>
      </c>
      <c r="O102" s="18" t="s">
        <v>353</v>
      </c>
      <c r="P102" s="18">
        <f t="shared" si="19"/>
        <v>12.676000000000004</v>
      </c>
      <c r="Q102" s="18">
        <f t="shared" si="20"/>
        <v>646.47600000000023</v>
      </c>
      <c r="R102" s="18">
        <f t="shared" si="18"/>
        <v>103.43616000000004</v>
      </c>
    </row>
    <row r="103" spans="1:18" ht="14.25" customHeight="1" x14ac:dyDescent="0.25">
      <c r="B103" s="37" t="s">
        <v>95</v>
      </c>
      <c r="C103" s="38" t="s">
        <v>440</v>
      </c>
      <c r="F103" s="24"/>
      <c r="G103" s="18">
        <f t="shared" ref="G103" si="25">+N103</f>
        <v>0</v>
      </c>
      <c r="H103" s="18">
        <f t="shared" ref="H103" si="26">SUM(D103:G103)</f>
        <v>0</v>
      </c>
      <c r="J103" s="18">
        <f>VLOOKUP(C103,'IP PITSS'!$B$9:$U$90,3,0)</f>
        <v>0</v>
      </c>
      <c r="K103" s="25"/>
      <c r="M103" s="18">
        <f>VLOOKUP(C103,'IP PITSS'!$B$9:$I$90,8,0)</f>
        <v>0</v>
      </c>
    </row>
    <row r="104" spans="1:18" ht="13.5" customHeight="1" x14ac:dyDescent="0.2">
      <c r="D104" s="28">
        <f>SUBTOTAL(9,D3:D102)</f>
        <v>151352.48500000004</v>
      </c>
      <c r="E104" s="28">
        <f t="shared" ref="E104:G104" si="27">SUBTOTAL(9,E3:E102)</f>
        <v>37527.93</v>
      </c>
      <c r="F104" s="28">
        <f t="shared" si="27"/>
        <v>10960</v>
      </c>
      <c r="G104" s="28">
        <f t="shared" si="27"/>
        <v>796.42</v>
      </c>
      <c r="H104" s="28">
        <f>SUBTOTAL(9,H3:H102)</f>
        <v>200636.83500000002</v>
      </c>
      <c r="J104" s="28">
        <f t="shared" ref="J104" si="28">SUBTOTAL(9,J3:J102)</f>
        <v>14</v>
      </c>
      <c r="K104" s="28">
        <f t="shared" ref="K104" si="29">SUBTOTAL(9,K3:K102)</f>
        <v>1001531.02</v>
      </c>
      <c r="L104" s="28">
        <f t="shared" ref="L104" si="30">SUBTOTAL(9,L3:L102)</f>
        <v>1906</v>
      </c>
      <c r="M104" s="28">
        <f t="shared" ref="M104" si="31">SUBTOTAL(9,M3:M102)</f>
        <v>1109.58</v>
      </c>
      <c r="N104" s="28">
        <f t="shared" ref="N104" si="32">SUBTOTAL(9,N3:N102)</f>
        <v>796.42</v>
      </c>
    </row>
    <row r="105" spans="1:18" ht="13.5" customHeight="1" x14ac:dyDescent="0.2">
      <c r="D105" s="28"/>
      <c r="E105" s="28"/>
      <c r="F105" s="28"/>
      <c r="G105" s="28"/>
      <c r="H105" s="28"/>
      <c r="J105" s="28"/>
      <c r="K105" s="28"/>
      <c r="L105" s="28"/>
      <c r="M105" s="28"/>
      <c r="N105" s="28"/>
    </row>
    <row r="106" spans="1:18" x14ac:dyDescent="0.2">
      <c r="B106" s="39"/>
      <c r="D106" s="40"/>
      <c r="E106" s="40"/>
      <c r="G106" s="99" t="s">
        <v>426</v>
      </c>
      <c r="H106" s="41">
        <f>+H104</f>
        <v>200636.83500000002</v>
      </c>
    </row>
    <row r="107" spans="1:18" x14ac:dyDescent="0.2">
      <c r="A107" s="39"/>
      <c r="B107" s="39"/>
      <c r="C107" s="39"/>
      <c r="G107" s="98" t="s">
        <v>422</v>
      </c>
      <c r="H107" s="42">
        <v>0</v>
      </c>
    </row>
    <row r="108" spans="1:18" x14ac:dyDescent="0.2">
      <c r="A108" s="39"/>
      <c r="C108" s="39"/>
      <c r="G108" s="98" t="s">
        <v>406</v>
      </c>
      <c r="H108" s="41">
        <f>+H106+H107</f>
        <v>200636.83500000002</v>
      </c>
    </row>
    <row r="109" spans="1:18" x14ac:dyDescent="0.2">
      <c r="A109" s="39"/>
      <c r="B109" s="39"/>
      <c r="C109" s="39"/>
      <c r="G109" s="98" t="s">
        <v>86</v>
      </c>
      <c r="H109" s="41">
        <f>+H108*2%</f>
        <v>4012.7367000000004</v>
      </c>
    </row>
    <row r="110" spans="1:18" x14ac:dyDescent="0.2">
      <c r="A110" s="39"/>
      <c r="B110" s="39"/>
      <c r="C110" s="39"/>
      <c r="D110" s="18">
        <v>0</v>
      </c>
      <c r="G110" s="98" t="s">
        <v>423</v>
      </c>
      <c r="H110" s="41">
        <f>+H108+H109</f>
        <v>204649.57170000003</v>
      </c>
    </row>
    <row r="111" spans="1:18" x14ac:dyDescent="0.2">
      <c r="B111" s="39"/>
      <c r="G111" s="98"/>
      <c r="H111" s="42"/>
    </row>
    <row r="112" spans="1:18" x14ac:dyDescent="0.2">
      <c r="B112" s="39"/>
      <c r="G112" s="98"/>
      <c r="H112" s="42"/>
    </row>
    <row r="113" spans="7:8" x14ac:dyDescent="0.2">
      <c r="G113" s="98" t="s">
        <v>424</v>
      </c>
      <c r="H113" s="41">
        <f>+H110</f>
        <v>204649.57170000003</v>
      </c>
    </row>
    <row r="114" spans="7:8" x14ac:dyDescent="0.2">
      <c r="G114" s="98" t="s">
        <v>31</v>
      </c>
      <c r="H114" s="42">
        <f>+H113*16%</f>
        <v>32743.931472000004</v>
      </c>
    </row>
    <row r="115" spans="7:8" x14ac:dyDescent="0.2">
      <c r="G115" s="98" t="s">
        <v>425</v>
      </c>
      <c r="H115" s="41">
        <f>+H113+H114</f>
        <v>237393.50317200003</v>
      </c>
    </row>
    <row r="116" spans="7:8" ht="15.75" customHeight="1" x14ac:dyDescent="0.2"/>
  </sheetData>
  <autoFilter ref="A2:N110" xr:uid="{00000000-0009-0000-0000-000002000000}"/>
  <sortState xmlns:xlrd2="http://schemas.microsoft.com/office/spreadsheetml/2017/richdata2" ref="A3:Q102">
    <sortCondition ref="B3:B102"/>
  </sortState>
  <mergeCells count="2">
    <mergeCell ref="D1:H1"/>
    <mergeCell ref="J1:N1"/>
  </mergeCells>
  <pageMargins left="0.7" right="0.7" top="0.75" bottom="0.75" header="0.3" footer="0.3"/>
  <pageSetup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J107"/>
  <sheetViews>
    <sheetView showGridLines="0" tabSelected="1" zoomScale="90" zoomScaleNormal="90" workbookViewId="0">
      <pane xSplit="3" ySplit="2" topLeftCell="Q85" activePane="bottomRight" state="frozen"/>
      <selection activeCell="E31" sqref="E31"/>
      <selection pane="topRight" activeCell="E31" sqref="E31"/>
      <selection pane="bottomLeft" activeCell="E31" sqref="E31"/>
      <selection pane="bottomRight" activeCell="Y3" sqref="Y3:Y103"/>
    </sheetView>
  </sheetViews>
  <sheetFormatPr baseColWidth="10" defaultColWidth="11.42578125" defaultRowHeight="12.75" x14ac:dyDescent="0.2"/>
  <cols>
    <col min="1" max="1" width="11.42578125" style="30"/>
    <col min="2" max="2" width="15.5703125" style="30" customWidth="1"/>
    <col min="3" max="3" width="46.28515625" style="76" customWidth="1"/>
    <col min="4" max="4" width="17.7109375" style="30" customWidth="1"/>
    <col min="5" max="5" width="4" style="43" customWidth="1"/>
    <col min="6" max="9" width="16.140625" style="30" customWidth="1"/>
    <col min="10" max="10" width="3.5703125" style="43" customWidth="1"/>
    <col min="11" max="11" width="19.5703125" style="30" customWidth="1"/>
    <col min="12" max="12" width="22.5703125" style="30" customWidth="1"/>
    <col min="13" max="13" width="19.5703125" style="30" customWidth="1"/>
    <col min="14" max="14" width="3.7109375" style="44" customWidth="1"/>
    <col min="15" max="19" width="13.28515625" style="30" customWidth="1"/>
    <col min="20" max="20" width="3.140625" style="44" customWidth="1"/>
    <col min="21" max="21" width="16.7109375" style="30" customWidth="1"/>
    <col min="22" max="22" width="13.85546875" style="36" customWidth="1"/>
    <col min="23" max="23" width="21" style="46" bestFit="1" customWidth="1"/>
    <col min="24" max="36" width="11.42578125" style="47" customWidth="1"/>
    <col min="37" max="244" width="11.42578125" style="47"/>
    <col min="245" max="16384" width="11.42578125" style="30"/>
  </cols>
  <sheetData>
    <row r="1" spans="1:244" s="45" customFormat="1" x14ac:dyDescent="0.2">
      <c r="A1" s="122"/>
      <c r="B1" s="122"/>
      <c r="C1" s="122"/>
      <c r="D1" s="122"/>
      <c r="E1" s="43"/>
      <c r="F1" s="122" t="s">
        <v>79</v>
      </c>
      <c r="G1" s="122"/>
      <c r="H1" s="122"/>
      <c r="I1" s="122"/>
      <c r="J1" s="43"/>
      <c r="K1" s="122"/>
      <c r="L1" s="122"/>
      <c r="M1" s="122"/>
      <c r="N1" s="44"/>
      <c r="O1" s="122"/>
      <c r="P1" s="122"/>
      <c r="Q1" s="122"/>
      <c r="R1" s="122"/>
      <c r="S1" s="122"/>
      <c r="T1" s="44"/>
      <c r="V1" s="36"/>
      <c r="W1" s="46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  <c r="DV1" s="47"/>
      <c r="DW1" s="47"/>
      <c r="DX1" s="47"/>
      <c r="DY1" s="47"/>
      <c r="DZ1" s="47"/>
      <c r="EA1" s="47"/>
      <c r="EB1" s="47"/>
      <c r="EC1" s="47"/>
      <c r="ED1" s="47"/>
      <c r="EE1" s="47"/>
      <c r="EF1" s="47"/>
      <c r="EG1" s="47"/>
      <c r="EH1" s="47"/>
      <c r="EI1" s="47"/>
      <c r="EJ1" s="47"/>
      <c r="EK1" s="47"/>
      <c r="EL1" s="47"/>
      <c r="EM1" s="47"/>
      <c r="EN1" s="47"/>
      <c r="EO1" s="47"/>
      <c r="EP1" s="47"/>
      <c r="EQ1" s="47"/>
      <c r="ER1" s="47"/>
      <c r="ES1" s="47"/>
      <c r="ET1" s="47"/>
      <c r="EU1" s="47"/>
      <c r="EV1" s="47"/>
      <c r="EW1" s="47"/>
      <c r="EX1" s="47"/>
      <c r="EY1" s="47"/>
      <c r="EZ1" s="47"/>
      <c r="FA1" s="47"/>
      <c r="FB1" s="47"/>
      <c r="FC1" s="47"/>
      <c r="FD1" s="47"/>
      <c r="FE1" s="47"/>
      <c r="FF1" s="47"/>
      <c r="FG1" s="47"/>
      <c r="FH1" s="47"/>
      <c r="FI1" s="47"/>
      <c r="FJ1" s="47"/>
      <c r="FK1" s="47"/>
      <c r="FL1" s="47"/>
      <c r="FM1" s="47"/>
      <c r="FN1" s="47"/>
      <c r="FO1" s="47"/>
      <c r="FP1" s="47"/>
      <c r="FQ1" s="47"/>
      <c r="FR1" s="47"/>
      <c r="FS1" s="47"/>
      <c r="FT1" s="47"/>
      <c r="FU1" s="47"/>
      <c r="FV1" s="47"/>
      <c r="FW1" s="47"/>
      <c r="FX1" s="47"/>
      <c r="FY1" s="47"/>
      <c r="FZ1" s="47"/>
      <c r="GA1" s="47"/>
      <c r="GB1" s="47"/>
      <c r="GC1" s="47"/>
      <c r="GD1" s="47"/>
      <c r="GE1" s="47"/>
      <c r="GF1" s="47"/>
      <c r="GG1" s="47"/>
      <c r="GH1" s="47"/>
      <c r="GI1" s="47"/>
      <c r="GJ1" s="47"/>
      <c r="GK1" s="47"/>
      <c r="GL1" s="47"/>
      <c r="GM1" s="47"/>
      <c r="GN1" s="47"/>
      <c r="GO1" s="47"/>
      <c r="GP1" s="47"/>
      <c r="GQ1" s="47"/>
      <c r="GR1" s="47"/>
      <c r="GS1" s="47"/>
      <c r="GT1" s="47"/>
      <c r="GU1" s="47"/>
      <c r="GV1" s="47"/>
      <c r="GW1" s="47"/>
      <c r="GX1" s="47"/>
      <c r="GY1" s="47"/>
      <c r="GZ1" s="47"/>
      <c r="HA1" s="47"/>
      <c r="HB1" s="47"/>
      <c r="HC1" s="47"/>
      <c r="HD1" s="47"/>
      <c r="HE1" s="47"/>
      <c r="HF1" s="47"/>
      <c r="HG1" s="47"/>
      <c r="HH1" s="47"/>
      <c r="HI1" s="47"/>
      <c r="HJ1" s="47"/>
      <c r="HK1" s="47"/>
      <c r="HL1" s="47"/>
      <c r="HM1" s="47"/>
      <c r="HN1" s="47"/>
      <c r="HO1" s="47"/>
      <c r="HP1" s="47"/>
      <c r="HQ1" s="47"/>
      <c r="HR1" s="47"/>
      <c r="HS1" s="47"/>
      <c r="HT1" s="47"/>
      <c r="HU1" s="47"/>
      <c r="HV1" s="47"/>
      <c r="HW1" s="47"/>
      <c r="HX1" s="47"/>
      <c r="HY1" s="47"/>
      <c r="HZ1" s="47"/>
      <c r="IA1" s="47"/>
      <c r="IB1" s="47"/>
      <c r="IC1" s="47"/>
      <c r="ID1" s="47"/>
      <c r="IE1" s="47"/>
      <c r="IF1" s="47"/>
      <c r="IG1" s="47"/>
      <c r="IH1" s="47"/>
      <c r="II1" s="47"/>
      <c r="IJ1" s="47"/>
    </row>
    <row r="2" spans="1:244" ht="39" thickBot="1" x14ac:dyDescent="0.25">
      <c r="A2" s="48" t="s">
        <v>81</v>
      </c>
      <c r="B2" s="48" t="s">
        <v>82</v>
      </c>
      <c r="C2" s="48" t="s">
        <v>83</v>
      </c>
      <c r="D2" s="48" t="s">
        <v>354</v>
      </c>
      <c r="E2" s="49"/>
      <c r="F2" s="50" t="s">
        <v>355</v>
      </c>
      <c r="G2" s="50" t="s">
        <v>85</v>
      </c>
      <c r="H2" s="50" t="s">
        <v>86</v>
      </c>
      <c r="I2" s="50" t="s">
        <v>356</v>
      </c>
      <c r="J2" s="49" t="s">
        <v>357</v>
      </c>
      <c r="K2" s="51" t="s">
        <v>358</v>
      </c>
      <c r="L2" s="48" t="s">
        <v>359</v>
      </c>
      <c r="M2" s="52" t="s">
        <v>360</v>
      </c>
      <c r="N2" s="53" t="s">
        <v>361</v>
      </c>
      <c r="O2" s="48" t="s">
        <v>362</v>
      </c>
      <c r="P2" s="48" t="s">
        <v>363</v>
      </c>
      <c r="Q2" s="48" t="s">
        <v>364</v>
      </c>
      <c r="R2" s="48" t="s">
        <v>365</v>
      </c>
      <c r="S2" s="48" t="s">
        <v>366</v>
      </c>
      <c r="T2" s="53" t="s">
        <v>367</v>
      </c>
      <c r="U2" s="54" t="s">
        <v>368</v>
      </c>
      <c r="V2" s="54" t="s">
        <v>369</v>
      </c>
      <c r="W2" s="55" t="s">
        <v>370</v>
      </c>
      <c r="Y2" s="47" t="s">
        <v>453</v>
      </c>
    </row>
    <row r="3" spans="1:244" s="47" customFormat="1" ht="13.5" thickTop="1" x14ac:dyDescent="0.2">
      <c r="A3" s="25" t="s">
        <v>39</v>
      </c>
      <c r="B3" s="25" t="s">
        <v>110</v>
      </c>
      <c r="C3" s="56" t="s">
        <v>40</v>
      </c>
      <c r="D3" s="25">
        <f>VLOOKUP(C3,'CPD PITSS'!B9:V26,21,0)</f>
        <v>2774.6</v>
      </c>
      <c r="E3" s="57"/>
      <c r="F3" s="47">
        <f>VLOOKUP($C3,'SIND PITS'!$C$3:$G$20,2,0)</f>
        <v>1475.4</v>
      </c>
      <c r="G3" s="47">
        <f>VLOOKUP($C3,'SIND PITS'!$C$3:$G$20,3,0)</f>
        <v>100</v>
      </c>
      <c r="H3" s="47">
        <f>VLOOKUP($C3,'SIND PITS'!$C$3:$G$20,4,0)</f>
        <v>0</v>
      </c>
      <c r="I3" s="47">
        <f>VLOOKUP($C3,'SIND PITS'!$C$3:$G$20,5,0)</f>
        <v>0</v>
      </c>
      <c r="J3" s="43"/>
      <c r="K3" s="47">
        <f>SUM(D3:I3)</f>
        <v>4350</v>
      </c>
      <c r="L3" s="47">
        <v>8500</v>
      </c>
      <c r="M3" s="47">
        <f>+L3/2</f>
        <v>4250</v>
      </c>
      <c r="N3" s="44"/>
      <c r="O3" s="47">
        <f>VLOOKUP($C3,'CPD PITSS'!$B$9:$V$26,8,0)</f>
        <v>0</v>
      </c>
      <c r="P3" s="47">
        <f>+G3+H3+I3</f>
        <v>100</v>
      </c>
      <c r="Q3" s="47">
        <f>(VLOOKUP($C3,'CPD PITSS'!$B$9:$V$26,13,0))+(VLOOKUP($C3,'CPD PITSS'!$B$9:$V$26,14,0))</f>
        <v>0</v>
      </c>
      <c r="S3" s="47">
        <v>0</v>
      </c>
      <c r="T3" s="44"/>
      <c r="U3" s="47">
        <f>+K3-O3-P3+Q3+R3+S3</f>
        <v>4250</v>
      </c>
      <c r="V3" s="36">
        <f t="shared" ref="V3:V66" si="0">+M3-U3</f>
        <v>0</v>
      </c>
      <c r="W3" s="36"/>
      <c r="X3" s="47" t="s">
        <v>202</v>
      </c>
      <c r="Y3" s="36">
        <f ca="1">IFERROR(OFFSET('CPD PITSS'!$AN$8,MATCH('RESUMEN PITS'!C3,'CPD PITSS'!$B$9:$B$26,0),0),0)+IFERROR(OFFSET('IP PITSS'!$AL$8,MATCH('RESUMEN PITS'!C3,'IP PITSS'!$B$9:$B$90,0),0),0)+IFERROR(OFFSET('SIND PITS'!$Q$2,MATCH('RESUMEN PITS'!C3,'SIND PITS'!$C$3:$C$103,0),0),0)</f>
        <v>5772.0882000000011</v>
      </c>
    </row>
    <row r="4" spans="1:244" s="47" customFormat="1" x14ac:dyDescent="0.2">
      <c r="A4" s="25" t="s">
        <v>41</v>
      </c>
      <c r="B4" s="25" t="s">
        <v>110</v>
      </c>
      <c r="C4" s="56" t="s">
        <v>42</v>
      </c>
      <c r="D4" s="25">
        <f>VLOOKUP(C4,'CPD PITSS'!B10:V27,21,0)</f>
        <v>2912</v>
      </c>
      <c r="E4" s="57"/>
      <c r="F4" s="47">
        <f>VLOOKUP($C4,'SIND PITS'!$C$3:$G$20,2,0)</f>
        <v>1588.0000000000005</v>
      </c>
      <c r="G4" s="47">
        <f>VLOOKUP($C4,'SIND PITS'!$C$3:$G$20,3,0)</f>
        <v>400</v>
      </c>
      <c r="H4" s="47">
        <f>VLOOKUP($C4,'SIND PITS'!$C$3:$G$20,4,0)</f>
        <v>0</v>
      </c>
      <c r="I4" s="47">
        <f>VLOOKUP($C4,'SIND PITS'!$C$3:$G$20,5,0)</f>
        <v>0</v>
      </c>
      <c r="J4" s="43"/>
      <c r="K4" s="47">
        <f t="shared" ref="K4:K67" si="1">SUM(D4:I4)</f>
        <v>4900</v>
      </c>
      <c r="L4" s="47">
        <v>9000</v>
      </c>
      <c r="M4" s="47">
        <f t="shared" ref="M4:M68" si="2">+L4/2</f>
        <v>4500</v>
      </c>
      <c r="N4" s="44"/>
      <c r="O4" s="47">
        <f>VLOOKUP($C4,'CPD PITSS'!$B$9:$V$26,8,0)</f>
        <v>0</v>
      </c>
      <c r="P4" s="47">
        <f t="shared" ref="P4:P20" si="3">+G4+H4+I4</f>
        <v>400</v>
      </c>
      <c r="Q4" s="47">
        <f>(VLOOKUP($C4,'CPD PITSS'!$B$9:$V$26,13,0))+(VLOOKUP($C4,'CPD PITSS'!$B$9:$V$26,14,0))</f>
        <v>0</v>
      </c>
      <c r="S4" s="47">
        <v>0</v>
      </c>
      <c r="T4" s="44"/>
      <c r="U4" s="47">
        <f t="shared" ref="U4:U20" si="4">+K4-O4-P4+Q4+R4+S4</f>
        <v>4500</v>
      </c>
      <c r="V4" s="36">
        <f t="shared" si="0"/>
        <v>0</v>
      </c>
      <c r="W4" s="36"/>
      <c r="X4" s="47" t="s">
        <v>302</v>
      </c>
      <c r="Y4" s="36">
        <f ca="1">IFERROR(OFFSET('CPD PITSS'!$AN$8,MATCH('RESUMEN PITS'!C4,'CPD PITSS'!$B$9:$B$26,0),0),0)+IFERROR(OFFSET('IP PITSS'!$AL$8,MATCH('RESUMEN PITS'!C4,'IP PITSS'!$B$9:$B$90,0),0),0)+IFERROR(OFFSET('SIND PITS'!$Q$2,MATCH('RESUMEN PITS'!C4,'SIND PITS'!$C$3:$C$103,0),0),0)</f>
        <v>6356.7420000000002</v>
      </c>
    </row>
    <row r="5" spans="1:244" s="47" customFormat="1" x14ac:dyDescent="0.2">
      <c r="A5" s="25" t="s">
        <v>43</v>
      </c>
      <c r="B5" s="25" t="s">
        <v>110</v>
      </c>
      <c r="C5" s="56" t="s">
        <v>44</v>
      </c>
      <c r="D5" s="25">
        <f>VLOOKUP(C5,'CPD PITSS'!B11:V28,21,0)</f>
        <v>4036</v>
      </c>
      <c r="E5" s="57"/>
      <c r="F5" s="47">
        <f>VLOOKUP($C5,'SIND PITS'!$C$3:$G$20,2,0)</f>
        <v>2464</v>
      </c>
      <c r="G5" s="47">
        <f>VLOOKUP($C5,'SIND PITS'!$C$3:$G$20,3,0)</f>
        <v>1000</v>
      </c>
      <c r="H5" s="47">
        <f>VLOOKUP($C5,'SIND PITS'!$C$3:$G$20,4,0)</f>
        <v>0</v>
      </c>
      <c r="I5" s="47">
        <f>VLOOKUP($C5,'SIND PITS'!$C$3:$G$20,5,0)</f>
        <v>0</v>
      </c>
      <c r="J5" s="43"/>
      <c r="K5" s="47">
        <f t="shared" si="1"/>
        <v>7500</v>
      </c>
      <c r="L5" s="47">
        <v>13000</v>
      </c>
      <c r="M5" s="47">
        <f t="shared" si="2"/>
        <v>6500</v>
      </c>
      <c r="N5" s="44"/>
      <c r="O5" s="47">
        <f>VLOOKUP($C5,'CPD PITSS'!$B$9:$V$26,8,0)</f>
        <v>0</v>
      </c>
      <c r="P5" s="47">
        <f t="shared" si="3"/>
        <v>1000</v>
      </c>
      <c r="Q5" s="47">
        <f>(VLOOKUP($C5,'CPD PITSS'!$B$9:$V$26,13,0))+(VLOOKUP($C5,'CPD PITSS'!$B$9:$V$26,14,0))</f>
        <v>0</v>
      </c>
      <c r="S5" s="47">
        <v>0</v>
      </c>
      <c r="T5" s="44"/>
      <c r="U5" s="47">
        <f t="shared" si="4"/>
        <v>6500</v>
      </c>
      <c r="V5" s="36">
        <f t="shared" si="0"/>
        <v>0</v>
      </c>
      <c r="W5" s="36"/>
      <c r="X5" s="47" t="s">
        <v>276</v>
      </c>
      <c r="Y5" s="36">
        <f ca="1">IFERROR(OFFSET('CPD PITSS'!$AN$8,MATCH('RESUMEN PITS'!C5,'CPD PITSS'!$B$9:$B$26,0),0),0)+IFERROR(OFFSET('IP PITSS'!$AL$8,MATCH('RESUMEN PITS'!C5,'IP PITSS'!$B$9:$B$90,0),0),0)+IFERROR(OFFSET('SIND PITS'!$Q$2,MATCH('RESUMEN PITS'!C5,'SIND PITS'!$C$3:$C$103,0),0),0)</f>
        <v>9198.3701999999994</v>
      </c>
    </row>
    <row r="6" spans="1:244" s="47" customFormat="1" x14ac:dyDescent="0.2">
      <c r="A6" s="25" t="s">
        <v>45</v>
      </c>
      <c r="B6" s="25" t="s">
        <v>110</v>
      </c>
      <c r="C6" s="56" t="s">
        <v>46</v>
      </c>
      <c r="D6" s="25">
        <f>VLOOKUP(C6,'CPD PITSS'!B12:V29,21,0)</f>
        <v>5074</v>
      </c>
      <c r="E6" s="57"/>
      <c r="F6" s="47">
        <f>VLOOKUP($C6,'SIND PITS'!$C$3:$G$20,2,0)</f>
        <v>4175.9999999999991</v>
      </c>
      <c r="G6" s="47">
        <f>VLOOKUP($C6,'SIND PITS'!$C$3:$G$20,3,0)</f>
        <v>750</v>
      </c>
      <c r="H6" s="47">
        <f>VLOOKUP($C6,'SIND PITS'!$C$3:$G$20,4,0)</f>
        <v>0</v>
      </c>
      <c r="I6" s="47">
        <f>VLOOKUP($C6,'SIND PITS'!$C$3:$G$20,5,0)</f>
        <v>0</v>
      </c>
      <c r="J6" s="43"/>
      <c r="K6" s="47">
        <f t="shared" si="1"/>
        <v>10000</v>
      </c>
      <c r="L6" s="47">
        <v>18500</v>
      </c>
      <c r="M6" s="47">
        <f t="shared" si="2"/>
        <v>9250</v>
      </c>
      <c r="N6" s="44"/>
      <c r="O6" s="47">
        <f>VLOOKUP($C6,'CPD PITSS'!$B$9:$V$26,8,0)</f>
        <v>0</v>
      </c>
      <c r="P6" s="47">
        <f t="shared" si="3"/>
        <v>750</v>
      </c>
      <c r="Q6" s="47">
        <f>(VLOOKUP($C6,'CPD PITSS'!$B$9:$V$26,13,0))+(VLOOKUP($C6,'CPD PITSS'!$B$9:$V$26,14,0))</f>
        <v>0</v>
      </c>
      <c r="S6" s="47">
        <v>0</v>
      </c>
      <c r="T6" s="44"/>
      <c r="U6" s="47">
        <f t="shared" si="4"/>
        <v>9250</v>
      </c>
      <c r="V6" s="36">
        <f t="shared" si="0"/>
        <v>0</v>
      </c>
      <c r="W6" s="36"/>
      <c r="X6" s="47" t="s">
        <v>346</v>
      </c>
      <c r="Y6" s="36">
        <f ca="1">IFERROR(OFFSET('CPD PITSS'!$AN$8,MATCH('RESUMEN PITS'!C6,'CPD PITSS'!$B$9:$B$26,0),0),0)+IFERROR(OFFSET('IP PITSS'!$AL$8,MATCH('RESUMEN PITS'!C6,'IP PITSS'!$B$9:$B$90,0),0),0)+IFERROR(OFFSET('SIND PITS'!$Q$2,MATCH('RESUMEN PITS'!C6,'SIND PITS'!$C$3:$C$103,0),0),0)</f>
        <v>11948.728799999999</v>
      </c>
    </row>
    <row r="7" spans="1:244" s="47" customFormat="1" x14ac:dyDescent="0.2">
      <c r="A7" s="25" t="s">
        <v>47</v>
      </c>
      <c r="B7" s="25" t="s">
        <v>110</v>
      </c>
      <c r="C7" s="56" t="s">
        <v>48</v>
      </c>
      <c r="D7" s="25">
        <f>VLOOKUP(C7,'CPD PITSS'!B13:V30,21,0)</f>
        <v>4899.8</v>
      </c>
      <c r="E7" s="57"/>
      <c r="F7" s="47">
        <f>VLOOKUP($C7,'SIND PITS'!$C$3:$G$20,2,0)</f>
        <v>2600.3999999999996</v>
      </c>
      <c r="G7" s="47">
        <f>VLOOKUP($C7,'SIND PITS'!$C$3:$G$20,3,0)</f>
        <v>337.5</v>
      </c>
      <c r="H7" s="47">
        <f>VLOOKUP($C7,'SIND PITS'!$C$3:$G$20,4,0)</f>
        <v>0</v>
      </c>
      <c r="I7" s="47">
        <f>VLOOKUP($C7,'SIND PITS'!$C$3:$G$20,5,0)</f>
        <v>0</v>
      </c>
      <c r="J7" s="43"/>
      <c r="K7" s="47">
        <f t="shared" si="1"/>
        <v>7837.7</v>
      </c>
      <c r="L7" s="47">
        <v>15000</v>
      </c>
      <c r="M7" s="47">
        <f t="shared" si="2"/>
        <v>7500</v>
      </c>
      <c r="N7" s="44"/>
      <c r="O7" s="47">
        <f>VLOOKUP($C7,'CPD PITSS'!$B$9:$V$26,8,0)</f>
        <v>0</v>
      </c>
      <c r="P7" s="47">
        <f t="shared" si="3"/>
        <v>337.5</v>
      </c>
      <c r="Q7" s="47">
        <f>(VLOOKUP($C7,'CPD PITSS'!$B$9:$V$26,13,0))+(VLOOKUP($C7,'CPD PITSS'!$B$9:$V$26,14,0))</f>
        <v>0</v>
      </c>
      <c r="S7" s="47">
        <v>0</v>
      </c>
      <c r="T7" s="44"/>
      <c r="U7" s="47">
        <f t="shared" si="4"/>
        <v>7500.2</v>
      </c>
      <c r="V7" s="36">
        <f t="shared" si="0"/>
        <v>-0.1999999999998181</v>
      </c>
      <c r="W7" s="36"/>
      <c r="X7" s="47" t="s">
        <v>283</v>
      </c>
      <c r="Y7" s="36">
        <f ca="1">IFERROR(OFFSET('CPD PITSS'!$AN$8,MATCH('RESUMEN PITS'!C7,'CPD PITSS'!$B$9:$B$26,0),0),0)+IFERROR(OFFSET('IP PITSS'!$AL$8,MATCH('RESUMEN PITS'!C7,'IP PITSS'!$B$9:$B$90,0),0),0)+IFERROR(OFFSET('SIND PITS'!$Q$2,MATCH('RESUMEN PITS'!C7,'SIND PITS'!$C$3:$C$103,0),0),0)</f>
        <v>9712.266599999999</v>
      </c>
    </row>
    <row r="8" spans="1:244" s="47" customFormat="1" x14ac:dyDescent="0.2">
      <c r="A8" s="25" t="s">
        <v>49</v>
      </c>
      <c r="B8" s="25" t="s">
        <v>110</v>
      </c>
      <c r="C8" s="56" t="s">
        <v>50</v>
      </c>
      <c r="D8" s="25">
        <f>VLOOKUP(C8,'CPD PITSS'!B14:V31,21,0)</f>
        <v>2105.1999999999998</v>
      </c>
      <c r="E8" s="57"/>
      <c r="F8" s="47">
        <f>VLOOKUP($C8,'SIND PITS'!$C$3:$G$20,2,0)</f>
        <v>1557.96</v>
      </c>
      <c r="G8" s="47">
        <f>VLOOKUP($C8,'SIND PITS'!$C$3:$G$20,3,0)</f>
        <v>420</v>
      </c>
      <c r="H8" s="47">
        <f>VLOOKUP($C8,'SIND PITS'!$C$3:$G$20,4,0)</f>
        <v>320</v>
      </c>
      <c r="I8" s="47">
        <f>VLOOKUP($C8,'SIND PITS'!$C$3:$G$20,5,0)</f>
        <v>91.499999999999972</v>
      </c>
      <c r="J8" s="43"/>
      <c r="K8" s="47">
        <f t="shared" si="1"/>
        <v>4494.66</v>
      </c>
      <c r="L8" s="47">
        <v>10150</v>
      </c>
      <c r="M8" s="47">
        <f t="shared" si="2"/>
        <v>5075</v>
      </c>
      <c r="N8" s="44"/>
      <c r="O8" s="47">
        <f>VLOOKUP($C8,'CPD PITSS'!$B$9:$V$26,8,0)</f>
        <v>111.5</v>
      </c>
      <c r="P8" s="47">
        <f t="shared" si="3"/>
        <v>831.5</v>
      </c>
      <c r="Q8" s="47">
        <f>(VLOOKUP($C8,'CPD PITSS'!$B$9:$V$26,13,0))+(VLOOKUP($C8,'CPD PITSS'!$B$9:$V$26,14,0))</f>
        <v>1523.27</v>
      </c>
      <c r="S8" s="47">
        <v>0</v>
      </c>
      <c r="T8" s="44"/>
      <c r="U8" s="47">
        <f t="shared" si="4"/>
        <v>5074.93</v>
      </c>
      <c r="V8" s="36">
        <f t="shared" si="0"/>
        <v>6.9999999999708962E-2</v>
      </c>
      <c r="W8" s="36"/>
      <c r="X8" s="47" t="s">
        <v>111</v>
      </c>
      <c r="Y8" s="36">
        <f ca="1">IFERROR(OFFSET('CPD PITSS'!$AN$8,MATCH('RESUMEN PITS'!C8,'CPD PITSS'!$B$9:$B$26,0),0),0)+IFERROR(OFFSET('IP PITSS'!$AL$8,MATCH('RESUMEN PITS'!C8,'IP PITSS'!$B$9:$B$90,0),0),0)+IFERROR(OFFSET('SIND PITS'!$Q$2,MATCH('RESUMEN PITS'!C8,'SIND PITS'!$C$3:$C$103,0),0),0)</f>
        <v>7598.9286000000002</v>
      </c>
    </row>
    <row r="9" spans="1:244" s="47" customFormat="1" x14ac:dyDescent="0.2">
      <c r="A9" s="25" t="s">
        <v>51</v>
      </c>
      <c r="B9" s="25" t="s">
        <v>110</v>
      </c>
      <c r="C9" s="56" t="s">
        <v>52</v>
      </c>
      <c r="D9" s="25">
        <f>VLOOKUP(C9,'CPD PITSS'!B15:V32,21,0)</f>
        <v>4724.2</v>
      </c>
      <c r="E9" s="57"/>
      <c r="F9" s="47">
        <f>VLOOKUP($C9,'SIND PITS'!$C$3:$G$20,2,0)</f>
        <v>2600.3700000000003</v>
      </c>
      <c r="G9" s="47">
        <f>VLOOKUP($C9,'SIND PITS'!$C$3:$G$20,3,0)</f>
        <v>150</v>
      </c>
      <c r="H9" s="47">
        <f>VLOOKUP($C9,'SIND PITS'!$C$3:$G$20,4,0)</f>
        <v>0</v>
      </c>
      <c r="I9" s="47">
        <f>VLOOKUP($C9,'SIND PITS'!$C$3:$G$20,5,0)</f>
        <v>0</v>
      </c>
      <c r="J9" s="43"/>
      <c r="K9" s="47">
        <f t="shared" si="1"/>
        <v>7474.57</v>
      </c>
      <c r="L9" s="47">
        <v>15000</v>
      </c>
      <c r="M9" s="47">
        <f t="shared" si="2"/>
        <v>7500</v>
      </c>
      <c r="N9" s="44"/>
      <c r="O9" s="47">
        <f>VLOOKUP($C9,'CPD PITSS'!$B$9:$V$26,8,0)</f>
        <v>0</v>
      </c>
      <c r="P9" s="47">
        <f t="shared" si="3"/>
        <v>150</v>
      </c>
      <c r="Q9" s="47">
        <f>(VLOOKUP($C9,'CPD PITSS'!$B$9:$V$26,13,0))+(VLOOKUP($C9,'CPD PITSS'!$B$9:$V$26,14,0))</f>
        <v>0</v>
      </c>
      <c r="S9" s="47">
        <f>+'CPD PITSS'!S15</f>
        <v>175.43</v>
      </c>
      <c r="T9" s="44"/>
      <c r="U9" s="47">
        <f t="shared" si="4"/>
        <v>7500</v>
      </c>
      <c r="V9" s="36">
        <f t="shared" si="0"/>
        <v>0</v>
      </c>
      <c r="W9" s="36"/>
      <c r="X9" s="47" t="s">
        <v>189</v>
      </c>
      <c r="Y9" s="36">
        <f ca="1">IFERROR(OFFSET('CPD PITSS'!$AN$8,MATCH('RESUMEN PITS'!C9,'CPD PITSS'!$B$9:$B$26,0),0),0)+IFERROR(OFFSET('IP PITSS'!$AL$8,MATCH('RESUMEN PITS'!C9,'IP PITSS'!$B$9:$B$90,0),0),0)+IFERROR(OFFSET('SIND PITS'!$Q$2,MATCH('RESUMEN PITS'!C9,'SIND PITS'!$C$3:$C$103,0),0),0)</f>
        <v>9520.8126000000011</v>
      </c>
    </row>
    <row r="10" spans="1:244" s="47" customFormat="1" x14ac:dyDescent="0.2">
      <c r="A10" s="25" t="s">
        <v>53</v>
      </c>
      <c r="B10" s="25" t="s">
        <v>110</v>
      </c>
      <c r="C10" s="56" t="s">
        <v>54</v>
      </c>
      <c r="D10" s="25">
        <f>VLOOKUP(C10,'CPD PITSS'!B16:V33,21,0)</f>
        <v>1751.4</v>
      </c>
      <c r="E10" s="57"/>
      <c r="F10" s="47">
        <f>VLOOKUP($C10,'SIND PITS'!$C$3:$G$20,2,0)</f>
        <v>1558.0900000000001</v>
      </c>
      <c r="G10" s="47">
        <f>VLOOKUP($C10,'SIND PITS'!$C$3:$G$20,3,0)</f>
        <v>330</v>
      </c>
      <c r="H10" s="47">
        <f>VLOOKUP($C10,'SIND PITS'!$C$3:$G$20,4,0)</f>
        <v>320</v>
      </c>
      <c r="I10" s="47">
        <f>VLOOKUP($C10,'SIND PITS'!$C$3:$G$20,5,0)</f>
        <v>0</v>
      </c>
      <c r="J10" s="43"/>
      <c r="K10" s="47">
        <f t="shared" si="1"/>
        <v>3959.4900000000002</v>
      </c>
      <c r="L10" s="47">
        <v>10150</v>
      </c>
      <c r="M10" s="47">
        <f t="shared" si="2"/>
        <v>5075</v>
      </c>
      <c r="N10" s="44"/>
      <c r="O10" s="47">
        <f>VLOOKUP($C10,'CPD PITSS'!$B$9:$V$26,8,0)</f>
        <v>0</v>
      </c>
      <c r="P10" s="47">
        <f t="shared" si="3"/>
        <v>650</v>
      </c>
      <c r="Q10" s="47">
        <f>(VLOOKUP($C10,'CPD PITSS'!$B$9:$V$26,13,0))+(VLOOKUP($C10,'CPD PITSS'!$B$9:$V$26,14,0))</f>
        <v>1765.48</v>
      </c>
      <c r="S10" s="47">
        <v>0</v>
      </c>
      <c r="T10" s="44"/>
      <c r="U10" s="47">
        <f t="shared" si="4"/>
        <v>5074.97</v>
      </c>
      <c r="V10" s="36">
        <f t="shared" si="0"/>
        <v>2.9999999999745341E-2</v>
      </c>
      <c r="W10" s="36"/>
      <c r="X10" s="47" t="s">
        <v>118</v>
      </c>
      <c r="Y10" s="36">
        <f ca="1">IFERROR(OFFSET('CPD PITSS'!$AN$8,MATCH('RESUMEN PITS'!C10,'CPD PITSS'!$B$9:$B$26,0),0),0)+IFERROR(OFFSET('IP PITSS'!$AL$8,MATCH('RESUMEN PITS'!C10,'IP PITSS'!$B$9:$B$90,0),0),0)+IFERROR(OFFSET('SIND PITS'!$Q$2,MATCH('RESUMEN PITS'!C10,'SIND PITS'!$C$3:$C$103,0),0),0)</f>
        <v>7300.1094000000003</v>
      </c>
    </row>
    <row r="11" spans="1:244" s="47" customFormat="1" x14ac:dyDescent="0.2">
      <c r="A11" s="25" t="s">
        <v>55</v>
      </c>
      <c r="B11" s="25" t="s">
        <v>110</v>
      </c>
      <c r="C11" s="56" t="s">
        <v>56</v>
      </c>
      <c r="D11" s="25">
        <f>VLOOKUP(C11,'CPD PITSS'!B17:V34,21,0)</f>
        <v>3083</v>
      </c>
      <c r="E11" s="57"/>
      <c r="F11" s="47">
        <f>VLOOKUP($C11,'SIND PITS'!$C$3:$G$20,2,0)</f>
        <v>1891.1999999999998</v>
      </c>
      <c r="G11" s="47">
        <f>VLOOKUP($C11,'SIND PITS'!$C$3:$G$20,3,0)</f>
        <v>0</v>
      </c>
      <c r="H11" s="47">
        <f>VLOOKUP($C11,'SIND PITS'!$C$3:$G$20,4,0)</f>
        <v>0</v>
      </c>
      <c r="I11" s="47">
        <f>VLOOKUP($C11,'SIND PITS'!$C$3:$G$20,5,0)</f>
        <v>0</v>
      </c>
      <c r="J11" s="43"/>
      <c r="K11" s="47">
        <f t="shared" si="1"/>
        <v>4974.2</v>
      </c>
      <c r="L11" s="47">
        <v>12000</v>
      </c>
      <c r="M11" s="47">
        <f t="shared" si="2"/>
        <v>6000</v>
      </c>
      <c r="N11" s="44"/>
      <c r="O11" s="47">
        <f>VLOOKUP($C11,'CPD PITSS'!$B$9:$V$26,8,0)</f>
        <v>0</v>
      </c>
      <c r="P11" s="47">
        <f t="shared" si="3"/>
        <v>0</v>
      </c>
      <c r="Q11" s="47">
        <f>(VLOOKUP($C11,'CPD PITSS'!$B$9:$V$26,13,0))+(VLOOKUP($C11,'CPD PITSS'!$B$9:$V$26,14,0))</f>
        <v>1025.9000000000001</v>
      </c>
      <c r="S11" s="47">
        <v>0</v>
      </c>
      <c r="T11" s="44"/>
      <c r="U11" s="47">
        <f t="shared" si="4"/>
        <v>6000.1</v>
      </c>
      <c r="V11" s="36">
        <f t="shared" si="0"/>
        <v>-0.1000000000003638</v>
      </c>
      <c r="W11" s="36"/>
      <c r="X11" s="47" t="s">
        <v>123</v>
      </c>
      <c r="Y11" s="36">
        <f ca="1">IFERROR(OFFSET('CPD PITSS'!$AN$8,MATCH('RESUMEN PITS'!C11,'CPD PITSS'!$B$9:$B$26,0),0),0)+IFERROR(OFFSET('IP PITSS'!$AL$8,MATCH('RESUMEN PITS'!C11,'IP PITSS'!$B$9:$B$90,0),0),0)+IFERROR(OFFSET('SIND PITS'!$Q$2,MATCH('RESUMEN PITS'!C11,'SIND PITS'!$C$3:$C$103,0),0),0)</f>
        <v>7680.2429999999986</v>
      </c>
    </row>
    <row r="12" spans="1:244" s="47" customFormat="1" x14ac:dyDescent="0.2">
      <c r="A12" s="37" t="s">
        <v>57</v>
      </c>
      <c r="B12" s="25" t="s">
        <v>110</v>
      </c>
      <c r="C12" s="58" t="s">
        <v>58</v>
      </c>
      <c r="D12" s="25">
        <f>VLOOKUP(C12,'CPD PITSS'!B18:V35,21,0)</f>
        <v>3129.8</v>
      </c>
      <c r="E12" s="57"/>
      <c r="F12" s="47">
        <f>VLOOKUP($C12,'SIND PITS'!$C$3:$G$20,2,0)</f>
        <v>2751</v>
      </c>
      <c r="G12" s="47">
        <f>VLOOKUP($C12,'SIND PITS'!$C$3:$G$20,3,0)</f>
        <v>165</v>
      </c>
      <c r="H12" s="47">
        <f>VLOOKUP($C12,'SIND PITS'!$C$3:$G$20,4,0)</f>
        <v>0</v>
      </c>
      <c r="I12" s="47">
        <f>VLOOKUP($C12,'SIND PITS'!$C$3:$G$20,5,0)</f>
        <v>0</v>
      </c>
      <c r="J12" s="43"/>
      <c r="K12" s="47">
        <f t="shared" si="1"/>
        <v>6045.8</v>
      </c>
      <c r="L12" s="36">
        <v>15000</v>
      </c>
      <c r="M12" s="47">
        <f t="shared" si="2"/>
        <v>7500</v>
      </c>
      <c r="N12" s="44"/>
      <c r="O12" s="47">
        <f>VLOOKUP($C12,'CPD PITSS'!$B$9:$V$26,8,0)</f>
        <v>0</v>
      </c>
      <c r="P12" s="47">
        <f t="shared" si="3"/>
        <v>165</v>
      </c>
      <c r="Q12" s="47">
        <f>(VLOOKUP($C12,'CPD PITSS'!$B$9:$V$26,13,0))+(VLOOKUP($C12,'CPD PITSS'!$B$9:$V$26,14,0))</f>
        <v>1619.18</v>
      </c>
      <c r="S12" s="47">
        <v>0</v>
      </c>
      <c r="T12" s="44"/>
      <c r="U12" s="47">
        <f t="shared" si="4"/>
        <v>7499.9800000000005</v>
      </c>
      <c r="V12" s="36">
        <f t="shared" si="0"/>
        <v>1.9999999999527063E-2</v>
      </c>
      <c r="W12" s="36"/>
      <c r="X12" s="47" t="s">
        <v>234</v>
      </c>
      <c r="Y12" s="36">
        <f ca="1">IFERROR(OFFSET('CPD PITSS'!$AN$8,MATCH('RESUMEN PITS'!C12,'CPD PITSS'!$B$9:$B$26,0),0),0)+IFERROR(OFFSET('IP PITSS'!$AL$8,MATCH('RESUMEN PITS'!C12,'IP PITSS'!$B$9:$B$90,0),0),0)+IFERROR(OFFSET('SIND PITS'!$Q$2,MATCH('RESUMEN PITS'!C12,'SIND PITS'!$C$3:$C$103,0),0),0)</f>
        <v>9497.2811999999994</v>
      </c>
    </row>
    <row r="13" spans="1:244" s="36" customFormat="1" x14ac:dyDescent="0.2">
      <c r="A13" s="25" t="s">
        <v>59</v>
      </c>
      <c r="B13" s="25" t="s">
        <v>110</v>
      </c>
      <c r="C13" s="56" t="s">
        <v>60</v>
      </c>
      <c r="D13" s="25">
        <f>VLOOKUP(C13,'CPD PITSS'!B19:V36,21,0)</f>
        <v>2993</v>
      </c>
      <c r="E13" s="57"/>
      <c r="F13" s="47">
        <f>VLOOKUP($C13,'SIND PITS'!$C$3:$G$20,2,0)</f>
        <v>2104.9000000000005</v>
      </c>
      <c r="G13" s="47">
        <f>VLOOKUP($C13,'SIND PITS'!$C$3:$G$20,3,0)</f>
        <v>0</v>
      </c>
      <c r="H13" s="47">
        <f>VLOOKUP($C13,'SIND PITS'!$C$3:$G$20,4,0)</f>
        <v>0</v>
      </c>
      <c r="I13" s="47">
        <f>VLOOKUP($C13,'SIND PITS'!$C$3:$G$20,5,0)</f>
        <v>281.66999999999996</v>
      </c>
      <c r="J13" s="43"/>
      <c r="K13" s="47">
        <f t="shared" si="1"/>
        <v>5379.5700000000006</v>
      </c>
      <c r="L13" s="47">
        <v>13000</v>
      </c>
      <c r="M13" s="47">
        <f t="shared" si="2"/>
        <v>6500</v>
      </c>
      <c r="N13" s="44"/>
      <c r="O13" s="47">
        <f>VLOOKUP($C13,'CPD PITSS'!$B$9:$V$26,8,0)</f>
        <v>238.33</v>
      </c>
      <c r="P13" s="47">
        <f t="shared" si="3"/>
        <v>281.66999999999996</v>
      </c>
      <c r="Q13" s="47">
        <f>(VLOOKUP($C13,'CPD PITSS'!$B$9:$V$26,13,0))+(VLOOKUP($C13,'CPD PITSS'!$B$9:$V$26,14,0))</f>
        <v>1387</v>
      </c>
      <c r="R13" s="47"/>
      <c r="S13" s="47">
        <f>+'CPD PITSS'!S19</f>
        <v>255.4</v>
      </c>
      <c r="T13" s="44"/>
      <c r="U13" s="47">
        <f t="shared" si="4"/>
        <v>6501.97</v>
      </c>
      <c r="V13" s="36">
        <f t="shared" si="0"/>
        <v>-1.9700000000002547</v>
      </c>
      <c r="X13" s="47" t="s">
        <v>112</v>
      </c>
      <c r="Y13" s="36">
        <f ca="1">IFERROR(OFFSET('CPD PITSS'!$AN$8,MATCH('RESUMEN PITS'!C13,'CPD PITSS'!$B$9:$B$26,0),0),0)+IFERROR(OFFSET('IP PITSS'!$AL$8,MATCH('RESUMEN PITS'!C13,'IP PITSS'!$B$9:$B$90,0),0),0)+IFERROR(OFFSET('SIND PITS'!$Q$2,MATCH('RESUMEN PITS'!C13,'SIND PITS'!$C$3:$C$103,0),0),0)</f>
        <v>8772.3366000000005</v>
      </c>
    </row>
    <row r="14" spans="1:244" s="47" customFormat="1" x14ac:dyDescent="0.2">
      <c r="A14" s="25" t="s">
        <v>61</v>
      </c>
      <c r="B14" s="25" t="s">
        <v>110</v>
      </c>
      <c r="C14" s="58" t="s">
        <v>62</v>
      </c>
      <c r="D14" s="25">
        <f>VLOOKUP(C14,'CPD PITSS'!B20:V37,21,0)</f>
        <v>4899.6000000000004</v>
      </c>
      <c r="E14" s="59"/>
      <c r="F14" s="47">
        <f>VLOOKUP($C14,'SIND PITS'!$C$3:$G$20,2,0)</f>
        <v>2600.1999999999998</v>
      </c>
      <c r="G14" s="47">
        <f>VLOOKUP($C14,'SIND PITS'!$C$3:$G$20,3,0)</f>
        <v>337.5</v>
      </c>
      <c r="H14" s="47">
        <f>VLOOKUP($C14,'SIND PITS'!$C$3:$G$20,4,0)</f>
        <v>0</v>
      </c>
      <c r="I14" s="47">
        <f>VLOOKUP($C14,'SIND PITS'!$C$3:$G$20,5,0)</f>
        <v>0</v>
      </c>
      <c r="J14" s="43"/>
      <c r="K14" s="47">
        <f t="shared" si="1"/>
        <v>7837.3</v>
      </c>
      <c r="L14" s="47">
        <v>15000</v>
      </c>
      <c r="M14" s="47">
        <f t="shared" si="2"/>
        <v>7500</v>
      </c>
      <c r="N14" s="44"/>
      <c r="O14" s="47">
        <f>VLOOKUP($C14,'CPD PITSS'!$B$9:$V$26,8,0)</f>
        <v>0</v>
      </c>
      <c r="P14" s="47">
        <f t="shared" si="3"/>
        <v>337.5</v>
      </c>
      <c r="Q14" s="47">
        <f>(VLOOKUP($C14,'CPD PITSS'!$B$9:$V$26,13,0))+(VLOOKUP($C14,'CPD PITSS'!$B$9:$V$26,14,0))</f>
        <v>0</v>
      </c>
      <c r="S14" s="47">
        <v>0</v>
      </c>
      <c r="T14" s="44"/>
      <c r="U14" s="47">
        <f t="shared" si="4"/>
        <v>7499.8</v>
      </c>
      <c r="V14" s="36">
        <f t="shared" si="0"/>
        <v>0.1999999999998181</v>
      </c>
      <c r="W14" s="36"/>
      <c r="X14" s="47" t="s">
        <v>209</v>
      </c>
      <c r="Y14" s="36">
        <f ca="1">IFERROR(OFFSET('CPD PITSS'!$AN$8,MATCH('RESUMEN PITS'!C14,'CPD PITSS'!$B$9:$B$26,0),0),0)+IFERROR(OFFSET('IP PITSS'!$AL$8,MATCH('RESUMEN PITS'!C14,'IP PITSS'!$B$9:$B$90,0),0),0)+IFERROR(OFFSET('SIND PITS'!$Q$2,MATCH('RESUMEN PITS'!C14,'SIND PITS'!$C$3:$C$103,0),0),0)</f>
        <v>9711.8585999999996</v>
      </c>
    </row>
    <row r="15" spans="1:244" s="47" customFormat="1" x14ac:dyDescent="0.2">
      <c r="A15" s="25" t="s">
        <v>63</v>
      </c>
      <c r="B15" s="25" t="s">
        <v>110</v>
      </c>
      <c r="C15" s="56" t="s">
        <v>64</v>
      </c>
      <c r="D15" s="25">
        <f>VLOOKUP(C15,'CPD PITSS'!B21:V38,21,0)</f>
        <v>1421.8</v>
      </c>
      <c r="E15" s="59"/>
      <c r="F15" s="47">
        <f>VLOOKUP($C15,'SIND PITS'!$C$3:$G$20,2,0)</f>
        <v>1483.13</v>
      </c>
      <c r="G15" s="47">
        <f>VLOOKUP($C15,'SIND PITS'!$C$3:$G$20,3,0)</f>
        <v>20</v>
      </c>
      <c r="H15" s="47">
        <f>VLOOKUP($C15,'SIND PITS'!$C$3:$G$20,4,0)</f>
        <v>0</v>
      </c>
      <c r="I15" s="47">
        <f>VLOOKUP($C15,'SIND PITS'!$C$3:$G$20,5,0)</f>
        <v>0</v>
      </c>
      <c r="J15" s="43"/>
      <c r="K15" s="47">
        <f t="shared" si="1"/>
        <v>2924.9300000000003</v>
      </c>
      <c r="L15" s="47">
        <v>10000</v>
      </c>
      <c r="M15" s="47">
        <f t="shared" si="2"/>
        <v>5000</v>
      </c>
      <c r="N15" s="44"/>
      <c r="O15" s="47">
        <f>VLOOKUP($C15,'CPD PITSS'!$B$9:$V$26,8,0)</f>
        <v>0</v>
      </c>
      <c r="P15" s="47">
        <f t="shared" si="3"/>
        <v>20</v>
      </c>
      <c r="Q15" s="47">
        <f>(VLOOKUP($C15,'CPD PITSS'!$B$9:$V$26,13,0))+(VLOOKUP($C15,'CPD PITSS'!$B$9:$V$26,14,0))</f>
        <v>2095.0300000000002</v>
      </c>
      <c r="S15" s="47">
        <v>0</v>
      </c>
      <c r="T15" s="44"/>
      <c r="U15" s="47">
        <f t="shared" si="4"/>
        <v>4999.9600000000009</v>
      </c>
      <c r="V15" s="36">
        <f t="shared" si="0"/>
        <v>3.9999999999054126E-2</v>
      </c>
      <c r="W15" s="36"/>
      <c r="X15" s="47" t="s">
        <v>292</v>
      </c>
      <c r="Y15" s="36">
        <f ca="1">IFERROR(OFFSET('CPD PITSS'!$AN$8,MATCH('RESUMEN PITS'!C15,'CPD PITSS'!$B$9:$B$26,0),0),0)+IFERROR(OFFSET('IP PITSS'!$AL$8,MATCH('RESUMEN PITS'!C15,'IP PITSS'!$B$9:$B$90,0),0),0)+IFERROR(OFFSET('SIND PITS'!$Q$2,MATCH('RESUMEN PITS'!C15,'SIND PITS'!$C$3:$C$103,0),0),0)</f>
        <v>6580.9992000000002</v>
      </c>
    </row>
    <row r="16" spans="1:244" s="47" customFormat="1" x14ac:dyDescent="0.2">
      <c r="A16" s="25" t="s">
        <v>65</v>
      </c>
      <c r="B16" s="25" t="s">
        <v>110</v>
      </c>
      <c r="C16" s="56" t="s">
        <v>66</v>
      </c>
      <c r="D16" s="25">
        <f>VLOOKUP(C16,'CPD PITSS'!B22:V39,21,0)</f>
        <v>17705</v>
      </c>
      <c r="E16" s="59"/>
      <c r="F16" s="47">
        <f>VLOOKUP($C16,'SIND PITS'!$C$3:$G$20,2,0)</f>
        <v>12613.2</v>
      </c>
      <c r="G16" s="47">
        <f>VLOOKUP($C16,'SIND PITS'!$C$3:$G$20,3,0)</f>
        <v>0</v>
      </c>
      <c r="H16" s="47">
        <f>VLOOKUP($C16,'SIND PITS'!$C$3:$G$20,4,0)</f>
        <v>0</v>
      </c>
      <c r="I16" s="47">
        <f>VLOOKUP($C16,'SIND PITS'!$C$3:$G$20,5,0)</f>
        <v>281.75</v>
      </c>
      <c r="J16" s="43"/>
      <c r="K16" s="47">
        <f t="shared" si="1"/>
        <v>30599.95</v>
      </c>
      <c r="L16" s="47">
        <v>60000</v>
      </c>
      <c r="M16" s="47">
        <f t="shared" si="2"/>
        <v>30000</v>
      </c>
      <c r="N16" s="44"/>
      <c r="O16" s="47">
        <f>VLOOKUP($C16,'CPD PITSS'!$B$9:$V$26,8,0)</f>
        <v>318.25</v>
      </c>
      <c r="P16" s="47">
        <f t="shared" si="3"/>
        <v>281.75</v>
      </c>
      <c r="Q16" s="47">
        <f>(VLOOKUP($C16,'CPD PITSS'!$B$9:$V$26,13,0))+(VLOOKUP($C16,'CPD PITSS'!$B$9:$V$26,14,0))</f>
        <v>0</v>
      </c>
      <c r="S16" s="47">
        <v>0</v>
      </c>
      <c r="T16" s="44"/>
      <c r="U16" s="47">
        <f t="shared" si="4"/>
        <v>29999.95</v>
      </c>
      <c r="V16" s="36">
        <f t="shared" si="0"/>
        <v>4.9999999999272404E-2</v>
      </c>
      <c r="W16" s="36"/>
      <c r="X16" s="47" t="s">
        <v>312</v>
      </c>
      <c r="Y16" s="36">
        <f ca="1">IFERROR(OFFSET('CPD PITSS'!$AN$8,MATCH('RESUMEN PITS'!C16,'CPD PITSS'!$B$9:$B$26,0),0),0)+IFERROR(OFFSET('IP PITSS'!$AL$8,MATCH('RESUMEN PITS'!C16,'IP PITSS'!$B$9:$B$90,0),0),0)+IFERROR(OFFSET('SIND PITS'!$Q$2,MATCH('RESUMEN PITS'!C16,'SIND PITS'!$C$3:$C$103,0),0),0)</f>
        <v>35360.839800000002</v>
      </c>
    </row>
    <row r="17" spans="1:25" s="47" customFormat="1" x14ac:dyDescent="0.2">
      <c r="A17" s="25" t="s">
        <v>67</v>
      </c>
      <c r="B17" s="25" t="s">
        <v>110</v>
      </c>
      <c r="C17" s="56" t="s">
        <v>68</v>
      </c>
      <c r="D17" s="25">
        <f>VLOOKUP(C17,'CPD PITSS'!B23:V40,21,0)</f>
        <v>3628.4</v>
      </c>
      <c r="E17" s="59"/>
      <c r="F17" s="47">
        <f>VLOOKUP($C17,'SIND PITS'!$C$3:$G$20,2,0)</f>
        <v>1558.0000000000005</v>
      </c>
      <c r="G17" s="47">
        <f>VLOOKUP($C17,'SIND PITS'!$C$3:$G$20,3,0)</f>
        <v>270</v>
      </c>
      <c r="H17" s="47">
        <f>VLOOKUP($C17,'SIND PITS'!$C$3:$G$20,4,0)</f>
        <v>320</v>
      </c>
      <c r="I17" s="47">
        <f>VLOOKUP($C17,'SIND PITS'!$C$3:$G$20,5,0)</f>
        <v>91.499999999999972</v>
      </c>
      <c r="J17" s="43"/>
      <c r="K17" s="47">
        <f t="shared" si="1"/>
        <v>5867.9000000000005</v>
      </c>
      <c r="L17" s="47">
        <v>10150</v>
      </c>
      <c r="M17" s="47">
        <f t="shared" si="2"/>
        <v>5075</v>
      </c>
      <c r="N17" s="44"/>
      <c r="O17" s="47">
        <f>VLOOKUP($C17,'CPD PITSS'!$B$9:$V$26,8,0)</f>
        <v>111.5</v>
      </c>
      <c r="P17" s="47">
        <f t="shared" si="3"/>
        <v>681.5</v>
      </c>
      <c r="Q17" s="47">
        <f>(VLOOKUP($C17,'CPD PITSS'!$B$9:$V$26,13,0))+(VLOOKUP($C17,'CPD PITSS'!$B$9:$V$26,14,0))</f>
        <v>0</v>
      </c>
      <c r="S17" s="47">
        <v>0</v>
      </c>
      <c r="T17" s="44"/>
      <c r="U17" s="47">
        <f t="shared" si="4"/>
        <v>5074.9000000000005</v>
      </c>
      <c r="V17" s="36">
        <f t="shared" si="0"/>
        <v>9.9999999999454303E-2</v>
      </c>
      <c r="W17" s="36"/>
      <c r="X17" s="47" t="s">
        <v>165</v>
      </c>
      <c r="Y17" s="36">
        <f ca="1">IFERROR(OFFSET('CPD PITSS'!$AN$8,MATCH('RESUMEN PITS'!C17,'CPD PITSS'!$B$9:$B$26,0),0),0)+IFERROR(OFFSET('IP PITSS'!$AL$8,MATCH('RESUMEN PITS'!C17,'IP PITSS'!$B$9:$B$90,0),0),0)+IFERROR(OFFSET('SIND PITS'!$Q$2,MATCH('RESUMEN PITS'!C17,'SIND PITS'!$C$3:$C$103,0),0),0)</f>
        <v>7445.898000000001</v>
      </c>
    </row>
    <row r="18" spans="1:25" s="47" customFormat="1" x14ac:dyDescent="0.2">
      <c r="A18" s="25" t="s">
        <v>69</v>
      </c>
      <c r="B18" s="25" t="s">
        <v>110</v>
      </c>
      <c r="C18" s="56" t="s">
        <v>70</v>
      </c>
      <c r="D18" s="25">
        <f>VLOOKUP(C18,'CPD PITSS'!B24:V41,21,0)</f>
        <v>2058.8000000000002</v>
      </c>
      <c r="E18" s="59"/>
      <c r="F18" s="47">
        <f>VLOOKUP($C18,'SIND PITS'!$C$3:$G$20,2,0)</f>
        <v>1608.1</v>
      </c>
      <c r="G18" s="47">
        <f>VLOOKUP($C18,'SIND PITS'!$C$3:$G$20,3,0)</f>
        <v>270</v>
      </c>
      <c r="H18" s="47">
        <f>VLOOKUP($C18,'SIND PITS'!$C$3:$G$20,4,0)</f>
        <v>0</v>
      </c>
      <c r="I18" s="47">
        <f>VLOOKUP($C18,'SIND PITS'!$C$3:$G$20,5,0)</f>
        <v>0</v>
      </c>
      <c r="J18" s="43"/>
      <c r="K18" s="47">
        <f t="shared" si="1"/>
        <v>3936.9</v>
      </c>
      <c r="L18" s="47">
        <v>10250</v>
      </c>
      <c r="M18" s="47">
        <f t="shared" si="2"/>
        <v>5125</v>
      </c>
      <c r="N18" s="44"/>
      <c r="O18" s="47">
        <f>VLOOKUP($C18,'CPD PITSS'!$B$9:$V$26,8,0)</f>
        <v>0</v>
      </c>
      <c r="P18" s="47">
        <f t="shared" si="3"/>
        <v>270</v>
      </c>
      <c r="Q18" s="47">
        <f>(VLOOKUP($C18,'CPD PITSS'!$B$9:$V$26,13,0))+(VLOOKUP($C18,'CPD PITSS'!$B$9:$V$26,14,0))</f>
        <v>1458.16</v>
      </c>
      <c r="S18" s="47">
        <v>0</v>
      </c>
      <c r="T18" s="44"/>
      <c r="U18" s="47">
        <f t="shared" si="4"/>
        <v>5125.0600000000004</v>
      </c>
      <c r="V18" s="36">
        <f t="shared" si="0"/>
        <v>-6.0000000000400178E-2</v>
      </c>
      <c r="W18" s="36"/>
      <c r="X18" s="47" t="s">
        <v>119</v>
      </c>
      <c r="Y18" s="36">
        <f ca="1">IFERROR(OFFSET('CPD PITSS'!$AN$8,MATCH('RESUMEN PITS'!C18,'CPD PITSS'!$B$9:$B$26,0),0),0)+IFERROR(OFFSET('IP PITSS'!$AL$8,MATCH('RESUMEN PITS'!C18,'IP PITSS'!$B$9:$B$90,0),0),0)+IFERROR(OFFSET('SIND PITS'!$Q$2,MATCH('RESUMEN PITS'!C18,'SIND PITS'!$C$3:$C$103,0),0),0)</f>
        <v>6963.6011999999992</v>
      </c>
    </row>
    <row r="19" spans="1:25" s="47" customFormat="1" x14ac:dyDescent="0.2">
      <c r="A19" s="24" t="s">
        <v>71</v>
      </c>
      <c r="B19" s="25" t="s">
        <v>110</v>
      </c>
      <c r="C19" s="24" t="s">
        <v>72</v>
      </c>
      <c r="D19" s="25">
        <f>VLOOKUP(C19,'CPD PITSS'!B25:V42,21,0)</f>
        <v>3196.8</v>
      </c>
      <c r="E19" s="59"/>
      <c r="F19" s="47">
        <f>VLOOKUP($C19,'SIND PITS'!$C$3:$G$20,2,0)</f>
        <v>16803.400000000001</v>
      </c>
      <c r="G19" s="47">
        <f>VLOOKUP($C19,'SIND PITS'!$C$3:$G$20,3,0)</f>
        <v>0</v>
      </c>
      <c r="H19" s="47">
        <f>VLOOKUP($C19,'SIND PITS'!$C$3:$G$20,4,0)</f>
        <v>0</v>
      </c>
      <c r="I19" s="47">
        <f>VLOOKUP($C19,'SIND PITS'!$C$3:$G$20,5,0)</f>
        <v>0</v>
      </c>
      <c r="J19" s="43"/>
      <c r="K19" s="47">
        <f t="shared" si="1"/>
        <v>20000.2</v>
      </c>
      <c r="L19" s="36">
        <v>40000</v>
      </c>
      <c r="M19" s="47">
        <f t="shared" si="2"/>
        <v>20000</v>
      </c>
      <c r="N19" s="44"/>
      <c r="O19" s="47">
        <f>VLOOKUP($C19,'CPD PITSS'!$B$9:$V$26,8,0)</f>
        <v>0</v>
      </c>
      <c r="P19" s="47">
        <f t="shared" si="3"/>
        <v>0</v>
      </c>
      <c r="Q19" s="47">
        <f>(VLOOKUP($C19,'CPD PITSS'!$B$9:$V$26,13,0))+(VLOOKUP($C19,'CPD PITSS'!$B$9:$V$26,14,0))</f>
        <v>0</v>
      </c>
      <c r="S19" s="47">
        <v>0</v>
      </c>
      <c r="T19" s="44"/>
      <c r="U19" s="47">
        <f t="shared" si="4"/>
        <v>20000.2</v>
      </c>
      <c r="V19" s="36">
        <f t="shared" si="0"/>
        <v>-0.2000000000007276</v>
      </c>
      <c r="W19" s="36"/>
      <c r="X19" s="47" t="s">
        <v>117</v>
      </c>
      <c r="Y19" s="36">
        <f ca="1">IFERROR(OFFSET('CPD PITSS'!$AN$8,MATCH('RESUMEN PITS'!C19,'CPD PITSS'!$B$9:$B$26,0),0),0)+IFERROR(OFFSET('IP PITSS'!$AL$8,MATCH('RESUMEN PITS'!C19,'IP PITSS'!$B$9:$B$90,0),0),0)+IFERROR(OFFSET('SIND PITS'!$Q$2,MATCH('RESUMEN PITS'!C19,'SIND PITS'!$C$3:$C$103,0),0),0)</f>
        <v>21806.376</v>
      </c>
    </row>
    <row r="20" spans="1:25" s="47" customFormat="1" x14ac:dyDescent="0.2">
      <c r="A20" s="18" t="s">
        <v>73</v>
      </c>
      <c r="B20" s="25" t="s">
        <v>110</v>
      </c>
      <c r="C20" s="18" t="s">
        <v>74</v>
      </c>
      <c r="D20" s="25">
        <f>VLOOKUP(C20,'CPD PITSS'!B26:V43,21,0)</f>
        <v>4036</v>
      </c>
      <c r="E20" s="59"/>
      <c r="F20" s="47">
        <f>VLOOKUP($C20,'SIND PITS'!$C$3:$G$20,2,0)</f>
        <v>2464</v>
      </c>
      <c r="G20" s="47">
        <f>VLOOKUP($C20,'SIND PITS'!$C$3:$G$20,3,0)</f>
        <v>1000</v>
      </c>
      <c r="H20" s="47">
        <f>VLOOKUP($C20,'SIND PITS'!$C$3:$G$20,4,0)</f>
        <v>0</v>
      </c>
      <c r="I20" s="47">
        <f>VLOOKUP($C20,'SIND PITS'!$C$3:$G$20,5,0)</f>
        <v>0</v>
      </c>
      <c r="J20" s="43"/>
      <c r="K20" s="47">
        <f t="shared" si="1"/>
        <v>7500</v>
      </c>
      <c r="L20" s="47">
        <v>13000</v>
      </c>
      <c r="M20" s="47">
        <f t="shared" si="2"/>
        <v>6500</v>
      </c>
      <c r="N20" s="44"/>
      <c r="O20" s="47">
        <f>VLOOKUP($C20,'CPD PITSS'!$B$9:$V$26,8,0)</f>
        <v>0</v>
      </c>
      <c r="P20" s="47">
        <f t="shared" si="3"/>
        <v>1000</v>
      </c>
      <c r="Q20" s="47">
        <f>(VLOOKUP($C20,'CPD PITSS'!$B$9:$V$26,13,0))+(VLOOKUP($C20,'CPD PITSS'!$B$9:$V$26,14,0))</f>
        <v>0</v>
      </c>
      <c r="S20" s="47">
        <v>0</v>
      </c>
      <c r="T20" s="44"/>
      <c r="U20" s="47">
        <f t="shared" si="4"/>
        <v>6500</v>
      </c>
      <c r="V20" s="36">
        <f t="shared" si="0"/>
        <v>0</v>
      </c>
      <c r="W20" s="61"/>
      <c r="X20" s="47" t="s">
        <v>325</v>
      </c>
      <c r="Y20" s="36">
        <f ca="1">IFERROR(OFFSET('CPD PITSS'!$AN$8,MATCH('RESUMEN PITS'!C20,'CPD PITSS'!$B$9:$B$26,0),0),0)+IFERROR(OFFSET('IP PITSS'!$AL$8,MATCH('RESUMEN PITS'!C20,'IP PITSS'!$B$9:$B$90,0),0),0)+IFERROR(OFFSET('SIND PITS'!$Q$2,MATCH('RESUMEN PITS'!C20,'SIND PITS'!$C$3:$C$103,0),0),0)</f>
        <v>9198.3701999999994</v>
      </c>
    </row>
    <row r="21" spans="1:25" s="36" customFormat="1" x14ac:dyDescent="0.2">
      <c r="A21" s="24" t="s">
        <v>37</v>
      </c>
      <c r="B21" s="37" t="s">
        <v>95</v>
      </c>
      <c r="C21" s="24" t="s">
        <v>332</v>
      </c>
      <c r="D21" s="37" t="e">
        <f>VLOOKUP(C21,'IP PITSS'!$B$9:$U$90,21,0)</f>
        <v>#REF!</v>
      </c>
      <c r="E21" s="62"/>
      <c r="F21" s="47">
        <f>VLOOKUP(C21,'SIND PITS'!$C$3:$D$100,2,0)</f>
        <v>414.59999999999991</v>
      </c>
      <c r="G21" s="47">
        <f>VLOOKUP(C21,'SIND PITS'!$C$3:$E$100,3,0)</f>
        <v>225</v>
      </c>
      <c r="H21" s="47">
        <f>VLOOKUP(C21,'SIND PITS'!$C$3:$F$100,4,0)</f>
        <v>0</v>
      </c>
      <c r="I21" s="47">
        <f>VLOOKUP(C21,'SIND PITS'!$C$3:$G$100,5,0)</f>
        <v>0</v>
      </c>
      <c r="J21" s="63"/>
      <c r="K21" s="36" t="e">
        <f t="shared" si="1"/>
        <v>#REF!</v>
      </c>
      <c r="L21" s="36">
        <v>8000</v>
      </c>
      <c r="M21" s="47">
        <f t="shared" si="2"/>
        <v>4000</v>
      </c>
      <c r="N21" s="44"/>
      <c r="O21" s="36">
        <f>VLOOKUP(C21,'[1]IP PITS'!$B$6:$I$87,8,0)</f>
        <v>0</v>
      </c>
      <c r="P21" s="36">
        <f t="shared" ref="P21:P67" si="5">+G21+H21+I21</f>
        <v>225</v>
      </c>
      <c r="Q21" s="36">
        <f>(VLOOKUP(C21,'IP PITSS'!$B$9:$M$90,10,0))+(VLOOKUP(C21,'IP PITSS'!$B$9:$M$90,11,0))+(VLOOKUP(C21,'IP PITSS'!$B$9:$M$90,12,0))</f>
        <v>0</v>
      </c>
      <c r="R21" s="36" t="e">
        <f>VLOOKUP(C21,'IP PITSS'!$B$9:$Q$90,17,0)</f>
        <v>#REF!</v>
      </c>
      <c r="S21" s="36" t="e">
        <f>VLOOKUP(C21,'IP PITSS'!$B$9:$R$90,18,0)</f>
        <v>#REF!</v>
      </c>
      <c r="T21" s="44"/>
      <c r="U21" s="36" t="e">
        <f>+K21-O21-P21+Q21+R21+S21</f>
        <v>#REF!</v>
      </c>
      <c r="V21" s="36" t="e">
        <f t="shared" si="0"/>
        <v>#REF!</v>
      </c>
      <c r="X21" s="47" t="s">
        <v>333</v>
      </c>
      <c r="Y21" s="36">
        <f ca="1">IFERROR(OFFSET('CPD PITSS'!$AN$8,MATCH('RESUMEN PITS'!C21,'CPD PITSS'!$B$9:$B$26,0),0),0)+IFERROR(OFFSET('IP PITSS'!$AL$8,MATCH('RESUMEN PITS'!C21,'IP PITSS'!$B$9:$B$90,0),0),0)+IFERROR(OFFSET('SIND PITS'!$Q$2,MATCH('RESUMEN PITS'!C21,'SIND PITS'!$C$3:$C$103,0),0),0)</f>
        <v>5778.8209999999999</v>
      </c>
    </row>
    <row r="22" spans="1:25" s="47" customFormat="1" x14ac:dyDescent="0.2">
      <c r="A22" s="18" t="s">
        <v>273</v>
      </c>
      <c r="B22" s="37" t="s">
        <v>95</v>
      </c>
      <c r="C22" s="27" t="s">
        <v>274</v>
      </c>
      <c r="D22" s="37" t="e">
        <f>VLOOKUP(C22,'IP PITSS'!$B$9:$U$90,21,0)</f>
        <v>#REF!</v>
      </c>
      <c r="E22" s="59"/>
      <c r="F22" s="47">
        <f>VLOOKUP(C22,'SIND PITS'!$C$3:$D$100,2,0)</f>
        <v>414.59999999999991</v>
      </c>
      <c r="G22" s="47">
        <f>VLOOKUP(C22,'SIND PITS'!$C$3:$E$100,3,0)</f>
        <v>225</v>
      </c>
      <c r="H22" s="47">
        <f>VLOOKUP(C22,'SIND PITS'!$C$3:$F$100,4,0)</f>
        <v>0</v>
      </c>
      <c r="I22" s="47">
        <f>VLOOKUP(C22,'SIND PITS'!$C$3:$G$100,5,0)</f>
        <v>0</v>
      </c>
      <c r="J22" s="43"/>
      <c r="K22" s="47" t="e">
        <f t="shared" si="1"/>
        <v>#REF!</v>
      </c>
      <c r="L22" s="47">
        <v>8000</v>
      </c>
      <c r="M22" s="47">
        <f t="shared" si="2"/>
        <v>4000</v>
      </c>
      <c r="N22" s="44"/>
      <c r="O22" s="36">
        <f>VLOOKUP(C22,'[1]IP PITS'!$B$6:$I$87,8,0)</f>
        <v>0</v>
      </c>
      <c r="P22" s="47">
        <f t="shared" si="5"/>
        <v>225</v>
      </c>
      <c r="Q22" s="36">
        <f>(VLOOKUP(C22,'IP PITSS'!$B$9:$M$90,10,0))+(VLOOKUP(C22,'IP PITSS'!$B$9:$M$90,11,0))+(VLOOKUP(C22,'IP PITSS'!$B$9:$M$90,12,0))</f>
        <v>0</v>
      </c>
      <c r="R22" s="36" t="e">
        <f>VLOOKUP(C22,'IP PITSS'!$B$9:$Q$90,17,0)</f>
        <v>#REF!</v>
      </c>
      <c r="S22" s="36" t="e">
        <f>VLOOKUP(C22,'IP PITSS'!$B$9:$R$90,18,0)</f>
        <v>#REF!</v>
      </c>
      <c r="T22" s="44"/>
      <c r="U22" s="47" t="e">
        <f t="shared" ref="U22:U85" si="6">+K22-O22-P22+Q22+R22+S22</f>
        <v>#REF!</v>
      </c>
      <c r="V22" s="36" t="e">
        <f t="shared" si="0"/>
        <v>#REF!</v>
      </c>
      <c r="W22" s="36"/>
      <c r="X22" s="47" t="s">
        <v>275</v>
      </c>
      <c r="Y22" s="36">
        <f ca="1">IFERROR(OFFSET('CPD PITSS'!$AN$8,MATCH('RESUMEN PITS'!C22,'CPD PITSS'!$B$9:$B$26,0),0),0)+IFERROR(OFFSET('IP PITSS'!$AL$8,MATCH('RESUMEN PITS'!C22,'IP PITSS'!$B$9:$B$90,0),0),0)+IFERROR(OFFSET('SIND PITS'!$Q$2,MATCH('RESUMEN PITS'!C22,'SIND PITS'!$C$3:$C$103,0),0),0)</f>
        <v>5778.8209999999999</v>
      </c>
    </row>
    <row r="23" spans="1:25" s="36" customFormat="1" x14ac:dyDescent="0.2">
      <c r="A23" s="27" t="s">
        <v>284</v>
      </c>
      <c r="B23" s="37" t="s">
        <v>95</v>
      </c>
      <c r="C23" s="27" t="s">
        <v>285</v>
      </c>
      <c r="D23" s="37" t="e">
        <f>VLOOKUP(C23,'IP PITSS'!$B$9:$U$90,21,0)</f>
        <v>#REF!</v>
      </c>
      <c r="E23" s="59"/>
      <c r="F23" s="47">
        <f>VLOOKUP(C23,'SIND PITS'!$C$3:$D$100,2,0)</f>
        <v>414.63999999999987</v>
      </c>
      <c r="G23" s="47">
        <f>VLOOKUP(C23,'SIND PITS'!$C$3:$E$100,3,0)</f>
        <v>200</v>
      </c>
      <c r="H23" s="47">
        <f>VLOOKUP(C23,'SIND PITS'!$C$3:$F$100,4,0)</f>
        <v>0</v>
      </c>
      <c r="I23" s="47">
        <f>VLOOKUP(C23,'SIND PITS'!$C$3:$G$100,5,0)</f>
        <v>0</v>
      </c>
      <c r="J23" s="43"/>
      <c r="K23" s="47" t="e">
        <f t="shared" si="1"/>
        <v>#REF!</v>
      </c>
      <c r="L23" s="47">
        <v>8000</v>
      </c>
      <c r="M23" s="47">
        <f t="shared" si="2"/>
        <v>4000</v>
      </c>
      <c r="N23" s="44"/>
      <c r="O23" s="36">
        <f>VLOOKUP(C23,'[1]IP PITS'!$B$6:$I$87,8,0)</f>
        <v>0</v>
      </c>
      <c r="P23" s="47">
        <f t="shared" si="5"/>
        <v>200</v>
      </c>
      <c r="Q23" s="36">
        <f>(VLOOKUP(C23,'IP PITSS'!$B$9:$M$90,10,0))+(VLOOKUP(C23,'IP PITSS'!$B$9:$M$90,11,0))+(VLOOKUP(C23,'IP PITSS'!$B$9:$M$90,12,0))</f>
        <v>864.56</v>
      </c>
      <c r="R23" s="36" t="e">
        <f>VLOOKUP(C23,'IP PITSS'!$B$9:$Q$90,17,0)</f>
        <v>#REF!</v>
      </c>
      <c r="S23" s="36" t="e">
        <f>VLOOKUP(C23,'IP PITSS'!$B$9:$R$90,18,0)</f>
        <v>#REF!</v>
      </c>
      <c r="T23" s="44"/>
      <c r="U23" s="47" t="e">
        <f t="shared" si="6"/>
        <v>#REF!</v>
      </c>
      <c r="V23" s="36" t="e">
        <f t="shared" si="0"/>
        <v>#REF!</v>
      </c>
      <c r="X23" s="47" t="s">
        <v>286</v>
      </c>
      <c r="Y23" s="36">
        <f ca="1">IFERROR(OFFSET('CPD PITSS'!$AN$8,MATCH('RESUMEN PITS'!C23,'CPD PITSS'!$B$9:$B$26,0),0),0)+IFERROR(OFFSET('IP PITSS'!$AL$8,MATCH('RESUMEN PITS'!C23,'IP PITSS'!$B$9:$B$90,0),0),0)+IFERROR(OFFSET('SIND PITS'!$Q$2,MATCH('RESUMEN PITS'!C23,'SIND PITS'!$C$3:$C$103,0),0),0)</f>
        <v>5753.3209999999999</v>
      </c>
    </row>
    <row r="24" spans="1:25" s="47" customFormat="1" x14ac:dyDescent="0.2">
      <c r="A24" s="27" t="s">
        <v>193</v>
      </c>
      <c r="B24" s="37" t="s">
        <v>95</v>
      </c>
      <c r="C24" s="27" t="s">
        <v>194</v>
      </c>
      <c r="D24" s="37" t="e">
        <f>VLOOKUP(C24,'IP PITSS'!$B$9:$U$90,21,0)</f>
        <v>#REF!</v>
      </c>
      <c r="E24" s="59"/>
      <c r="F24" s="47">
        <f>VLOOKUP(C24,'SIND PITS'!$C$3:$D$100,2,0)</f>
        <v>1367.3000000000002</v>
      </c>
      <c r="G24" s="47">
        <f>VLOOKUP(C24,'SIND PITS'!$C$3:$E$100,3,0)</f>
        <v>390.63</v>
      </c>
      <c r="H24" s="47">
        <f>VLOOKUP(C24,'SIND PITS'!$C$3:$F$100,4,0)</f>
        <v>0</v>
      </c>
      <c r="I24" s="47">
        <f>VLOOKUP(C24,'SIND PITS'!$C$3:$G$100,5,0)</f>
        <v>0</v>
      </c>
      <c r="J24" s="43"/>
      <c r="K24" s="47" t="e">
        <f t="shared" si="1"/>
        <v>#REF!</v>
      </c>
      <c r="L24" s="64">
        <v>13125</v>
      </c>
      <c r="M24" s="47">
        <f t="shared" si="2"/>
        <v>6562.5</v>
      </c>
      <c r="N24" s="44"/>
      <c r="O24" s="36">
        <f>VLOOKUP(C24,'[1]IP PITS'!$B$6:$I$87,8,0)</f>
        <v>0</v>
      </c>
      <c r="P24" s="47">
        <f t="shared" si="5"/>
        <v>390.63</v>
      </c>
      <c r="Q24" s="36">
        <f>(VLOOKUP(C24,'IP PITSS'!$B$9:$M$90,10,0))+(VLOOKUP(C24,'IP PITSS'!$B$9:$M$90,11,0))+(VLOOKUP(C24,'IP PITSS'!$B$9:$M$90,12,0))</f>
        <v>0</v>
      </c>
      <c r="R24" s="36" t="e">
        <f>VLOOKUP(C24,'IP PITSS'!$B$9:$Q$90,17,0)</f>
        <v>#REF!</v>
      </c>
      <c r="S24" s="36" t="e">
        <f>VLOOKUP(C24,'IP PITSS'!$B$9:$R$90,18,0)</f>
        <v>#REF!</v>
      </c>
      <c r="T24" s="44"/>
      <c r="U24" s="47" t="e">
        <f t="shared" si="6"/>
        <v>#REF!</v>
      </c>
      <c r="V24" s="36" t="e">
        <f t="shared" si="0"/>
        <v>#REF!</v>
      </c>
      <c r="W24" s="36"/>
      <c r="X24" s="47" t="s">
        <v>195</v>
      </c>
      <c r="Y24" s="36">
        <f ca="1">IFERROR(OFFSET('CPD PITSS'!$AN$8,MATCH('RESUMEN PITS'!C24,'CPD PITSS'!$B$9:$B$26,0),0),0)+IFERROR(OFFSET('IP PITSS'!$AL$8,MATCH('RESUMEN PITS'!C24,'IP PITSS'!$B$9:$B$90,0),0),0)+IFERROR(OFFSET('SIND PITS'!$Q$2,MATCH('RESUMEN PITS'!C24,'SIND PITS'!$C$3:$C$103,0),0),0)</f>
        <v>9023.1226000000006</v>
      </c>
    </row>
    <row r="25" spans="1:25" s="47" customFormat="1" x14ac:dyDescent="0.2">
      <c r="A25" s="27" t="s">
        <v>231</v>
      </c>
      <c r="B25" s="37" t="s">
        <v>95</v>
      </c>
      <c r="C25" s="27" t="s">
        <v>232</v>
      </c>
      <c r="D25" s="37" t="e">
        <f>VLOOKUP(C25,'IP PITSS'!$B$9:$U$90,21,0)</f>
        <v>#REF!</v>
      </c>
      <c r="E25" s="59"/>
      <c r="F25" s="47">
        <f>VLOOKUP(C25,'SIND PITS'!$C$3:$D$100,2,0)</f>
        <v>414.59999999999991</v>
      </c>
      <c r="G25" s="47">
        <f>VLOOKUP(C25,'SIND PITS'!$C$3:$E$100,3,0)</f>
        <v>165</v>
      </c>
      <c r="H25" s="47">
        <f>VLOOKUP(C25,'SIND PITS'!$C$3:$F$100,4,0)</f>
        <v>0</v>
      </c>
      <c r="I25" s="47">
        <f>VLOOKUP(C25,'SIND PITS'!$C$3:$G$100,5,0)</f>
        <v>0</v>
      </c>
      <c r="J25" s="43"/>
      <c r="K25" s="47" t="e">
        <f t="shared" si="1"/>
        <v>#REF!</v>
      </c>
      <c r="L25" s="47">
        <v>8000</v>
      </c>
      <c r="M25" s="47">
        <f t="shared" si="2"/>
        <v>4000</v>
      </c>
      <c r="N25" s="44"/>
      <c r="O25" s="36">
        <f>VLOOKUP(C25,'[1]IP PITS'!$B$6:$I$87,8,0)</f>
        <v>0</v>
      </c>
      <c r="P25" s="47">
        <f t="shared" si="5"/>
        <v>165</v>
      </c>
      <c r="Q25" s="36">
        <f>(VLOOKUP(C25,'IP PITSS'!$B$9:$M$90,10,0))+(VLOOKUP(C25,'IP PITSS'!$B$9:$M$90,11,0))+(VLOOKUP(C25,'IP PITSS'!$B$9:$M$90,12,0))</f>
        <v>0</v>
      </c>
      <c r="R25" s="36" t="e">
        <f>VLOOKUP(C25,'IP PITSS'!$B$9:$Q$90,17,0)</f>
        <v>#REF!</v>
      </c>
      <c r="S25" s="36" t="e">
        <f>VLOOKUP(C25,'IP PITSS'!$B$9:$R$90,18,0)</f>
        <v>#REF!</v>
      </c>
      <c r="T25" s="44"/>
      <c r="U25" s="47" t="e">
        <f t="shared" si="6"/>
        <v>#REF!</v>
      </c>
      <c r="V25" s="36" t="e">
        <f t="shared" si="0"/>
        <v>#REF!</v>
      </c>
      <c r="W25" s="36"/>
      <c r="X25" s="47" t="s">
        <v>233</v>
      </c>
      <c r="Y25" s="36">
        <f ca="1">IFERROR(OFFSET('CPD PITSS'!$AN$8,MATCH('RESUMEN PITS'!C25,'CPD PITSS'!$B$9:$B$26,0),0),0)+IFERROR(OFFSET('IP PITSS'!$AL$8,MATCH('RESUMEN PITS'!C25,'IP PITSS'!$B$9:$B$90,0),0),0)+IFERROR(OFFSET('SIND PITS'!$Q$2,MATCH('RESUMEN PITS'!C25,'SIND PITS'!$C$3:$C$103,0),0),0)</f>
        <v>5717.6210000000001</v>
      </c>
    </row>
    <row r="26" spans="1:25" s="47" customFormat="1" x14ac:dyDescent="0.2">
      <c r="A26" s="24" t="s">
        <v>347</v>
      </c>
      <c r="B26" s="37" t="s">
        <v>95</v>
      </c>
      <c r="C26" s="24" t="s">
        <v>348</v>
      </c>
      <c r="D26" s="37" t="e">
        <f>VLOOKUP(C26,'IP PITSS'!$B$9:$U$90,21,0)</f>
        <v>#REF!</v>
      </c>
      <c r="E26" s="59"/>
      <c r="F26" s="47">
        <f>VLOOKUP(C26,'SIND PITS'!$C$3:$D$100,2,0)</f>
        <v>1135.19</v>
      </c>
      <c r="G26" s="47">
        <f>VLOOKUP(C26,'SIND PITS'!$C$3:$E$100,3,0)</f>
        <v>0</v>
      </c>
      <c r="H26" s="47">
        <f>VLOOKUP(C26,'SIND PITS'!$C$3:$F$100,4,0)</f>
        <v>0</v>
      </c>
      <c r="I26" s="47">
        <f>VLOOKUP(C26,'SIND PITS'!$C$3:$G$100,5,0)</f>
        <v>0</v>
      </c>
      <c r="J26" s="43"/>
      <c r="K26" s="47" t="e">
        <f t="shared" si="1"/>
        <v>#REF!</v>
      </c>
      <c r="L26" s="36">
        <v>8000</v>
      </c>
      <c r="M26" s="47">
        <f t="shared" si="2"/>
        <v>4000</v>
      </c>
      <c r="N26" s="44"/>
      <c r="O26" s="36">
        <f>VLOOKUP(C26,'[1]IP PITS'!$B$6:$I$87,8,0)</f>
        <v>0</v>
      </c>
      <c r="P26" s="47">
        <f t="shared" si="5"/>
        <v>0</v>
      </c>
      <c r="Q26" s="36">
        <f>(VLOOKUP(C26,'IP PITSS'!$B$9:$M$90,10,0))+(VLOOKUP(C26,'IP PITSS'!$B$9:$M$90,11,0))+(VLOOKUP(C26,'IP PITSS'!$B$9:$M$90,12,0))</f>
        <v>1332.81</v>
      </c>
      <c r="R26" s="36" t="e">
        <f>VLOOKUP(C26,'IP PITSS'!$B$9:$Q$90,17,0)</f>
        <v>#REF!</v>
      </c>
      <c r="S26" s="36" t="e">
        <f>VLOOKUP(C26,'IP PITSS'!$B$9:$R$90,18,0)</f>
        <v>#REF!</v>
      </c>
      <c r="T26" s="44"/>
      <c r="U26" s="47" t="e">
        <f t="shared" si="6"/>
        <v>#REF!</v>
      </c>
      <c r="V26" s="36" t="e">
        <f t="shared" si="0"/>
        <v>#REF!</v>
      </c>
      <c r="W26" s="36"/>
      <c r="X26" s="47" t="s">
        <v>349</v>
      </c>
      <c r="Y26" s="36">
        <f ca="1">IFERROR(OFFSET('CPD PITSS'!$AN$8,MATCH('RESUMEN PITS'!C26,'CPD PITSS'!$B$9:$B$26,0),0),0)+IFERROR(OFFSET('IP PITSS'!$AL$8,MATCH('RESUMEN PITS'!C26,'IP PITSS'!$B$9:$B$90,0),0),0)+IFERROR(OFFSET('SIND PITS'!$Q$2,MATCH('RESUMEN PITS'!C26,'SIND PITS'!$C$3:$C$103,0),0),0)</f>
        <v>5345.54</v>
      </c>
    </row>
    <row r="27" spans="1:25" s="47" customFormat="1" x14ac:dyDescent="0.2">
      <c r="A27" s="27" t="s">
        <v>287</v>
      </c>
      <c r="B27" s="37" t="s">
        <v>95</v>
      </c>
      <c r="C27" s="27" t="s">
        <v>288</v>
      </c>
      <c r="D27" s="37" t="e">
        <f>VLOOKUP(C27,'IP PITSS'!$B$9:$U$90,21,0)</f>
        <v>#REF!</v>
      </c>
      <c r="E27" s="59"/>
      <c r="F27" s="47">
        <f>VLOOKUP(C27,'SIND PITS'!$C$3:$D$100,2,0)</f>
        <v>593.60000000000036</v>
      </c>
      <c r="G27" s="47">
        <f>VLOOKUP(C27,'SIND PITS'!$C$3:$E$100,3,0)</f>
        <v>90</v>
      </c>
      <c r="H27" s="47">
        <f>VLOOKUP(C27,'SIND PITS'!$C$3:$F$100,4,0)</f>
        <v>1440</v>
      </c>
      <c r="I27" s="47">
        <f>VLOOKUP(C27,'SIND PITS'!$C$3:$G$100,5,0)</f>
        <v>0</v>
      </c>
      <c r="J27" s="43"/>
      <c r="K27" s="47" t="e">
        <f t="shared" si="1"/>
        <v>#REF!</v>
      </c>
      <c r="L27" s="47">
        <v>10000</v>
      </c>
      <c r="M27" s="47">
        <f t="shared" si="2"/>
        <v>5000</v>
      </c>
      <c r="N27" s="44"/>
      <c r="O27" s="36">
        <f>VLOOKUP(C27,'[1]IP PITS'!$B$6:$I$87,8,0)</f>
        <v>0</v>
      </c>
      <c r="P27" s="47">
        <f t="shared" si="5"/>
        <v>1530</v>
      </c>
      <c r="Q27" s="36">
        <f>(VLOOKUP(C27,'IP PITSS'!$B$9:$M$90,10,0))+(VLOOKUP(C27,'IP PITSS'!$B$9:$M$90,11,0))+(VLOOKUP(C27,'IP PITSS'!$B$9:$M$90,12,0))</f>
        <v>0</v>
      </c>
      <c r="R27" s="36" t="e">
        <f>VLOOKUP(C27,'IP PITSS'!$B$9:$Q$90,17,0)</f>
        <v>#REF!</v>
      </c>
      <c r="S27" s="36" t="e">
        <f>VLOOKUP(C27,'IP PITSS'!$B$9:$R$90,18,0)</f>
        <v>#REF!</v>
      </c>
      <c r="T27" s="44"/>
      <c r="U27" s="47" t="e">
        <f t="shared" si="6"/>
        <v>#REF!</v>
      </c>
      <c r="V27" s="36" t="e">
        <f t="shared" si="0"/>
        <v>#REF!</v>
      </c>
      <c r="W27" s="36"/>
      <c r="X27" s="47" t="s">
        <v>289</v>
      </c>
      <c r="Y27" s="36">
        <f ca="1">IFERROR(OFFSET('CPD PITSS'!$AN$8,MATCH('RESUMEN PITS'!C27,'CPD PITSS'!$B$9:$B$26,0),0),0)+IFERROR(OFFSET('IP PITSS'!$AL$8,MATCH('RESUMEN PITS'!C27,'IP PITSS'!$B$9:$B$90,0),0),0)+IFERROR(OFFSET('SIND PITS'!$Q$2,MATCH('RESUMEN PITS'!C27,'SIND PITS'!$C$3:$C$103,0),0),0)</f>
        <v>8366.6189999999988</v>
      </c>
    </row>
    <row r="28" spans="1:25" s="47" customFormat="1" x14ac:dyDescent="0.2">
      <c r="A28" s="27" t="s">
        <v>309</v>
      </c>
      <c r="B28" s="37" t="s">
        <v>95</v>
      </c>
      <c r="C28" s="27" t="s">
        <v>310</v>
      </c>
      <c r="D28" s="37" t="e">
        <f>VLOOKUP(C28,'IP PITSS'!$B$9:$U$90,21,0)</f>
        <v>#REF!</v>
      </c>
      <c r="E28" s="59"/>
      <c r="F28" s="47">
        <f>VLOOKUP(C28,'SIND PITS'!$C$3:$D$100,2,0)</f>
        <v>222.60000000000036</v>
      </c>
      <c r="G28" s="47">
        <f>VLOOKUP(C28,'SIND PITS'!$C$3:$E$100,3,0)</f>
        <v>75</v>
      </c>
      <c r="H28" s="47">
        <f>VLOOKUP(C28,'SIND PITS'!$C$3:$F$100,4,0)</f>
        <v>0</v>
      </c>
      <c r="I28" s="47">
        <f>VLOOKUP(C28,'SIND PITS'!$C$3:$G$100,5,0)</f>
        <v>0</v>
      </c>
      <c r="J28" s="43"/>
      <c r="K28" s="47" t="e">
        <f t="shared" si="1"/>
        <v>#REF!</v>
      </c>
      <c r="L28" s="47">
        <v>7000</v>
      </c>
      <c r="M28" s="47">
        <f t="shared" si="2"/>
        <v>3500</v>
      </c>
      <c r="N28" s="44"/>
      <c r="O28" s="36">
        <f>VLOOKUP(C28,'[1]IP PITS'!$B$6:$I$87,8,0)</f>
        <v>0</v>
      </c>
      <c r="P28" s="47">
        <f t="shared" si="5"/>
        <v>75</v>
      </c>
      <c r="Q28" s="36">
        <f>(VLOOKUP(C28,'IP PITSS'!$B$9:$M$90,10,0))+(VLOOKUP(C28,'IP PITSS'!$B$9:$M$90,11,0))+(VLOOKUP(C28,'IP PITSS'!$B$9:$M$90,12,0))</f>
        <v>0</v>
      </c>
      <c r="R28" s="36" t="e">
        <f>VLOOKUP(C28,'IP PITSS'!$B$9:$Q$90,17,0)</f>
        <v>#REF!</v>
      </c>
      <c r="S28" s="36" t="e">
        <f>VLOOKUP(C28,'IP PITSS'!$B$9:$R$90,18,0)</f>
        <v>#REF!</v>
      </c>
      <c r="T28" s="44"/>
      <c r="U28" s="47" t="e">
        <f t="shared" si="6"/>
        <v>#REF!</v>
      </c>
      <c r="V28" s="36" t="e">
        <f t="shared" si="0"/>
        <v>#REF!</v>
      </c>
      <c r="W28" s="36"/>
      <c r="X28" s="47" t="s">
        <v>311</v>
      </c>
      <c r="Y28" s="36">
        <f ca="1">IFERROR(OFFSET('CPD PITSS'!$AN$8,MATCH('RESUMEN PITS'!C28,'CPD PITSS'!$B$9:$B$26,0),0),0)+IFERROR(OFFSET('IP PITSS'!$AL$8,MATCH('RESUMEN PITS'!C28,'IP PITSS'!$B$9:$B$90,0),0),0)+IFERROR(OFFSET('SIND PITS'!$Q$2,MATCH('RESUMEN PITS'!C28,'SIND PITS'!$C$3:$C$103,0),0),0)</f>
        <v>5016.5189999999993</v>
      </c>
    </row>
    <row r="29" spans="1:25" s="36" customFormat="1" x14ac:dyDescent="0.2">
      <c r="A29" s="24" t="s">
        <v>107</v>
      </c>
      <c r="B29" s="37" t="s">
        <v>95</v>
      </c>
      <c r="C29" s="24" t="s">
        <v>108</v>
      </c>
      <c r="D29" s="37" t="e">
        <f>VLOOKUP(C29,'IP PITSS'!$B$9:$U$90,21,0)</f>
        <v>#REF!</v>
      </c>
      <c r="E29" s="62"/>
      <c r="F29" s="47">
        <f>VLOOKUP(C29,'SIND PITS'!$C$3:$D$100,2,0)</f>
        <v>255.19999999999982</v>
      </c>
      <c r="G29" s="47">
        <f>VLOOKUP(C29,'SIND PITS'!$C$3:$E$100,3,0)</f>
        <v>455</v>
      </c>
      <c r="H29" s="47">
        <f>VLOOKUP(C29,'SIND PITS'!$C$3:$F$100,4,0)</f>
        <v>0</v>
      </c>
      <c r="I29" s="47">
        <f>VLOOKUP(C29,'SIND PITS'!$C$3:$G$100,5,0)</f>
        <v>0</v>
      </c>
      <c r="J29" s="63"/>
      <c r="K29" s="47" t="e">
        <f t="shared" si="1"/>
        <v>#REF!</v>
      </c>
      <c r="L29" s="36">
        <v>6000</v>
      </c>
      <c r="M29" s="47">
        <f t="shared" si="2"/>
        <v>3000</v>
      </c>
      <c r="N29" s="44"/>
      <c r="O29" s="36">
        <f>VLOOKUP(C29,'[1]IP PITS'!$B$6:$I$87,8,0)</f>
        <v>180</v>
      </c>
      <c r="P29" s="47">
        <f t="shared" si="5"/>
        <v>455</v>
      </c>
      <c r="Q29" s="36">
        <f>(VLOOKUP(C29,'IP PITSS'!$B$9:$M$90,10,0))+(VLOOKUP(C29,'IP PITSS'!$B$9:$M$90,11,0))+(VLOOKUP(C29,'IP PITSS'!$B$9:$M$90,12,0))</f>
        <v>0</v>
      </c>
      <c r="R29" s="36" t="e">
        <f>VLOOKUP(C29,'IP PITSS'!$B$9:$Q$90,17,0)</f>
        <v>#REF!</v>
      </c>
      <c r="S29" s="36" t="e">
        <f>VLOOKUP(C29,'IP PITSS'!$B$9:$R$90,18,0)</f>
        <v>#REF!</v>
      </c>
      <c r="T29" s="44"/>
      <c r="U29" s="47" t="e">
        <f t="shared" si="6"/>
        <v>#REF!</v>
      </c>
      <c r="V29" s="36" t="e">
        <f t="shared" si="0"/>
        <v>#REF!</v>
      </c>
      <c r="W29" s="46"/>
      <c r="X29" s="47" t="s">
        <v>109</v>
      </c>
      <c r="Y29" s="36">
        <f ca="1">IFERROR(OFFSET('CPD PITSS'!$AN$8,MATCH('RESUMEN PITS'!C29,'CPD PITSS'!$B$9:$B$26,0),0),0)+IFERROR(OFFSET('IP PITSS'!$AL$8,MATCH('RESUMEN PITS'!C29,'IP PITSS'!$B$9:$B$90,0),0),0)+IFERROR(OFFSET('SIND PITS'!$Q$2,MATCH('RESUMEN PITS'!C29,'SIND PITS'!$C$3:$C$103,0),0),0)</f>
        <v>4974.4399999999996</v>
      </c>
    </row>
    <row r="30" spans="1:25" s="47" customFormat="1" x14ac:dyDescent="0.2">
      <c r="A30" s="27" t="s">
        <v>172</v>
      </c>
      <c r="B30" s="37" t="s">
        <v>95</v>
      </c>
      <c r="C30" s="27" t="s">
        <v>173</v>
      </c>
      <c r="D30" s="37" t="e">
        <f>VLOOKUP(C30,'IP PITSS'!$B$9:$U$90,21,0)</f>
        <v>#REF!</v>
      </c>
      <c r="E30" s="59"/>
      <c r="F30" s="47">
        <f>VLOOKUP(C30,'SIND PITS'!$C$3:$D$100,2,0)</f>
        <v>1416.1999999999998</v>
      </c>
      <c r="G30" s="47">
        <f>VLOOKUP(C30,'SIND PITS'!$C$3:$E$100,3,0)</f>
        <v>718.75</v>
      </c>
      <c r="H30" s="47">
        <f>VLOOKUP(C30,'SIND PITS'!$C$3:$F$100,4,0)</f>
        <v>0</v>
      </c>
      <c r="I30" s="47">
        <f>VLOOKUP(C30,'SIND PITS'!$C$3:$G$100,5,0)</f>
        <v>0</v>
      </c>
      <c r="J30" s="43"/>
      <c r="K30" s="47" t="e">
        <f t="shared" si="1"/>
        <v>#REF!</v>
      </c>
      <c r="L30" s="47">
        <v>10000</v>
      </c>
      <c r="M30" s="47">
        <f t="shared" si="2"/>
        <v>5000</v>
      </c>
      <c r="N30" s="44"/>
      <c r="O30" s="36">
        <f>VLOOKUP(C30,'[1]IP PITS'!$B$6:$I$87,8,0)</f>
        <v>0</v>
      </c>
      <c r="P30" s="47">
        <f t="shared" si="5"/>
        <v>718.75</v>
      </c>
      <c r="Q30" s="36">
        <f>(VLOOKUP(C30,'IP PITSS'!$B$9:$M$90,10,0))+(VLOOKUP(C30,'IP PITSS'!$B$9:$M$90,11,0))+(VLOOKUP(C30,'IP PITSS'!$B$9:$M$90,12,0))</f>
        <v>0</v>
      </c>
      <c r="R30" s="36" t="e">
        <f>VLOOKUP(C30,'IP PITSS'!$B$9:$Q$90,17,0)</f>
        <v>#REF!</v>
      </c>
      <c r="S30" s="36" t="e">
        <f>VLOOKUP(C30,'IP PITSS'!$B$9:$R$90,18,0)</f>
        <v>#REF!</v>
      </c>
      <c r="T30" s="44"/>
      <c r="U30" s="47" t="e">
        <f t="shared" si="6"/>
        <v>#REF!</v>
      </c>
      <c r="V30" s="36" t="e">
        <f t="shared" si="0"/>
        <v>#REF!</v>
      </c>
      <c r="W30" s="36"/>
      <c r="X30" s="47" t="s">
        <v>174</v>
      </c>
      <c r="Y30" s="36">
        <f ca="1">IFERROR(OFFSET('CPD PITSS'!$AN$8,MATCH('RESUMEN PITS'!C30,'CPD PITSS'!$B$9:$B$26,0),0),0)+IFERROR(OFFSET('IP PITSS'!$AL$8,MATCH('RESUMEN PITS'!C30,'IP PITSS'!$B$9:$B$90,0),0),0)+IFERROR(OFFSET('SIND PITS'!$Q$2,MATCH('RESUMEN PITS'!C30,'SIND PITS'!$C$3:$C$103,0),0),0)</f>
        <v>7314.2860000000001</v>
      </c>
    </row>
    <row r="31" spans="1:25" s="47" customFormat="1" x14ac:dyDescent="0.2">
      <c r="A31" s="18" t="s">
        <v>156</v>
      </c>
      <c r="B31" s="37" t="s">
        <v>95</v>
      </c>
      <c r="C31" s="18" t="s">
        <v>157</v>
      </c>
      <c r="D31" s="37" t="e">
        <f>VLOOKUP(C31,'IP PITSS'!$B$9:$U$90,21,0)</f>
        <v>#REF!</v>
      </c>
      <c r="E31" s="59"/>
      <c r="F31" s="47">
        <f>VLOOKUP(C31,'SIND PITS'!$C$3:$D$100,2,0)</f>
        <v>52.349999999999909</v>
      </c>
      <c r="G31" s="47">
        <f>VLOOKUP(C31,'SIND PITS'!$C$3:$E$100,3,0)</f>
        <v>250</v>
      </c>
      <c r="H31" s="47">
        <f>VLOOKUP(C31,'SIND PITS'!$C$3:$F$100,4,0)</f>
        <v>0</v>
      </c>
      <c r="I31" s="47">
        <f>VLOOKUP(C31,'SIND PITS'!$C$3:$G$100,5,0)</f>
        <v>0</v>
      </c>
      <c r="J31" s="43"/>
      <c r="K31" s="47" t="e">
        <f t="shared" si="1"/>
        <v>#REF!</v>
      </c>
      <c r="L31" s="47">
        <v>5000</v>
      </c>
      <c r="M31" s="47">
        <f t="shared" si="2"/>
        <v>2500</v>
      </c>
      <c r="N31" s="44"/>
      <c r="O31" s="36">
        <f>VLOOKUP(C31,'[1]IP PITS'!$B$6:$I$87,8,0)</f>
        <v>0</v>
      </c>
      <c r="P31" s="47">
        <f t="shared" si="5"/>
        <v>250</v>
      </c>
      <c r="Q31" s="36">
        <f>(VLOOKUP(C31,'IP PITSS'!$B$9:$M$90,10,0))+(VLOOKUP(C31,'IP PITSS'!$B$9:$M$90,11,0))+(VLOOKUP(C31,'IP PITSS'!$B$9:$M$90,12,0))</f>
        <v>0</v>
      </c>
      <c r="R31" s="36" t="e">
        <f>VLOOKUP(C31,'IP PITSS'!$B$9:$Q$90,17,0)</f>
        <v>#REF!</v>
      </c>
      <c r="S31" s="36" t="e">
        <f>VLOOKUP(C31,'IP PITSS'!$B$9:$R$90,18,0)</f>
        <v>#REF!</v>
      </c>
      <c r="T31" s="44"/>
      <c r="U31" s="47" t="e">
        <f t="shared" si="6"/>
        <v>#REF!</v>
      </c>
      <c r="V31" s="36" t="e">
        <f t="shared" si="0"/>
        <v>#REF!</v>
      </c>
      <c r="W31" s="36"/>
      <c r="X31" s="47" t="s">
        <v>158</v>
      </c>
      <c r="Y31" s="36">
        <f ca="1">IFERROR(OFFSET('CPD PITSS'!$AN$8,MATCH('RESUMEN PITS'!C31,'CPD PITSS'!$B$9:$B$26,0),0),0)+IFERROR(OFFSET('IP PITSS'!$AL$8,MATCH('RESUMEN PITS'!C31,'IP PITSS'!$B$9:$B$90,0),0),0)+IFERROR(OFFSET('SIND PITS'!$Q$2,MATCH('RESUMEN PITS'!C31,'SIND PITS'!$C$3:$C$103,0),0),0)</f>
        <v>3959.2310000000002</v>
      </c>
    </row>
    <row r="32" spans="1:25" s="47" customFormat="1" x14ac:dyDescent="0.2">
      <c r="A32" s="18" t="s">
        <v>371</v>
      </c>
      <c r="B32" s="25" t="s">
        <v>95</v>
      </c>
      <c r="C32" s="27" t="s">
        <v>268</v>
      </c>
      <c r="D32" s="37" t="e">
        <f>VLOOKUP(C32,'IP PITSS'!$B$9:$U$90,21,0)</f>
        <v>#REF!</v>
      </c>
      <c r="E32" s="59"/>
      <c r="F32" s="47">
        <f>VLOOKUP(C32,'SIND PITS'!$C$3:$D$100,2,0)</f>
        <v>706.80000000000018</v>
      </c>
      <c r="G32" s="47">
        <f>VLOOKUP(C32,'SIND PITS'!$C$3:$E$100,3,0)</f>
        <v>500</v>
      </c>
      <c r="H32" s="47">
        <f>VLOOKUP(C32,'SIND PITS'!$C$3:$F$100,4,0)</f>
        <v>0</v>
      </c>
      <c r="I32" s="47">
        <f>VLOOKUP(C32,'SIND PITS'!$C$3:$G$100,5,0)</f>
        <v>0</v>
      </c>
      <c r="J32" s="43"/>
      <c r="K32" s="47" t="e">
        <f t="shared" ref="K32" si="7">+D32+F32+G32+H32+I32</f>
        <v>#REF!</v>
      </c>
      <c r="L32" s="47">
        <v>8800</v>
      </c>
      <c r="M32" s="47">
        <f t="shared" si="2"/>
        <v>4400</v>
      </c>
      <c r="N32" s="43"/>
      <c r="O32" s="36">
        <f>VLOOKUP(C32,'[1]IP PITS'!$B$6:$I$87,8,0)</f>
        <v>0</v>
      </c>
      <c r="P32" s="47">
        <f t="shared" si="5"/>
        <v>500</v>
      </c>
      <c r="Q32" s="36">
        <f>(VLOOKUP(C32,'IP PITSS'!$B$9:$M$90,10,0))+(VLOOKUP(C32,'IP PITSS'!$B$9:$M$90,11,0))+(VLOOKUP(C32,'IP PITSS'!$B$9:$M$90,12,0))</f>
        <v>0</v>
      </c>
      <c r="R32" s="36" t="e">
        <f>VLOOKUP(C32,'IP PITSS'!$B$9:$Q$90,17,0)</f>
        <v>#REF!</v>
      </c>
      <c r="S32" s="36" t="e">
        <f>VLOOKUP(C32,'IP PITSS'!$B$9:$R$90,18,0)</f>
        <v>#REF!</v>
      </c>
      <c r="T32" s="36" t="e">
        <f>VLOOKUP(C32,'[2]IP SEITON'!$B$6:$R$31,17,0)</f>
        <v>#N/A</v>
      </c>
      <c r="U32" s="47" t="e">
        <f t="shared" si="6"/>
        <v>#REF!</v>
      </c>
      <c r="V32" s="36" t="e">
        <f>+M32-U32</f>
        <v>#REF!</v>
      </c>
      <c r="W32" s="36"/>
      <c r="Y32" s="36">
        <f ca="1">IFERROR(OFFSET('CPD PITSS'!$AN$8,MATCH('RESUMEN PITS'!C32,'CPD PITSS'!$B$9:$B$26,0),0),0)+IFERROR(OFFSET('IP PITSS'!$AL$8,MATCH('RESUMEN PITS'!C32,'IP PITSS'!$B$9:$B$90,0),0),0)+IFERROR(OFFSET('SIND PITS'!$Q$2,MATCH('RESUMEN PITS'!C32,'SIND PITS'!$C$3:$C$103,0),0),0)</f>
        <v>6495.0399999999991</v>
      </c>
    </row>
    <row r="33" spans="1:25" s="47" customFormat="1" x14ac:dyDescent="0.2">
      <c r="A33" s="18" t="s">
        <v>296</v>
      </c>
      <c r="B33" s="37" t="s">
        <v>95</v>
      </c>
      <c r="C33" s="18" t="s">
        <v>297</v>
      </c>
      <c r="D33" s="37" t="e">
        <f>VLOOKUP(C33,'IP PITSS'!$B$9:$U$90,21,0)</f>
        <v>#REF!</v>
      </c>
      <c r="E33" s="59"/>
      <c r="F33" s="47">
        <f>VLOOKUP(C33,'SIND PITS'!$C$3:$D$100,2,0)</f>
        <v>416.39999999999964</v>
      </c>
      <c r="G33" s="47">
        <f>VLOOKUP(C33,'SIND PITS'!$C$3:$E$100,3,0)</f>
        <v>330</v>
      </c>
      <c r="H33" s="47">
        <f>VLOOKUP(C33,'SIND PITS'!$C$3:$F$100,4,0)</f>
        <v>0</v>
      </c>
      <c r="I33" s="47">
        <f>VLOOKUP(C33,'SIND PITS'!$C$3:$G$100,5,0)</f>
        <v>0</v>
      </c>
      <c r="J33" s="43"/>
      <c r="K33" s="47" t="e">
        <f t="shared" si="1"/>
        <v>#REF!</v>
      </c>
      <c r="L33" s="47">
        <v>8000</v>
      </c>
      <c r="M33" s="47">
        <f t="shared" si="2"/>
        <v>4000</v>
      </c>
      <c r="N33" s="44"/>
      <c r="O33" s="36">
        <f>VLOOKUP(C33,'[1]IP PITS'!$B$6:$I$87,8,0)</f>
        <v>0</v>
      </c>
      <c r="P33" s="47">
        <f t="shared" si="5"/>
        <v>330</v>
      </c>
      <c r="Q33" s="36">
        <f>(VLOOKUP(C33,'IP PITSS'!$B$9:$M$90,10,0))+(VLOOKUP(C33,'IP PITSS'!$B$9:$M$90,11,0))+(VLOOKUP(C33,'IP PITSS'!$B$9:$M$90,12,0))</f>
        <v>0</v>
      </c>
      <c r="R33" s="36" t="e">
        <f>VLOOKUP(C33,'IP PITSS'!$B$9:$Q$90,17,0)</f>
        <v>#REF!</v>
      </c>
      <c r="S33" s="36" t="e">
        <f>VLOOKUP(C33,'IP PITSS'!$B$9:$R$90,18,0)</f>
        <v>#REF!</v>
      </c>
      <c r="T33" s="44"/>
      <c r="U33" s="47" t="e">
        <f t="shared" si="6"/>
        <v>#REF!</v>
      </c>
      <c r="V33" s="36" t="e">
        <f t="shared" si="0"/>
        <v>#REF!</v>
      </c>
      <c r="W33" s="36"/>
      <c r="X33" s="47" t="s">
        <v>298</v>
      </c>
      <c r="Y33" s="36">
        <f ca="1">IFERROR(OFFSET('CPD PITSS'!$AN$8,MATCH('RESUMEN PITS'!C33,'CPD PITSS'!$B$9:$B$26,0),0),0)+IFERROR(OFFSET('IP PITSS'!$AL$8,MATCH('RESUMEN PITS'!C33,'IP PITSS'!$B$9:$B$90,0),0),0)+IFERROR(OFFSET('SIND PITS'!$Q$2,MATCH('RESUMEN PITS'!C33,'SIND PITS'!$C$3:$C$103,0),0),0)</f>
        <v>5897.7610000000004</v>
      </c>
    </row>
    <row r="34" spans="1:25" s="47" customFormat="1" x14ac:dyDescent="0.2">
      <c r="A34" s="18" t="s">
        <v>238</v>
      </c>
      <c r="B34" s="37" t="s">
        <v>95</v>
      </c>
      <c r="C34" s="18" t="s">
        <v>239</v>
      </c>
      <c r="D34" s="37" t="e">
        <f>VLOOKUP(C34,'IP PITSS'!$B$9:$U$90,21,0)</f>
        <v>#REF!</v>
      </c>
      <c r="E34" s="59"/>
      <c r="F34" s="47">
        <f>VLOOKUP(C34,'SIND PITS'!$C$3:$D$100,2,0)</f>
        <v>416.19999999999982</v>
      </c>
      <c r="G34" s="47">
        <f>VLOOKUP(C34,'SIND PITS'!$C$3:$E$100,3,0)</f>
        <v>240</v>
      </c>
      <c r="H34" s="47">
        <f>VLOOKUP(C34,'SIND PITS'!$C$3:$F$100,4,0)</f>
        <v>0</v>
      </c>
      <c r="I34" s="47">
        <f>VLOOKUP(C34,'SIND PITS'!$C$3:$G$100,5,0)</f>
        <v>0</v>
      </c>
      <c r="J34" s="43"/>
      <c r="K34" s="47" t="e">
        <f t="shared" si="1"/>
        <v>#REF!</v>
      </c>
      <c r="L34" s="47">
        <v>8000</v>
      </c>
      <c r="M34" s="47">
        <f t="shared" si="2"/>
        <v>4000</v>
      </c>
      <c r="N34" s="44"/>
      <c r="O34" s="36">
        <f>VLOOKUP(C34,'[1]IP PITS'!$B$6:$I$87,8,0)</f>
        <v>0</v>
      </c>
      <c r="P34" s="47">
        <f t="shared" si="5"/>
        <v>240</v>
      </c>
      <c r="Q34" s="36">
        <f>(VLOOKUP(C34,'IP PITSS'!$B$9:$M$90,10,0))+(VLOOKUP(C34,'IP PITSS'!$B$9:$M$90,11,0))+(VLOOKUP(C34,'IP PITSS'!$B$9:$M$90,12,0))</f>
        <v>0</v>
      </c>
      <c r="R34" s="36" t="e">
        <f>VLOOKUP(C34,'IP PITSS'!$B$9:$Q$90,17,0)</f>
        <v>#REF!</v>
      </c>
      <c r="S34" s="36" t="e">
        <f>VLOOKUP(C34,'IP PITSS'!$B$9:$R$90,18,0)</f>
        <v>#REF!</v>
      </c>
      <c r="T34" s="44"/>
      <c r="U34" s="47" t="e">
        <f t="shared" si="6"/>
        <v>#REF!</v>
      </c>
      <c r="V34" s="36" t="e">
        <f t="shared" si="0"/>
        <v>#REF!</v>
      </c>
      <c r="W34" s="36"/>
      <c r="X34" s="47" t="s">
        <v>240</v>
      </c>
      <c r="Y34" s="36">
        <f ca="1">IFERROR(OFFSET('CPD PITSS'!$AN$8,MATCH('RESUMEN PITS'!C34,'CPD PITSS'!$B$9:$B$26,0),0),0)+IFERROR(OFFSET('IP PITSS'!$AL$8,MATCH('RESUMEN PITS'!C34,'IP PITSS'!$B$9:$B$90,0),0),0)+IFERROR(OFFSET('SIND PITS'!$Q$2,MATCH('RESUMEN PITS'!C34,'SIND PITS'!$C$3:$C$103,0),0),0)</f>
        <v>5805.9610000000002</v>
      </c>
    </row>
    <row r="35" spans="1:25" s="47" customFormat="1" x14ac:dyDescent="0.2">
      <c r="A35" s="18" t="s">
        <v>98</v>
      </c>
      <c r="B35" s="37" t="s">
        <v>95</v>
      </c>
      <c r="C35" s="18" t="s">
        <v>99</v>
      </c>
      <c r="D35" s="37" t="e">
        <f>VLOOKUP(C35,'IP PITSS'!$B$9:$U$90,21,0)</f>
        <v>#REF!</v>
      </c>
      <c r="E35" s="59"/>
      <c r="F35" s="47">
        <f>VLOOKUP(C35,'SIND PITS'!$C$3:$D$100,2,0)</f>
        <v>135.14000000000033</v>
      </c>
      <c r="G35" s="47">
        <f>VLOOKUP(C35,'SIND PITS'!$C$3:$E$100,3,0)</f>
        <v>455</v>
      </c>
      <c r="H35" s="47">
        <f>VLOOKUP(C35,'SIND PITS'!$C$3:$F$100,4,0)</f>
        <v>0</v>
      </c>
      <c r="I35" s="47">
        <f>VLOOKUP(C35,'SIND PITS'!$C$3:$G$100,5,0)</f>
        <v>0</v>
      </c>
      <c r="J35" s="43"/>
      <c r="K35" s="47" t="e">
        <f t="shared" si="1"/>
        <v>#REF!</v>
      </c>
      <c r="L35" s="47">
        <v>6000</v>
      </c>
      <c r="M35" s="47">
        <f t="shared" si="2"/>
        <v>3000</v>
      </c>
      <c r="N35" s="44"/>
      <c r="O35" s="36">
        <f>VLOOKUP(C35,'[1]IP PITS'!$B$6:$I$87,8,0)</f>
        <v>0</v>
      </c>
      <c r="P35" s="47">
        <f t="shared" si="5"/>
        <v>455</v>
      </c>
      <c r="Q35" s="36">
        <f>(VLOOKUP(C35,'IP PITSS'!$B$9:$M$90,10,0))+(VLOOKUP(C35,'IP PITSS'!$B$9:$M$90,11,0))+(VLOOKUP(C35,'IP PITSS'!$B$9:$M$90,12,0))</f>
        <v>1078.6600000000001</v>
      </c>
      <c r="R35" s="36" t="e">
        <f>VLOOKUP(C35,'IP PITSS'!$B$9:$Q$90,17,0)</f>
        <v>#REF!</v>
      </c>
      <c r="S35" s="36" t="e">
        <f>VLOOKUP(C35,'IP PITSS'!$B$9:$R$90,18,0)</f>
        <v>#REF!</v>
      </c>
      <c r="T35" s="44"/>
      <c r="U35" s="47" t="e">
        <f t="shared" si="6"/>
        <v>#REF!</v>
      </c>
      <c r="V35" s="36" t="e">
        <f t="shared" si="0"/>
        <v>#REF!</v>
      </c>
      <c r="W35" s="46"/>
      <c r="X35" s="47" t="s">
        <v>100</v>
      </c>
      <c r="Y35" s="36">
        <f ca="1">IFERROR(OFFSET('CPD PITSS'!$AN$8,MATCH('RESUMEN PITS'!C35,'CPD PITSS'!$B$9:$B$26,0),0),0)+IFERROR(OFFSET('IP PITSS'!$AL$8,MATCH('RESUMEN PITS'!C35,'IP PITSS'!$B$9:$B$90,0),0),0)+IFERROR(OFFSET('SIND PITS'!$Q$2,MATCH('RESUMEN PITS'!C35,'SIND PITS'!$C$3:$C$103,0),0),0)</f>
        <v>4789.6500000000005</v>
      </c>
    </row>
    <row r="36" spans="1:25" s="36" customFormat="1" x14ac:dyDescent="0.2">
      <c r="A36" s="18" t="s">
        <v>225</v>
      </c>
      <c r="B36" s="37" t="s">
        <v>95</v>
      </c>
      <c r="C36" s="18" t="s">
        <v>226</v>
      </c>
      <c r="D36" s="37" t="e">
        <f>VLOOKUP(C36,'IP PITSS'!$B$9:$U$90,21,0)</f>
        <v>#REF!</v>
      </c>
      <c r="E36" s="59"/>
      <c r="F36" s="47">
        <f>VLOOKUP(C36,'SIND PITS'!$C$3:$D$100,2,0)</f>
        <v>1047.7999999999993</v>
      </c>
      <c r="G36" s="47">
        <f>VLOOKUP(C36,'SIND PITS'!$C$3:$E$100,3,0)</f>
        <v>562.5</v>
      </c>
      <c r="H36" s="47">
        <f>VLOOKUP(C36,'SIND PITS'!$C$3:$F$100,4,0)</f>
        <v>0</v>
      </c>
      <c r="I36" s="47">
        <f>VLOOKUP(C36,'SIND PITS'!$C$3:$G$100,5,0)</f>
        <v>0</v>
      </c>
      <c r="J36" s="43"/>
      <c r="K36" s="47" t="e">
        <f t="shared" si="1"/>
        <v>#REF!</v>
      </c>
      <c r="L36" s="47">
        <v>14000</v>
      </c>
      <c r="M36" s="47">
        <f t="shared" si="2"/>
        <v>7000</v>
      </c>
      <c r="N36" s="44"/>
      <c r="O36" s="36">
        <f>VLOOKUP(C36,'[1]IP PITS'!$B$6:$I$87,8,0)</f>
        <v>0</v>
      </c>
      <c r="P36" s="47">
        <f t="shared" si="5"/>
        <v>562.5</v>
      </c>
      <c r="Q36" s="36">
        <f>(VLOOKUP(C36,'IP PITSS'!$B$9:$M$90,10,0))+(VLOOKUP(C36,'IP PITSS'!$B$9:$M$90,11,0))+(VLOOKUP(C36,'IP PITSS'!$B$9:$M$90,12,0))</f>
        <v>0</v>
      </c>
      <c r="R36" s="36" t="e">
        <f>VLOOKUP(C36,'IP PITSS'!$B$9:$Q$90,17,0)</f>
        <v>#REF!</v>
      </c>
      <c r="S36" s="36" t="e">
        <f>VLOOKUP(C36,'IP PITSS'!$B$9:$R$90,18,0)</f>
        <v>#REF!</v>
      </c>
      <c r="T36" s="44"/>
      <c r="U36" s="47" t="e">
        <f t="shared" si="6"/>
        <v>#REF!</v>
      </c>
      <c r="V36" s="64" t="e">
        <f t="shared" si="0"/>
        <v>#REF!</v>
      </c>
      <c r="W36" s="64" t="s">
        <v>372</v>
      </c>
      <c r="X36" s="47" t="s">
        <v>227</v>
      </c>
      <c r="Y36" s="36">
        <f ca="1">IFERROR(OFFSET('CPD PITSS'!$AN$8,MATCH('RESUMEN PITS'!C36,'CPD PITSS'!$B$9:$B$26,0),0),0)+IFERROR(OFFSET('IP PITSS'!$AL$8,MATCH('RESUMEN PITS'!C36,'IP PITSS'!$B$9:$B$90,0),0),0)+IFERROR(OFFSET('SIND PITS'!$Q$2,MATCH('RESUMEN PITS'!C36,'SIND PITS'!$C$3:$C$103,0),0),0)</f>
        <v>9869.6810000000005</v>
      </c>
    </row>
    <row r="37" spans="1:25" s="47" customFormat="1" x14ac:dyDescent="0.2">
      <c r="A37" s="24" t="s">
        <v>73</v>
      </c>
      <c r="B37" s="37" t="s">
        <v>95</v>
      </c>
      <c r="C37" s="24" t="s">
        <v>142</v>
      </c>
      <c r="D37" s="37" t="e">
        <f>VLOOKUP(C37,'IP PITSS'!$B$9:$U$90,21,0)</f>
        <v>#REF!</v>
      </c>
      <c r="E37" s="59"/>
      <c r="F37" s="47">
        <f>VLOOKUP(C37,'SIND PITS'!$C$3:$D$100,2,0)</f>
        <v>1047.7999999999993</v>
      </c>
      <c r="G37" s="47">
        <f>VLOOKUP(C37,'SIND PITS'!$C$3:$E$100,3,0)</f>
        <v>687.5</v>
      </c>
      <c r="H37" s="47">
        <f>VLOOKUP(C37,'SIND PITS'!$C$3:$F$100,4,0)</f>
        <v>0</v>
      </c>
      <c r="I37" s="47">
        <f>VLOOKUP(C37,'SIND PITS'!$C$3:$G$100,5,0)</f>
        <v>0</v>
      </c>
      <c r="J37" s="43"/>
      <c r="K37" s="47" t="e">
        <f t="shared" si="1"/>
        <v>#REF!</v>
      </c>
      <c r="L37" s="36">
        <v>14000</v>
      </c>
      <c r="M37" s="47">
        <f t="shared" si="2"/>
        <v>7000</v>
      </c>
      <c r="N37" s="44"/>
      <c r="O37" s="36">
        <f>VLOOKUP(C37,'[1]IP PITS'!$B$6:$I$87,8,0)</f>
        <v>0</v>
      </c>
      <c r="P37" s="47">
        <f t="shared" si="5"/>
        <v>687.5</v>
      </c>
      <c r="Q37" s="36">
        <f>(VLOOKUP(C37,'IP PITSS'!$B$9:$M$90,10,0))+(VLOOKUP(C37,'IP PITSS'!$B$9:$M$90,11,0))+(VLOOKUP(C37,'IP PITSS'!$B$9:$M$90,12,0))</f>
        <v>0</v>
      </c>
      <c r="R37" s="36" t="e">
        <f>VLOOKUP(C37,'IP PITSS'!$B$9:$Q$90,17,0)</f>
        <v>#REF!</v>
      </c>
      <c r="S37" s="36" t="e">
        <f>VLOOKUP(C37,'IP PITSS'!$B$9:$R$90,18,0)</f>
        <v>#REF!</v>
      </c>
      <c r="T37" s="44"/>
      <c r="U37" s="47" t="e">
        <f t="shared" si="6"/>
        <v>#REF!</v>
      </c>
      <c r="V37" s="36" t="e">
        <f t="shared" si="0"/>
        <v>#REF!</v>
      </c>
      <c r="W37" s="36"/>
      <c r="X37" s="47" t="s">
        <v>143</v>
      </c>
      <c r="Y37" s="36">
        <f ca="1">IFERROR(OFFSET('CPD PITSS'!$AN$8,MATCH('RESUMEN PITS'!C37,'CPD PITSS'!$B$9:$B$26,0),0),0)+IFERROR(OFFSET('IP PITSS'!$AL$8,MATCH('RESUMEN PITS'!C37,'IP PITSS'!$B$9:$B$90,0),0),0)+IFERROR(OFFSET('SIND PITS'!$Q$2,MATCH('RESUMEN PITS'!C37,'SIND PITS'!$C$3:$C$103,0),0),0)</f>
        <v>9997.1810000000005</v>
      </c>
    </row>
    <row r="38" spans="1:25" s="47" customFormat="1" x14ac:dyDescent="0.2">
      <c r="A38" s="24" t="s">
        <v>127</v>
      </c>
      <c r="B38" s="37" t="s">
        <v>95</v>
      </c>
      <c r="C38" s="24" t="s">
        <v>128</v>
      </c>
      <c r="D38" s="37" t="e">
        <f>VLOOKUP(C38,'IP PITSS'!$B$9:$U$90,21,0)</f>
        <v>#REF!</v>
      </c>
      <c r="E38" s="59"/>
      <c r="F38" s="47">
        <f>VLOOKUP(C38,'SIND PITS'!$C$3:$D$100,2,0)</f>
        <v>135.19999999999982</v>
      </c>
      <c r="G38" s="47">
        <f>VLOOKUP(C38,'SIND PITS'!$C$3:$E$100,3,0)</f>
        <v>450</v>
      </c>
      <c r="H38" s="47">
        <f>VLOOKUP(C38,'SIND PITS'!$C$3:$F$100,4,0)</f>
        <v>0</v>
      </c>
      <c r="I38" s="47">
        <f>VLOOKUP(C38,'SIND PITS'!$C$3:$G$100,5,0)</f>
        <v>0</v>
      </c>
      <c r="J38" s="43"/>
      <c r="K38" s="47" t="e">
        <f t="shared" si="1"/>
        <v>#REF!</v>
      </c>
      <c r="L38" s="36">
        <v>6000</v>
      </c>
      <c r="M38" s="47">
        <f t="shared" si="2"/>
        <v>3000</v>
      </c>
      <c r="N38" s="44"/>
      <c r="O38" s="36">
        <f>VLOOKUP(C38,'[1]IP PITS'!$B$6:$I$87,8,0)</f>
        <v>0</v>
      </c>
      <c r="P38" s="47">
        <f t="shared" si="5"/>
        <v>450</v>
      </c>
      <c r="Q38" s="36">
        <f>(VLOOKUP(C38,'IP PITSS'!$B$9:$M$90,10,0))+(VLOOKUP(C38,'IP PITSS'!$B$9:$M$90,11,0))+(VLOOKUP(C38,'IP PITSS'!$B$9:$M$90,12,0))</f>
        <v>0</v>
      </c>
      <c r="R38" s="36" t="e">
        <f>VLOOKUP(C38,'IP PITSS'!$B$9:$Q$90,17,0)</f>
        <v>#REF!</v>
      </c>
      <c r="S38" s="36" t="e">
        <f>VLOOKUP(C38,'IP PITSS'!$B$9:$R$90,18,0)</f>
        <v>#REF!</v>
      </c>
      <c r="T38" s="44"/>
      <c r="U38" s="47" t="e">
        <f t="shared" si="6"/>
        <v>#REF!</v>
      </c>
      <c r="V38" s="36" t="e">
        <f t="shared" si="0"/>
        <v>#REF!</v>
      </c>
      <c r="W38" s="36"/>
      <c r="X38" s="47" t="s">
        <v>129</v>
      </c>
      <c r="Y38" s="36">
        <f ca="1">IFERROR(OFFSET('CPD PITSS'!$AN$8,MATCH('RESUMEN PITS'!C38,'CPD PITSS'!$B$9:$B$26,0),0),0)+IFERROR(OFFSET('IP PITSS'!$AL$8,MATCH('RESUMEN PITS'!C38,'IP PITSS'!$B$9:$B$90,0),0),0)+IFERROR(OFFSET('SIND PITS'!$Q$2,MATCH('RESUMEN PITS'!C38,'SIND PITS'!$C$3:$C$103,0),0),0)</f>
        <v>4784.55</v>
      </c>
    </row>
    <row r="39" spans="1:25" s="47" customFormat="1" x14ac:dyDescent="0.2">
      <c r="A39" s="24" t="s">
        <v>235</v>
      </c>
      <c r="B39" s="37" t="s">
        <v>95</v>
      </c>
      <c r="C39" s="24" t="s">
        <v>236</v>
      </c>
      <c r="D39" s="37" t="e">
        <f>VLOOKUP(C39,'IP PITSS'!$B$9:$U$90,21,0)</f>
        <v>#REF!</v>
      </c>
      <c r="E39" s="59"/>
      <c r="F39" s="47">
        <f>VLOOKUP(C39,'SIND PITS'!$C$3:$D$100,2,0)</f>
        <v>416.39999999999964</v>
      </c>
      <c r="G39" s="47">
        <f>VLOOKUP(C39,'SIND PITS'!$C$3:$E$100,3,0)</f>
        <v>120</v>
      </c>
      <c r="H39" s="47">
        <f>VLOOKUP(C39,'SIND PITS'!$C$3:$F$100,4,0)</f>
        <v>0</v>
      </c>
      <c r="I39" s="47">
        <f>VLOOKUP(C39,'SIND PITS'!$C$3:$G$100,5,0)</f>
        <v>0</v>
      </c>
      <c r="J39" s="43"/>
      <c r="K39" s="47" t="e">
        <f t="shared" si="1"/>
        <v>#REF!</v>
      </c>
      <c r="L39" s="36">
        <v>8000</v>
      </c>
      <c r="M39" s="47">
        <f t="shared" si="2"/>
        <v>4000</v>
      </c>
      <c r="N39" s="44"/>
      <c r="O39" s="36">
        <f>VLOOKUP(C39,'[1]IP PITS'!$B$6:$I$87,8,0)</f>
        <v>0</v>
      </c>
      <c r="P39" s="47">
        <f t="shared" si="5"/>
        <v>120</v>
      </c>
      <c r="Q39" s="36">
        <f>(VLOOKUP(C39,'IP PITSS'!$B$9:$M$90,10,0))+(VLOOKUP(C39,'IP PITSS'!$B$9:$M$90,11,0))+(VLOOKUP(C39,'IP PITSS'!$B$9:$M$90,12,0))</f>
        <v>0</v>
      </c>
      <c r="R39" s="36" t="e">
        <f>VLOOKUP(C39,'IP PITSS'!$B$9:$Q$90,17,0)</f>
        <v>#REF!</v>
      </c>
      <c r="S39" s="36" t="e">
        <f>VLOOKUP(C39,'IP PITSS'!$B$9:$R$90,18,0)</f>
        <v>#REF!</v>
      </c>
      <c r="T39" s="44"/>
      <c r="U39" s="47" t="e">
        <f t="shared" si="6"/>
        <v>#REF!</v>
      </c>
      <c r="V39" s="36" t="e">
        <f t="shared" si="0"/>
        <v>#REF!</v>
      </c>
      <c r="W39" s="36"/>
      <c r="X39" s="47" t="s">
        <v>237</v>
      </c>
      <c r="Y39" s="36">
        <f ca="1">IFERROR(OFFSET('CPD PITSS'!$AN$8,MATCH('RESUMEN PITS'!C39,'CPD PITSS'!$B$9:$B$26,0),0),0)+IFERROR(OFFSET('IP PITSS'!$AL$8,MATCH('RESUMEN PITS'!C39,'IP PITSS'!$B$9:$B$90,0),0),0)+IFERROR(OFFSET('SIND PITS'!$Q$2,MATCH('RESUMEN PITS'!C39,'SIND PITS'!$C$3:$C$103,0),0),0)</f>
        <v>5683.5610000000006</v>
      </c>
    </row>
    <row r="40" spans="1:25" s="47" customFormat="1" x14ac:dyDescent="0.2">
      <c r="A40" s="18" t="s">
        <v>38</v>
      </c>
      <c r="B40" s="37" t="s">
        <v>95</v>
      </c>
      <c r="C40" s="18" t="s">
        <v>181</v>
      </c>
      <c r="D40" s="37" t="e">
        <f>VLOOKUP(C40,'IP PITSS'!$B$9:$U$90,21,0)</f>
        <v>#REF!</v>
      </c>
      <c r="E40" s="59"/>
      <c r="F40" s="47">
        <f>VLOOKUP(C40,'SIND PITS'!$C$3:$D$100,2,0)</f>
        <v>416.19999999999982</v>
      </c>
      <c r="G40" s="47">
        <f>VLOOKUP(C40,'SIND PITS'!$C$3:$E$100,3,0)</f>
        <v>130</v>
      </c>
      <c r="H40" s="47">
        <f>VLOOKUP(C40,'SIND PITS'!$C$3:$F$100,4,0)</f>
        <v>0</v>
      </c>
      <c r="I40" s="47">
        <f>VLOOKUP(C40,'SIND PITS'!$C$3:$G$100,5,0)</f>
        <v>0</v>
      </c>
      <c r="J40" s="43"/>
      <c r="K40" s="47" t="e">
        <f t="shared" si="1"/>
        <v>#REF!</v>
      </c>
      <c r="L40" s="47">
        <v>8000</v>
      </c>
      <c r="M40" s="47">
        <f t="shared" si="2"/>
        <v>4000</v>
      </c>
      <c r="N40" s="44"/>
      <c r="O40" s="36">
        <f>VLOOKUP(C40,'[1]IP PITS'!$B$6:$I$87,8,0)</f>
        <v>0</v>
      </c>
      <c r="P40" s="47">
        <f t="shared" si="5"/>
        <v>130</v>
      </c>
      <c r="Q40" s="36">
        <f>(VLOOKUP(C40,'IP PITSS'!$B$9:$M$90,10,0))+(VLOOKUP(C40,'IP PITSS'!$B$9:$M$90,11,0))+(VLOOKUP(C40,'IP PITSS'!$B$9:$M$90,12,0))</f>
        <v>0</v>
      </c>
      <c r="R40" s="36" t="e">
        <f>VLOOKUP(C40,'IP PITSS'!$B$9:$Q$90,17,0)</f>
        <v>#REF!</v>
      </c>
      <c r="S40" s="36" t="e">
        <f>VLOOKUP(C40,'IP PITSS'!$B$9:$R$90,18,0)</f>
        <v>#REF!</v>
      </c>
      <c r="T40" s="44"/>
      <c r="U40" s="47" t="e">
        <f t="shared" si="6"/>
        <v>#REF!</v>
      </c>
      <c r="V40" s="36" t="e">
        <f t="shared" si="0"/>
        <v>#REF!</v>
      </c>
      <c r="W40" s="36"/>
      <c r="X40" s="47" t="s">
        <v>182</v>
      </c>
      <c r="Y40" s="36">
        <f ca="1">IFERROR(OFFSET('CPD PITSS'!$AN$8,MATCH('RESUMEN PITS'!C40,'CPD PITSS'!$B$9:$B$26,0),0),0)+IFERROR(OFFSET('IP PITSS'!$AL$8,MATCH('RESUMEN PITS'!C40,'IP PITSS'!$B$9:$B$90,0),0),0)+IFERROR(OFFSET('SIND PITS'!$Q$2,MATCH('RESUMEN PITS'!C40,'SIND PITS'!$C$3:$C$103,0),0),0)</f>
        <v>5693.7610000000004</v>
      </c>
    </row>
    <row r="41" spans="1:25" s="47" customFormat="1" x14ac:dyDescent="0.2">
      <c r="A41" s="18" t="s">
        <v>306</v>
      </c>
      <c r="B41" s="37" t="s">
        <v>95</v>
      </c>
      <c r="C41" s="18" t="s">
        <v>307</v>
      </c>
      <c r="D41" s="37" t="e">
        <f>VLOOKUP(C41,'IP PITSS'!$B$9:$U$90,21,0)</f>
        <v>#REF!</v>
      </c>
      <c r="E41" s="59"/>
      <c r="F41" s="47">
        <f>VLOOKUP(C41,'SIND PITS'!$C$3:$D$100,2,0)</f>
        <v>416.40000000000009</v>
      </c>
      <c r="G41" s="47">
        <f>VLOOKUP(C41,'SIND PITS'!$C$3:$E$100,3,0)</f>
        <v>60</v>
      </c>
      <c r="H41" s="47">
        <f>VLOOKUP(C41,'SIND PITS'!$C$3:$F$100,4,0)</f>
        <v>0</v>
      </c>
      <c r="I41" s="47">
        <f>VLOOKUP(C41,'SIND PITS'!$C$3:$G$100,5,0)</f>
        <v>0</v>
      </c>
      <c r="J41" s="43"/>
      <c r="K41" s="47" t="e">
        <f t="shared" si="1"/>
        <v>#REF!</v>
      </c>
      <c r="L41" s="47">
        <v>8000</v>
      </c>
      <c r="M41" s="47">
        <f t="shared" si="2"/>
        <v>4000</v>
      </c>
      <c r="N41" s="44"/>
      <c r="O41" s="36">
        <f>VLOOKUP(C41,'[1]IP PITS'!$B$6:$I$87,8,0)</f>
        <v>0</v>
      </c>
      <c r="P41" s="47">
        <f t="shared" si="5"/>
        <v>60</v>
      </c>
      <c r="Q41" s="36">
        <f>(VLOOKUP(C41,'IP PITSS'!$B$9:$M$90,10,0))+(VLOOKUP(C41,'IP PITSS'!$B$9:$M$90,11,0))+(VLOOKUP(C41,'IP PITSS'!$B$9:$M$90,12,0))</f>
        <v>0</v>
      </c>
      <c r="R41" s="36" t="e">
        <f>VLOOKUP(C41,'IP PITSS'!$B$9:$Q$90,17,0)</f>
        <v>#REF!</v>
      </c>
      <c r="S41" s="36" t="e">
        <f>VLOOKUP(C41,'IP PITSS'!$B$9:$R$90,18,0)</f>
        <v>#REF!</v>
      </c>
      <c r="T41" s="44"/>
      <c r="U41" s="47" t="e">
        <f t="shared" si="6"/>
        <v>#REF!</v>
      </c>
      <c r="V41" s="36" t="e">
        <f t="shared" si="0"/>
        <v>#REF!</v>
      </c>
      <c r="W41" s="65"/>
      <c r="X41" s="47" t="s">
        <v>308</v>
      </c>
      <c r="Y41" s="36">
        <f ca="1">IFERROR(OFFSET('CPD PITSS'!$AN$8,MATCH('RESUMEN PITS'!C41,'CPD PITSS'!$B$9:$B$26,0),0),0)+IFERROR(OFFSET('IP PITSS'!$AL$8,MATCH('RESUMEN PITS'!C41,'IP PITSS'!$B$9:$B$90,0),0),0)+IFERROR(OFFSET('SIND PITS'!$Q$2,MATCH('RESUMEN PITS'!C41,'SIND PITS'!$C$3:$C$103,0),0),0)</f>
        <v>5622.36</v>
      </c>
    </row>
    <row r="42" spans="1:25" s="36" customFormat="1" x14ac:dyDescent="0.2">
      <c r="A42" s="18" t="s">
        <v>147</v>
      </c>
      <c r="B42" s="37" t="s">
        <v>95</v>
      </c>
      <c r="C42" s="18" t="s">
        <v>148</v>
      </c>
      <c r="D42" s="37" t="e">
        <f>VLOOKUP(C42,'IP PITSS'!$B$9:$U$90,21,0)</f>
        <v>#REF!</v>
      </c>
      <c r="E42" s="59"/>
      <c r="F42" s="47">
        <f>VLOOKUP(C42,'SIND PITS'!$C$3:$D$100,2,0)</f>
        <v>593.60000000000036</v>
      </c>
      <c r="G42" s="47">
        <f>VLOOKUP(C42,'SIND PITS'!$C$3:$E$100,3,0)</f>
        <v>110</v>
      </c>
      <c r="H42" s="47">
        <f>VLOOKUP(C42,'SIND PITS'!$C$3:$F$100,4,0)</f>
        <v>0</v>
      </c>
      <c r="I42" s="47">
        <f>VLOOKUP(C42,'SIND PITS'!$C$3:$G$100,5,0)</f>
        <v>0</v>
      </c>
      <c r="J42" s="43"/>
      <c r="K42" s="47" t="e">
        <f t="shared" si="1"/>
        <v>#REF!</v>
      </c>
      <c r="L42" s="47">
        <v>10000</v>
      </c>
      <c r="M42" s="47">
        <f t="shared" si="2"/>
        <v>5000</v>
      </c>
      <c r="N42" s="44"/>
      <c r="O42" s="36">
        <f>VLOOKUP(C42,'[1]IP PITS'!$B$6:$I$87,8,0)</f>
        <v>0</v>
      </c>
      <c r="P42" s="47">
        <f t="shared" si="5"/>
        <v>110</v>
      </c>
      <c r="Q42" s="36">
        <f>(VLOOKUP(C42,'IP PITSS'!$B$9:$M$90,10,0))+(VLOOKUP(C42,'IP PITSS'!$B$9:$M$90,11,0))+(VLOOKUP(C42,'IP PITSS'!$B$9:$M$90,12,0))</f>
        <v>0</v>
      </c>
      <c r="R42" s="36" t="e">
        <f>VLOOKUP(C42,'IP PITSS'!$B$9:$Q$90,17,0)</f>
        <v>#REF!</v>
      </c>
      <c r="S42" s="36" t="e">
        <f>VLOOKUP(C42,'IP PITSS'!$B$9:$R$90,18,0)</f>
        <v>#REF!</v>
      </c>
      <c r="T42" s="44"/>
      <c r="U42" s="47" t="e">
        <f t="shared" si="6"/>
        <v>#REF!</v>
      </c>
      <c r="V42" s="36" t="e">
        <f t="shared" si="0"/>
        <v>#REF!</v>
      </c>
      <c r="X42" s="47" t="s">
        <v>149</v>
      </c>
      <c r="Y42" s="36">
        <f ca="1">IFERROR(OFFSET('CPD PITSS'!$AN$8,MATCH('RESUMEN PITS'!C42,'CPD PITSS'!$B$9:$B$26,0),0),0)+IFERROR(OFFSET('IP PITSS'!$AL$8,MATCH('RESUMEN PITS'!C42,'IP PITSS'!$B$9:$B$90,0),0),0)+IFERROR(OFFSET('SIND PITS'!$Q$2,MATCH('RESUMEN PITS'!C42,'SIND PITS'!$C$3:$C$103,0),0),0)</f>
        <v>6918.3</v>
      </c>
    </row>
    <row r="43" spans="1:25" s="47" customFormat="1" x14ac:dyDescent="0.2">
      <c r="A43" s="18" t="s">
        <v>196</v>
      </c>
      <c r="B43" s="37" t="s">
        <v>95</v>
      </c>
      <c r="C43" s="18" t="s">
        <v>197</v>
      </c>
      <c r="D43" s="37" t="e">
        <f>VLOOKUP(C43,'IP PITSS'!$B$9:$U$90,21,0)</f>
        <v>#REF!</v>
      </c>
      <c r="E43" s="59"/>
      <c r="F43" s="47">
        <f>VLOOKUP(C43,'SIND PITS'!$C$3:$D$100,2,0)</f>
        <v>416.34999999999991</v>
      </c>
      <c r="G43" s="47">
        <f>VLOOKUP(C43,'SIND PITS'!$C$3:$E$100,3,0)</f>
        <v>275</v>
      </c>
      <c r="H43" s="47">
        <f>VLOOKUP(C43,'SIND PITS'!$C$3:$F$100,4,0)</f>
        <v>0</v>
      </c>
      <c r="I43" s="47">
        <f>VLOOKUP(C43,'SIND PITS'!$C$3:$G$100,5,0)</f>
        <v>0</v>
      </c>
      <c r="J43" s="43"/>
      <c r="K43" s="47" t="e">
        <f t="shared" si="1"/>
        <v>#REF!</v>
      </c>
      <c r="L43" s="47">
        <v>8000</v>
      </c>
      <c r="M43" s="47">
        <f t="shared" si="2"/>
        <v>4000</v>
      </c>
      <c r="N43" s="44"/>
      <c r="O43" s="36">
        <f>VLOOKUP(C43,'[1]IP PITS'!$B$6:$I$87,8,0)</f>
        <v>0</v>
      </c>
      <c r="P43" s="47">
        <f t="shared" si="5"/>
        <v>275</v>
      </c>
      <c r="Q43" s="36">
        <f>(VLOOKUP(C43,'IP PITSS'!$B$9:$M$90,10,0))+(VLOOKUP(C43,'IP PITSS'!$B$9:$M$90,11,0))+(VLOOKUP(C43,'IP PITSS'!$B$9:$M$90,12,0))</f>
        <v>0</v>
      </c>
      <c r="R43" s="36" t="e">
        <f>VLOOKUP(C43,'IP PITSS'!$B$9:$Q$90,17,0)</f>
        <v>#REF!</v>
      </c>
      <c r="S43" s="36" t="e">
        <f>VLOOKUP(C43,'IP PITSS'!$B$9:$R$90,18,0)</f>
        <v>#REF!</v>
      </c>
      <c r="T43" s="44"/>
      <c r="U43" s="47" t="e">
        <f t="shared" si="6"/>
        <v>#REF!</v>
      </c>
      <c r="V43" s="36" t="e">
        <f t="shared" si="0"/>
        <v>#REF!</v>
      </c>
      <c r="W43" s="36"/>
      <c r="X43" s="47" t="s">
        <v>198</v>
      </c>
      <c r="Y43" s="36">
        <f ca="1">IFERROR(OFFSET('CPD PITSS'!$AN$8,MATCH('RESUMEN PITS'!C43,'CPD PITSS'!$B$9:$B$26,0),0),0)+IFERROR(OFFSET('IP PITSS'!$AL$8,MATCH('RESUMEN PITS'!C43,'IP PITSS'!$B$9:$B$90,0),0),0)+IFERROR(OFFSET('SIND PITS'!$Q$2,MATCH('RESUMEN PITS'!C43,'SIND PITS'!$C$3:$C$103,0),0),0)</f>
        <v>5841.66</v>
      </c>
    </row>
    <row r="44" spans="1:25" s="47" customFormat="1" x14ac:dyDescent="0.2">
      <c r="A44" s="18" t="s">
        <v>253</v>
      </c>
      <c r="B44" s="37" t="s">
        <v>95</v>
      </c>
      <c r="C44" s="18" t="s">
        <v>254</v>
      </c>
      <c r="D44" s="37" t="e">
        <f>VLOOKUP(C44,'IP PITSS'!$B$9:$U$90,21,0)</f>
        <v>#REF!</v>
      </c>
      <c r="E44" s="59"/>
      <c r="F44" s="47">
        <f>VLOOKUP(C44,'SIND PITS'!$C$3:$D$100,2,0)</f>
        <v>549.8149999999996</v>
      </c>
      <c r="G44" s="47">
        <f>VLOOKUP(C44,'SIND PITS'!$C$3:$E$100,3,0)</f>
        <v>625</v>
      </c>
      <c r="H44" s="47">
        <f>VLOOKUP(C44,'SIND PITS'!$C$3:$F$100,4,0)</f>
        <v>0</v>
      </c>
      <c r="I44" s="47">
        <f>VLOOKUP(C44,'SIND PITS'!$C$3:$G$100,5,0)</f>
        <v>0</v>
      </c>
      <c r="J44" s="43"/>
      <c r="K44" s="47" t="e">
        <f t="shared" si="1"/>
        <v>#REF!</v>
      </c>
      <c r="L44" s="47">
        <v>9550.01</v>
      </c>
      <c r="M44" s="47">
        <f t="shared" si="2"/>
        <v>4775.0050000000001</v>
      </c>
      <c r="N44" s="44"/>
      <c r="O44" s="36">
        <f>VLOOKUP(C44,'[1]IP PITS'!$B$6:$I$87,8,0)</f>
        <v>0</v>
      </c>
      <c r="P44" s="47">
        <f t="shared" si="5"/>
        <v>625</v>
      </c>
      <c r="Q44" s="36">
        <f>(VLOOKUP(C44,'IP PITSS'!$B$9:$M$90,10,0))+(VLOOKUP(C44,'IP PITSS'!$B$9:$M$90,11,0))+(VLOOKUP(C44,'IP PITSS'!$B$9:$M$90,12,0))</f>
        <v>1497.39</v>
      </c>
      <c r="R44" s="36" t="e">
        <f>VLOOKUP(C44,'IP PITSS'!$B$9:$Q$90,17,0)</f>
        <v>#REF!</v>
      </c>
      <c r="S44" s="36" t="e">
        <f>VLOOKUP(C44,'IP PITSS'!$B$9:$R$90,18,0)</f>
        <v>#REF!</v>
      </c>
      <c r="T44" s="44"/>
      <c r="U44" s="47" t="e">
        <f t="shared" si="6"/>
        <v>#REF!</v>
      </c>
      <c r="V44" s="36" t="e">
        <f t="shared" si="0"/>
        <v>#REF!</v>
      </c>
      <c r="W44" s="36"/>
      <c r="X44" s="47" t="s">
        <v>255</v>
      </c>
      <c r="Y44" s="36">
        <f ca="1">IFERROR(OFFSET('CPD PITSS'!$AN$8,MATCH('RESUMEN PITS'!C44,'CPD PITSS'!$B$9:$B$26,0),0),0)+IFERROR(OFFSET('IP PITSS'!$AL$8,MATCH('RESUMEN PITS'!C44,'IP PITSS'!$B$9:$B$90,0),0),0)+IFERROR(OFFSET('SIND PITS'!$Q$2,MATCH('RESUMEN PITS'!C44,'SIND PITS'!$C$3:$C$103,0),0),0)</f>
        <v>7163.4750999999997</v>
      </c>
    </row>
    <row r="45" spans="1:25" s="47" customFormat="1" x14ac:dyDescent="0.2">
      <c r="A45" s="18" t="s">
        <v>124</v>
      </c>
      <c r="B45" s="37" t="s">
        <v>95</v>
      </c>
      <c r="C45" s="18" t="s">
        <v>125</v>
      </c>
      <c r="D45" s="37" t="e">
        <f>VLOOKUP(C45,'IP PITSS'!$B$9:$U$90,21,0)</f>
        <v>#REF!</v>
      </c>
      <c r="E45" s="59"/>
      <c r="F45" s="47">
        <f>VLOOKUP(C45,'SIND PITS'!$C$3:$D$100,2,0)</f>
        <v>384.85500000000002</v>
      </c>
      <c r="G45" s="47">
        <f>VLOOKUP(C45,'SIND PITS'!$C$3:$E$100,3,0)</f>
        <v>135</v>
      </c>
      <c r="H45" s="47">
        <f>VLOOKUP(C45,'SIND PITS'!$C$3:$F$100,4,0)</f>
        <v>0</v>
      </c>
      <c r="I45" s="47">
        <f>VLOOKUP(C45,'SIND PITS'!$C$3:$G$100,5,0)</f>
        <v>0</v>
      </c>
      <c r="J45" s="43"/>
      <c r="K45" s="47" t="e">
        <f t="shared" si="1"/>
        <v>#REF!</v>
      </c>
      <c r="L45" s="47">
        <v>7505.99</v>
      </c>
      <c r="M45" s="47">
        <f t="shared" si="2"/>
        <v>3752.9949999999999</v>
      </c>
      <c r="N45" s="44"/>
      <c r="O45" s="36">
        <f>VLOOKUP(C45,'[1]IP PITS'!$B$6:$I$87,8,0)</f>
        <v>0</v>
      </c>
      <c r="P45" s="47">
        <f t="shared" si="5"/>
        <v>135</v>
      </c>
      <c r="Q45" s="36">
        <f>(VLOOKUP(C45,'IP PITSS'!$B$9:$M$90,10,0))+(VLOOKUP(C45,'IP PITSS'!$B$9:$M$90,11,0))+(VLOOKUP(C45,'IP PITSS'!$B$9:$M$90,12,0))</f>
        <v>1361.54</v>
      </c>
      <c r="R45" s="36" t="e">
        <f>VLOOKUP(C45,'IP PITSS'!$B$9:$Q$90,17,0)</f>
        <v>#REF!</v>
      </c>
      <c r="S45" s="36" t="e">
        <f>VLOOKUP(C45,'IP PITSS'!$B$9:$R$90,18,0)</f>
        <v>#REF!</v>
      </c>
      <c r="T45" s="44"/>
      <c r="U45" s="47" t="e">
        <f t="shared" si="6"/>
        <v>#REF!</v>
      </c>
      <c r="V45" s="36" t="e">
        <f t="shared" si="0"/>
        <v>#REF!</v>
      </c>
      <c r="W45" s="36"/>
      <c r="X45" s="47" t="s">
        <v>126</v>
      </c>
      <c r="Y45" s="36">
        <f ca="1">IFERROR(OFFSET('CPD PITSS'!$AN$8,MATCH('RESUMEN PITS'!C45,'CPD PITSS'!$B$9:$B$26,0),0),0)+IFERROR(OFFSET('IP PITSS'!$AL$8,MATCH('RESUMEN PITS'!C45,'IP PITSS'!$B$9:$B$90,0),0),0)+IFERROR(OFFSET('SIND PITS'!$Q$2,MATCH('RESUMEN PITS'!C45,'SIND PITS'!$C$3:$C$103,0),0),0)</f>
        <v>5390.6948999999995</v>
      </c>
    </row>
    <row r="46" spans="1:25" s="47" customFormat="1" x14ac:dyDescent="0.2">
      <c r="A46" s="18" t="s">
        <v>183</v>
      </c>
      <c r="B46" s="37" t="s">
        <v>95</v>
      </c>
      <c r="C46" s="18" t="s">
        <v>184</v>
      </c>
      <c r="D46" s="37" t="e">
        <f>VLOOKUP(C46,'IP PITSS'!$B$9:$U$90,21,0)</f>
        <v>#REF!</v>
      </c>
      <c r="E46" s="59"/>
      <c r="F46" s="47">
        <f>VLOOKUP(C46,'SIND PITS'!$C$3:$D$100,2,0)</f>
        <v>451.00500000000011</v>
      </c>
      <c r="G46" s="47">
        <f>VLOOKUP(C46,'SIND PITS'!$C$3:$E$100,3,0)</f>
        <v>412</v>
      </c>
      <c r="H46" s="47">
        <f>VLOOKUP(C46,'SIND PITS'!$C$3:$F$100,4,0)</f>
        <v>0</v>
      </c>
      <c r="I46" s="47">
        <f>VLOOKUP(C46,'SIND PITS'!$C$3:$G$100,5,0)</f>
        <v>0</v>
      </c>
      <c r="J46" s="43"/>
      <c r="K46" s="47" t="e">
        <f t="shared" si="1"/>
        <v>#REF!</v>
      </c>
      <c r="L46" s="47">
        <v>8500.01</v>
      </c>
      <c r="M46" s="47">
        <f t="shared" si="2"/>
        <v>4250.0050000000001</v>
      </c>
      <c r="N46" s="44"/>
      <c r="O46" s="36">
        <f>VLOOKUP(C46,'[1]IP PITS'!$B$6:$I$87,8,0)</f>
        <v>0</v>
      </c>
      <c r="P46" s="47">
        <f t="shared" si="5"/>
        <v>412</v>
      </c>
      <c r="Q46" s="36">
        <f>(VLOOKUP(C46,'IP PITSS'!$B$9:$M$90,10,0))+(VLOOKUP(C46,'IP PITSS'!$B$9:$M$90,11,0))+(VLOOKUP(C46,'IP PITSS'!$B$9:$M$90,12,0))</f>
        <v>0</v>
      </c>
      <c r="R46" s="36" t="e">
        <f>VLOOKUP(C46,'IP PITSS'!$B$9:$Q$90,17,0)</f>
        <v>#REF!</v>
      </c>
      <c r="S46" s="36" t="e">
        <f>VLOOKUP(C46,'IP PITSS'!$B$9:$R$90,18,0)</f>
        <v>#REF!</v>
      </c>
      <c r="T46" s="44"/>
      <c r="U46" s="47" t="e">
        <f t="shared" si="6"/>
        <v>#REF!</v>
      </c>
      <c r="V46" s="36" t="e">
        <f t="shared" si="0"/>
        <v>#REF!</v>
      </c>
      <c r="W46" s="36"/>
      <c r="X46" s="47" t="s">
        <v>185</v>
      </c>
      <c r="Y46" s="36">
        <f ca="1">IFERROR(OFFSET('CPD PITSS'!$AN$8,MATCH('RESUMEN PITS'!C46,'CPD PITSS'!$B$9:$B$26,0),0),0)+IFERROR(OFFSET('IP PITSS'!$AL$8,MATCH('RESUMEN PITS'!C46,'IP PITSS'!$B$9:$B$90,0),0),0)+IFERROR(OFFSET('SIND PITS'!$Q$2,MATCH('RESUMEN PITS'!C46,'SIND PITS'!$C$3:$C$103,0),0),0)</f>
        <v>6292.6450999999997</v>
      </c>
    </row>
    <row r="47" spans="1:25" s="36" customFormat="1" x14ac:dyDescent="0.2">
      <c r="A47" s="18" t="s">
        <v>144</v>
      </c>
      <c r="B47" s="37" t="s">
        <v>95</v>
      </c>
      <c r="C47" s="18" t="s">
        <v>145</v>
      </c>
      <c r="D47" s="37" t="e">
        <f>VLOOKUP(C47,'IP PITSS'!$B$9:$U$90,21,0)</f>
        <v>#REF!</v>
      </c>
      <c r="E47" s="59"/>
      <c r="F47" s="47">
        <f>VLOOKUP(C47,'SIND PITS'!$C$3:$D$100,2,0)</f>
        <v>334.60000000000036</v>
      </c>
      <c r="G47" s="47">
        <f>VLOOKUP(C47,'SIND PITS'!$C$3:$E$100,3,0)</f>
        <v>450</v>
      </c>
      <c r="H47" s="47">
        <f>VLOOKUP(C47,'SIND PITS'!$C$3:$F$100,4,0)</f>
        <v>0</v>
      </c>
      <c r="I47" s="47">
        <f>VLOOKUP(C47,'SIND PITS'!$C$3:$G$100,5,0)</f>
        <v>0</v>
      </c>
      <c r="J47" s="43"/>
      <c r="K47" s="47" t="e">
        <f t="shared" si="1"/>
        <v>#REF!</v>
      </c>
      <c r="L47" s="47">
        <v>8000</v>
      </c>
      <c r="M47" s="47">
        <f t="shared" si="2"/>
        <v>4000</v>
      </c>
      <c r="N47" s="44"/>
      <c r="O47" s="36">
        <f>VLOOKUP(C47,'[1]IP PITS'!$B$6:$I$87,8,0)</f>
        <v>0</v>
      </c>
      <c r="P47" s="47">
        <f t="shared" si="5"/>
        <v>450</v>
      </c>
      <c r="Q47" s="36">
        <f>(VLOOKUP(C47,'IP PITSS'!$B$9:$M$90,10,0))+(VLOOKUP(C47,'IP PITSS'!$B$9:$M$90,11,0))+(VLOOKUP(C47,'IP PITSS'!$B$9:$M$90,12,0))</f>
        <v>0</v>
      </c>
      <c r="R47" s="36" t="e">
        <f>VLOOKUP(C47,'IP PITSS'!$B$9:$Q$90,17,0)</f>
        <v>#REF!</v>
      </c>
      <c r="S47" s="36" t="e">
        <f>VLOOKUP(C47,'IP PITSS'!$B$9:$R$90,18,0)</f>
        <v>#REF!</v>
      </c>
      <c r="T47" s="44"/>
      <c r="U47" s="47" t="e">
        <f t="shared" si="6"/>
        <v>#REF!</v>
      </c>
      <c r="V47" s="36" t="e">
        <f t="shared" si="0"/>
        <v>#REF!</v>
      </c>
      <c r="W47" s="65"/>
      <c r="X47" s="47" t="s">
        <v>146</v>
      </c>
      <c r="Y47" s="36">
        <f ca="1">IFERROR(OFFSET('CPD PITSS'!$AN$8,MATCH('RESUMEN PITS'!C47,'CPD PITSS'!$B$9:$B$26,0),0),0)+IFERROR(OFFSET('IP PITSS'!$AL$8,MATCH('RESUMEN PITS'!C47,'IP PITSS'!$B$9:$B$90,0),0),0)+IFERROR(OFFSET('SIND PITS'!$Q$2,MATCH('RESUMEN PITS'!C47,'SIND PITS'!$C$3:$C$103,0),0),0)</f>
        <v>6009.9310000000005</v>
      </c>
    </row>
    <row r="48" spans="1:25" s="47" customFormat="1" x14ac:dyDescent="0.2">
      <c r="A48" s="18" t="s">
        <v>216</v>
      </c>
      <c r="B48" s="37" t="s">
        <v>95</v>
      </c>
      <c r="C48" s="18" t="s">
        <v>217</v>
      </c>
      <c r="D48" s="37" t="e">
        <f>VLOOKUP(C48,'IP PITSS'!$B$9:$U$90,21,0)</f>
        <v>#REF!</v>
      </c>
      <c r="E48" s="59"/>
      <c r="F48" s="47">
        <f>VLOOKUP(C48,'SIND PITS'!$C$3:$D$100,2,0)</f>
        <v>1450.88</v>
      </c>
      <c r="G48" s="47">
        <f>VLOOKUP(C48,'SIND PITS'!$C$3:$E$100,3,0)</f>
        <v>0</v>
      </c>
      <c r="H48" s="47">
        <f>VLOOKUP(C48,'SIND PITS'!$C$3:$F$100,4,0)</f>
        <v>800</v>
      </c>
      <c r="I48" s="47">
        <f>VLOOKUP(C48,'SIND PITS'!$C$3:$G$100,5,0)</f>
        <v>0</v>
      </c>
      <c r="J48" s="43"/>
      <c r="K48" s="47" t="e">
        <f t="shared" si="1"/>
        <v>#REF!</v>
      </c>
      <c r="L48" s="47">
        <v>10500</v>
      </c>
      <c r="M48" s="47">
        <f t="shared" si="2"/>
        <v>5250</v>
      </c>
      <c r="N48" s="44"/>
      <c r="O48" s="36">
        <f>VLOOKUP(C48,'[1]IP PITS'!$B$6:$I$87,8,0)</f>
        <v>0</v>
      </c>
      <c r="P48" s="47">
        <f t="shared" si="5"/>
        <v>800</v>
      </c>
      <c r="Q48" s="36">
        <f>(VLOOKUP(C48,'IP PITSS'!$B$9:$M$90,10,0))+(VLOOKUP(C48,'IP PITSS'!$B$9:$M$90,11,0))+(VLOOKUP(C48,'IP PITSS'!$B$9:$M$90,12,0))</f>
        <v>549.91999999999996</v>
      </c>
      <c r="R48" s="36" t="e">
        <f>VLOOKUP(C48,'IP PITSS'!$B$9:$Q$90,17,0)</f>
        <v>#REF!</v>
      </c>
      <c r="S48" s="36" t="e">
        <f>VLOOKUP(C48,'IP PITSS'!$B$9:$R$90,18,0)</f>
        <v>#REF!</v>
      </c>
      <c r="T48" s="44"/>
      <c r="U48" s="47" t="e">
        <f t="shared" si="6"/>
        <v>#REF!</v>
      </c>
      <c r="V48" s="36" t="e">
        <f t="shared" si="0"/>
        <v>#REF!</v>
      </c>
      <c r="W48" s="36"/>
      <c r="X48" s="47" t="s">
        <v>218</v>
      </c>
      <c r="Y48" s="36">
        <f ca="1">IFERROR(OFFSET('CPD PITSS'!$AN$8,MATCH('RESUMEN PITS'!C48,'CPD PITSS'!$B$9:$B$26,0),0),0)+IFERROR(OFFSET('IP PITSS'!$AL$8,MATCH('RESUMEN PITS'!C48,'IP PITSS'!$B$9:$B$90,0),0),0)+IFERROR(OFFSET('SIND PITS'!$Q$2,MATCH('RESUMEN PITS'!C48,'SIND PITS'!$C$3:$C$103,0),0),0)</f>
        <v>7708.4</v>
      </c>
    </row>
    <row r="49" spans="1:25" s="47" customFormat="1" x14ac:dyDescent="0.2">
      <c r="A49" s="18" t="s">
        <v>316</v>
      </c>
      <c r="B49" s="37" t="s">
        <v>95</v>
      </c>
      <c r="C49" s="18" t="s">
        <v>317</v>
      </c>
      <c r="D49" s="37" t="e">
        <f>VLOOKUP(C49,'IP PITSS'!$B$9:$U$90,21,0)</f>
        <v>#REF!</v>
      </c>
      <c r="E49" s="59"/>
      <c r="F49" s="47">
        <f>VLOOKUP(C49,'SIND PITS'!$C$3:$D$100,2,0)</f>
        <v>416.39999999999964</v>
      </c>
      <c r="G49" s="47">
        <f>VLOOKUP(C49,'SIND PITS'!$C$3:$E$100,3,0)</f>
        <v>180</v>
      </c>
      <c r="H49" s="47">
        <f>VLOOKUP(C49,'SIND PITS'!$C$3:$F$100,4,0)</f>
        <v>0</v>
      </c>
      <c r="I49" s="47">
        <f>VLOOKUP(C49,'SIND PITS'!$C$3:$G$100,5,0)</f>
        <v>0</v>
      </c>
      <c r="J49" s="43"/>
      <c r="K49" s="47" t="e">
        <f t="shared" si="1"/>
        <v>#REF!</v>
      </c>
      <c r="L49" s="47">
        <v>8000</v>
      </c>
      <c r="M49" s="47">
        <f t="shared" si="2"/>
        <v>4000</v>
      </c>
      <c r="N49" s="44"/>
      <c r="O49" s="36">
        <f>VLOOKUP(C49,'[1]IP PITS'!$B$6:$I$87,8,0)</f>
        <v>0</v>
      </c>
      <c r="P49" s="47">
        <f t="shared" si="5"/>
        <v>180</v>
      </c>
      <c r="Q49" s="36">
        <f>(VLOOKUP(C49,'IP PITSS'!$B$9:$M$90,10,0))+(VLOOKUP(C49,'IP PITSS'!$B$9:$M$90,11,0))+(VLOOKUP(C49,'IP PITSS'!$B$9:$M$90,12,0))</f>
        <v>0</v>
      </c>
      <c r="R49" s="36" t="e">
        <f>VLOOKUP(C49,'IP PITSS'!$B$9:$Q$90,17,0)</f>
        <v>#REF!</v>
      </c>
      <c r="S49" s="36" t="e">
        <f>VLOOKUP(C49,'IP PITSS'!$B$9:$R$90,18,0)</f>
        <v>#REF!</v>
      </c>
      <c r="T49" s="44"/>
      <c r="U49" s="47" t="e">
        <f t="shared" si="6"/>
        <v>#REF!</v>
      </c>
      <c r="V49" s="36" t="e">
        <f t="shared" si="0"/>
        <v>#REF!</v>
      </c>
      <c r="W49" s="36"/>
      <c r="X49" s="47" t="s">
        <v>318</v>
      </c>
      <c r="Y49" s="36">
        <f ca="1">IFERROR(OFFSET('CPD PITSS'!$AN$8,MATCH('RESUMEN PITS'!C49,'CPD PITSS'!$B$9:$B$26,0),0),0)+IFERROR(OFFSET('IP PITSS'!$AL$8,MATCH('RESUMEN PITS'!C49,'IP PITSS'!$B$9:$B$90,0),0),0)+IFERROR(OFFSET('SIND PITS'!$Q$2,MATCH('RESUMEN PITS'!C49,'SIND PITS'!$C$3:$C$103,0),0),0)</f>
        <v>5744.7610000000004</v>
      </c>
    </row>
    <row r="50" spans="1:25" s="47" customFormat="1" x14ac:dyDescent="0.2">
      <c r="A50" s="18" t="s">
        <v>340</v>
      </c>
      <c r="B50" s="37" t="s">
        <v>95</v>
      </c>
      <c r="C50" s="18" t="s">
        <v>341</v>
      </c>
      <c r="D50" s="37" t="e">
        <f>VLOOKUP(C50,'IP PITSS'!$B$9:$U$90,21,0)</f>
        <v>#REF!</v>
      </c>
      <c r="E50" s="59"/>
      <c r="F50" s="47">
        <f>VLOOKUP(C50,'SIND PITS'!$C$3:$D$100,2,0)</f>
        <v>656.26000000000022</v>
      </c>
      <c r="G50" s="47">
        <f>VLOOKUP(C50,'SIND PITS'!$C$3:$E$100,3,0)</f>
        <v>270</v>
      </c>
      <c r="H50" s="47">
        <f>VLOOKUP(C50,'SIND PITS'!$C$3:$F$100,4,0)</f>
        <v>0</v>
      </c>
      <c r="I50" s="47">
        <f>VLOOKUP(C50,'SIND PITS'!$C$3:$G$100,5,0)</f>
        <v>0</v>
      </c>
      <c r="J50" s="43"/>
      <c r="K50" s="47" t="e">
        <f t="shared" si="1"/>
        <v>#REF!</v>
      </c>
      <c r="L50" s="47">
        <v>8000</v>
      </c>
      <c r="M50" s="47">
        <f t="shared" si="2"/>
        <v>4000</v>
      </c>
      <c r="N50" s="44"/>
      <c r="O50" s="36">
        <f>VLOOKUP(C50,'[1]IP PITS'!$B$6:$I$87,8,0)</f>
        <v>240</v>
      </c>
      <c r="P50" s="47">
        <f t="shared" si="5"/>
        <v>270</v>
      </c>
      <c r="Q50" s="36">
        <f>(VLOOKUP(C50,'IP PITSS'!$B$9:$M$90,10,0))+(VLOOKUP(C50,'IP PITSS'!$B$9:$M$90,11,0))+(VLOOKUP(C50,'IP PITSS'!$B$9:$M$90,12,0))</f>
        <v>1808.34</v>
      </c>
      <c r="R50" s="36" t="e">
        <f>VLOOKUP(C50,'IP PITSS'!$B$9:$Q$90,17,0)</f>
        <v>#REF!</v>
      </c>
      <c r="S50" s="36" t="e">
        <f>VLOOKUP(C50,'IP PITSS'!$B$9:$R$90,18,0)</f>
        <v>#REF!</v>
      </c>
      <c r="T50" s="44"/>
      <c r="U50" s="47" t="e">
        <f t="shared" si="6"/>
        <v>#REF!</v>
      </c>
      <c r="V50" s="36" t="e">
        <f t="shared" si="0"/>
        <v>#REF!</v>
      </c>
      <c r="W50" s="36"/>
      <c r="X50" s="47" t="s">
        <v>342</v>
      </c>
      <c r="Y50" s="36">
        <f ca="1">IFERROR(OFFSET('CPD PITSS'!$AN$8,MATCH('RESUMEN PITS'!C50,'CPD PITSS'!$B$9:$B$26,0),0),0)+IFERROR(OFFSET('IP PITSS'!$AL$8,MATCH('RESUMEN PITS'!C50,'IP PITSS'!$B$9:$B$90,0),0),0)+IFERROR(OFFSET('SIND PITS'!$Q$2,MATCH('RESUMEN PITS'!C50,'SIND PITS'!$C$3:$C$103,0),0),0)</f>
        <v>6081.3609999999999</v>
      </c>
    </row>
    <row r="51" spans="1:25" s="36" customFormat="1" x14ac:dyDescent="0.2">
      <c r="A51" s="18" t="s">
        <v>244</v>
      </c>
      <c r="B51" s="37" t="s">
        <v>95</v>
      </c>
      <c r="C51" s="18" t="s">
        <v>245</v>
      </c>
      <c r="D51" s="37" t="e">
        <f>VLOOKUP(C51,'IP PITSS'!$B$9:$U$90,21,0)</f>
        <v>#REF!</v>
      </c>
      <c r="E51" s="59"/>
      <c r="F51" s="47">
        <f>VLOOKUP(C51,'SIND PITS'!$C$3:$D$100,2,0)</f>
        <v>1047.5999999999995</v>
      </c>
      <c r="G51" s="47">
        <f>VLOOKUP(C51,'SIND PITS'!$C$3:$E$100,3,0)</f>
        <v>125</v>
      </c>
      <c r="H51" s="47">
        <f>VLOOKUP(C51,'SIND PITS'!$C$3:$F$100,4,0)</f>
        <v>0</v>
      </c>
      <c r="I51" s="47">
        <f>VLOOKUP(C51,'SIND PITS'!$C$3:$G$100,5,0)</f>
        <v>0</v>
      </c>
      <c r="J51" s="43"/>
      <c r="K51" s="47" t="e">
        <f t="shared" si="1"/>
        <v>#REF!</v>
      </c>
      <c r="L51" s="47">
        <v>14000</v>
      </c>
      <c r="M51" s="47">
        <f t="shared" si="2"/>
        <v>7000</v>
      </c>
      <c r="N51" s="44"/>
      <c r="O51" s="36">
        <f>VLOOKUP(C51,'[1]IP PITS'!$B$6:$I$87,8,0)</f>
        <v>0</v>
      </c>
      <c r="P51" s="47">
        <f t="shared" si="5"/>
        <v>125</v>
      </c>
      <c r="Q51" s="36">
        <f>(VLOOKUP(C51,'IP PITSS'!$B$9:$M$90,10,0))+(VLOOKUP(C51,'IP PITSS'!$B$9:$M$90,11,0))+(VLOOKUP(C51,'IP PITSS'!$B$9:$M$90,12,0))</f>
        <v>0</v>
      </c>
      <c r="R51" s="36" t="e">
        <f>VLOOKUP(C51,'IP PITSS'!$B$9:$Q$90,17,0)</f>
        <v>#REF!</v>
      </c>
      <c r="S51" s="36" t="e">
        <f>VLOOKUP(C51,'IP PITSS'!$B$9:$R$90,18,0)</f>
        <v>#REF!</v>
      </c>
      <c r="T51" s="44"/>
      <c r="U51" s="47" t="e">
        <f t="shared" si="6"/>
        <v>#REF!</v>
      </c>
      <c r="V51" s="36" t="e">
        <f t="shared" si="0"/>
        <v>#REF!</v>
      </c>
      <c r="X51" s="47" t="s">
        <v>246</v>
      </c>
      <c r="Y51" s="36">
        <f ca="1">IFERROR(OFFSET('CPD PITSS'!$AN$8,MATCH('RESUMEN PITS'!C51,'CPD PITSS'!$B$9:$B$26,0),0),0)+IFERROR(OFFSET('IP PITSS'!$AL$8,MATCH('RESUMEN PITS'!C51,'IP PITSS'!$B$9:$B$90,0),0),0)+IFERROR(OFFSET('SIND PITS'!$Q$2,MATCH('RESUMEN PITS'!C51,'SIND PITS'!$C$3:$C$103,0),0),0)</f>
        <v>9423.4310000000005</v>
      </c>
    </row>
    <row r="52" spans="1:25" s="47" customFormat="1" x14ac:dyDescent="0.2">
      <c r="A52" s="18" t="s">
        <v>113</v>
      </c>
      <c r="B52" s="37" t="s">
        <v>95</v>
      </c>
      <c r="C52" s="18" t="s">
        <v>114</v>
      </c>
      <c r="D52" s="37" t="e">
        <f>VLOOKUP(C52,'IP PITSS'!$B$9:$U$90,21,0)</f>
        <v>#REF!</v>
      </c>
      <c r="E52" s="59"/>
      <c r="F52" s="47">
        <f>VLOOKUP(C52,'SIND PITS'!$C$3:$D$100,2,0)</f>
        <v>416.5</v>
      </c>
      <c r="G52" s="47">
        <f>VLOOKUP(C52,'SIND PITS'!$C$3:$E$100,3,0)</f>
        <v>480</v>
      </c>
      <c r="H52" s="47">
        <f>VLOOKUP(C52,'SIND PITS'!$C$3:$F$100,4,0)</f>
        <v>0</v>
      </c>
      <c r="I52" s="47">
        <f>VLOOKUP(C52,'SIND PITS'!$C$3:$G$100,5,0)</f>
        <v>0</v>
      </c>
      <c r="J52" s="43"/>
      <c r="K52" s="47" t="e">
        <f t="shared" si="1"/>
        <v>#REF!</v>
      </c>
      <c r="L52" s="47">
        <v>8000</v>
      </c>
      <c r="M52" s="47">
        <f t="shared" si="2"/>
        <v>4000</v>
      </c>
      <c r="N52" s="44"/>
      <c r="O52" s="36">
        <f>VLOOKUP(C52,'[1]IP PITS'!$B$6:$I$87,8,0)</f>
        <v>0</v>
      </c>
      <c r="P52" s="47">
        <f t="shared" si="5"/>
        <v>480</v>
      </c>
      <c r="Q52" s="36">
        <f>(VLOOKUP(C52,'IP PITSS'!$B$9:$M$90,10,0))+(VLOOKUP(C52,'IP PITSS'!$B$9:$M$90,11,0))+(VLOOKUP(C52,'IP PITSS'!$B$9:$M$90,12,0))</f>
        <v>0</v>
      </c>
      <c r="R52" s="36" t="e">
        <f>VLOOKUP(C52,'IP PITSS'!$B$9:$Q$90,17,0)</f>
        <v>#REF!</v>
      </c>
      <c r="S52" s="36" t="e">
        <f>VLOOKUP(C52,'IP PITSS'!$B$9:$R$90,18,0)</f>
        <v>#REF!</v>
      </c>
      <c r="T52" s="44"/>
      <c r="U52" s="47" t="e">
        <f t="shared" si="6"/>
        <v>#REF!</v>
      </c>
      <c r="V52" s="36" t="e">
        <f t="shared" si="0"/>
        <v>#REF!</v>
      </c>
      <c r="W52" s="36"/>
      <c r="X52" s="47" t="s">
        <v>115</v>
      </c>
      <c r="Y52" s="36">
        <f ca="1">IFERROR(OFFSET('CPD PITSS'!$AN$8,MATCH('RESUMEN PITS'!C52,'CPD PITSS'!$B$9:$B$26,0),0),0)+IFERROR(OFFSET('IP PITSS'!$AL$8,MATCH('RESUMEN PITS'!C52,'IP PITSS'!$B$9:$B$90,0),0),0)+IFERROR(OFFSET('SIND PITS'!$Q$2,MATCH('RESUMEN PITS'!C52,'SIND PITS'!$C$3:$C$103,0),0),0)</f>
        <v>6050.7610000000004</v>
      </c>
    </row>
    <row r="53" spans="1:25" s="47" customFormat="1" x14ac:dyDescent="0.2">
      <c r="A53" s="18" t="s">
        <v>334</v>
      </c>
      <c r="B53" s="37" t="s">
        <v>95</v>
      </c>
      <c r="C53" s="18" t="s">
        <v>335</v>
      </c>
      <c r="D53" s="37" t="e">
        <f>VLOOKUP(C53,'IP PITSS'!$B$9:$U$90,21,0)</f>
        <v>#REF!</v>
      </c>
      <c r="E53" s="59"/>
      <c r="F53" s="47">
        <f>VLOOKUP(C53,'SIND PITS'!$C$3:$D$100,2,0)</f>
        <v>416.19999999999982</v>
      </c>
      <c r="G53" s="47">
        <f>VLOOKUP(C53,'SIND PITS'!$C$3:$E$100,3,0)</f>
        <v>510</v>
      </c>
      <c r="H53" s="47">
        <f>VLOOKUP(C53,'SIND PITS'!$C$3:$F$100,4,0)</f>
        <v>0</v>
      </c>
      <c r="I53" s="47">
        <f>VLOOKUP(C53,'SIND PITS'!$C$3:$G$100,5,0)</f>
        <v>0</v>
      </c>
      <c r="J53" s="43"/>
      <c r="K53" s="47" t="e">
        <f t="shared" si="1"/>
        <v>#REF!</v>
      </c>
      <c r="L53" s="47">
        <v>8000</v>
      </c>
      <c r="M53" s="47">
        <f t="shared" si="2"/>
        <v>4000</v>
      </c>
      <c r="N53" s="44"/>
      <c r="O53" s="36">
        <f>VLOOKUP(C53,'[1]IP PITS'!$B$6:$I$87,8,0)</f>
        <v>0</v>
      </c>
      <c r="P53" s="47">
        <f t="shared" si="5"/>
        <v>510</v>
      </c>
      <c r="Q53" s="36">
        <f>(VLOOKUP(C53,'IP PITSS'!$B$9:$M$90,10,0))+(VLOOKUP(C53,'IP PITSS'!$B$9:$M$90,11,0))+(VLOOKUP(C53,'IP PITSS'!$B$9:$M$90,12,0))</f>
        <v>0</v>
      </c>
      <c r="R53" s="36" t="e">
        <f>VLOOKUP(C53,'IP PITSS'!$B$9:$Q$90,17,0)</f>
        <v>#REF!</v>
      </c>
      <c r="S53" s="36" t="e">
        <f>VLOOKUP(C53,'IP PITSS'!$B$9:$R$90,18,0)</f>
        <v>#REF!</v>
      </c>
      <c r="T53" s="44"/>
      <c r="U53" s="47" t="e">
        <f t="shared" si="6"/>
        <v>#REF!</v>
      </c>
      <c r="V53" s="36" t="e">
        <f t="shared" si="0"/>
        <v>#REF!</v>
      </c>
      <c r="W53" s="36"/>
      <c r="X53" s="47" t="s">
        <v>336</v>
      </c>
      <c r="Y53" s="36">
        <f ca="1">IFERROR(OFFSET('CPD PITSS'!$AN$8,MATCH('RESUMEN PITS'!C53,'CPD PITSS'!$B$9:$B$26,0),0),0)+IFERROR(OFFSET('IP PITSS'!$AL$8,MATCH('RESUMEN PITS'!C53,'IP PITSS'!$B$9:$B$90,0),0),0)+IFERROR(OFFSET('SIND PITS'!$Q$2,MATCH('RESUMEN PITS'!C53,'SIND PITS'!$C$3:$C$103,0),0),0)</f>
        <v>6081.3610000000008</v>
      </c>
    </row>
    <row r="54" spans="1:25" s="47" customFormat="1" x14ac:dyDescent="0.2">
      <c r="A54" s="18" t="s">
        <v>175</v>
      </c>
      <c r="B54" s="37" t="s">
        <v>95</v>
      </c>
      <c r="C54" s="18" t="s">
        <v>176</v>
      </c>
      <c r="D54" s="37" t="e">
        <f>VLOOKUP(C54,'IP PITSS'!$B$9:$U$90,21,0)</f>
        <v>#REF!</v>
      </c>
      <c r="E54" s="59"/>
      <c r="F54" s="47">
        <f>VLOOKUP(C54,'SIND PITS'!$C$3:$D$100,2,0)</f>
        <v>135.19999999999982</v>
      </c>
      <c r="G54" s="47">
        <f>VLOOKUP(C54,'SIND PITS'!$C$3:$E$100,3,0)</f>
        <v>455</v>
      </c>
      <c r="H54" s="47">
        <f>VLOOKUP(C54,'SIND PITS'!$C$3:$F$100,4,0)</f>
        <v>0</v>
      </c>
      <c r="I54" s="47">
        <f>VLOOKUP(C54,'SIND PITS'!$C$3:$G$100,5,0)</f>
        <v>0</v>
      </c>
      <c r="J54" s="43"/>
      <c r="K54" s="47" t="e">
        <f t="shared" si="1"/>
        <v>#REF!</v>
      </c>
      <c r="L54" s="47">
        <v>6000</v>
      </c>
      <c r="M54" s="47">
        <f t="shared" si="2"/>
        <v>3000</v>
      </c>
      <c r="N54" s="44"/>
      <c r="O54" s="36">
        <f>VLOOKUP(C54,'[1]IP PITS'!$B$6:$I$87,8,0)</f>
        <v>60</v>
      </c>
      <c r="P54" s="47">
        <f t="shared" si="5"/>
        <v>455</v>
      </c>
      <c r="Q54" s="36">
        <f>(VLOOKUP(C54,'IP PITSS'!$B$9:$M$90,10,0))+(VLOOKUP(C54,'IP PITSS'!$B$9:$M$90,11,0))+(VLOOKUP(C54,'IP PITSS'!$B$9:$M$90,12,0))</f>
        <v>0</v>
      </c>
      <c r="R54" s="36" t="e">
        <f>VLOOKUP(C54,'IP PITSS'!$B$9:$Q$90,17,0)</f>
        <v>#REF!</v>
      </c>
      <c r="S54" s="36" t="e">
        <f>VLOOKUP(C54,'IP PITSS'!$B$9:$R$90,18,0)</f>
        <v>#REF!</v>
      </c>
      <c r="T54" s="44"/>
      <c r="U54" s="47" t="e">
        <f t="shared" si="6"/>
        <v>#REF!</v>
      </c>
      <c r="V54" s="36" t="e">
        <f t="shared" si="0"/>
        <v>#REF!</v>
      </c>
      <c r="W54" s="36"/>
      <c r="X54" s="47" t="s">
        <v>177</v>
      </c>
      <c r="Y54" s="36">
        <f ca="1">IFERROR(OFFSET('CPD PITSS'!$AN$8,MATCH('RESUMEN PITS'!C54,'CPD PITSS'!$B$9:$B$26,0),0),0)+IFERROR(OFFSET('IP PITSS'!$AL$8,MATCH('RESUMEN PITS'!C54,'IP PITSS'!$B$9:$B$90,0),0),0)+IFERROR(OFFSET('SIND PITS'!$Q$2,MATCH('RESUMEN PITS'!C54,'SIND PITS'!$C$3:$C$103,0),0),0)</f>
        <v>4852.05</v>
      </c>
    </row>
    <row r="55" spans="1:25" s="47" customFormat="1" x14ac:dyDescent="0.2">
      <c r="A55" s="18" t="s">
        <v>280</v>
      </c>
      <c r="B55" s="37" t="s">
        <v>95</v>
      </c>
      <c r="C55" s="18" t="s">
        <v>281</v>
      </c>
      <c r="D55" s="37" t="e">
        <f>VLOOKUP(C55,'IP PITSS'!$B$9:$U$90,21,0)</f>
        <v>#REF!</v>
      </c>
      <c r="E55" s="59"/>
      <c r="F55" s="47">
        <f>VLOOKUP(C55,'SIND PITS'!$C$3:$D$100,2,0)</f>
        <v>336.39999999999964</v>
      </c>
      <c r="G55" s="47">
        <f>VLOOKUP(C55,'SIND PITS'!$C$3:$E$100,3,0)</f>
        <v>1500</v>
      </c>
      <c r="H55" s="47">
        <f>VLOOKUP(C55,'SIND PITS'!$C$3:$F$100,4,0)</f>
        <v>0</v>
      </c>
      <c r="I55" s="47">
        <f>VLOOKUP(C55,'SIND PITS'!$C$3:$G$100,5,0)</f>
        <v>0</v>
      </c>
      <c r="J55" s="43"/>
      <c r="K55" s="47" t="e">
        <f t="shared" si="1"/>
        <v>#REF!</v>
      </c>
      <c r="L55" s="47">
        <v>8000</v>
      </c>
      <c r="M55" s="47">
        <f t="shared" si="2"/>
        <v>4000</v>
      </c>
      <c r="N55" s="44"/>
      <c r="O55" s="36">
        <f>VLOOKUP(C55,'[1]IP PITS'!$B$6:$I$87,8,0)</f>
        <v>0</v>
      </c>
      <c r="P55" s="47">
        <f t="shared" si="5"/>
        <v>1500</v>
      </c>
      <c r="Q55" s="36">
        <f>(VLOOKUP(C55,'IP PITSS'!$B$9:$M$90,10,0))+(VLOOKUP(C55,'IP PITSS'!$B$9:$M$90,11,0))+(VLOOKUP(C55,'IP PITSS'!$B$9:$M$90,12,0))</f>
        <v>0</v>
      </c>
      <c r="R55" s="36" t="e">
        <f>VLOOKUP(C55,'IP PITSS'!$B$9:$Q$90,17,0)</f>
        <v>#REF!</v>
      </c>
      <c r="S55" s="36" t="e">
        <f>VLOOKUP(C55,'IP PITSS'!$B$9:$R$90,18,0)</f>
        <v>#REF!</v>
      </c>
      <c r="T55" s="44"/>
      <c r="U55" s="47" t="e">
        <f>+K55-O55-P55+Q55+R55+S55</f>
        <v>#REF!</v>
      </c>
      <c r="V55" s="36" t="e">
        <f t="shared" si="0"/>
        <v>#REF!</v>
      </c>
      <c r="W55" s="36"/>
      <c r="X55" s="47" t="s">
        <v>282</v>
      </c>
      <c r="Y55" s="36">
        <f ca="1">IFERROR(OFFSET('CPD PITSS'!$AN$8,MATCH('RESUMEN PITS'!C55,'CPD PITSS'!$B$9:$B$26,0),0),0)+IFERROR(OFFSET('IP PITSS'!$AL$8,MATCH('RESUMEN PITS'!C55,'IP PITSS'!$B$9:$B$90,0),0),0)+IFERROR(OFFSET('SIND PITS'!$Q$2,MATCH('RESUMEN PITS'!C55,'SIND PITS'!$C$3:$C$103,0),0),0)</f>
        <v>7092.7609999999995</v>
      </c>
    </row>
    <row r="56" spans="1:25" s="47" customFormat="1" x14ac:dyDescent="0.2">
      <c r="A56" s="18" t="s">
        <v>206</v>
      </c>
      <c r="B56" s="37" t="s">
        <v>95</v>
      </c>
      <c r="C56" s="18" t="s">
        <v>207</v>
      </c>
      <c r="D56" s="37" t="e">
        <f>VLOOKUP(C56,'IP PITSS'!$B$9:$U$90,21,0)</f>
        <v>#REF!</v>
      </c>
      <c r="E56" s="59"/>
      <c r="F56" s="47">
        <f>VLOOKUP(C56,'SIND PITS'!$C$3:$D$100,2,0)</f>
        <v>414.59999999999991</v>
      </c>
      <c r="G56" s="47">
        <f>VLOOKUP(C56,'SIND PITS'!$C$3:$E$100,3,0)</f>
        <v>120</v>
      </c>
      <c r="H56" s="47">
        <f>VLOOKUP(C56,'SIND PITS'!$C$3:$F$100,4,0)</f>
        <v>0</v>
      </c>
      <c r="I56" s="47">
        <f>VLOOKUP(C56,'SIND PITS'!$C$3:$G$100,5,0)</f>
        <v>0</v>
      </c>
      <c r="J56" s="43"/>
      <c r="K56" s="47" t="e">
        <f t="shared" si="1"/>
        <v>#REF!</v>
      </c>
      <c r="L56" s="47">
        <v>8000</v>
      </c>
      <c r="M56" s="47">
        <f t="shared" si="2"/>
        <v>4000</v>
      </c>
      <c r="N56" s="44"/>
      <c r="O56" s="36">
        <f>VLOOKUP(C56,'[1]IP PITS'!$B$6:$I$87,8,0)</f>
        <v>0</v>
      </c>
      <c r="P56" s="47">
        <f t="shared" si="5"/>
        <v>120</v>
      </c>
      <c r="Q56" s="36">
        <f>(VLOOKUP(C56,'IP PITSS'!$B$9:$M$90,10,0))+(VLOOKUP(C56,'IP PITSS'!$B$9:$M$90,11,0))+(VLOOKUP(C56,'IP PITSS'!$B$9:$M$90,12,0))</f>
        <v>0</v>
      </c>
      <c r="R56" s="36" t="e">
        <f>VLOOKUP(C56,'IP PITSS'!$B$9:$Q$90,17,0)</f>
        <v>#REF!</v>
      </c>
      <c r="S56" s="36" t="e">
        <f>VLOOKUP(C56,'IP PITSS'!$B$9:$R$90,18,0)</f>
        <v>#REF!</v>
      </c>
      <c r="T56" s="44"/>
      <c r="U56" s="47" t="e">
        <f t="shared" si="6"/>
        <v>#REF!</v>
      </c>
      <c r="V56" s="36" t="e">
        <f t="shared" si="0"/>
        <v>#REF!</v>
      </c>
      <c r="W56" s="61"/>
      <c r="X56" s="47" t="s">
        <v>208</v>
      </c>
      <c r="Y56" s="36">
        <f ca="1">IFERROR(OFFSET('CPD PITSS'!$AN$8,MATCH('RESUMEN PITS'!C56,'CPD PITSS'!$B$9:$B$26,0),0),0)+IFERROR(OFFSET('IP PITSS'!$AL$8,MATCH('RESUMEN PITS'!C56,'IP PITSS'!$B$9:$B$90,0),0),0)+IFERROR(OFFSET('SIND PITS'!$Q$2,MATCH('RESUMEN PITS'!C56,'SIND PITS'!$C$3:$C$103,0),0),0)</f>
        <v>5671.7309999999998</v>
      </c>
    </row>
    <row r="57" spans="1:25" s="47" customFormat="1" x14ac:dyDescent="0.2">
      <c r="A57" s="18" t="s">
        <v>319</v>
      </c>
      <c r="B57" s="37" t="s">
        <v>95</v>
      </c>
      <c r="C57" s="18" t="s">
        <v>320</v>
      </c>
      <c r="D57" s="37" t="e">
        <f>VLOOKUP(C57,'IP PITSS'!$B$9:$U$90,21,0)</f>
        <v>#REF!</v>
      </c>
      <c r="E57" s="59"/>
      <c r="F57" s="47">
        <f>VLOOKUP(C57,'SIND PITS'!$C$3:$D$100,2,0)</f>
        <v>414.59999999999991</v>
      </c>
      <c r="G57" s="47">
        <f>VLOOKUP(C57,'SIND PITS'!$C$3:$E$100,3,0)</f>
        <v>480</v>
      </c>
      <c r="H57" s="47">
        <f>VLOOKUP(C57,'SIND PITS'!$C$3:$F$100,4,0)</f>
        <v>0</v>
      </c>
      <c r="I57" s="47">
        <f>VLOOKUP(C57,'SIND PITS'!$C$3:$G$100,5,0)</f>
        <v>0</v>
      </c>
      <c r="J57" s="43"/>
      <c r="K57" s="47" t="e">
        <f t="shared" si="1"/>
        <v>#REF!</v>
      </c>
      <c r="L57" s="47">
        <v>8000</v>
      </c>
      <c r="M57" s="47">
        <f t="shared" si="2"/>
        <v>4000</v>
      </c>
      <c r="N57" s="44"/>
      <c r="O57" s="36">
        <f>VLOOKUP(C57,'[1]IP PITS'!$B$6:$I$87,8,0)</f>
        <v>0</v>
      </c>
      <c r="P57" s="47">
        <f t="shared" si="5"/>
        <v>480</v>
      </c>
      <c r="Q57" s="36">
        <f>(VLOOKUP(C57,'IP PITSS'!$B$9:$M$90,10,0))+(VLOOKUP(C57,'IP PITSS'!$B$9:$M$90,11,0))+(VLOOKUP(C57,'IP PITSS'!$B$9:$M$90,12,0))</f>
        <v>0</v>
      </c>
      <c r="R57" s="36" t="e">
        <f>VLOOKUP(C57,'IP PITSS'!$B$9:$Q$90,17,0)</f>
        <v>#REF!</v>
      </c>
      <c r="S57" s="36" t="e">
        <f>VLOOKUP(C57,'IP PITSS'!$B$9:$R$90,18,0)</f>
        <v>#REF!</v>
      </c>
      <c r="T57" s="44"/>
      <c r="U57" s="47" t="e">
        <f t="shared" si="6"/>
        <v>#REF!</v>
      </c>
      <c r="V57" s="36" t="e">
        <f t="shared" si="0"/>
        <v>#REF!</v>
      </c>
      <c r="W57" s="66"/>
      <c r="X57" s="47" t="s">
        <v>321</v>
      </c>
      <c r="Y57" s="36">
        <f ca="1">IFERROR(OFFSET('CPD PITSS'!$AN$8,MATCH('RESUMEN PITS'!C57,'CPD PITSS'!$B$9:$B$26,0),0),0)+IFERROR(OFFSET('IP PITSS'!$AL$8,MATCH('RESUMEN PITS'!C57,'IP PITSS'!$B$9:$B$90,0),0),0)+IFERROR(OFFSET('SIND PITS'!$Q$2,MATCH('RESUMEN PITS'!C57,'SIND PITS'!$C$3:$C$103,0),0),0)</f>
        <v>6038.9310000000005</v>
      </c>
    </row>
    <row r="58" spans="1:25" s="47" customFormat="1" x14ac:dyDescent="0.2">
      <c r="A58" s="18" t="s">
        <v>162</v>
      </c>
      <c r="B58" s="37" t="s">
        <v>95</v>
      </c>
      <c r="C58" s="18" t="s">
        <v>163</v>
      </c>
      <c r="D58" s="37" t="e">
        <f>VLOOKUP(C58,'IP PITSS'!$B$9:$U$90,21,0)</f>
        <v>#REF!</v>
      </c>
      <c r="E58" s="59"/>
      <c r="F58" s="47">
        <f>VLOOKUP(C58,'SIND PITS'!$C$3:$D$100,2,0)</f>
        <v>416.19999999999982</v>
      </c>
      <c r="G58" s="47">
        <f>VLOOKUP(C58,'SIND PITS'!$C$3:$E$100,3,0)</f>
        <v>480</v>
      </c>
      <c r="H58" s="47">
        <f>VLOOKUP(C58,'SIND PITS'!$C$3:$F$100,4,0)</f>
        <v>0</v>
      </c>
      <c r="I58" s="47">
        <f>VLOOKUP(C58,'SIND PITS'!$C$3:$G$100,5,0)</f>
        <v>0</v>
      </c>
      <c r="J58" s="43"/>
      <c r="K58" s="47" t="e">
        <f t="shared" si="1"/>
        <v>#REF!</v>
      </c>
      <c r="L58" s="47">
        <v>8000</v>
      </c>
      <c r="M58" s="47">
        <f t="shared" si="2"/>
        <v>4000</v>
      </c>
      <c r="N58" s="44"/>
      <c r="O58" s="36">
        <f>VLOOKUP(C58,'[1]IP PITS'!$B$6:$I$87,8,0)</f>
        <v>0</v>
      </c>
      <c r="P58" s="47">
        <f t="shared" si="5"/>
        <v>480</v>
      </c>
      <c r="Q58" s="36">
        <f>(VLOOKUP(C58,'IP PITSS'!$B$9:$M$90,10,0))+(VLOOKUP(C58,'IP PITSS'!$B$9:$M$90,11,0))+(VLOOKUP(C58,'IP PITSS'!$B$9:$M$90,12,0))</f>
        <v>0</v>
      </c>
      <c r="R58" s="36" t="e">
        <f>VLOOKUP(C58,'IP PITSS'!$B$9:$Q$90,17,0)</f>
        <v>#REF!</v>
      </c>
      <c r="S58" s="36" t="e">
        <f>VLOOKUP(C58,'IP PITSS'!$B$9:$R$90,18,0)</f>
        <v>#REF!</v>
      </c>
      <c r="T58" s="44"/>
      <c r="U58" s="47" t="e">
        <f t="shared" si="6"/>
        <v>#REF!</v>
      </c>
      <c r="V58" s="36" t="e">
        <f t="shared" si="0"/>
        <v>#REF!</v>
      </c>
      <c r="W58" s="61"/>
      <c r="X58" s="47" t="s">
        <v>164</v>
      </c>
      <c r="Y58" s="36">
        <f ca="1">IFERROR(OFFSET('CPD PITSS'!$AN$8,MATCH('RESUMEN PITS'!C58,'CPD PITSS'!$B$9:$B$26,0),0),0)+IFERROR(OFFSET('IP PITSS'!$AL$8,MATCH('RESUMEN PITS'!C58,'IP PITSS'!$B$9:$B$90,0),0),0)+IFERROR(OFFSET('SIND PITS'!$Q$2,MATCH('RESUMEN PITS'!C58,'SIND PITS'!$C$3:$C$103,0),0),0)</f>
        <v>6050.7610000000004</v>
      </c>
    </row>
    <row r="59" spans="1:25" s="47" customFormat="1" x14ac:dyDescent="0.2">
      <c r="A59" s="24" t="s">
        <v>373</v>
      </c>
      <c r="B59" s="37" t="s">
        <v>95</v>
      </c>
      <c r="C59" s="24" t="s">
        <v>266</v>
      </c>
      <c r="D59" s="37" t="e">
        <f>VLOOKUP(C59,'IP PITSS'!$B$9:$U$90,21,0)</f>
        <v>#REF!</v>
      </c>
      <c r="E59" s="59"/>
      <c r="F59" s="47">
        <f>VLOOKUP(C59,'SIND PITS'!$C$3:$D$100,2,0)</f>
        <v>2262.1999999999998</v>
      </c>
      <c r="G59" s="47">
        <f>VLOOKUP(C59,'SIND PITS'!$C$3:$E$100,3,0)</f>
        <v>0</v>
      </c>
      <c r="H59" s="47">
        <f>VLOOKUP(C59,'SIND PITS'!$C$3:$F$100,4,0)</f>
        <v>0</v>
      </c>
      <c r="I59" s="47">
        <f>VLOOKUP(C59,'SIND PITS'!$C$3:$G$100,5,0)</f>
        <v>0</v>
      </c>
      <c r="J59" s="43"/>
      <c r="K59" s="47" t="e">
        <f t="shared" si="1"/>
        <v>#REF!</v>
      </c>
      <c r="L59" s="36">
        <v>9000</v>
      </c>
      <c r="M59" s="47">
        <f t="shared" si="2"/>
        <v>4500</v>
      </c>
      <c r="N59" s="44"/>
      <c r="O59" s="36">
        <f>VLOOKUP(C59,'[1]IP PITS'!$B$6:$I$87,8,0)</f>
        <v>0</v>
      </c>
      <c r="P59" s="60">
        <f t="shared" si="5"/>
        <v>0</v>
      </c>
      <c r="Q59" s="36">
        <f>(VLOOKUP(C59,'IP PITSS'!$B$9:$M$90,10,0))+(VLOOKUP(C59,'IP PITSS'!$B$9:$M$90,11,0))+(VLOOKUP(C59,'IP PITSS'!$B$9:$M$90,12,0))</f>
        <v>0</v>
      </c>
      <c r="R59" s="36" t="e">
        <f>VLOOKUP(C59,'IP PITSS'!$B$9:$Q$90,17,0)</f>
        <v>#REF!</v>
      </c>
      <c r="S59" s="36" t="e">
        <f>VLOOKUP(C59,'IP PITSS'!$B$9:$R$90,18,0)</f>
        <v>#REF!</v>
      </c>
      <c r="T59" s="44"/>
      <c r="U59" s="47" t="e">
        <f t="shared" si="6"/>
        <v>#REF!</v>
      </c>
      <c r="V59" s="36" t="e">
        <f t="shared" si="0"/>
        <v>#REF!</v>
      </c>
      <c r="W59" s="36"/>
      <c r="X59" s="47" t="s">
        <v>267</v>
      </c>
      <c r="Y59" s="36">
        <f ca="1">IFERROR(OFFSET('CPD PITSS'!$AN$8,MATCH('RESUMEN PITS'!C59,'CPD PITSS'!$B$9:$B$26,0),0),0)+IFERROR(OFFSET('IP PITSS'!$AL$8,MATCH('RESUMEN PITS'!C59,'IP PITSS'!$B$9:$B$90,0),0),0)+IFERROR(OFFSET('SIND PITS'!$Q$2,MATCH('RESUMEN PITS'!C59,'SIND PITS'!$C$3:$C$103,0),0),0)</f>
        <v>5692.6399999999994</v>
      </c>
    </row>
    <row r="60" spans="1:25" s="47" customFormat="1" x14ac:dyDescent="0.2">
      <c r="A60" s="27" t="s">
        <v>374</v>
      </c>
      <c r="B60" s="37" t="s">
        <v>95</v>
      </c>
      <c r="C60" s="27" t="s">
        <v>271</v>
      </c>
      <c r="D60" s="37" t="e">
        <f>VLOOKUP(C60,'IP PITSS'!$B$9:$U$90,21,0)</f>
        <v>#REF!</v>
      </c>
      <c r="E60" s="59"/>
      <c r="F60" s="47">
        <f>VLOOKUP(C60,'SIND PITS'!$C$3:$D$100,2,0)</f>
        <v>2262.37</v>
      </c>
      <c r="G60" s="47">
        <f>VLOOKUP(C60,'SIND PITS'!$C$3:$E$100,3,0)</f>
        <v>300</v>
      </c>
      <c r="H60" s="47">
        <f>VLOOKUP(C60,'SIND PITS'!$C$3:$F$100,4,0)</f>
        <v>0</v>
      </c>
      <c r="I60" s="47">
        <f>VLOOKUP(C60,'SIND PITS'!$C$3:$G$100,5,0)</f>
        <v>0</v>
      </c>
      <c r="J60" s="43"/>
      <c r="K60" s="47" t="e">
        <f t="shared" si="1"/>
        <v>#REF!</v>
      </c>
      <c r="L60" s="47">
        <v>9000</v>
      </c>
      <c r="M60" s="47">
        <f t="shared" si="2"/>
        <v>4500</v>
      </c>
      <c r="N60" s="44"/>
      <c r="O60" s="36">
        <f>VLOOKUP(C60,'[1]IP PITS'!$B$6:$I$87,8,0)</f>
        <v>0</v>
      </c>
      <c r="P60" s="47">
        <f t="shared" si="5"/>
        <v>300</v>
      </c>
      <c r="Q60" s="36">
        <f>(VLOOKUP(C60,'IP PITSS'!$B$9:$M$90,10,0))+(VLOOKUP(C60,'IP PITSS'!$B$9:$M$90,11,0))+(VLOOKUP(C60,'IP PITSS'!$B$9:$M$90,12,0))</f>
        <v>761.83</v>
      </c>
      <c r="R60" s="36" t="e">
        <f>VLOOKUP(C60,'IP PITSS'!$B$9:$Q$90,17,0)</f>
        <v>#REF!</v>
      </c>
      <c r="S60" s="36" t="e">
        <f>VLOOKUP(C60,'IP PITSS'!$B$9:$R$90,18,0)</f>
        <v>#REF!</v>
      </c>
      <c r="T60" s="44"/>
      <c r="U60" s="47" t="e">
        <f t="shared" si="6"/>
        <v>#REF!</v>
      </c>
      <c r="V60" s="36" t="e">
        <f t="shared" si="0"/>
        <v>#REF!</v>
      </c>
      <c r="W60" s="67"/>
      <c r="X60" s="47" t="s">
        <v>272</v>
      </c>
      <c r="Y60" s="36">
        <f ca="1">IFERROR(OFFSET('CPD PITSS'!$AN$8,MATCH('RESUMEN PITS'!C60,'CPD PITSS'!$B$9:$B$26,0),0),0)+IFERROR(OFFSET('IP PITSS'!$AL$8,MATCH('RESUMEN PITS'!C60,'IP PITSS'!$B$9:$B$90,0),0),0)+IFERROR(OFFSET('SIND PITS'!$Q$2,MATCH('RESUMEN PITS'!C60,'SIND PITS'!$C$3:$C$103,0),0),0)</f>
        <v>5998.64</v>
      </c>
    </row>
    <row r="61" spans="1:25" s="47" customFormat="1" ht="14.25" customHeight="1" x14ac:dyDescent="0.2">
      <c r="A61" s="27" t="s">
        <v>375</v>
      </c>
      <c r="B61" s="37" t="s">
        <v>95</v>
      </c>
      <c r="C61" s="18" t="s">
        <v>204</v>
      </c>
      <c r="D61" s="37" t="e">
        <f>VLOOKUP(C61,'IP PITSS'!$B$9:$U$90,21,0)</f>
        <v>#REF!</v>
      </c>
      <c r="E61" s="59"/>
      <c r="F61" s="47">
        <f>VLOOKUP(C61,'SIND PITS'!$C$3:$D$100,2,0)</f>
        <v>2884.91</v>
      </c>
      <c r="G61" s="47">
        <f>VLOOKUP(C61,'SIND PITS'!$C$3:$E$100,3,0)</f>
        <v>225</v>
      </c>
      <c r="H61" s="47">
        <f>VLOOKUP(C61,'SIND PITS'!$C$3:$F$100,4,0)</f>
        <v>0</v>
      </c>
      <c r="I61" s="47">
        <f>VLOOKUP(C61,'SIND PITS'!$C$3:$G$100,5,0)</f>
        <v>0</v>
      </c>
      <c r="J61" s="43"/>
      <c r="K61" s="47" t="e">
        <f t="shared" si="1"/>
        <v>#REF!</v>
      </c>
      <c r="L61" s="47">
        <v>12000</v>
      </c>
      <c r="M61" s="47">
        <f t="shared" si="2"/>
        <v>6000</v>
      </c>
      <c r="N61" s="44"/>
      <c r="O61" s="36">
        <f>VLOOKUP(C61,'[1]IP PITS'!$B$6:$I$87,8,0)</f>
        <v>0</v>
      </c>
      <c r="P61" s="47">
        <f t="shared" si="5"/>
        <v>225</v>
      </c>
      <c r="Q61" s="36">
        <f>(VLOOKUP(C61,'IP PITSS'!$B$9:$M$90,10,0))+(VLOOKUP(C61,'IP PITSS'!$B$9:$M$90,11,0))+(VLOOKUP(C61,'IP PITSS'!$B$9:$M$90,12,0))</f>
        <v>1989.09</v>
      </c>
      <c r="R61" s="36" t="e">
        <f>VLOOKUP(C61,'IP PITSS'!$B$9:$Q$90,17,0)</f>
        <v>#REF!</v>
      </c>
      <c r="S61" s="36" t="e">
        <f>VLOOKUP(C61,'IP PITSS'!$B$9:$R$90,18,0)</f>
        <v>#REF!</v>
      </c>
      <c r="T61" s="44"/>
      <c r="U61" s="47" t="e">
        <f t="shared" si="6"/>
        <v>#REF!</v>
      </c>
      <c r="V61" s="36" t="e">
        <f t="shared" si="0"/>
        <v>#REF!</v>
      </c>
      <c r="W61" s="36"/>
      <c r="X61" s="47" t="s">
        <v>205</v>
      </c>
      <c r="Y61" s="36">
        <f ca="1">IFERROR(OFFSET('CPD PITSS'!$AN$8,MATCH('RESUMEN PITS'!C61,'CPD PITSS'!$B$9:$B$26,0),0),0)+IFERROR(OFFSET('IP PITSS'!$AL$8,MATCH('RESUMEN PITS'!C61,'IP PITSS'!$B$9:$B$90,0),0),0)+IFERROR(OFFSET('SIND PITS'!$Q$2,MATCH('RESUMEN PITS'!C61,'SIND PITS'!$C$3:$C$103,0),0),0)</f>
        <v>7680.3589999999995</v>
      </c>
    </row>
    <row r="62" spans="1:25" s="36" customFormat="1" x14ac:dyDescent="0.2">
      <c r="A62" s="18" t="s">
        <v>376</v>
      </c>
      <c r="B62" s="37" t="s">
        <v>95</v>
      </c>
      <c r="C62" s="18" t="s">
        <v>179</v>
      </c>
      <c r="D62" s="37" t="e">
        <f>VLOOKUP(C62,'IP PITSS'!$B$9:$U$90,21,0)</f>
        <v>#REF!</v>
      </c>
      <c r="E62" s="59"/>
      <c r="F62" s="47">
        <f>VLOOKUP(C62,'SIND PITS'!$C$3:$D$100,2,0)</f>
        <v>3721.4</v>
      </c>
      <c r="G62" s="47">
        <f>VLOOKUP(C62,'SIND PITS'!$C$3:$E$100,3,0)</f>
        <v>375</v>
      </c>
      <c r="H62" s="47">
        <f>VLOOKUP(C62,'SIND PITS'!$C$3:$F$100,4,0)</f>
        <v>0</v>
      </c>
      <c r="I62" s="47">
        <f>VLOOKUP(C62,'SIND PITS'!$C$3:$G$100,5,0)</f>
        <v>0</v>
      </c>
      <c r="J62" s="43"/>
      <c r="K62" s="47" t="e">
        <f t="shared" si="1"/>
        <v>#REF!</v>
      </c>
      <c r="L62" s="47">
        <v>14000</v>
      </c>
      <c r="M62" s="47">
        <f t="shared" si="2"/>
        <v>7000</v>
      </c>
      <c r="N62" s="44"/>
      <c r="O62" s="36">
        <f>VLOOKUP(C62,'[1]IP PITS'!$B$6:$I$87,8,0)</f>
        <v>0</v>
      </c>
      <c r="P62" s="47">
        <f t="shared" si="5"/>
        <v>375</v>
      </c>
      <c r="Q62" s="36">
        <f>(VLOOKUP(C62,'IP PITSS'!$B$9:$M$90,10,0))+(VLOOKUP(C62,'IP PITSS'!$B$9:$M$90,11,0))+(VLOOKUP(C62,'IP PITSS'!$B$9:$M$90,12,0))</f>
        <v>0</v>
      </c>
      <c r="R62" s="36" t="e">
        <f>VLOOKUP(C62,'IP PITSS'!$B$9:$Q$90,17,0)</f>
        <v>#REF!</v>
      </c>
      <c r="S62" s="36" t="e">
        <f>VLOOKUP(C62,'IP PITSS'!$B$9:$R$90,18,0)</f>
        <v>#REF!</v>
      </c>
      <c r="T62" s="44"/>
      <c r="U62" s="47" t="e">
        <f t="shared" si="6"/>
        <v>#REF!</v>
      </c>
      <c r="V62" s="36" t="e">
        <f t="shared" si="0"/>
        <v>#REF!</v>
      </c>
      <c r="X62" s="47" t="s">
        <v>180</v>
      </c>
      <c r="Y62" s="36">
        <f ca="1">IFERROR(OFFSET('CPD PITSS'!$AN$8,MATCH('RESUMEN PITS'!C62,'CPD PITSS'!$B$9:$B$26,0),0),0)+IFERROR(OFFSET('IP PITSS'!$AL$8,MATCH('RESUMEN PITS'!C62,'IP PITSS'!$B$9:$B$90,0),0),0)+IFERROR(OFFSET('SIND PITS'!$Q$2,MATCH('RESUMEN PITS'!C62,'SIND PITS'!$C$3:$C$103,0),0),0)</f>
        <v>8882.9789999999994</v>
      </c>
    </row>
    <row r="63" spans="1:25" s="36" customFormat="1" x14ac:dyDescent="0.2">
      <c r="A63" s="18" t="s">
        <v>377</v>
      </c>
      <c r="B63" s="37" t="s">
        <v>95</v>
      </c>
      <c r="C63" s="18" t="s">
        <v>131</v>
      </c>
      <c r="D63" s="37" t="e">
        <f>VLOOKUP(C63,'IP PITSS'!$B$9:$U$90,21,0)</f>
        <v>#REF!</v>
      </c>
      <c r="E63" s="59"/>
      <c r="F63" s="47">
        <f>VLOOKUP(C63,'SIND PITS'!$C$3:$D$100,2,0)</f>
        <v>4001.2000000000007</v>
      </c>
      <c r="G63" s="47">
        <f>VLOOKUP(C63,'SIND PITS'!$C$3:$E$100,3,0)</f>
        <v>437.5</v>
      </c>
      <c r="H63" s="47">
        <f>VLOOKUP(C63,'SIND PITS'!$C$3:$F$100,4,0)</f>
        <v>840</v>
      </c>
      <c r="I63" s="47">
        <f>VLOOKUP(C63,'SIND PITS'!$C$3:$G$100,5,0)</f>
        <v>0</v>
      </c>
      <c r="J63" s="43"/>
      <c r="K63" s="47" t="e">
        <f t="shared" si="1"/>
        <v>#REF!</v>
      </c>
      <c r="L63" s="47">
        <v>14000</v>
      </c>
      <c r="M63" s="47">
        <f t="shared" si="2"/>
        <v>7000</v>
      </c>
      <c r="N63" s="44"/>
      <c r="O63" s="36">
        <f>VLOOKUP(C63,'[1]IP PITS'!$B$6:$I$87,8,0)</f>
        <v>280</v>
      </c>
      <c r="P63" s="47">
        <f t="shared" si="5"/>
        <v>1277.5</v>
      </c>
      <c r="Q63" s="36">
        <f>(VLOOKUP(C63,'IP PITSS'!$B$9:$M$90,10,0))+(VLOOKUP(C63,'IP PITSS'!$B$9:$M$90,11,0))+(VLOOKUP(C63,'IP PITSS'!$B$9:$M$90,12,0))</f>
        <v>0</v>
      </c>
      <c r="R63" s="36" t="e">
        <f>VLOOKUP(C63,'IP PITSS'!$B$9:$Q$90,17,0)</f>
        <v>#REF!</v>
      </c>
      <c r="S63" s="36" t="e">
        <f>VLOOKUP(C63,'IP PITSS'!$B$9:$R$90,18,0)</f>
        <v>#REF!</v>
      </c>
      <c r="T63" s="44"/>
      <c r="U63" s="47" t="e">
        <f t="shared" si="6"/>
        <v>#REF!</v>
      </c>
      <c r="V63" s="36" t="e">
        <f t="shared" si="0"/>
        <v>#REF!</v>
      </c>
      <c r="X63" s="47" t="s">
        <v>132</v>
      </c>
      <c r="Y63" s="36">
        <f ca="1">IFERROR(OFFSET('CPD PITSS'!$AN$8,MATCH('RESUMEN PITS'!C63,'CPD PITSS'!$B$9:$B$26,0),0),0)+IFERROR(OFFSET('IP PITSS'!$AL$8,MATCH('RESUMEN PITS'!C63,'IP PITSS'!$B$9:$B$90,0),0),0)+IFERROR(OFFSET('SIND PITS'!$Q$2,MATCH('RESUMEN PITS'!C63,'SIND PITS'!$C$3:$C$103,0),0),0)</f>
        <v>10089.129000000001</v>
      </c>
    </row>
    <row r="64" spans="1:25" s="36" customFormat="1" x14ac:dyDescent="0.2">
      <c r="A64" s="18" t="s">
        <v>378</v>
      </c>
      <c r="B64" s="37" t="s">
        <v>95</v>
      </c>
      <c r="C64" s="18" t="s">
        <v>248</v>
      </c>
      <c r="D64" s="37" t="e">
        <f>VLOOKUP(C64,'IP PITSS'!$B$9:$U$90,21,0)</f>
        <v>#REF!</v>
      </c>
      <c r="E64" s="59"/>
      <c r="F64" s="47">
        <f>VLOOKUP(C64,'SIND PITS'!$C$3:$D$100,2,0)</f>
        <v>3339.3200000000006</v>
      </c>
      <c r="G64" s="47">
        <f>VLOOKUP(C64,'SIND PITS'!$C$3:$E$100,3,0)</f>
        <v>412.5</v>
      </c>
      <c r="H64" s="47">
        <f>VLOOKUP(C64,'SIND PITS'!$C$3:$F$100,4,0)</f>
        <v>1880</v>
      </c>
      <c r="I64" s="47">
        <f>VLOOKUP(C64,'SIND PITS'!$C$3:$G$100,5,0)</f>
        <v>0</v>
      </c>
      <c r="J64" s="43"/>
      <c r="K64" s="47" t="e">
        <f t="shared" si="1"/>
        <v>#REF!</v>
      </c>
      <c r="L64" s="47">
        <v>15000</v>
      </c>
      <c r="M64" s="47">
        <f t="shared" si="2"/>
        <v>7500</v>
      </c>
      <c r="N64" s="44"/>
      <c r="O64" s="36">
        <f>VLOOKUP(C64,'[1]IP PITS'!$B$6:$I$87,8,0)</f>
        <v>0</v>
      </c>
      <c r="P64" s="47">
        <f t="shared" si="5"/>
        <v>2292.5</v>
      </c>
      <c r="Q64" s="36">
        <f>(VLOOKUP(C64,'IP PITSS'!$B$9:$M$90,10,0))+(VLOOKUP(C64,'IP PITSS'!$B$9:$M$90,11,0))+(VLOOKUP(C64,'IP PITSS'!$B$9:$M$90,12,0))</f>
        <v>1840.28</v>
      </c>
      <c r="R64" s="36" t="e">
        <f>VLOOKUP(C64,'IP PITSS'!$B$9:$Q$90,17,0)</f>
        <v>#REF!</v>
      </c>
      <c r="S64" s="36" t="e">
        <f>VLOOKUP(C64,'IP PITSS'!$B$9:$R$90,18,0)</f>
        <v>#REF!</v>
      </c>
      <c r="T64" s="44"/>
      <c r="U64" s="47" t="e">
        <f t="shared" si="6"/>
        <v>#REF!</v>
      </c>
      <c r="V64" s="36" t="e">
        <f t="shared" si="0"/>
        <v>#REF!</v>
      </c>
      <c r="X64" s="47" t="s">
        <v>249</v>
      </c>
      <c r="Y64" s="36">
        <f ca="1">IFERROR(OFFSET('CPD PITSS'!$AN$8,MATCH('RESUMEN PITS'!C64,'CPD PITSS'!$B$9:$B$26,0),0),0)+IFERROR(OFFSET('IP PITSS'!$AL$8,MATCH('RESUMEN PITS'!C64,'IP PITSS'!$B$9:$B$90,0),0),0)+IFERROR(OFFSET('SIND PITS'!$Q$2,MATCH('RESUMEN PITS'!C64,'SIND PITS'!$C$3:$C$103,0),0),0)</f>
        <v>11611.451000000001</v>
      </c>
    </row>
    <row r="65" spans="1:25" s="36" customFormat="1" x14ac:dyDescent="0.2">
      <c r="A65" s="18" t="s">
        <v>371</v>
      </c>
      <c r="B65" s="37" t="s">
        <v>95</v>
      </c>
      <c r="C65" s="18" t="s">
        <v>257</v>
      </c>
      <c r="D65" s="37" t="e">
        <f>VLOOKUP(C65,'IP PITSS'!$B$9:$U$90,21,0)</f>
        <v>#REF!</v>
      </c>
      <c r="E65" s="59"/>
      <c r="F65" s="47">
        <f>VLOOKUP(C65,'SIND PITS'!$C$3:$D$100,2,0)</f>
        <v>4339.3900000000003</v>
      </c>
      <c r="G65" s="47">
        <f>VLOOKUP(C65,'SIND PITS'!$C$3:$E$100,3,0)</f>
        <v>281.25</v>
      </c>
      <c r="H65" s="47">
        <f>VLOOKUP(C65,'SIND PITS'!$C$3:$F$100,4,0)</f>
        <v>1160</v>
      </c>
      <c r="I65" s="47">
        <f>VLOOKUP(C65,'SIND PITS'!$C$3:$G$100,5,0)</f>
        <v>0</v>
      </c>
      <c r="J65" s="43"/>
      <c r="K65" s="47" t="e">
        <f t="shared" si="1"/>
        <v>#REF!</v>
      </c>
      <c r="L65" s="47">
        <v>17000</v>
      </c>
      <c r="M65" s="47">
        <f t="shared" si="2"/>
        <v>8500</v>
      </c>
      <c r="N65" s="44"/>
      <c r="O65" s="36">
        <f>VLOOKUP(C65,'[1]IP PITS'!$B$6:$I$87,8,0)</f>
        <v>0</v>
      </c>
      <c r="P65" s="47">
        <f t="shared" si="5"/>
        <v>1441.25</v>
      </c>
      <c r="Q65" s="36">
        <f>(VLOOKUP(C65,'IP PITSS'!$B$9:$M$90,10,0))+(VLOOKUP(C65,'IP PITSS'!$B$9:$M$90,11,0))+(VLOOKUP(C65,'IP PITSS'!$B$9:$M$90,12,0))</f>
        <v>2128.19</v>
      </c>
      <c r="R65" s="36" t="e">
        <f>VLOOKUP(C65,'IP PITSS'!$B$9:$Q$90,17,0)</f>
        <v>#REF!</v>
      </c>
      <c r="S65" s="36" t="e">
        <f>VLOOKUP(C65,'IP PITSS'!$B$9:$R$90,18,0)</f>
        <v>#REF!</v>
      </c>
      <c r="T65" s="44"/>
      <c r="U65" s="47" t="e">
        <f t="shared" si="6"/>
        <v>#REF!</v>
      </c>
      <c r="V65" s="36" t="e">
        <f t="shared" si="0"/>
        <v>#REF!</v>
      </c>
      <c r="X65" s="47" t="s">
        <v>258</v>
      </c>
      <c r="Y65" s="36">
        <f ca="1">IFERROR(OFFSET('CPD PITSS'!$AN$8,MATCH('RESUMEN PITS'!C65,'CPD PITSS'!$B$9:$B$26,0),0),0)+IFERROR(OFFSET('IP PITSS'!$AL$8,MATCH('RESUMEN PITS'!C65,'IP PITSS'!$B$9:$B$90,0),0),0)+IFERROR(OFFSET('SIND PITS'!$Q$2,MATCH('RESUMEN PITS'!C65,'SIND PITS'!$C$3:$C$103,0),0),0)</f>
        <v>11763.175999999999</v>
      </c>
    </row>
    <row r="66" spans="1:25" s="36" customFormat="1" x14ac:dyDescent="0.2">
      <c r="A66" s="18" t="s">
        <v>379</v>
      </c>
      <c r="B66" s="37" t="s">
        <v>95</v>
      </c>
      <c r="C66" s="18" t="s">
        <v>330</v>
      </c>
      <c r="D66" s="37" t="e">
        <f>VLOOKUP(C66,'IP PITSS'!$B$9:$U$90,21,0)</f>
        <v>#REF!</v>
      </c>
      <c r="E66" s="59"/>
      <c r="F66" s="47">
        <f>VLOOKUP(C66,'SIND PITS'!$C$3:$D$100,2,0)</f>
        <v>1917.3999999999996</v>
      </c>
      <c r="G66" s="47">
        <f>VLOOKUP(C66,'SIND PITS'!$C$3:$E$100,3,0)</f>
        <v>1200</v>
      </c>
      <c r="H66" s="47">
        <f>VLOOKUP(C66,'SIND PITS'!$C$3:$F$100,4,0)</f>
        <v>2000</v>
      </c>
      <c r="I66" s="47">
        <f>VLOOKUP(C66,'SIND PITS'!$C$3:$G$100,5,0)</f>
        <v>0</v>
      </c>
      <c r="J66" s="43"/>
      <c r="K66" s="47" t="e">
        <f t="shared" si="1"/>
        <v>#REF!</v>
      </c>
      <c r="L66" s="68">
        <v>10500</v>
      </c>
      <c r="M66" s="47">
        <f t="shared" si="2"/>
        <v>5250</v>
      </c>
      <c r="N66" s="44"/>
      <c r="O66" s="36">
        <f>VLOOKUP(C66,'[1]IP PITS'!$B$6:$I$87,8,0)</f>
        <v>0</v>
      </c>
      <c r="P66" s="47">
        <f t="shared" si="5"/>
        <v>3200</v>
      </c>
      <c r="Q66" s="36">
        <f>(VLOOKUP(C66,'IP PITSS'!$B$9:$M$90,10,0))+(VLOOKUP(C66,'IP PITSS'!$B$9:$M$90,11,0))+(VLOOKUP(C66,'IP PITSS'!$B$9:$M$90,12,0))</f>
        <v>0</v>
      </c>
      <c r="R66" s="36" t="e">
        <f>VLOOKUP(C66,'IP PITSS'!$B$9:$Q$90,17,0)</f>
        <v>#REF!</v>
      </c>
      <c r="S66" s="36" t="e">
        <f>VLOOKUP(C66,'IP PITSS'!$B$9:$R$90,18,0)</f>
        <v>#REF!</v>
      </c>
      <c r="T66" s="44"/>
      <c r="U66" s="47" t="e">
        <f t="shared" si="6"/>
        <v>#REF!</v>
      </c>
      <c r="V66" s="36" t="e">
        <f t="shared" si="0"/>
        <v>#REF!</v>
      </c>
      <c r="X66" s="47" t="s">
        <v>331</v>
      </c>
      <c r="Y66" s="36">
        <f ca="1">IFERROR(OFFSET('CPD PITSS'!$AN$8,MATCH('RESUMEN PITS'!C66,'CPD PITSS'!$B$9:$B$26,0),0),0)+IFERROR(OFFSET('IP PITSS'!$AL$8,MATCH('RESUMEN PITS'!C66,'IP PITSS'!$B$9:$B$90,0),0),0)+IFERROR(OFFSET('SIND PITS'!$Q$2,MATCH('RESUMEN PITS'!C66,'SIND PITS'!$C$3:$C$103,0),0),0)</f>
        <v>9996.5319999999992</v>
      </c>
    </row>
    <row r="67" spans="1:25" s="36" customFormat="1" x14ac:dyDescent="0.2">
      <c r="A67" s="18" t="s">
        <v>296</v>
      </c>
      <c r="B67" s="37" t="s">
        <v>95</v>
      </c>
      <c r="C67" s="18" t="s">
        <v>338</v>
      </c>
      <c r="D67" s="37" t="e">
        <f>VLOOKUP(C67,'IP PITSS'!$B$9:$U$90,21,0)</f>
        <v>#REF!</v>
      </c>
      <c r="E67" s="59"/>
      <c r="F67" s="47">
        <f>VLOOKUP(C67,'SIND PITS'!$C$3:$D$100,2,0)</f>
        <v>2667.23</v>
      </c>
      <c r="G67" s="47">
        <f>VLOOKUP(C67,'SIND PITS'!$C$3:$E$100,3,0)</f>
        <v>0</v>
      </c>
      <c r="H67" s="47">
        <f>VLOOKUP(C67,'SIND PITS'!$C$3:$F$100,4,0)</f>
        <v>760</v>
      </c>
      <c r="I67" s="47">
        <f>VLOOKUP(C67,'SIND PITS'!$C$3:$G$100,5,0)</f>
        <v>0</v>
      </c>
      <c r="J67" s="43"/>
      <c r="K67" s="47" t="e">
        <f t="shared" si="1"/>
        <v>#REF!</v>
      </c>
      <c r="L67" s="47">
        <v>12000</v>
      </c>
      <c r="M67" s="47">
        <f t="shared" si="2"/>
        <v>6000</v>
      </c>
      <c r="N67" s="44"/>
      <c r="O67" s="36">
        <f>VLOOKUP(C67,'[1]IP PITS'!$B$6:$I$87,8,0)</f>
        <v>0</v>
      </c>
      <c r="P67" s="47">
        <f t="shared" si="5"/>
        <v>760</v>
      </c>
      <c r="Q67" s="36">
        <f>(VLOOKUP(C67,'IP PITSS'!$B$9:$M$90,10,0))+(VLOOKUP(C67,'IP PITSS'!$B$9:$M$90,11,0))+(VLOOKUP(C67,'IP PITSS'!$B$9:$M$90,12,0))</f>
        <v>1180.3699999999999</v>
      </c>
      <c r="R67" s="36" t="e">
        <f>VLOOKUP(C67,'IP PITSS'!$B$9:$Q$90,17,0)</f>
        <v>#REF!</v>
      </c>
      <c r="S67" s="36" t="e">
        <f>VLOOKUP(C67,'IP PITSS'!$B$9:$R$90,18,0)</f>
        <v>#REF!</v>
      </c>
      <c r="T67" s="44"/>
      <c r="U67" s="47" t="e">
        <f t="shared" si="6"/>
        <v>#REF!</v>
      </c>
      <c r="V67" s="36" t="e">
        <f t="shared" ref="V67:V103" si="8">+M67-U67</f>
        <v>#REF!</v>
      </c>
      <c r="X67" s="47" t="s">
        <v>339</v>
      </c>
      <c r="Y67" s="36">
        <f ca="1">IFERROR(OFFSET('CPD PITSS'!$AN$8,MATCH('RESUMEN PITS'!C67,'CPD PITSS'!$B$9:$B$26,0),0),0)+IFERROR(OFFSET('IP PITSS'!$AL$8,MATCH('RESUMEN PITS'!C67,'IP PITSS'!$B$9:$B$90,0),0),0)+IFERROR(OFFSET('SIND PITS'!$Q$2,MATCH('RESUMEN PITS'!C67,'SIND PITS'!$C$3:$C$103,0),0),0)</f>
        <v>8272.732</v>
      </c>
    </row>
    <row r="68" spans="1:25" s="36" customFormat="1" x14ac:dyDescent="0.2">
      <c r="A68" s="18" t="s">
        <v>69</v>
      </c>
      <c r="B68" s="37" t="s">
        <v>95</v>
      </c>
      <c r="C68" s="18" t="s">
        <v>327</v>
      </c>
      <c r="D68" s="37" t="e">
        <f>VLOOKUP(C68,'IP PITSS'!$B$9:$U$90,21,0)</f>
        <v>#REF!</v>
      </c>
      <c r="E68" s="59"/>
      <c r="F68" s="47">
        <f>VLOOKUP(C68,'SIND PITS'!$C$3:$D$100,2,0)</f>
        <v>1667.4600000000005</v>
      </c>
      <c r="G68" s="47">
        <f>VLOOKUP(C68,'SIND PITS'!$C$3:$E$100,3,0)</f>
        <v>165</v>
      </c>
      <c r="H68" s="47">
        <f>VLOOKUP(C68,'SIND PITS'!$C$3:$F$100,4,0)</f>
        <v>320</v>
      </c>
      <c r="I68" s="47">
        <f>VLOOKUP(C68,'SIND PITS'!$C$3:$G$100,5,0)</f>
        <v>0</v>
      </c>
      <c r="J68" s="43"/>
      <c r="K68" s="47" t="e">
        <f t="shared" ref="K68:K103" si="9">SUM(D68:I68)</f>
        <v>#REF!</v>
      </c>
      <c r="L68" s="47">
        <v>10000</v>
      </c>
      <c r="M68" s="47">
        <f t="shared" si="2"/>
        <v>5000</v>
      </c>
      <c r="N68" s="44"/>
      <c r="O68" s="36">
        <f>VLOOKUP(C68,'[1]IP PITS'!$B$6:$I$87,8,0)</f>
        <v>0</v>
      </c>
      <c r="P68" s="47">
        <f t="shared" ref="P68:P102" si="10">+G68+H68+I68</f>
        <v>485</v>
      </c>
      <c r="Q68" s="36">
        <f>(VLOOKUP(C68,'IP PITSS'!$B$9:$M$90,10,0))+(VLOOKUP(C68,'IP PITSS'!$B$9:$M$90,11,0))+(VLOOKUP(C68,'IP PITSS'!$B$9:$M$90,12,0))</f>
        <v>1115.54</v>
      </c>
      <c r="R68" s="36" t="e">
        <f>VLOOKUP(C68,'IP PITSS'!$B$9:$Q$90,17,0)</f>
        <v>#REF!</v>
      </c>
      <c r="S68" s="36" t="e">
        <f>VLOOKUP(C68,'IP PITSS'!$B$9:$R$90,18,0)</f>
        <v>#REF!</v>
      </c>
      <c r="T68" s="44"/>
      <c r="U68" s="47" t="e">
        <f t="shared" si="6"/>
        <v>#REF!</v>
      </c>
      <c r="V68" s="36" t="e">
        <f t="shared" si="8"/>
        <v>#REF!</v>
      </c>
      <c r="X68" s="47" t="s">
        <v>328</v>
      </c>
      <c r="Y68" s="36">
        <f ca="1">IFERROR(OFFSET('CPD PITSS'!$AN$8,MATCH('RESUMEN PITS'!C68,'CPD PITSS'!$B$9:$B$26,0),0),0)+IFERROR(OFFSET('IP PITSS'!$AL$8,MATCH('RESUMEN PITS'!C68,'IP PITSS'!$B$9:$B$90,0),0),0)+IFERROR(OFFSET('SIND PITS'!$Q$2,MATCH('RESUMEN PITS'!C68,'SIND PITS'!$C$3:$C$103,0),0),0)</f>
        <v>6972.232</v>
      </c>
    </row>
    <row r="69" spans="1:25" s="36" customFormat="1" x14ac:dyDescent="0.2">
      <c r="A69" s="18" t="s">
        <v>380</v>
      </c>
      <c r="B69" s="37" t="s">
        <v>95</v>
      </c>
      <c r="C69" s="18" t="s">
        <v>137</v>
      </c>
      <c r="D69" s="37" t="e">
        <f>VLOOKUP(C69,'IP PITSS'!$B$9:$U$90,21,0)</f>
        <v>#REF!</v>
      </c>
      <c r="E69" s="59"/>
      <c r="F69" s="47">
        <f>VLOOKUP(C69,'SIND PITS'!$C$3:$D$100,2,0)</f>
        <v>2667.3999999999996</v>
      </c>
      <c r="G69" s="47">
        <f>VLOOKUP(C69,'SIND PITS'!$C$3:$E$100,3,0)</f>
        <v>750</v>
      </c>
      <c r="H69" s="47">
        <f>VLOOKUP(C69,'SIND PITS'!$C$3:$F$100,4,0)</f>
        <v>400</v>
      </c>
      <c r="I69" s="47">
        <f>VLOOKUP(C69,'SIND PITS'!$C$3:$G$100,5,0)</f>
        <v>0</v>
      </c>
      <c r="J69" s="43"/>
      <c r="K69" s="47" t="e">
        <f t="shared" si="9"/>
        <v>#REF!</v>
      </c>
      <c r="L69" s="47">
        <v>12000</v>
      </c>
      <c r="M69" s="47">
        <f t="shared" ref="M69:M103" si="11">+L69/2</f>
        <v>6000</v>
      </c>
      <c r="N69" s="44"/>
      <c r="O69" s="36">
        <f>VLOOKUP(C69,'[1]IP PITS'!$B$6:$I$87,8,0)</f>
        <v>0</v>
      </c>
      <c r="P69" s="47">
        <f t="shared" si="10"/>
        <v>1150</v>
      </c>
      <c r="Q69" s="36">
        <f>(VLOOKUP(C69,'IP PITSS'!$B$9:$M$90,10,0))+(VLOOKUP(C69,'IP PITSS'!$B$9:$M$90,11,0))+(VLOOKUP(C69,'IP PITSS'!$B$9:$M$90,12,0))</f>
        <v>0</v>
      </c>
      <c r="R69" s="36" t="e">
        <f>VLOOKUP(C69,'IP PITSS'!$B$9:$Q$90,17,0)</f>
        <v>#REF!</v>
      </c>
      <c r="S69" s="36" t="e">
        <f>VLOOKUP(C69,'IP PITSS'!$B$9:$R$90,18,0)</f>
        <v>#REF!</v>
      </c>
      <c r="T69" s="44"/>
      <c r="U69" s="47" t="e">
        <f t="shared" si="6"/>
        <v>#REF!</v>
      </c>
      <c r="V69" s="36" t="e">
        <f t="shared" si="8"/>
        <v>#REF!</v>
      </c>
      <c r="W69" s="69"/>
      <c r="X69" s="47" t="s">
        <v>138</v>
      </c>
      <c r="Y69" s="36">
        <f ca="1">IFERROR(OFFSET('CPD PITSS'!$AN$8,MATCH('RESUMEN PITS'!C69,'CPD PITSS'!$B$9:$B$26,0),0),0)+IFERROR(OFFSET('IP PITSS'!$AL$8,MATCH('RESUMEN PITS'!C69,'IP PITSS'!$B$9:$B$90,0),0),0)+IFERROR(OFFSET('SIND PITS'!$Q$2,MATCH('RESUMEN PITS'!C69,'SIND PITS'!$C$3:$C$103,0),0),0)</f>
        <v>8670.5319999999992</v>
      </c>
    </row>
    <row r="70" spans="1:25" s="36" customFormat="1" x14ac:dyDescent="0.2">
      <c r="A70" s="18" t="s">
        <v>238</v>
      </c>
      <c r="B70" s="37" t="s">
        <v>95</v>
      </c>
      <c r="C70" s="18" t="s">
        <v>160</v>
      </c>
      <c r="D70" s="37" t="e">
        <f>VLOOKUP(C70,'IP PITSS'!$B$9:$U$90,21,0)</f>
        <v>#REF!</v>
      </c>
      <c r="E70" s="59"/>
      <c r="F70" s="47">
        <f>VLOOKUP(C70,'SIND PITS'!$C$3:$D$100,2,0)</f>
        <v>1667.37</v>
      </c>
      <c r="G70" s="47">
        <f>VLOOKUP(C70,'SIND PITS'!$C$3:$E$100,3,0)</f>
        <v>465</v>
      </c>
      <c r="H70" s="47">
        <f>VLOOKUP(C70,'SIND PITS'!$C$3:$F$100,4,0)</f>
        <v>0</v>
      </c>
      <c r="I70" s="47">
        <f>VLOOKUP(C70,'SIND PITS'!$C$3:$G$100,5,0)</f>
        <v>0</v>
      </c>
      <c r="J70" s="43"/>
      <c r="K70" s="47" t="e">
        <f t="shared" si="9"/>
        <v>#REF!</v>
      </c>
      <c r="L70" s="47">
        <v>10000</v>
      </c>
      <c r="M70" s="47">
        <f t="shared" si="11"/>
        <v>5000</v>
      </c>
      <c r="N70" s="44"/>
      <c r="O70" s="36">
        <f>VLOOKUP(C70,'[1]IP PITS'!$B$6:$I$87,8,0)</f>
        <v>0</v>
      </c>
      <c r="P70" s="47">
        <f t="shared" si="10"/>
        <v>465</v>
      </c>
      <c r="Q70" s="36">
        <f>(VLOOKUP(C70,'IP PITSS'!$B$9:$M$90,10,0))+(VLOOKUP(C70,'IP PITSS'!$B$9:$M$90,11,0))+(VLOOKUP(C70,'IP PITSS'!$B$9:$M$90,12,0))</f>
        <v>685.03</v>
      </c>
      <c r="R70" s="36" t="e">
        <f>VLOOKUP(C70,'IP PITSS'!$B$9:$Q$90,17,0)</f>
        <v>#REF!</v>
      </c>
      <c r="S70" s="36" t="e">
        <f>VLOOKUP(C70,'IP PITSS'!$B$9:$R$90,18,0)</f>
        <v>#REF!</v>
      </c>
      <c r="T70" s="44"/>
      <c r="U70" s="47" t="e">
        <f t="shared" si="6"/>
        <v>#REF!</v>
      </c>
      <c r="V70" s="36" t="e">
        <f t="shared" si="8"/>
        <v>#REF!</v>
      </c>
      <c r="X70" s="47" t="s">
        <v>161</v>
      </c>
      <c r="Y70" s="36">
        <f ca="1">IFERROR(OFFSET('CPD PITSS'!$AN$8,MATCH('RESUMEN PITS'!C70,'CPD PITSS'!$B$9:$B$26,0),0),0)+IFERROR(OFFSET('IP PITSS'!$AL$8,MATCH('RESUMEN PITS'!C70,'IP PITSS'!$B$9:$B$90,0),0),0)+IFERROR(OFFSET('SIND PITS'!$Q$2,MATCH('RESUMEN PITS'!C70,'SIND PITS'!$C$3:$C$103,0),0),0)</f>
        <v>6951.8319999999994</v>
      </c>
    </row>
    <row r="71" spans="1:25" s="36" customFormat="1" x14ac:dyDescent="0.2">
      <c r="A71" s="18" t="s">
        <v>381</v>
      </c>
      <c r="B71" s="37" t="s">
        <v>95</v>
      </c>
      <c r="C71" s="18" t="s">
        <v>251</v>
      </c>
      <c r="D71" s="37" t="e">
        <f>VLOOKUP(C71,'IP PITSS'!$B$9:$U$90,21,0)</f>
        <v>#REF!</v>
      </c>
      <c r="E71" s="59"/>
      <c r="F71" s="47">
        <f>VLOOKUP(C71,'SIND PITS'!$C$3:$D$100,2,0)</f>
        <v>2502.3999999999996</v>
      </c>
      <c r="G71" s="47">
        <f>VLOOKUP(C71,'SIND PITS'!$C$3:$E$100,3,0)</f>
        <v>160</v>
      </c>
      <c r="H71" s="47">
        <f>VLOOKUP(C71,'SIND PITS'!$C$3:$F$100,4,0)</f>
        <v>0</v>
      </c>
      <c r="I71" s="47">
        <f>VLOOKUP(C71,'SIND PITS'!$C$3:$G$100,5,0)</f>
        <v>49.999999999999986</v>
      </c>
      <c r="J71" s="43"/>
      <c r="K71" s="47" t="e">
        <f t="shared" si="9"/>
        <v>#REF!</v>
      </c>
      <c r="L71" s="47">
        <v>10000</v>
      </c>
      <c r="M71" s="47">
        <f t="shared" si="11"/>
        <v>5000</v>
      </c>
      <c r="N71" s="44"/>
      <c r="O71" s="36">
        <f>VLOOKUP(C71,'[1]IP PITS'!$B$6:$I$87,8,0)</f>
        <v>0</v>
      </c>
      <c r="P71" s="47">
        <f t="shared" si="10"/>
        <v>210</v>
      </c>
      <c r="Q71" s="36">
        <f>(VLOOKUP(C71,'IP PITSS'!$B$9:$M$90,10,0))+(VLOOKUP(C71,'IP PITSS'!$B$9:$M$90,11,0))+(VLOOKUP(C71,'IP PITSS'!$B$9:$M$90,12,0))</f>
        <v>0</v>
      </c>
      <c r="R71" s="36" t="e">
        <f>VLOOKUP(C71,'IP PITSS'!$B$9:$Q$90,17,0)</f>
        <v>#REF!</v>
      </c>
      <c r="S71" s="36" t="e">
        <f>VLOOKUP(C71,'IP PITSS'!$B$9:$R$90,18,0)</f>
        <v>#REF!</v>
      </c>
      <c r="T71" s="44"/>
      <c r="U71" s="47" t="e">
        <f t="shared" si="6"/>
        <v>#REF!</v>
      </c>
      <c r="V71" s="36" t="e">
        <f t="shared" si="8"/>
        <v>#REF!</v>
      </c>
      <c r="X71" s="47" t="s">
        <v>252</v>
      </c>
      <c r="Y71" s="36">
        <f ca="1">IFERROR(OFFSET('CPD PITSS'!$AN$8,MATCH('RESUMEN PITS'!C71,'CPD PITSS'!$B$9:$B$26,0),0),0)+IFERROR(OFFSET('IP PITSS'!$AL$8,MATCH('RESUMEN PITS'!C71,'IP PITSS'!$B$9:$B$90,0),0),0)+IFERROR(OFFSET('SIND PITS'!$Q$2,MATCH('RESUMEN PITS'!C71,'SIND PITS'!$C$3:$C$103,0),0),0)</f>
        <v>6469.4210000000003</v>
      </c>
    </row>
    <row r="72" spans="1:25" s="36" customFormat="1" x14ac:dyDescent="0.2">
      <c r="A72" s="18" t="s">
        <v>98</v>
      </c>
      <c r="B72" s="37" t="s">
        <v>95</v>
      </c>
      <c r="C72" s="18" t="s">
        <v>242</v>
      </c>
      <c r="D72" s="37" t="e">
        <f>VLOOKUP(C72,'IP PITSS'!$B$9:$U$90,21,0)</f>
        <v>#REF!</v>
      </c>
      <c r="E72" s="59"/>
      <c r="F72" s="47">
        <f>VLOOKUP(C72,'SIND PITS'!$C$3:$D$100,2,0)</f>
        <v>1694.13</v>
      </c>
      <c r="G72" s="47">
        <f>VLOOKUP(C72,'SIND PITS'!$C$3:$E$100,3,0)</f>
        <v>225</v>
      </c>
      <c r="H72" s="47">
        <f>VLOOKUP(C72,'SIND PITS'!$C$3:$F$100,4,0)</f>
        <v>0</v>
      </c>
      <c r="I72" s="47">
        <f>VLOOKUP(C72,'SIND PITS'!$C$3:$G$100,5,0)</f>
        <v>0</v>
      </c>
      <c r="J72" s="43"/>
      <c r="K72" s="47" t="e">
        <f t="shared" si="9"/>
        <v>#REF!</v>
      </c>
      <c r="L72" s="47">
        <v>9000</v>
      </c>
      <c r="M72" s="47">
        <f t="shared" si="11"/>
        <v>4500</v>
      </c>
      <c r="N72" s="44"/>
      <c r="O72" s="36">
        <f>VLOOKUP(C72,'[1]IP PITS'!$B$6:$I$87,8,0)</f>
        <v>0</v>
      </c>
      <c r="P72" s="47">
        <f t="shared" si="10"/>
        <v>225</v>
      </c>
      <c r="Q72" s="36">
        <f>(VLOOKUP(C72,'IP PITSS'!$B$9:$M$90,10,0))+(VLOOKUP(C72,'IP PITSS'!$B$9:$M$90,11,0))+(VLOOKUP(C72,'IP PITSS'!$B$9:$M$90,12,0))</f>
        <v>874.27</v>
      </c>
      <c r="R72" s="36" t="e">
        <f>VLOOKUP(C72,'IP PITSS'!$B$9:$Q$90,17,0)</f>
        <v>#REF!</v>
      </c>
      <c r="S72" s="36" t="e">
        <f>VLOOKUP(C72,'IP PITSS'!$B$9:$R$90,18,0)</f>
        <v>#REF!</v>
      </c>
      <c r="T72" s="44"/>
      <c r="U72" s="47" t="e">
        <f t="shared" si="6"/>
        <v>#REF!</v>
      </c>
      <c r="V72" s="36" t="e">
        <f t="shared" si="8"/>
        <v>#REF!</v>
      </c>
      <c r="X72" s="47" t="s">
        <v>243</v>
      </c>
      <c r="Y72" s="36">
        <f ca="1">IFERROR(OFFSET('CPD PITSS'!$AN$8,MATCH('RESUMEN PITS'!C72,'CPD PITSS'!$B$9:$B$26,0),0),0)+IFERROR(OFFSET('IP PITSS'!$AL$8,MATCH('RESUMEN PITS'!C72,'IP PITSS'!$B$9:$B$90,0),0),0)+IFERROR(OFFSET('SIND PITS'!$Q$2,MATCH('RESUMEN PITS'!C72,'SIND PITS'!$C$3:$C$103,0),0),0)</f>
        <v>6062.5540000000001</v>
      </c>
    </row>
    <row r="73" spans="1:25" s="36" customFormat="1" x14ac:dyDescent="0.2">
      <c r="A73" s="18" t="s">
        <v>382</v>
      </c>
      <c r="B73" s="37" t="s">
        <v>95</v>
      </c>
      <c r="C73" s="18" t="s">
        <v>304</v>
      </c>
      <c r="D73" s="37" t="e">
        <f>VLOOKUP(C73,'IP PITSS'!$B$9:$U$90,21,0)</f>
        <v>#REF!</v>
      </c>
      <c r="E73" s="59"/>
      <c r="F73" s="47">
        <f>VLOOKUP(C73,'SIND PITS'!$C$3:$D$100,2,0)</f>
        <v>2838.88</v>
      </c>
      <c r="G73" s="47">
        <f>VLOOKUP(C73,'SIND PITS'!$C$3:$E$100,3,0)</f>
        <v>110</v>
      </c>
      <c r="H73" s="47">
        <f>VLOOKUP(C73,'SIND PITS'!$C$3:$F$100,4,0)</f>
        <v>0</v>
      </c>
      <c r="I73" s="47">
        <f>VLOOKUP(C73,'SIND PITS'!$C$3:$G$100,5,0)</f>
        <v>0</v>
      </c>
      <c r="J73" s="43"/>
      <c r="K73" s="47" t="e">
        <f t="shared" si="9"/>
        <v>#REF!</v>
      </c>
      <c r="L73" s="47">
        <v>10000</v>
      </c>
      <c r="M73" s="47">
        <f t="shared" si="11"/>
        <v>5000</v>
      </c>
      <c r="N73" s="44"/>
      <c r="O73" s="36">
        <f>VLOOKUP(C73,'[1]IP PITS'!$B$6:$I$87,8,0)</f>
        <v>644.75</v>
      </c>
      <c r="P73" s="47">
        <f t="shared" si="10"/>
        <v>110</v>
      </c>
      <c r="Q73" s="36">
        <f>(VLOOKUP(C73,'IP PITSS'!$B$9:$M$90,10,0))+(VLOOKUP(C73,'IP PITSS'!$B$9:$M$90,11,0))+(VLOOKUP(C73,'IP PITSS'!$B$9:$M$90,12,0))</f>
        <v>895.29</v>
      </c>
      <c r="R73" s="36" t="e">
        <f>VLOOKUP(C73,'IP PITSS'!$B$9:$Q$90,17,0)</f>
        <v>#REF!</v>
      </c>
      <c r="S73" s="36" t="e">
        <f>VLOOKUP(C73,'IP PITSS'!$B$9:$R$90,18,0)</f>
        <v>#REF!</v>
      </c>
      <c r="T73" s="44"/>
      <c r="U73" s="47" t="e">
        <f t="shared" si="6"/>
        <v>#REF!</v>
      </c>
      <c r="V73" s="36" t="e">
        <f t="shared" si="8"/>
        <v>#REF!</v>
      </c>
      <c r="X73" s="47" t="s">
        <v>305</v>
      </c>
      <c r="Y73" s="36">
        <f ca="1">IFERROR(OFFSET('CPD PITSS'!$AN$8,MATCH('RESUMEN PITS'!C73,'CPD PITSS'!$B$9:$B$26,0),0),0)+IFERROR(OFFSET('IP PITSS'!$AL$8,MATCH('RESUMEN PITS'!C73,'IP PITSS'!$B$9:$B$90,0),0),0)+IFERROR(OFFSET('SIND PITS'!$Q$2,MATCH('RESUMEN PITS'!C73,'SIND PITS'!$C$3:$C$103,0),0),0)</f>
        <v>7112.8990000000003</v>
      </c>
    </row>
    <row r="74" spans="1:25" s="36" customFormat="1" x14ac:dyDescent="0.2">
      <c r="A74" s="18" t="s">
        <v>71</v>
      </c>
      <c r="B74" s="37" t="s">
        <v>95</v>
      </c>
      <c r="C74" s="18" t="s">
        <v>134</v>
      </c>
      <c r="D74" s="37" t="e">
        <f>VLOOKUP(C74,'IP PITSS'!$B$9:$U$90,21,0)</f>
        <v>#REF!</v>
      </c>
      <c r="E74" s="59"/>
      <c r="F74" s="47">
        <f>VLOOKUP(C74,'SIND PITS'!$C$3:$D$100,2,0)</f>
        <v>2553.3999999999996</v>
      </c>
      <c r="G74" s="47">
        <f>VLOOKUP(C74,'SIND PITS'!$C$3:$E$100,3,0)</f>
        <v>400</v>
      </c>
      <c r="H74" s="47">
        <f>VLOOKUP(C74,'SIND PITS'!$C$3:$F$100,4,0)</f>
        <v>0</v>
      </c>
      <c r="I74" s="47">
        <f>VLOOKUP(C74,'SIND PITS'!$C$3:$G$100,5,0)</f>
        <v>0</v>
      </c>
      <c r="J74" s="43"/>
      <c r="K74" s="47" t="e">
        <f t="shared" si="9"/>
        <v>#REF!</v>
      </c>
      <c r="L74" s="47">
        <v>10000</v>
      </c>
      <c r="M74" s="47">
        <f t="shared" si="11"/>
        <v>5000</v>
      </c>
      <c r="N74" s="44"/>
      <c r="O74" s="36">
        <f>VLOOKUP(C74,'[1]IP PITS'!$B$6:$I$87,8,0)</f>
        <v>0</v>
      </c>
      <c r="P74" s="47">
        <f t="shared" si="10"/>
        <v>400</v>
      </c>
      <c r="Q74" s="36">
        <f>(VLOOKUP(C74,'IP PITSS'!$B$9:$M$90,10,0))+(VLOOKUP(C74,'IP PITSS'!$B$9:$M$90,11,0))+(VLOOKUP(C74,'IP PITSS'!$B$9:$M$90,12,0))</f>
        <v>0</v>
      </c>
      <c r="R74" s="36" t="e">
        <f>VLOOKUP(C74,'IP PITSS'!$B$9:$Q$90,17,0)</f>
        <v>#REF!</v>
      </c>
      <c r="S74" s="36" t="e">
        <f>VLOOKUP(C74,'IP PITSS'!$B$9:$R$90,18,0)</f>
        <v>#REF!</v>
      </c>
      <c r="T74" s="44"/>
      <c r="U74" s="47" t="e">
        <f t="shared" si="6"/>
        <v>#REF!</v>
      </c>
      <c r="V74" s="36" t="e">
        <f t="shared" si="8"/>
        <v>#REF!</v>
      </c>
      <c r="X74" s="47" t="s">
        <v>135</v>
      </c>
      <c r="Y74" s="36">
        <f ca="1">IFERROR(OFFSET('CPD PITSS'!$AN$8,MATCH('RESUMEN PITS'!C74,'CPD PITSS'!$B$9:$B$26,0),0),0)+IFERROR(OFFSET('IP PITSS'!$AL$8,MATCH('RESUMEN PITS'!C74,'IP PITSS'!$B$9:$B$90,0),0),0)+IFERROR(OFFSET('SIND PITS'!$Q$2,MATCH('RESUMEN PITS'!C74,'SIND PITS'!$C$3:$C$103,0),0),0)</f>
        <v>6669.7809999999999</v>
      </c>
    </row>
    <row r="75" spans="1:25" s="36" customFormat="1" x14ac:dyDescent="0.2">
      <c r="A75" s="18" t="s">
        <v>199</v>
      </c>
      <c r="B75" s="37" t="s">
        <v>95</v>
      </c>
      <c r="C75" s="24" t="s">
        <v>200</v>
      </c>
      <c r="D75" s="37">
        <f>'IP PITSS'!$U$66</f>
        <v>2865.8</v>
      </c>
      <c r="E75" s="59"/>
      <c r="F75" s="47">
        <f>VLOOKUP(C75,'SIND PITS'!$C$3:$D$100,2,0)</f>
        <v>284.19999999999982</v>
      </c>
      <c r="G75" s="47">
        <f>VLOOKUP(C75,'SIND PITS'!$C$3:$E$100,3,0)</f>
        <v>281.25</v>
      </c>
      <c r="H75" s="47">
        <f>VLOOKUP(C75,'SIND PITS'!$C$3:$F$100,4,0)</f>
        <v>0</v>
      </c>
      <c r="I75" s="47">
        <f>VLOOKUP(C75,'SIND PITS'!$C$3:$G$100,5,0)</f>
        <v>0</v>
      </c>
      <c r="J75" s="43"/>
      <c r="K75" s="47">
        <f t="shared" si="9"/>
        <v>3431.25</v>
      </c>
      <c r="L75" s="36">
        <v>6300</v>
      </c>
      <c r="M75" s="47">
        <f t="shared" si="11"/>
        <v>3150</v>
      </c>
      <c r="N75" s="44"/>
      <c r="O75" s="36">
        <f>VLOOKUP(C75,'[1]IP PITS'!$B$6:$I$87,8,0)</f>
        <v>0</v>
      </c>
      <c r="P75" s="47">
        <f t="shared" si="10"/>
        <v>281.25</v>
      </c>
      <c r="T75" s="44"/>
      <c r="U75" s="47">
        <f t="shared" si="6"/>
        <v>3150</v>
      </c>
      <c r="V75" s="36">
        <f t="shared" si="8"/>
        <v>0</v>
      </c>
      <c r="X75" s="47" t="s">
        <v>201</v>
      </c>
      <c r="Y75" s="36">
        <f ca="1">IFERROR(OFFSET('CPD PITSS'!$AN$8,MATCH('RESUMEN PITS'!C75,'CPD PITSS'!$B$9:$B$26,0),0),0)+IFERROR(OFFSET('IP PITSS'!$AL$8,MATCH('RESUMEN PITS'!C75,'IP PITSS'!$B$9:$B$90,0),0),0)+IFERROR(OFFSET('SIND PITS'!$Q$2,MATCH('RESUMEN PITS'!C75,'SIND PITS'!$C$3:$C$103,0),0),0)</f>
        <v>576.75899999999979</v>
      </c>
    </row>
    <row r="76" spans="1:25" s="36" customFormat="1" x14ac:dyDescent="0.2">
      <c r="A76" s="18" t="s">
        <v>383</v>
      </c>
      <c r="B76" s="37" t="s">
        <v>95</v>
      </c>
      <c r="C76" s="24" t="s">
        <v>260</v>
      </c>
      <c r="D76" s="37">
        <f>'IP PITSS'!$U$64</f>
        <v>2446.6000000000004</v>
      </c>
      <c r="E76" s="59"/>
      <c r="F76" s="47">
        <f>VLOOKUP(C76,'SIND PITS'!$C$3:$D$100,2,0)</f>
        <v>3553.3999999999996</v>
      </c>
      <c r="G76" s="47">
        <f>VLOOKUP(C76,'SIND PITS'!$C$3:$E$100,3,0)</f>
        <v>500</v>
      </c>
      <c r="H76" s="47">
        <f>VLOOKUP(C76,'SIND PITS'!$C$3:$F$100,4,0)</f>
        <v>0</v>
      </c>
      <c r="I76" s="47">
        <f>VLOOKUP(C76,'SIND PITS'!$C$3:$G$100,5,0)</f>
        <v>0</v>
      </c>
      <c r="J76" s="43"/>
      <c r="K76" s="47">
        <f t="shared" si="9"/>
        <v>6500</v>
      </c>
      <c r="L76" s="47">
        <v>12000</v>
      </c>
      <c r="M76" s="47">
        <f t="shared" si="11"/>
        <v>6000</v>
      </c>
      <c r="N76" s="44"/>
      <c r="O76" s="36">
        <f>VLOOKUP(C76,'[1]IP PITS'!$B$6:$I$87,8,0)</f>
        <v>0</v>
      </c>
      <c r="P76" s="47">
        <f t="shared" si="10"/>
        <v>500</v>
      </c>
      <c r="T76" s="44"/>
      <c r="U76" s="47">
        <f t="shared" si="6"/>
        <v>6000</v>
      </c>
      <c r="V76" s="36">
        <f t="shared" si="8"/>
        <v>0</v>
      </c>
      <c r="X76" s="47" t="s">
        <v>261</v>
      </c>
      <c r="Y76" s="36">
        <f ca="1">IFERROR(OFFSET('CPD PITSS'!$AN$8,MATCH('RESUMEN PITS'!C76,'CPD PITSS'!$B$9:$B$26,0),0),0)+IFERROR(OFFSET('IP PITSS'!$AL$8,MATCH('RESUMEN PITS'!C76,'IP PITSS'!$B$9:$B$90,0),0),0)+IFERROR(OFFSET('SIND PITS'!$Q$2,MATCH('RESUMEN PITS'!C76,'SIND PITS'!$C$3:$C$103,0),0),0)</f>
        <v>4134.4679999999998</v>
      </c>
    </row>
    <row r="77" spans="1:25" s="36" customFormat="1" x14ac:dyDescent="0.2">
      <c r="A77" s="18" t="s">
        <v>219</v>
      </c>
      <c r="B77" s="37" t="s">
        <v>95</v>
      </c>
      <c r="C77" s="18" t="s">
        <v>220</v>
      </c>
      <c r="D77" s="37" t="e">
        <f>VLOOKUP(C77,'IP PITSS'!$B$9:$U$90,21,0)</f>
        <v>#REF!</v>
      </c>
      <c r="E77" s="59"/>
      <c r="F77" s="47">
        <f>VLOOKUP(C77,'SIND PITS'!$C$3:$D$100,2,0)</f>
        <v>52.799999999999727</v>
      </c>
      <c r="G77" s="47">
        <f>VLOOKUP(C77,'SIND PITS'!$C$3:$E$100,3,0)</f>
        <v>160</v>
      </c>
      <c r="H77" s="47">
        <f>VLOOKUP(C77,'SIND PITS'!$C$3:$F$100,4,0)</f>
        <v>0</v>
      </c>
      <c r="I77" s="47">
        <f>VLOOKUP(C77,'SIND PITS'!$C$3:$G$100,5,0)</f>
        <v>0</v>
      </c>
      <c r="J77" s="43"/>
      <c r="K77" s="47" t="e">
        <f t="shared" si="9"/>
        <v>#REF!</v>
      </c>
      <c r="L77" s="47">
        <v>5000</v>
      </c>
      <c r="M77" s="47">
        <f t="shared" si="11"/>
        <v>2500</v>
      </c>
      <c r="N77" s="44"/>
      <c r="O77" s="36">
        <f>VLOOKUP(C77,'[1]IP PITS'!$B$6:$I$87,8,0)</f>
        <v>0</v>
      </c>
      <c r="P77" s="47">
        <f t="shared" si="10"/>
        <v>160</v>
      </c>
      <c r="Q77" s="36">
        <f>(VLOOKUP(C77,'IP PITSS'!$B$9:$M$90,10,0))+(VLOOKUP(C77,'IP PITSS'!$B$9:$M$90,11,0))+(VLOOKUP(C77,'IP PITSS'!$B$9:$M$90,12,0))</f>
        <v>0</v>
      </c>
      <c r="R77" s="36" t="e">
        <f>VLOOKUP(C77,'IP PITSS'!$B$9:$Q$90,17,0)</f>
        <v>#REF!</v>
      </c>
      <c r="S77" s="36" t="e">
        <f>VLOOKUP(C77,'IP PITSS'!$B$9:$R$90,18,0)</f>
        <v>#REF!</v>
      </c>
      <c r="T77" s="44"/>
      <c r="U77" s="47" t="e">
        <f t="shared" si="6"/>
        <v>#REF!</v>
      </c>
      <c r="V77" s="36" t="e">
        <f t="shared" si="8"/>
        <v>#REF!</v>
      </c>
      <c r="X77" s="47" t="s">
        <v>221</v>
      </c>
      <c r="Y77" s="36">
        <f ca="1">IFERROR(OFFSET('CPD PITSS'!$AN$8,MATCH('RESUMEN PITS'!C77,'CPD PITSS'!$B$9:$B$26,0),0),0)+IFERROR(OFFSET('IP PITSS'!$AL$8,MATCH('RESUMEN PITS'!C77,'IP PITSS'!$B$9:$B$90,0),0),0)+IFERROR(OFFSET('SIND PITS'!$Q$2,MATCH('RESUMEN PITS'!C77,'SIND PITS'!$C$3:$C$103,0),0),0)</f>
        <v>3871.7110000000002</v>
      </c>
    </row>
    <row r="78" spans="1:25" s="36" customFormat="1" x14ac:dyDescent="0.2">
      <c r="A78" s="18" t="s">
        <v>262</v>
      </c>
      <c r="B78" s="37" t="s">
        <v>95</v>
      </c>
      <c r="C78" s="18" t="s">
        <v>263</v>
      </c>
      <c r="D78" s="37" t="e">
        <f>VLOOKUP(C78,'IP PITSS'!$B$9:$U$90,21,0)</f>
        <v>#REF!</v>
      </c>
      <c r="E78" s="59"/>
      <c r="F78" s="47">
        <f>VLOOKUP(C78,'SIND PITS'!$C$3:$D$100,2,0)</f>
        <v>52.499999999999545</v>
      </c>
      <c r="G78" s="47">
        <f>VLOOKUP(C78,'SIND PITS'!$C$3:$E$100,3,0)</f>
        <v>310</v>
      </c>
      <c r="H78" s="47">
        <f>VLOOKUP(C78,'SIND PITS'!$C$3:$F$100,4,0)</f>
        <v>0</v>
      </c>
      <c r="I78" s="47">
        <f>VLOOKUP(C78,'SIND PITS'!$C$3:$G$100,5,0)</f>
        <v>0</v>
      </c>
      <c r="J78" s="43"/>
      <c r="K78" s="47" t="e">
        <f t="shared" si="9"/>
        <v>#REF!</v>
      </c>
      <c r="L78" s="60">
        <v>5000</v>
      </c>
      <c r="M78" s="47">
        <f t="shared" si="11"/>
        <v>2500</v>
      </c>
      <c r="N78" s="44"/>
      <c r="O78" s="36">
        <f>VLOOKUP(C78,'[1]IP PITS'!$B$6:$I$87,8,0)</f>
        <v>0</v>
      </c>
      <c r="P78" s="47">
        <f t="shared" si="10"/>
        <v>310</v>
      </c>
      <c r="Q78" s="36">
        <f>(VLOOKUP(C78,'IP PITSS'!$B$9:$M$90,10,0))+(VLOOKUP(C78,'IP PITSS'!$B$9:$M$90,11,0))+(VLOOKUP(C78,'IP PITSS'!$B$9:$M$90,12,0))</f>
        <v>413.9</v>
      </c>
      <c r="R78" s="36" t="e">
        <f>VLOOKUP(C78,'IP PITSS'!$B$9:$Q$90,17,0)</f>
        <v>#REF!</v>
      </c>
      <c r="S78" s="36" t="e">
        <f>VLOOKUP(C78,'IP PITSS'!$B$9:$R$90,18,0)</f>
        <v>#REF!</v>
      </c>
      <c r="T78" s="44"/>
      <c r="U78" s="47" t="e">
        <f t="shared" si="6"/>
        <v>#REF!</v>
      </c>
      <c r="V78" s="36" t="e">
        <f t="shared" si="8"/>
        <v>#REF!</v>
      </c>
      <c r="X78" s="47" t="s">
        <v>264</v>
      </c>
      <c r="Y78" s="36">
        <f ca="1">IFERROR(OFFSET('CPD PITSS'!$AN$8,MATCH('RESUMEN PITS'!C78,'CPD PITSS'!$B$9:$B$26,0),0),0)+IFERROR(OFFSET('IP PITSS'!$AL$8,MATCH('RESUMEN PITS'!C78,'IP PITSS'!$B$9:$B$90,0),0),0)+IFERROR(OFFSET('SIND PITS'!$Q$2,MATCH('RESUMEN PITS'!C78,'SIND PITS'!$C$3:$C$103,0),0),0)</f>
        <v>4020.4179999999997</v>
      </c>
    </row>
    <row r="79" spans="1:25" s="36" customFormat="1" x14ac:dyDescent="0.2">
      <c r="A79" s="18" t="s">
        <v>228</v>
      </c>
      <c r="B79" s="37" t="s">
        <v>95</v>
      </c>
      <c r="C79" s="24" t="s">
        <v>229</v>
      </c>
      <c r="D79" s="37" t="e">
        <f>VLOOKUP(C79,'IP PITSS'!$B$9:$U$90,21,0)</f>
        <v>#REF!</v>
      </c>
      <c r="E79" s="59"/>
      <c r="F79" s="47">
        <f>VLOOKUP(C79,'SIND PITS'!$C$3:$D$100,2,0)</f>
        <v>6520.6</v>
      </c>
      <c r="G79" s="47">
        <f>VLOOKUP(C79,'SIND PITS'!$C$3:$E$100,3,0)</f>
        <v>1938</v>
      </c>
      <c r="H79" s="47">
        <f>VLOOKUP(C79,'SIND PITS'!$C$3:$F$100,4,0)</f>
        <v>0</v>
      </c>
      <c r="I79" s="47">
        <f>VLOOKUP(C79,'SIND PITS'!$C$3:$G$100,5,0)</f>
        <v>0</v>
      </c>
      <c r="J79" s="43"/>
      <c r="K79" s="47" t="e">
        <f t="shared" si="9"/>
        <v>#REF!</v>
      </c>
      <c r="L79" s="68">
        <v>19950</v>
      </c>
      <c r="M79" s="47">
        <f t="shared" si="11"/>
        <v>9975</v>
      </c>
      <c r="N79" s="44"/>
      <c r="O79" s="36">
        <f>VLOOKUP(C79,'[1]IP PITS'!$B$6:$I$87,8,0)</f>
        <v>0</v>
      </c>
      <c r="P79" s="47">
        <f t="shared" si="10"/>
        <v>1938</v>
      </c>
      <c r="Q79" s="36">
        <f>(VLOOKUP(C79,'IP PITSS'!$B$9:$M$90,10,0))+(VLOOKUP(C79,'IP PITSS'!$B$9:$M$90,11,0))+(VLOOKUP(C79,'IP PITSS'!$B$9:$M$90,12,0))</f>
        <v>0</v>
      </c>
      <c r="R79" s="36" t="e">
        <f>VLOOKUP(C79,'IP PITSS'!$B$9:$Q$90,17,0)</f>
        <v>#REF!</v>
      </c>
      <c r="S79" s="36" t="e">
        <f>VLOOKUP(C79,'IP PITSS'!$B$9:$R$90,18,0)</f>
        <v>#REF!</v>
      </c>
      <c r="T79" s="44"/>
      <c r="U79" s="47" t="e">
        <f t="shared" si="6"/>
        <v>#REF!</v>
      </c>
      <c r="V79" s="36" t="e">
        <f t="shared" si="8"/>
        <v>#REF!</v>
      </c>
      <c r="X79" s="47" t="s">
        <v>230</v>
      </c>
      <c r="Y79" s="36">
        <f ca="1">IFERROR(OFFSET('CPD PITSS'!$AN$8,MATCH('RESUMEN PITS'!C79,'CPD PITSS'!$B$9:$B$26,0),0),0)+IFERROR(OFFSET('IP PITSS'!$AL$8,MATCH('RESUMEN PITS'!C79,'IP PITSS'!$B$9:$B$90,0),0),0)+IFERROR(OFFSET('SIND PITS'!$Q$2,MATCH('RESUMEN PITS'!C79,'SIND PITS'!$C$3:$C$103,0),0),0)</f>
        <v>13598.701000000001</v>
      </c>
    </row>
    <row r="80" spans="1:25" s="36" customFormat="1" x14ac:dyDescent="0.2">
      <c r="A80" s="30" t="s">
        <v>299</v>
      </c>
      <c r="B80" s="37" t="s">
        <v>95</v>
      </c>
      <c r="C80" s="30" t="s">
        <v>300</v>
      </c>
      <c r="D80" s="37" t="e">
        <f>VLOOKUP(C80,'IP PITSS'!$B$9:$U$90,21,0)</f>
        <v>#REF!</v>
      </c>
      <c r="E80" s="59"/>
      <c r="F80" s="47">
        <f>VLOOKUP(C80,'SIND PITS'!$C$3:$D$100,2,0)</f>
        <v>52.399999999999636</v>
      </c>
      <c r="G80" s="47">
        <f>VLOOKUP(C80,'SIND PITS'!$C$3:$E$100,3,0)</f>
        <v>70</v>
      </c>
      <c r="H80" s="47">
        <f>VLOOKUP(C80,'SIND PITS'!$C$3:$F$100,4,0)</f>
        <v>0</v>
      </c>
      <c r="I80" s="47">
        <f>VLOOKUP(C80,'SIND PITS'!$C$3:$G$100,5,0)</f>
        <v>0</v>
      </c>
      <c r="J80" s="43"/>
      <c r="K80" s="47" t="e">
        <f t="shared" si="9"/>
        <v>#REF!</v>
      </c>
      <c r="L80" s="47">
        <v>5000</v>
      </c>
      <c r="M80" s="47">
        <f t="shared" si="11"/>
        <v>2500</v>
      </c>
      <c r="N80" s="44"/>
      <c r="O80" s="36">
        <f>VLOOKUP(C80,'[1]IP PITS'!$B$6:$I$87,8,0)</f>
        <v>0</v>
      </c>
      <c r="P80" s="47">
        <f t="shared" si="10"/>
        <v>70</v>
      </c>
      <c r="Q80" s="36">
        <f>(VLOOKUP(C80,'IP PITSS'!$B$9:$M$90,10,0))+(VLOOKUP(C80,'IP PITSS'!$B$9:$M$90,11,0))+(VLOOKUP(C80,'IP PITSS'!$B$9:$M$90,12,0))</f>
        <v>0</v>
      </c>
      <c r="R80" s="36" t="e">
        <f>VLOOKUP(C80,'IP PITSS'!$B$9:$Q$90,17,0)</f>
        <v>#REF!</v>
      </c>
      <c r="S80" s="36" t="e">
        <f>VLOOKUP(C80,'IP PITSS'!$B$9:$R$90,18,0)</f>
        <v>#REF!</v>
      </c>
      <c r="T80" s="44"/>
      <c r="U80" s="47" t="e">
        <f t="shared" si="6"/>
        <v>#REF!</v>
      </c>
      <c r="V80" s="36" t="e">
        <f t="shared" si="8"/>
        <v>#REF!</v>
      </c>
      <c r="X80" s="47" t="s">
        <v>301</v>
      </c>
      <c r="Y80" s="36">
        <f ca="1">IFERROR(OFFSET('CPD PITSS'!$AN$8,MATCH('RESUMEN PITS'!C80,'CPD PITSS'!$B$9:$B$26,0),0),0)+IFERROR(OFFSET('IP PITSS'!$AL$8,MATCH('RESUMEN PITS'!C80,'IP PITSS'!$B$9:$B$90,0),0),0)+IFERROR(OFFSET('SIND PITS'!$Q$2,MATCH('RESUMEN PITS'!C80,'SIND PITS'!$C$3:$C$103,0),0),0)</f>
        <v>3775.6310000000003</v>
      </c>
    </row>
    <row r="81" spans="1:25" s="36" customFormat="1" x14ac:dyDescent="0.2">
      <c r="A81" s="30" t="s">
        <v>313</v>
      </c>
      <c r="B81" s="37" t="s">
        <v>95</v>
      </c>
      <c r="C81" s="30" t="s">
        <v>314</v>
      </c>
      <c r="D81" s="37" t="e">
        <f>VLOOKUP(C81,'IP PITSS'!$B$9:$U$90,21,0)</f>
        <v>#REF!</v>
      </c>
      <c r="E81" s="59"/>
      <c r="F81" s="47">
        <f>VLOOKUP(C81,'SIND PITS'!$C$3:$D$100,2,0)</f>
        <v>221.20000000000027</v>
      </c>
      <c r="G81" s="47">
        <f>VLOOKUP(C81,'SIND PITS'!$C$3:$E$100,3,0)</f>
        <v>0</v>
      </c>
      <c r="H81" s="47">
        <f>VLOOKUP(C81,'SIND PITS'!$C$3:$F$100,4,0)</f>
        <v>0</v>
      </c>
      <c r="I81" s="47">
        <f>VLOOKUP(C81,'SIND PITS'!$C$3:$G$100,5,0)</f>
        <v>0</v>
      </c>
      <c r="J81" s="43"/>
      <c r="K81" s="47" t="e">
        <f t="shared" si="9"/>
        <v>#REF!</v>
      </c>
      <c r="L81" s="47">
        <v>7000</v>
      </c>
      <c r="M81" s="47">
        <f t="shared" si="11"/>
        <v>3500</v>
      </c>
      <c r="N81" s="44"/>
      <c r="O81" s="36">
        <f>VLOOKUP(C81,'[1]IP PITS'!$B$6:$I$87,8,0)</f>
        <v>0</v>
      </c>
      <c r="P81" s="47">
        <f t="shared" si="10"/>
        <v>0</v>
      </c>
      <c r="Q81" s="36">
        <f>(VLOOKUP(C81,'IP PITSS'!$B$9:$M$90,10,0))+(VLOOKUP(C81,'IP PITSS'!$B$9:$M$90,11,0))+(VLOOKUP(C81,'IP PITSS'!$B$9:$M$90,12,0))</f>
        <v>0</v>
      </c>
      <c r="R81" s="36" t="e">
        <f>VLOOKUP(C81,'IP PITSS'!$B$9:$Q$90,17,0)</f>
        <v>#REF!</v>
      </c>
      <c r="S81" s="36" t="e">
        <f>VLOOKUP(C81,'IP PITSS'!$B$9:$R$90,18,0)</f>
        <v>#REF!</v>
      </c>
      <c r="T81" s="44"/>
      <c r="U81" s="47" t="e">
        <f t="shared" si="6"/>
        <v>#REF!</v>
      </c>
      <c r="V81" s="36" t="e">
        <f t="shared" si="8"/>
        <v>#REF!</v>
      </c>
      <c r="X81" s="47" t="s">
        <v>315</v>
      </c>
      <c r="Y81" s="36">
        <f ca="1">IFERROR(OFFSET('CPD PITSS'!$AN$8,MATCH('RESUMEN PITS'!C81,'CPD PITSS'!$B$9:$B$26,0),0),0)+IFERROR(OFFSET('IP PITSS'!$AL$8,MATCH('RESUMEN PITS'!C81,'IP PITSS'!$B$9:$B$90,0),0),0)+IFERROR(OFFSET('SIND PITS'!$Q$2,MATCH('RESUMEN PITS'!C81,'SIND PITS'!$C$3:$C$103,0),0),0)</f>
        <v>4930.4790000000003</v>
      </c>
    </row>
    <row r="82" spans="1:25" s="36" customFormat="1" x14ac:dyDescent="0.2">
      <c r="A82" s="30" t="s">
        <v>213</v>
      </c>
      <c r="B82" s="37" t="s">
        <v>95</v>
      </c>
      <c r="C82" s="30" t="s">
        <v>214</v>
      </c>
      <c r="D82" s="37" t="e">
        <f>VLOOKUP(C82,'IP PITSS'!$B$9:$U$90,21,0)</f>
        <v>#REF!</v>
      </c>
      <c r="E82" s="59"/>
      <c r="F82" s="47">
        <f>VLOOKUP(C82,'SIND PITS'!$C$3:$D$100,2,0)</f>
        <v>222.6899999999996</v>
      </c>
      <c r="G82" s="47">
        <f>VLOOKUP(C82,'SIND PITS'!$C$3:$E$100,3,0)</f>
        <v>550</v>
      </c>
      <c r="H82" s="47">
        <f>VLOOKUP(C82,'SIND PITS'!$C$3:$F$100,4,0)</f>
        <v>400</v>
      </c>
      <c r="I82" s="47">
        <f>VLOOKUP(C82,'SIND PITS'!$C$3:$G$100,5,0)</f>
        <v>0</v>
      </c>
      <c r="J82" s="43"/>
      <c r="K82" s="47" t="e">
        <f t="shared" si="9"/>
        <v>#REF!</v>
      </c>
      <c r="L82" s="47">
        <v>7000</v>
      </c>
      <c r="M82" s="47">
        <f t="shared" si="11"/>
        <v>3500</v>
      </c>
      <c r="N82" s="44"/>
      <c r="O82" s="36">
        <f>VLOOKUP(C82,'[1]IP PITS'!$B$6:$I$87,8,0)</f>
        <v>0</v>
      </c>
      <c r="P82" s="47">
        <f t="shared" si="10"/>
        <v>950</v>
      </c>
      <c r="Q82" s="36">
        <f>(VLOOKUP(C82,'IP PITSS'!$B$9:$M$90,10,0))+(VLOOKUP(C82,'IP PITSS'!$B$9:$M$90,11,0))+(VLOOKUP(C82,'IP PITSS'!$B$9:$M$90,12,0))</f>
        <v>1416.51</v>
      </c>
      <c r="R82" s="36" t="e">
        <f>VLOOKUP(C82,'IP PITSS'!$B$9:$Q$90,17,0)</f>
        <v>#REF!</v>
      </c>
      <c r="S82" s="36" t="e">
        <f>VLOOKUP(C82,'IP PITSS'!$B$9:$R$90,18,0)</f>
        <v>#REF!</v>
      </c>
      <c r="T82" s="44"/>
      <c r="U82" s="47" t="e">
        <f t="shared" si="6"/>
        <v>#REF!</v>
      </c>
      <c r="V82" s="36" t="e">
        <f t="shared" si="8"/>
        <v>#REF!</v>
      </c>
      <c r="X82" s="47" t="s">
        <v>215</v>
      </c>
      <c r="Y82" s="36">
        <f ca="1">IFERROR(OFFSET('CPD PITSS'!$AN$8,MATCH('RESUMEN PITS'!C82,'CPD PITSS'!$B$9:$B$26,0),0),0)+IFERROR(OFFSET('IP PITSS'!$AL$8,MATCH('RESUMEN PITS'!C82,'IP PITSS'!$B$9:$B$90,0),0),0)+IFERROR(OFFSET('SIND PITS'!$Q$2,MATCH('RESUMEN PITS'!C82,'SIND PITS'!$C$3:$C$103,0),0),0)</f>
        <v>5909.0689999999995</v>
      </c>
    </row>
    <row r="83" spans="1:25" s="36" customFormat="1" x14ac:dyDescent="0.2">
      <c r="A83" s="30" t="s">
        <v>293</v>
      </c>
      <c r="B83" s="37" t="s">
        <v>95</v>
      </c>
      <c r="C83" s="30" t="s">
        <v>294</v>
      </c>
      <c r="D83" s="37" t="e">
        <f>VLOOKUP(C83,'IP PITSS'!$B$9:$U$90,21,0)</f>
        <v>#REF!</v>
      </c>
      <c r="E83" s="59"/>
      <c r="F83" s="47">
        <f>VLOOKUP(C83,'SIND PITS'!$C$3:$D$100,2,0)</f>
        <v>175.80000000000018</v>
      </c>
      <c r="G83" s="47">
        <f>VLOOKUP(C83,'SIND PITS'!$C$3:$E$100,3,0)</f>
        <v>900</v>
      </c>
      <c r="H83" s="47">
        <f>VLOOKUP(C83,'SIND PITS'!$C$3:$F$100,4,0)</f>
        <v>0</v>
      </c>
      <c r="I83" s="47">
        <f>VLOOKUP(C83,'SIND PITS'!$C$3:$G$100,5,0)</f>
        <v>0</v>
      </c>
      <c r="J83" s="43"/>
      <c r="K83" s="47" t="e">
        <f t="shared" si="9"/>
        <v>#REF!</v>
      </c>
      <c r="L83" s="47">
        <v>6300</v>
      </c>
      <c r="M83" s="47">
        <f t="shared" si="11"/>
        <v>3150</v>
      </c>
      <c r="N83" s="44"/>
      <c r="O83" s="36">
        <f>VLOOKUP(C83,'[1]IP PITS'!$B$6:$I$87,8,0)</f>
        <v>0</v>
      </c>
      <c r="P83" s="47">
        <f t="shared" si="10"/>
        <v>900</v>
      </c>
      <c r="Q83" s="36">
        <f>(VLOOKUP(C83,'IP PITSS'!$B$9:$M$90,10,0))+(VLOOKUP(C83,'IP PITSS'!$B$9:$M$90,11,0))+(VLOOKUP(C83,'IP PITSS'!$B$9:$M$90,12,0))</f>
        <v>0</v>
      </c>
      <c r="R83" s="36" t="e">
        <f>VLOOKUP(C83,'IP PITSS'!$B$9:$Q$90,17,0)</f>
        <v>#REF!</v>
      </c>
      <c r="S83" s="36" t="e">
        <f>VLOOKUP(C83,'IP PITSS'!$B$9:$R$90,18,0)</f>
        <v>#REF!</v>
      </c>
      <c r="T83" s="44"/>
      <c r="U83" s="47" t="e">
        <f t="shared" si="6"/>
        <v>#REF!</v>
      </c>
      <c r="V83" s="36" t="e">
        <f t="shared" si="8"/>
        <v>#REF!</v>
      </c>
      <c r="X83" s="47" t="s">
        <v>295</v>
      </c>
      <c r="Y83" s="36">
        <f ca="1">IFERROR(OFFSET('CPD PITSS'!$AN$8,MATCH('RESUMEN PITS'!C83,'CPD PITSS'!$B$9:$B$26,0),0),0)+IFERROR(OFFSET('IP PITSS'!$AL$8,MATCH('RESUMEN PITS'!C83,'IP PITSS'!$B$9:$B$90,0),0),0)+IFERROR(OFFSET('SIND PITS'!$Q$2,MATCH('RESUMEN PITS'!C83,'SIND PITS'!$C$3:$C$103,0),0),0)</f>
        <v>5427.93</v>
      </c>
    </row>
    <row r="84" spans="1:25" s="36" customFormat="1" x14ac:dyDescent="0.2">
      <c r="A84" s="30" t="s">
        <v>222</v>
      </c>
      <c r="B84" s="37" t="s">
        <v>95</v>
      </c>
      <c r="C84" s="30" t="s">
        <v>223</v>
      </c>
      <c r="D84" s="37" t="e">
        <f>VLOOKUP(C84,'IP PITSS'!$B$9:$U$90,21,0)</f>
        <v>#REF!</v>
      </c>
      <c r="E84" s="59"/>
      <c r="F84" s="47">
        <f>VLOOKUP(C84,'SIND PITS'!$C$3:$D$100,2,0)</f>
        <v>175.65999999999985</v>
      </c>
      <c r="G84" s="47">
        <f>VLOOKUP(C84,'SIND PITS'!$C$3:$E$100,3,0)</f>
        <v>0</v>
      </c>
      <c r="H84" s="47">
        <f>VLOOKUP(C84,'SIND PITS'!$C$3:$F$100,4,0)</f>
        <v>0</v>
      </c>
      <c r="I84" s="47">
        <f>VLOOKUP(C84,'SIND PITS'!$C$3:$G$100,5,0)</f>
        <v>0</v>
      </c>
      <c r="J84" s="43"/>
      <c r="K84" s="47" t="e">
        <f t="shared" si="9"/>
        <v>#REF!</v>
      </c>
      <c r="L84" s="47">
        <v>6300</v>
      </c>
      <c r="M84" s="47">
        <f t="shared" si="11"/>
        <v>3150</v>
      </c>
      <c r="N84" s="44"/>
      <c r="O84" s="36">
        <f>VLOOKUP(C84,'[1]IP PITS'!$B$6:$I$87,8,0)</f>
        <v>0</v>
      </c>
      <c r="P84" s="47">
        <f t="shared" si="10"/>
        <v>0</v>
      </c>
      <c r="Q84" s="36">
        <f>(VLOOKUP(C84,'IP PITSS'!$B$9:$M$90,10,0))+(VLOOKUP(C84,'IP PITSS'!$B$9:$M$90,11,0))+(VLOOKUP(C84,'IP PITSS'!$B$9:$M$90,12,0))</f>
        <v>318.54000000000002</v>
      </c>
      <c r="R84" s="36" t="e">
        <f>VLOOKUP(C84,'IP PITSS'!$B$9:$Q$90,17,0)</f>
        <v>#REF!</v>
      </c>
      <c r="S84" s="36" t="e">
        <f>VLOOKUP(C84,'IP PITSS'!$B$9:$R$90,18,0)</f>
        <v>#REF!</v>
      </c>
      <c r="T84" s="44"/>
      <c r="U84" s="47" t="e">
        <f t="shared" si="6"/>
        <v>#REF!</v>
      </c>
      <c r="V84" s="36" t="e">
        <f t="shared" si="8"/>
        <v>#REF!</v>
      </c>
      <c r="X84" s="47" t="s">
        <v>224</v>
      </c>
      <c r="Y84" s="36">
        <f ca="1">IFERROR(OFFSET('CPD PITSS'!$AN$8,MATCH('RESUMEN PITS'!C84,'CPD PITSS'!$B$9:$B$26,0),0),0)+IFERROR(OFFSET('IP PITSS'!$AL$8,MATCH('RESUMEN PITS'!C84,'IP PITSS'!$B$9:$B$90,0),0),0)+IFERROR(OFFSET('SIND PITS'!$Q$2,MATCH('RESUMEN PITS'!C84,'SIND PITS'!$C$3:$C$103,0),0),0)</f>
        <v>4509.93</v>
      </c>
    </row>
    <row r="85" spans="1:25" s="36" customFormat="1" x14ac:dyDescent="0.2">
      <c r="A85" s="18" t="s">
        <v>101</v>
      </c>
      <c r="B85" s="37" t="s">
        <v>95</v>
      </c>
      <c r="C85" s="18" t="s">
        <v>102</v>
      </c>
      <c r="D85" s="37" t="e">
        <f>VLOOKUP(C85,'IP PITSS'!$B$9:$U$90,21,0)</f>
        <v>#REF!</v>
      </c>
      <c r="E85" s="59"/>
      <c r="F85" s="47">
        <f>VLOOKUP(C85,'SIND PITS'!$C$3:$D$100,2,0)</f>
        <v>175.59999999999991</v>
      </c>
      <c r="G85" s="47">
        <f>VLOOKUP(C85,'SIND PITS'!$C$3:$E$100,3,0)</f>
        <v>1068.75</v>
      </c>
      <c r="H85" s="47">
        <f>VLOOKUP(C85,'SIND PITS'!$C$3:$F$100,4,0)</f>
        <v>0</v>
      </c>
      <c r="I85" s="47">
        <f>VLOOKUP(C85,'SIND PITS'!$C$3:$G$100,5,0)</f>
        <v>0</v>
      </c>
      <c r="J85" s="43"/>
      <c r="K85" s="47" t="e">
        <f t="shared" si="9"/>
        <v>#REF!</v>
      </c>
      <c r="L85" s="47">
        <v>6300</v>
      </c>
      <c r="M85" s="47">
        <f t="shared" si="11"/>
        <v>3150</v>
      </c>
      <c r="N85" s="44"/>
      <c r="O85" s="36">
        <f>VLOOKUP(C85,'[1]IP PITS'!$B$6:$I$87,8,0)</f>
        <v>0</v>
      </c>
      <c r="P85" s="47">
        <f t="shared" si="10"/>
        <v>1068.75</v>
      </c>
      <c r="Q85" s="36">
        <f>(VLOOKUP(C85,'IP PITSS'!$B$9:$M$90,10,0))+(VLOOKUP(C85,'IP PITSS'!$B$9:$M$90,11,0))+(VLOOKUP(C85,'IP PITSS'!$B$9:$M$90,12,0))</f>
        <v>0</v>
      </c>
      <c r="R85" s="36" t="e">
        <f>VLOOKUP(C85,'IP PITSS'!$B$9:$Q$90,17,0)</f>
        <v>#REF!</v>
      </c>
      <c r="S85" s="36" t="e">
        <f>VLOOKUP(C85,'IP PITSS'!$B$9:$R$90,18,0)</f>
        <v>#REF!</v>
      </c>
      <c r="T85" s="44"/>
      <c r="U85" s="47" t="e">
        <f t="shared" si="6"/>
        <v>#REF!</v>
      </c>
      <c r="V85" s="36" t="e">
        <f t="shared" si="8"/>
        <v>#REF!</v>
      </c>
      <c r="W85" s="61"/>
      <c r="X85" s="47" t="s">
        <v>103</v>
      </c>
      <c r="Y85" s="36">
        <f ca="1">IFERROR(OFFSET('CPD PITSS'!$AN$8,MATCH('RESUMEN PITS'!C85,'CPD PITSS'!$B$9:$B$26,0),0),0)+IFERROR(OFFSET('IP PITSS'!$AL$8,MATCH('RESUMEN PITS'!C85,'IP PITSS'!$B$9:$B$90,0),0),0)+IFERROR(OFFSET('SIND PITS'!$Q$2,MATCH('RESUMEN PITS'!C85,'SIND PITS'!$C$3:$C$103,0),0),0)</f>
        <v>5600.0549999999994</v>
      </c>
    </row>
    <row r="86" spans="1:25" s="36" customFormat="1" x14ac:dyDescent="0.2">
      <c r="A86" s="18" t="s">
        <v>120</v>
      </c>
      <c r="B86" s="37" t="s">
        <v>95</v>
      </c>
      <c r="C86" s="18" t="s">
        <v>121</v>
      </c>
      <c r="D86" s="37" t="e">
        <f>VLOOKUP(C86,'IP PITSS'!$B$9:$U$90,21,0)</f>
        <v>#REF!</v>
      </c>
      <c r="E86" s="59"/>
      <c r="F86" s="47">
        <f>VLOOKUP(C86,'SIND PITS'!$C$3:$D$100,2,0)</f>
        <v>175.67000000000007</v>
      </c>
      <c r="G86" s="47">
        <f>VLOOKUP(C86,'SIND PITS'!$C$3:$E$100,3,0)</f>
        <v>675</v>
      </c>
      <c r="H86" s="47">
        <f>VLOOKUP(C86,'SIND PITS'!$C$3:$F$100,4,0)</f>
        <v>0</v>
      </c>
      <c r="I86" s="47">
        <f>VLOOKUP(C86,'SIND PITS'!$C$3:$G$100,5,0)</f>
        <v>0</v>
      </c>
      <c r="J86" s="43"/>
      <c r="K86" s="47" t="e">
        <f t="shared" si="9"/>
        <v>#REF!</v>
      </c>
      <c r="L86" s="47">
        <v>6300</v>
      </c>
      <c r="M86" s="47">
        <f t="shared" si="11"/>
        <v>3150</v>
      </c>
      <c r="N86" s="44"/>
      <c r="O86" s="36">
        <f>VLOOKUP(C86,'[1]IP PITS'!$B$6:$I$87,8,0)</f>
        <v>0</v>
      </c>
      <c r="P86" s="47">
        <f t="shared" si="10"/>
        <v>675</v>
      </c>
      <c r="Q86" s="36">
        <f>(VLOOKUP(C86,'IP PITSS'!$B$9:$M$90,10,0))+(VLOOKUP(C86,'IP PITSS'!$B$9:$M$90,11,0))+(VLOOKUP(C86,'IP PITSS'!$B$9:$M$90,12,0))</f>
        <v>957.33</v>
      </c>
      <c r="R86" s="36" t="e">
        <f>VLOOKUP(C86,'IP PITSS'!$B$9:$Q$90,17,0)</f>
        <v>#REF!</v>
      </c>
      <c r="S86" s="36" t="e">
        <f>VLOOKUP(C86,'IP PITSS'!$B$9:$R$90,18,0)</f>
        <v>#REF!</v>
      </c>
      <c r="T86" s="44"/>
      <c r="U86" s="47" t="e">
        <f t="shared" ref="U86:U103" si="12">+K86-O86-P86+Q86+R86+S86</f>
        <v>#REF!</v>
      </c>
      <c r="V86" s="36" t="e">
        <f t="shared" si="8"/>
        <v>#REF!</v>
      </c>
      <c r="W86" s="61"/>
      <c r="X86" s="47" t="s">
        <v>122</v>
      </c>
      <c r="Y86" s="36">
        <f ca="1">IFERROR(OFFSET('CPD PITSS'!$AN$8,MATCH('RESUMEN PITS'!C86,'CPD PITSS'!$B$9:$B$26,0),0),0)+IFERROR(OFFSET('IP PITSS'!$AL$8,MATCH('RESUMEN PITS'!C86,'IP PITSS'!$B$9:$B$90,0),0),0)+IFERROR(OFFSET('SIND PITS'!$Q$2,MATCH('RESUMEN PITS'!C86,'SIND PITS'!$C$3:$C$103,0),0),0)</f>
        <v>5198.43</v>
      </c>
    </row>
    <row r="87" spans="1:25" s="47" customFormat="1" x14ac:dyDescent="0.2">
      <c r="A87" s="18" t="s">
        <v>166</v>
      </c>
      <c r="B87" s="37" t="s">
        <v>95</v>
      </c>
      <c r="C87" s="18" t="s">
        <v>167</v>
      </c>
      <c r="D87" s="37" t="e">
        <f>VLOOKUP(C87,'IP PITSS'!$B$9:$U$90,21,0)</f>
        <v>#REF!</v>
      </c>
      <c r="E87" s="59"/>
      <c r="F87" s="47">
        <f>VLOOKUP(C87,'SIND PITS'!$C$3:$D$100,2,0)</f>
        <v>134.21000000000004</v>
      </c>
      <c r="G87" s="47">
        <f>VLOOKUP(C87,'SIND PITS'!$C$3:$E$100,3,0)</f>
        <v>225</v>
      </c>
      <c r="H87" s="47">
        <f>VLOOKUP(C87,'SIND PITS'!$C$3:$F$100,4,0)</f>
        <v>0</v>
      </c>
      <c r="I87" s="47">
        <f>VLOOKUP(C87,'SIND PITS'!$C$3:$G$100,5,0)</f>
        <v>0</v>
      </c>
      <c r="J87" s="43"/>
      <c r="K87" s="47" t="e">
        <f t="shared" si="9"/>
        <v>#REF!</v>
      </c>
      <c r="L87" s="47">
        <v>6000</v>
      </c>
      <c r="M87" s="47">
        <f t="shared" si="11"/>
        <v>3000</v>
      </c>
      <c r="N87" s="44"/>
      <c r="O87" s="36">
        <f>VLOOKUP(C87,'[1]IP PITS'!$B$6:$I$87,8,0)</f>
        <v>0</v>
      </c>
      <c r="P87" s="47">
        <f t="shared" si="10"/>
        <v>225</v>
      </c>
      <c r="Q87" s="36">
        <f>(VLOOKUP(C87,'IP PITSS'!$B$9:$M$90,10,0))+(VLOOKUP(C87,'IP PITSS'!$B$9:$M$90,11,0))+(VLOOKUP(C87,'IP PITSS'!$B$9:$M$90,12,0))</f>
        <v>1590.59</v>
      </c>
      <c r="R87" s="36" t="e">
        <f>VLOOKUP(C87,'IP PITSS'!$B$9:$Q$90,17,0)</f>
        <v>#REF!</v>
      </c>
      <c r="S87" s="36" t="e">
        <f>VLOOKUP(C87,'IP PITSS'!$B$9:$R$90,18,0)</f>
        <v>#REF!</v>
      </c>
      <c r="T87" s="44"/>
      <c r="U87" s="47" t="e">
        <f t="shared" si="12"/>
        <v>#REF!</v>
      </c>
      <c r="V87" s="36" t="e">
        <f t="shared" si="8"/>
        <v>#REF!</v>
      </c>
      <c r="W87" s="61"/>
      <c r="X87" s="47" t="s">
        <v>168</v>
      </c>
      <c r="Y87" s="36">
        <f ca="1">IFERROR(OFFSET('CPD PITSS'!$AN$8,MATCH('RESUMEN PITS'!C87,'CPD PITSS'!$B$9:$B$26,0),0),0)+IFERROR(OFFSET('IP PITSS'!$AL$8,MATCH('RESUMEN PITS'!C87,'IP PITSS'!$B$9:$B$90,0),0),0)+IFERROR(OFFSET('SIND PITS'!$Q$2,MATCH('RESUMEN PITS'!C87,'SIND PITS'!$C$3:$C$103,0),0),0)</f>
        <v>4546.8599999999997</v>
      </c>
    </row>
    <row r="88" spans="1:25" s="47" customFormat="1" x14ac:dyDescent="0.2">
      <c r="A88" s="18" t="s">
        <v>190</v>
      </c>
      <c r="B88" s="37" t="s">
        <v>95</v>
      </c>
      <c r="C88" s="18" t="s">
        <v>191</v>
      </c>
      <c r="D88" s="37" t="e">
        <f>VLOOKUP(C88,'IP PITSS'!$B$9:$U$90,21,0)</f>
        <v>#REF!</v>
      </c>
      <c r="E88" s="59"/>
      <c r="F88" s="47">
        <f>VLOOKUP(C88,'SIND PITS'!$C$3:$D$100,2,0)</f>
        <v>134.19999999999982</v>
      </c>
      <c r="G88" s="47">
        <f>VLOOKUP(C88,'SIND PITS'!$C$3:$E$100,3,0)</f>
        <v>130</v>
      </c>
      <c r="H88" s="47">
        <f>VLOOKUP(C88,'SIND PITS'!$C$3:$F$100,4,0)</f>
        <v>0</v>
      </c>
      <c r="I88" s="47">
        <f>VLOOKUP(C88,'SIND PITS'!$C$3:$G$100,5,0)</f>
        <v>0</v>
      </c>
      <c r="J88" s="43"/>
      <c r="K88" s="47" t="e">
        <f t="shared" si="9"/>
        <v>#REF!</v>
      </c>
      <c r="L88" s="47">
        <v>6000</v>
      </c>
      <c r="M88" s="47">
        <f t="shared" si="11"/>
        <v>3000</v>
      </c>
      <c r="N88" s="44"/>
      <c r="O88" s="36">
        <f>VLOOKUP(C88,'[1]IP PITS'!$B$6:$I$87,8,0)</f>
        <v>0</v>
      </c>
      <c r="P88" s="47">
        <f t="shared" si="10"/>
        <v>130</v>
      </c>
      <c r="Q88" s="36">
        <f>(VLOOKUP(C88,'IP PITSS'!$B$9:$M$90,10,0))+(VLOOKUP(C88,'IP PITSS'!$B$9:$M$90,11,0))+(VLOOKUP(C88,'IP PITSS'!$B$9:$M$90,12,0))</f>
        <v>0</v>
      </c>
      <c r="R88" s="36" t="e">
        <f>VLOOKUP(C88,'IP PITSS'!$B$9:$Q$90,17,0)</f>
        <v>#REF!</v>
      </c>
      <c r="S88" s="36" t="e">
        <f>VLOOKUP(C88,'IP PITSS'!$B$9:$R$90,18,0)</f>
        <v>#REF!</v>
      </c>
      <c r="T88" s="44"/>
      <c r="U88" s="47" t="e">
        <f t="shared" si="12"/>
        <v>#REF!</v>
      </c>
      <c r="V88" s="64" t="e">
        <f t="shared" si="8"/>
        <v>#REF!</v>
      </c>
      <c r="W88" s="70"/>
      <c r="X88" s="47" t="s">
        <v>192</v>
      </c>
      <c r="Y88" s="36">
        <f ca="1">IFERROR(OFFSET('CPD PITSS'!$AN$8,MATCH('RESUMEN PITS'!C88,'CPD PITSS'!$B$9:$B$26,0),0),0)+IFERROR(OFFSET('IP PITSS'!$AL$8,MATCH('RESUMEN PITS'!C88,'IP PITSS'!$B$9:$B$90,0),0),0)+IFERROR(OFFSET('SIND PITS'!$Q$2,MATCH('RESUMEN PITS'!C88,'SIND PITS'!$C$3:$C$103,0),0),0)</f>
        <v>4449.96</v>
      </c>
    </row>
    <row r="89" spans="1:25" s="47" customFormat="1" x14ac:dyDescent="0.2">
      <c r="A89" s="18" t="s">
        <v>186</v>
      </c>
      <c r="B89" s="37" t="s">
        <v>95</v>
      </c>
      <c r="C89" s="18" t="s">
        <v>187</v>
      </c>
      <c r="D89" s="37" t="e">
        <f>VLOOKUP(C89,'IP PITSS'!$B$9:$U$90,21,0)</f>
        <v>#REF!</v>
      </c>
      <c r="E89" s="59"/>
      <c r="F89" s="47">
        <f>VLOOKUP(C89,'SIND PITS'!$C$3:$D$100,2,0)</f>
        <v>3135.2</v>
      </c>
      <c r="G89" s="47">
        <f>VLOOKUP(C89,'SIND PITS'!$C$3:$E$100,3,0)</f>
        <v>225</v>
      </c>
      <c r="H89" s="47">
        <f>VLOOKUP(C89,'SIND PITS'!$C$3:$F$100,4,0)</f>
        <v>0</v>
      </c>
      <c r="I89" s="47">
        <f>VLOOKUP(C89,'SIND PITS'!$C$3:$G$100,5,0)</f>
        <v>0</v>
      </c>
      <c r="J89" s="43"/>
      <c r="K89" s="47" t="e">
        <f t="shared" si="9"/>
        <v>#REF!</v>
      </c>
      <c r="L89" s="47">
        <v>12000</v>
      </c>
      <c r="M89" s="47">
        <f t="shared" si="11"/>
        <v>6000</v>
      </c>
      <c r="N89" s="44"/>
      <c r="O89" s="36">
        <f>VLOOKUP(C89,'[1]IP PITS'!$B$6:$I$87,8,0)</f>
        <v>0</v>
      </c>
      <c r="P89" s="47">
        <f t="shared" si="10"/>
        <v>225</v>
      </c>
      <c r="Q89" s="36">
        <f>(VLOOKUP(C89,'IP PITSS'!$B$9:$M$90,10,0))+(VLOOKUP(C89,'IP PITSS'!$B$9:$M$90,11,0))+(VLOOKUP(C89,'IP PITSS'!$B$9:$M$90,12,0))</f>
        <v>0</v>
      </c>
      <c r="R89" s="36" t="e">
        <f>VLOOKUP(C89,'IP PITSS'!$B$9:$Q$90,17,0)</f>
        <v>#REF!</v>
      </c>
      <c r="S89" s="36" t="e">
        <f>VLOOKUP(C89,'IP PITSS'!$B$9:$R$90,18,0)</f>
        <v>#REF!</v>
      </c>
      <c r="T89" s="44"/>
      <c r="U89" s="47" t="e">
        <f t="shared" si="12"/>
        <v>#REF!</v>
      </c>
      <c r="V89" s="36" t="e">
        <f t="shared" si="8"/>
        <v>#REF!</v>
      </c>
      <c r="W89" s="61"/>
      <c r="X89" s="47" t="s">
        <v>188</v>
      </c>
      <c r="Y89" s="36">
        <f ca="1">IFERROR(OFFSET('CPD PITSS'!$AN$8,MATCH('RESUMEN PITS'!C89,'CPD PITSS'!$B$9:$B$26,0),0),0)+IFERROR(OFFSET('IP PITSS'!$AL$8,MATCH('RESUMEN PITS'!C89,'IP PITSS'!$B$9:$B$90,0),0),0)+IFERROR(OFFSET('SIND PITS'!$Q$2,MATCH('RESUMEN PITS'!C89,'SIND PITS'!$C$3:$C$103,0),0),0)</f>
        <v>7615.0500000000011</v>
      </c>
    </row>
    <row r="90" spans="1:25" s="47" customFormat="1" x14ac:dyDescent="0.2">
      <c r="A90" s="18" t="s">
        <v>104</v>
      </c>
      <c r="B90" s="37" t="s">
        <v>95</v>
      </c>
      <c r="C90" s="18" t="s">
        <v>105</v>
      </c>
      <c r="D90" s="37" t="e">
        <f>VLOOKUP(C90,'IP PITSS'!$B$9:$U$90,21,0)</f>
        <v>#REF!</v>
      </c>
      <c r="E90" s="59"/>
      <c r="F90" s="47">
        <f>VLOOKUP(C90,'SIND PITS'!$C$3:$D$100,2,0)</f>
        <v>3135.3199999999997</v>
      </c>
      <c r="G90" s="47">
        <f>VLOOKUP(C90,'SIND PITS'!$C$3:$E$100,3,0)</f>
        <v>750</v>
      </c>
      <c r="H90" s="47">
        <f>VLOOKUP(C90,'SIND PITS'!$C$3:$F$100,4,0)</f>
        <v>0</v>
      </c>
      <c r="I90" s="47">
        <f>VLOOKUP(C90,'SIND PITS'!$C$3:$G$100,5,0)</f>
        <v>0</v>
      </c>
      <c r="J90" s="43"/>
      <c r="K90" s="47" t="e">
        <f t="shared" si="9"/>
        <v>#REF!</v>
      </c>
      <c r="L90" s="47">
        <v>12000</v>
      </c>
      <c r="M90" s="47">
        <f t="shared" si="11"/>
        <v>6000</v>
      </c>
      <c r="N90" s="44"/>
      <c r="O90" s="36">
        <f>VLOOKUP(C90,'[1]IP PITS'!$B$6:$I$87,8,0)</f>
        <v>0</v>
      </c>
      <c r="P90" s="47">
        <f t="shared" si="10"/>
        <v>750</v>
      </c>
      <c r="Q90" s="36">
        <f>(VLOOKUP(C90,'IP PITSS'!$B$9:$M$90,10,0))+(VLOOKUP(C90,'IP PITSS'!$B$9:$M$90,11,0))+(VLOOKUP(C90,'IP PITSS'!$B$9:$M$90,12,0))</f>
        <v>481.28</v>
      </c>
      <c r="R90" s="36" t="e">
        <f>VLOOKUP(C90,'IP PITSS'!$B$9:$Q$90,17,0)</f>
        <v>#REF!</v>
      </c>
      <c r="S90" s="36" t="e">
        <f>VLOOKUP(C90,'IP PITSS'!$B$9:$R$90,18,0)</f>
        <v>#REF!</v>
      </c>
      <c r="T90" s="44"/>
      <c r="U90" s="47" t="e">
        <f t="shared" si="12"/>
        <v>#REF!</v>
      </c>
      <c r="V90" s="36" t="e">
        <f t="shared" si="8"/>
        <v>#REF!</v>
      </c>
      <c r="W90" s="61"/>
      <c r="X90" s="47" t="s">
        <v>106</v>
      </c>
      <c r="Y90" s="36">
        <f ca="1">IFERROR(OFFSET('CPD PITSS'!$AN$8,MATCH('RESUMEN PITS'!C90,'CPD PITSS'!$B$9:$B$26,0),0),0)+IFERROR(OFFSET('IP PITSS'!$AL$8,MATCH('RESUMEN PITS'!C90,'IP PITSS'!$B$9:$B$90,0),0),0)+IFERROR(OFFSET('SIND PITS'!$Q$2,MATCH('RESUMEN PITS'!C90,'SIND PITS'!$C$3:$C$103,0),0),0)</f>
        <v>8150.55</v>
      </c>
    </row>
    <row r="91" spans="1:25" s="47" customFormat="1" x14ac:dyDescent="0.2">
      <c r="A91" s="18" t="s">
        <v>210</v>
      </c>
      <c r="B91" s="37" t="s">
        <v>95</v>
      </c>
      <c r="C91" s="18" t="s">
        <v>211</v>
      </c>
      <c r="D91" s="37" t="e">
        <f>VLOOKUP(C91,'IP PITSS'!$B$9:$U$90,21,0)</f>
        <v>#REF!</v>
      </c>
      <c r="E91" s="59"/>
      <c r="F91" s="47">
        <f>VLOOKUP(C91,'SIND PITS'!$C$3:$D$100,2,0)</f>
        <v>1704.5</v>
      </c>
      <c r="G91" s="47">
        <f>VLOOKUP(C91,'SIND PITS'!$C$3:$E$100,3,0)</f>
        <v>125</v>
      </c>
      <c r="H91" s="47">
        <f>VLOOKUP(C91,'SIND PITS'!$C$3:$F$100,4,0)</f>
        <v>0</v>
      </c>
      <c r="I91" s="47">
        <f>VLOOKUP(C91,'SIND PITS'!$C$3:$G$100,5,0)</f>
        <v>0</v>
      </c>
      <c r="J91" s="43"/>
      <c r="K91" s="47" t="e">
        <f t="shared" si="9"/>
        <v>#REF!</v>
      </c>
      <c r="L91" s="47">
        <v>7000</v>
      </c>
      <c r="M91" s="47">
        <f t="shared" si="11"/>
        <v>3500</v>
      </c>
      <c r="N91" s="44"/>
      <c r="O91" s="36">
        <f>VLOOKUP(C91,'[1]IP PITS'!$B$6:$I$87,8,0)</f>
        <v>0</v>
      </c>
      <c r="P91" s="47">
        <f t="shared" si="10"/>
        <v>125</v>
      </c>
      <c r="Q91" s="36">
        <f>(VLOOKUP(C91,'IP PITSS'!$B$9:$M$90,10,0))+(VLOOKUP(C91,'IP PITSS'!$B$9:$M$90,11,0))+(VLOOKUP(C91,'IP PITSS'!$B$9:$M$90,12,0))</f>
        <v>851.5</v>
      </c>
      <c r="R91" s="36" t="e">
        <f>VLOOKUP(C91,'IP PITSS'!$B$9:$Q$90,17,0)</f>
        <v>#REF!</v>
      </c>
      <c r="S91" s="36" t="e">
        <f>VLOOKUP(C91,'IP PITSS'!$B$9:$R$90,18,0)</f>
        <v>#REF!</v>
      </c>
      <c r="T91" s="44"/>
      <c r="U91" s="47" t="e">
        <f t="shared" si="12"/>
        <v>#REF!</v>
      </c>
      <c r="V91" s="36" t="e">
        <f t="shared" si="8"/>
        <v>#REF!</v>
      </c>
      <c r="W91" s="61"/>
      <c r="X91" s="47" t="s">
        <v>212</v>
      </c>
      <c r="Y91" s="36">
        <f ca="1">IFERROR(OFFSET('CPD PITSS'!$AN$8,MATCH('RESUMEN PITS'!C91,'CPD PITSS'!$B$9:$B$26,0),0),0)+IFERROR(OFFSET('IP PITSS'!$AL$8,MATCH('RESUMEN PITS'!C91,'IP PITSS'!$B$9:$B$90,0),0),0)+IFERROR(OFFSET('SIND PITS'!$Q$2,MATCH('RESUMEN PITS'!C91,'SIND PITS'!$C$3:$C$103,0),0),0)</f>
        <v>4701.8010000000004</v>
      </c>
    </row>
    <row r="92" spans="1:25" s="47" customFormat="1" x14ac:dyDescent="0.2">
      <c r="A92" s="18" t="s">
        <v>322</v>
      </c>
      <c r="B92" s="37" t="s">
        <v>95</v>
      </c>
      <c r="C92" s="18" t="s">
        <v>323</v>
      </c>
      <c r="D92" s="37" t="e">
        <f>VLOOKUP(C92,'IP PITSS'!$B$9:$U$90,21,0)</f>
        <v>#REF!</v>
      </c>
      <c r="E92" s="59"/>
      <c r="F92" s="47">
        <f>VLOOKUP(C92,'SIND PITS'!$C$3:$D$100,2,0)</f>
        <v>1704.48</v>
      </c>
      <c r="G92" s="47">
        <f>VLOOKUP(C92,'SIND PITS'!$C$3:$E$100,3,0)</f>
        <v>750</v>
      </c>
      <c r="H92" s="47">
        <f>VLOOKUP(C92,'SIND PITS'!$C$3:$F$100,4,0)</f>
        <v>0</v>
      </c>
      <c r="I92" s="47">
        <f>VLOOKUP(C92,'SIND PITS'!$C$3:$G$100,5,0)</f>
        <v>0</v>
      </c>
      <c r="J92" s="43"/>
      <c r="K92" s="47" t="e">
        <f t="shared" si="9"/>
        <v>#REF!</v>
      </c>
      <c r="L92" s="47">
        <v>7000</v>
      </c>
      <c r="M92" s="47">
        <f t="shared" si="11"/>
        <v>3500</v>
      </c>
      <c r="N92" s="44"/>
      <c r="O92" s="36">
        <f>VLOOKUP(C92,'[1]IP PITS'!$B$6:$I$87,8,0)</f>
        <v>0</v>
      </c>
      <c r="P92" s="47">
        <f t="shared" si="10"/>
        <v>750</v>
      </c>
      <c r="Q92" s="36">
        <f>(VLOOKUP(C92,'IP PITSS'!$B$9:$M$90,10,0))+(VLOOKUP(C92,'IP PITSS'!$B$9:$M$90,11,0))+(VLOOKUP(C92,'IP PITSS'!$B$9:$M$90,12,0))</f>
        <v>736.52</v>
      </c>
      <c r="R92" s="36" t="e">
        <f>VLOOKUP(C92,'IP PITSS'!$B$9:$Q$90,17,0)</f>
        <v>#REF!</v>
      </c>
      <c r="S92" s="36" t="e">
        <f>VLOOKUP(C92,'IP PITSS'!$B$9:$R$90,18,0)</f>
        <v>#REF!</v>
      </c>
      <c r="T92" s="44"/>
      <c r="U92" s="47" t="e">
        <f t="shared" si="12"/>
        <v>#REF!</v>
      </c>
      <c r="V92" s="36" t="e">
        <f t="shared" si="8"/>
        <v>#REF!</v>
      </c>
      <c r="W92" s="61"/>
      <c r="X92" s="47" t="s">
        <v>324</v>
      </c>
      <c r="Y92" s="36">
        <f ca="1">IFERROR(OFFSET('CPD PITSS'!$AN$8,MATCH('RESUMEN PITS'!C92,'CPD PITSS'!$B$9:$B$26,0),0),0)+IFERROR(OFFSET('IP PITSS'!$AL$8,MATCH('RESUMEN PITS'!C92,'IP PITSS'!$B$9:$B$90,0),0),0)+IFERROR(OFFSET('SIND PITS'!$Q$2,MATCH('RESUMEN PITS'!C92,'SIND PITS'!$C$3:$C$103,0),0),0)</f>
        <v>5339.3009999999995</v>
      </c>
    </row>
    <row r="93" spans="1:25" s="105" customFormat="1" x14ac:dyDescent="0.2">
      <c r="A93" s="102" t="s">
        <v>150</v>
      </c>
      <c r="B93" s="103" t="s">
        <v>95</v>
      </c>
      <c r="C93" s="102" t="s">
        <v>151</v>
      </c>
      <c r="D93" s="103">
        <v>0</v>
      </c>
      <c r="E93" s="104"/>
      <c r="F93" s="105">
        <v>0</v>
      </c>
      <c r="G93" s="105">
        <f>VLOOKUP(C93,'SIND PITS'!$C$3:$E$100,3,0)</f>
        <v>0</v>
      </c>
      <c r="H93" s="105">
        <f>VLOOKUP(C93,'SIND PITS'!$C$3:$F$100,4,0)</f>
        <v>0</v>
      </c>
      <c r="I93" s="105">
        <f>VLOOKUP(C93,'SIND PITS'!$C$3:$G$100,5,0)</f>
        <v>0</v>
      </c>
      <c r="J93" s="104"/>
      <c r="K93" s="105">
        <f t="shared" si="9"/>
        <v>0</v>
      </c>
      <c r="L93" s="105">
        <v>6300</v>
      </c>
      <c r="M93" s="105">
        <f t="shared" si="11"/>
        <v>3150</v>
      </c>
      <c r="N93" s="104"/>
      <c r="O93" s="105">
        <f>VLOOKUP(C93,'[1]IP PITS'!$B$6:$I$87,8,0)</f>
        <v>0</v>
      </c>
      <c r="P93" s="105">
        <f t="shared" si="10"/>
        <v>0</v>
      </c>
      <c r="T93" s="104"/>
      <c r="U93" s="105">
        <f t="shared" si="12"/>
        <v>0</v>
      </c>
      <c r="V93" s="105">
        <v>0</v>
      </c>
      <c r="W93" s="106" t="s">
        <v>441</v>
      </c>
      <c r="X93" s="105" t="s">
        <v>152</v>
      </c>
      <c r="Y93" s="36">
        <f ca="1">IFERROR(OFFSET('CPD PITSS'!$AN$8,MATCH('RESUMEN PITS'!C93,'CPD PITSS'!$B$9:$B$26,0),0),0)+IFERROR(OFFSET('IP PITSS'!$AL$8,MATCH('RESUMEN PITS'!C93,'IP PITSS'!$B$9:$B$90,0),0),0)+IFERROR(OFFSET('SIND PITS'!$Q$2,MATCH('RESUMEN PITS'!C93,'SIND PITS'!$C$3:$C$103,0),0),0)</f>
        <v>0</v>
      </c>
    </row>
    <row r="94" spans="1:25" s="47" customFormat="1" x14ac:dyDescent="0.2">
      <c r="A94" s="18" t="s">
        <v>153</v>
      </c>
      <c r="B94" s="37" t="s">
        <v>95</v>
      </c>
      <c r="C94" s="18" t="s">
        <v>154</v>
      </c>
      <c r="D94" s="37" t="e">
        <f>VLOOKUP(C94,'IP PITSS'!$B$9:$U$90,21,0)</f>
        <v>#REF!</v>
      </c>
      <c r="E94" s="59"/>
      <c r="F94" s="47">
        <f>VLOOKUP(C94,'SIND PITS'!$C$3:$D$100,2,0)</f>
        <v>554.19999999999982</v>
      </c>
      <c r="G94" s="47">
        <f>VLOOKUP(C94,'SIND PITS'!$C$3:$E$100,3,0)</f>
        <v>225</v>
      </c>
      <c r="H94" s="47">
        <f>VLOOKUP(C94,'SIND PITS'!$C$3:$F$100,4,0)</f>
        <v>0</v>
      </c>
      <c r="I94" s="47">
        <f>VLOOKUP(C94,'SIND PITS'!$C$3:$G$100,5,0)</f>
        <v>0</v>
      </c>
      <c r="J94" s="43"/>
      <c r="K94" s="47" t="e">
        <f t="shared" si="9"/>
        <v>#REF!</v>
      </c>
      <c r="L94" s="47">
        <v>6000</v>
      </c>
      <c r="M94" s="47">
        <f t="shared" si="11"/>
        <v>3000</v>
      </c>
      <c r="N94" s="44"/>
      <c r="O94" s="36">
        <f>VLOOKUP(C94,'[1]IP PITS'!$B$6:$I$87,8,0)</f>
        <v>420</v>
      </c>
      <c r="P94" s="47">
        <f t="shared" si="10"/>
        <v>225</v>
      </c>
      <c r="Q94" s="36">
        <f>(VLOOKUP(C94,'IP PITSS'!$B$9:$M$90,10,0))+(VLOOKUP(C94,'IP PITSS'!$B$9:$M$90,11,0))+(VLOOKUP(C94,'IP PITSS'!$B$9:$M$90,12,0))</f>
        <v>0</v>
      </c>
      <c r="R94" s="36" t="e">
        <f>VLOOKUP(C94,'IP PITSS'!$B$9:$Q$90,17,0)</f>
        <v>#REF!</v>
      </c>
      <c r="S94" s="36" t="e">
        <f>VLOOKUP(C94,'IP PITSS'!$B$9:$R$90,18,0)</f>
        <v>#REF!</v>
      </c>
      <c r="T94" s="44"/>
      <c r="U94" s="47" t="e">
        <f t="shared" si="12"/>
        <v>#REF!</v>
      </c>
      <c r="V94" s="36" t="e">
        <f t="shared" si="8"/>
        <v>#REF!</v>
      </c>
      <c r="W94" s="61"/>
      <c r="X94" s="47" t="s">
        <v>155</v>
      </c>
      <c r="Y94" s="36">
        <f ca="1">IFERROR(OFFSET('CPD PITSS'!$AN$8,MATCH('RESUMEN PITS'!C94,'CPD PITSS'!$B$9:$B$26,0),0),0)+IFERROR(OFFSET('IP PITSS'!$AL$8,MATCH('RESUMEN PITS'!C94,'IP PITSS'!$B$9:$B$90,0),0),0)+IFERROR(OFFSET('SIND PITS'!$Q$2,MATCH('RESUMEN PITS'!C94,'SIND PITS'!$C$3:$C$103,0),0),0)</f>
        <v>4975.26</v>
      </c>
    </row>
    <row r="95" spans="1:25" s="47" customFormat="1" x14ac:dyDescent="0.2">
      <c r="A95" s="18" t="s">
        <v>277</v>
      </c>
      <c r="B95" s="37" t="s">
        <v>95</v>
      </c>
      <c r="C95" s="18" t="s">
        <v>278</v>
      </c>
      <c r="D95" s="37" t="e">
        <f>VLOOKUP(C95,'IP PITSS'!$B$9:$U$90,21,0)</f>
        <v>#REF!</v>
      </c>
      <c r="E95" s="59"/>
      <c r="F95" s="47">
        <f>VLOOKUP(C95,'SIND PITS'!$C$3:$D$100,2,0)</f>
        <v>175.80000000000018</v>
      </c>
      <c r="G95" s="47">
        <f>VLOOKUP(C95,'SIND PITS'!$C$3:$E$100,3,0)</f>
        <v>843.75</v>
      </c>
      <c r="H95" s="47">
        <f>VLOOKUP(C95,'SIND PITS'!$C$3:$F$100,4,0)</f>
        <v>0</v>
      </c>
      <c r="I95" s="47">
        <f>VLOOKUP(C95,'SIND PITS'!$C$3:$G$100,5,0)</f>
        <v>0</v>
      </c>
      <c r="J95" s="43"/>
      <c r="K95" s="47" t="e">
        <f t="shared" si="9"/>
        <v>#REF!</v>
      </c>
      <c r="L95" s="47">
        <v>6300</v>
      </c>
      <c r="M95" s="47">
        <f t="shared" si="11"/>
        <v>3150</v>
      </c>
      <c r="N95" s="44"/>
      <c r="O95" s="36">
        <f>VLOOKUP(C95,'[1]IP PITS'!$B$6:$I$87,8,0)</f>
        <v>0</v>
      </c>
      <c r="P95" s="47">
        <f t="shared" si="10"/>
        <v>843.75</v>
      </c>
      <c r="Q95" s="36">
        <f>(VLOOKUP(C95,'IP PITSS'!$B$9:$M$90,10,0))+(VLOOKUP(C95,'IP PITSS'!$B$9:$M$90,11,0))+(VLOOKUP(C95,'IP PITSS'!$B$9:$M$90,12,0))</f>
        <v>0</v>
      </c>
      <c r="R95" s="36" t="e">
        <f>VLOOKUP(C95,'IP PITSS'!$B$9:$Q$90,17,0)</f>
        <v>#REF!</v>
      </c>
      <c r="S95" s="36" t="e">
        <f>VLOOKUP(C95,'IP PITSS'!$B$9:$R$90,18,0)</f>
        <v>#REF!</v>
      </c>
      <c r="T95" s="44"/>
      <c r="U95" s="47" t="e">
        <f t="shared" si="12"/>
        <v>#REF!</v>
      </c>
      <c r="V95" s="36" t="e">
        <f t="shared" si="8"/>
        <v>#REF!</v>
      </c>
      <c r="W95" s="61"/>
      <c r="X95" s="47" t="s">
        <v>279</v>
      </c>
      <c r="Y95" s="36">
        <f ca="1">IFERROR(OFFSET('CPD PITSS'!$AN$8,MATCH('RESUMEN PITS'!C95,'CPD PITSS'!$B$9:$B$26,0),0),0)+IFERROR(OFFSET('IP PITSS'!$AL$8,MATCH('RESUMEN PITS'!C95,'IP PITSS'!$B$9:$B$90,0),0),0)+IFERROR(OFFSET('SIND PITS'!$Q$2,MATCH('RESUMEN PITS'!C95,'SIND PITS'!$C$3:$C$103,0),0),0)</f>
        <v>5370.5550000000003</v>
      </c>
    </row>
    <row r="96" spans="1:25" s="47" customFormat="1" x14ac:dyDescent="0.2">
      <c r="A96" s="18" t="s">
        <v>139</v>
      </c>
      <c r="B96" s="37" t="s">
        <v>95</v>
      </c>
      <c r="C96" s="18" t="s">
        <v>140</v>
      </c>
      <c r="D96" s="37" t="e">
        <f>VLOOKUP(C96,'IP PITSS'!$B$9:$U$90,21,0)</f>
        <v>#REF!</v>
      </c>
      <c r="E96" s="59"/>
      <c r="F96" s="47">
        <f>VLOOKUP(C96,'SIND PITS'!$C$3:$D$100,2,0)</f>
        <v>222.60000000000036</v>
      </c>
      <c r="G96" s="47">
        <f>VLOOKUP(C96,'SIND PITS'!$C$3:$E$100,3,0)</f>
        <v>250</v>
      </c>
      <c r="H96" s="47">
        <f>VLOOKUP(C96,'SIND PITS'!$C$3:$F$100,4,0)</f>
        <v>0</v>
      </c>
      <c r="I96" s="47">
        <f>VLOOKUP(C96,'SIND PITS'!$C$3:$G$100,5,0)</f>
        <v>0</v>
      </c>
      <c r="J96" s="43"/>
      <c r="K96" s="47" t="e">
        <f t="shared" si="9"/>
        <v>#REF!</v>
      </c>
      <c r="L96" s="47">
        <v>7000</v>
      </c>
      <c r="M96" s="47">
        <f t="shared" si="11"/>
        <v>3500</v>
      </c>
      <c r="N96" s="44"/>
      <c r="O96" s="36">
        <f>VLOOKUP(C96,'[1]IP PITS'!$B$6:$I$87,8,0)</f>
        <v>0</v>
      </c>
      <c r="P96" s="47">
        <f t="shared" si="10"/>
        <v>250</v>
      </c>
      <c r="Q96" s="36">
        <f>(VLOOKUP(C96,'IP PITSS'!$B$9:$M$90,10,0))+(VLOOKUP(C96,'IP PITSS'!$B$9:$M$90,11,0))+(VLOOKUP(C96,'IP PITSS'!$B$9:$M$90,12,0))</f>
        <v>0</v>
      </c>
      <c r="R96" s="36" t="e">
        <f>VLOOKUP(C96,'IP PITSS'!$B$9:$Q$90,17,0)</f>
        <v>#REF!</v>
      </c>
      <c r="S96" s="36" t="e">
        <f>VLOOKUP(C96,'IP PITSS'!$B$9:$R$90,18,0)</f>
        <v>#REF!</v>
      </c>
      <c r="T96" s="44"/>
      <c r="U96" s="47" t="e">
        <f t="shared" si="12"/>
        <v>#REF!</v>
      </c>
      <c r="V96" s="36" t="e">
        <f t="shared" si="8"/>
        <v>#REF!</v>
      </c>
      <c r="W96" s="61"/>
      <c r="X96" s="47" t="s">
        <v>141</v>
      </c>
      <c r="Y96" s="36">
        <f ca="1">IFERROR(OFFSET('CPD PITSS'!$AN$8,MATCH('RESUMEN PITS'!C96,'CPD PITSS'!$B$9:$B$26,0),0),0)+IFERROR(OFFSET('IP PITSS'!$AL$8,MATCH('RESUMEN PITS'!C96,'IP PITSS'!$B$9:$B$90,0),0),0)+IFERROR(OFFSET('SIND PITS'!$Q$2,MATCH('RESUMEN PITS'!C96,'SIND PITS'!$C$3:$C$103,0),0),0)</f>
        <v>5195.0690000000004</v>
      </c>
    </row>
    <row r="97" spans="1:244" s="47" customFormat="1" x14ac:dyDescent="0.2">
      <c r="A97" s="18" t="s">
        <v>169</v>
      </c>
      <c r="B97" s="37" t="s">
        <v>95</v>
      </c>
      <c r="C97" s="18" t="s">
        <v>170</v>
      </c>
      <c r="D97" s="37" t="e">
        <f>VLOOKUP(C97,'IP PITSS'!$B$9:$U$90,21,0)</f>
        <v>#REF!</v>
      </c>
      <c r="E97" s="59"/>
      <c r="F97" s="47">
        <f>VLOOKUP(C97,'SIND PITS'!$C$3:$D$100,2,0)</f>
        <v>174.46000000000004</v>
      </c>
      <c r="G97" s="47">
        <f>VLOOKUP(C97,'SIND PITS'!$C$3:$E$100,3,0)</f>
        <v>590.63</v>
      </c>
      <c r="H97" s="47">
        <f>VLOOKUP(C97,'SIND PITS'!$C$3:$F$100,4,0)</f>
        <v>0</v>
      </c>
      <c r="I97" s="47">
        <f>VLOOKUP(C97,'SIND PITS'!$C$3:$G$100,5,0)</f>
        <v>0</v>
      </c>
      <c r="J97" s="43"/>
      <c r="K97" s="47" t="e">
        <f t="shared" si="9"/>
        <v>#REF!</v>
      </c>
      <c r="L97" s="47">
        <v>6300</v>
      </c>
      <c r="M97" s="47">
        <f t="shared" si="11"/>
        <v>3150</v>
      </c>
      <c r="N97" s="44"/>
      <c r="O97" s="36">
        <f>VLOOKUP(C97,'[1]IP PITS'!$B$6:$I$87,8,0)</f>
        <v>0</v>
      </c>
      <c r="P97" s="47">
        <f t="shared" si="10"/>
        <v>590.63</v>
      </c>
      <c r="Q97" s="36">
        <f>(VLOOKUP(C97,'IP PITSS'!$B$9:$M$90,10,0))+(VLOOKUP(C97,'IP PITSS'!$B$9:$M$90,11,0))+(VLOOKUP(C97,'IP PITSS'!$B$9:$M$90,12,0))</f>
        <v>1088.1400000000001</v>
      </c>
      <c r="R97" s="36" t="e">
        <f>VLOOKUP(C97,'IP PITSS'!$B$9:$Q$90,17,0)</f>
        <v>#REF!</v>
      </c>
      <c r="S97" s="36" t="e">
        <f>VLOOKUP(C97,'IP PITSS'!$B$9:$R$90,18,0)</f>
        <v>#REF!</v>
      </c>
      <c r="T97" s="44"/>
      <c r="U97" s="47" t="e">
        <f t="shared" si="12"/>
        <v>#REF!</v>
      </c>
      <c r="V97" s="36" t="e">
        <f t="shared" si="8"/>
        <v>#REF!</v>
      </c>
      <c r="W97" s="61"/>
      <c r="X97" s="47" t="s">
        <v>171</v>
      </c>
      <c r="Y97" s="36">
        <f ca="1">IFERROR(OFFSET('CPD PITSS'!$AN$8,MATCH('RESUMEN PITS'!C97,'CPD PITSS'!$B$9:$B$26,0),0),0)+IFERROR(OFFSET('IP PITSS'!$AL$8,MATCH('RESUMEN PITS'!C97,'IP PITSS'!$B$9:$B$90,0),0),0)+IFERROR(OFFSET('SIND PITS'!$Q$2,MATCH('RESUMEN PITS'!C97,'SIND PITS'!$C$3:$C$103,0),0),0)</f>
        <v>5103.7526000000007</v>
      </c>
    </row>
    <row r="98" spans="1:244" s="47" customFormat="1" x14ac:dyDescent="0.2">
      <c r="A98" s="18" t="s">
        <v>94</v>
      </c>
      <c r="B98" s="37" t="s">
        <v>95</v>
      </c>
      <c r="C98" s="18" t="s">
        <v>96</v>
      </c>
      <c r="D98" s="37" t="e">
        <f>VLOOKUP(C98,'IP PITSS'!$B$9:$U$90,21,0)</f>
        <v>#REF!</v>
      </c>
      <c r="E98" s="59"/>
      <c r="F98" s="47">
        <f>VLOOKUP(C98,'SIND PITS'!$C$3:$D$100,2,0)</f>
        <v>135.19999999999982</v>
      </c>
      <c r="G98" s="47">
        <f>VLOOKUP(C98,'SIND PITS'!$C$3:$E$100,3,0)</f>
        <v>0</v>
      </c>
      <c r="H98" s="47">
        <f>VLOOKUP(C98,'SIND PITS'!$C$3:$F$100,4,0)</f>
        <v>0</v>
      </c>
      <c r="I98" s="47">
        <f>VLOOKUP(C98,'SIND PITS'!$C$3:$G$100,5,0)</f>
        <v>0</v>
      </c>
      <c r="J98" s="43"/>
      <c r="K98" s="47" t="e">
        <f t="shared" si="9"/>
        <v>#REF!</v>
      </c>
      <c r="L98" s="47">
        <v>6000</v>
      </c>
      <c r="M98" s="47">
        <f t="shared" si="11"/>
        <v>3000</v>
      </c>
      <c r="N98" s="44"/>
      <c r="O98" s="36">
        <f>VLOOKUP(C98,'[1]IP PITS'!$B$6:$I$87,8,0)</f>
        <v>0</v>
      </c>
      <c r="P98" s="47">
        <f t="shared" si="10"/>
        <v>0</v>
      </c>
      <c r="Q98" s="36">
        <f>(VLOOKUP(C98,'IP PITSS'!$B$9:$M$90,10,0))+(VLOOKUP(C98,'IP PITSS'!$B$9:$M$90,11,0))+(VLOOKUP(C98,'IP PITSS'!$B$9:$M$90,12,0))</f>
        <v>0</v>
      </c>
      <c r="R98" s="36" t="e">
        <f>VLOOKUP(C98,'IP PITSS'!$B$9:$Q$90,17,0)</f>
        <v>#REF!</v>
      </c>
      <c r="S98" s="36" t="e">
        <f>VLOOKUP(C98,'IP PITSS'!$B$9:$R$90,18,0)</f>
        <v>#REF!</v>
      </c>
      <c r="T98" s="44"/>
      <c r="U98" s="47" t="e">
        <f t="shared" si="12"/>
        <v>#REF!</v>
      </c>
      <c r="V98" s="36" t="e">
        <f t="shared" si="8"/>
        <v>#REF!</v>
      </c>
      <c r="W98" s="72"/>
      <c r="X98" s="47" t="s">
        <v>97</v>
      </c>
      <c r="Y98" s="36">
        <f ca="1">IFERROR(OFFSET('CPD PITSS'!$AN$8,MATCH('RESUMEN PITS'!C98,'CPD PITSS'!$B$9:$B$26,0),0),0)+IFERROR(OFFSET('IP PITSS'!$AL$8,MATCH('RESUMEN PITS'!C98,'IP PITSS'!$B$9:$B$90,0),0),0)+IFERROR(OFFSET('SIND PITS'!$Q$2,MATCH('RESUMEN PITS'!C98,'SIND PITS'!$C$3:$C$103,0),0),0)</f>
        <v>4325.55</v>
      </c>
    </row>
    <row r="99" spans="1:244" s="47" customFormat="1" x14ac:dyDescent="0.2">
      <c r="A99" s="18" t="s">
        <v>343</v>
      </c>
      <c r="B99" s="37" t="s">
        <v>95</v>
      </c>
      <c r="C99" s="18" t="s">
        <v>344</v>
      </c>
      <c r="D99" s="37" t="e">
        <f>VLOOKUP(C99,'IP PITSS'!$B$9:$U$90,21,0)</f>
        <v>#REF!</v>
      </c>
      <c r="E99" s="59"/>
      <c r="F99" s="47">
        <f>VLOOKUP(C99,'SIND PITS'!$C$3:$D$100,2,0)</f>
        <v>135.21000000000004</v>
      </c>
      <c r="G99" s="47">
        <f>VLOOKUP(C99,'SIND PITS'!$C$3:$E$100,3,0)</f>
        <v>0</v>
      </c>
      <c r="H99" s="47">
        <f>VLOOKUP(C99,'SIND PITS'!$C$3:$F$100,4,0)</f>
        <v>0</v>
      </c>
      <c r="I99" s="47">
        <f>VLOOKUP(C99,'SIND PITS'!$C$3:$G$100,5,0)</f>
        <v>0</v>
      </c>
      <c r="J99" s="43"/>
      <c r="K99" s="47" t="e">
        <f t="shared" si="9"/>
        <v>#REF!</v>
      </c>
      <c r="L99" s="47">
        <v>6000</v>
      </c>
      <c r="M99" s="47">
        <f t="shared" si="11"/>
        <v>3000</v>
      </c>
      <c r="N99" s="44"/>
      <c r="O99" s="36">
        <f>VLOOKUP(C99,'[1]IP PITS'!$B$6:$I$87,8,0)</f>
        <v>0</v>
      </c>
      <c r="P99" s="47">
        <f t="shared" si="10"/>
        <v>0</v>
      </c>
      <c r="Q99" s="36">
        <f>(VLOOKUP(C99,'IP PITSS'!$B$9:$M$90,10,0))+(VLOOKUP(C99,'IP PITSS'!$B$9:$M$90,11,0))+(VLOOKUP(C99,'IP PITSS'!$B$9:$M$90,12,0))</f>
        <v>619.79</v>
      </c>
      <c r="R99" s="36" t="e">
        <f>VLOOKUP(C99,'IP PITSS'!$B$9:$Q$90,17,0)</f>
        <v>#REF!</v>
      </c>
      <c r="S99" s="36" t="e">
        <f>VLOOKUP(C99,'IP PITSS'!$B$9:$R$90,18,0)</f>
        <v>#REF!</v>
      </c>
      <c r="T99" s="44"/>
      <c r="U99" s="47" t="e">
        <f t="shared" si="12"/>
        <v>#REF!</v>
      </c>
      <c r="V99" s="36" t="e">
        <f t="shared" si="8"/>
        <v>#REF!</v>
      </c>
      <c r="W99" s="72"/>
      <c r="X99" s="47" t="s">
        <v>345</v>
      </c>
      <c r="Y99" s="36">
        <f ca="1">IFERROR(OFFSET('CPD PITSS'!$AN$8,MATCH('RESUMEN PITS'!C99,'CPD PITSS'!$B$9:$B$26,0),0),0)+IFERROR(OFFSET('IP PITSS'!$AL$8,MATCH('RESUMEN PITS'!C99,'IP PITSS'!$B$9:$B$90,0),0),0)+IFERROR(OFFSET('SIND PITS'!$Q$2,MATCH('RESUMEN PITS'!C99,'SIND PITS'!$C$3:$C$103,0),0),0)</f>
        <v>4325.55</v>
      </c>
    </row>
    <row r="100" spans="1:244" s="47" customFormat="1" x14ac:dyDescent="0.2">
      <c r="A100" s="18" t="s">
        <v>384</v>
      </c>
      <c r="B100" s="37" t="s">
        <v>95</v>
      </c>
      <c r="C100" s="37" t="s">
        <v>350</v>
      </c>
      <c r="D100" s="37" t="e">
        <f>VLOOKUP(C100,'IP PITSS'!$B$9:$U$90,21,0)</f>
        <v>#REF!</v>
      </c>
      <c r="E100" s="59"/>
      <c r="F100" s="47">
        <f>VLOOKUP(C100,'SIND PITS'!$C$101:$D$101,2,0)</f>
        <v>53.399999999999636</v>
      </c>
      <c r="G100" s="47">
        <f>VLOOKUP(C100,'SIND PITS'!C101:E104,3,0)</f>
        <v>0</v>
      </c>
      <c r="H100" s="47">
        <f>VLOOKUP(C100,'SIND PITS'!C101:F104,4,0)</f>
        <v>0</v>
      </c>
      <c r="I100" s="47">
        <f>VLOOKUP(C100,'SIND PITS'!$C$101:$G$101,5,0)</f>
        <v>0</v>
      </c>
      <c r="J100" s="43"/>
      <c r="K100" s="47" t="e">
        <f t="shared" si="9"/>
        <v>#REF!</v>
      </c>
      <c r="L100" s="47">
        <v>5000</v>
      </c>
      <c r="M100" s="47">
        <f t="shared" si="11"/>
        <v>2500</v>
      </c>
      <c r="N100" s="44"/>
      <c r="O100" s="36">
        <f>VLOOKUP(C100,'[1]IP PITS'!$B$6:$I$87,8,0)</f>
        <v>0</v>
      </c>
      <c r="P100" s="47">
        <f t="shared" si="10"/>
        <v>0</v>
      </c>
      <c r="Q100" s="36">
        <f>(VLOOKUP(C100,'IP PITSS'!$B$9:$M$90,10,0))+(VLOOKUP(C100,'IP PITSS'!$B$9:$M$90,11,0))+(VLOOKUP(C100,'IP PITSS'!$B$9:$M$90,12,0))</f>
        <v>0</v>
      </c>
      <c r="R100" s="36" t="e">
        <f>VLOOKUP(C100,'IP PITSS'!$B$9:$Q$90,17,0)</f>
        <v>#REF!</v>
      </c>
      <c r="S100" s="36" t="e">
        <f>VLOOKUP(C100,'IP PITSS'!$B$9:$R$90,18,0)</f>
        <v>#REF!</v>
      </c>
      <c r="T100" s="44"/>
      <c r="U100" s="47" t="e">
        <f t="shared" si="12"/>
        <v>#REF!</v>
      </c>
      <c r="V100" s="36" t="e">
        <f t="shared" si="8"/>
        <v>#REF!</v>
      </c>
      <c r="W100" s="72"/>
      <c r="Y100" s="36">
        <f ca="1">IFERROR(OFFSET('CPD PITSS'!$AN$8,MATCH('RESUMEN PITS'!C100,'CPD PITSS'!$B$9:$B$26,0),0),0)+IFERROR(OFFSET('IP PITSS'!$AL$8,MATCH('RESUMEN PITS'!C100,'IP PITSS'!$B$9:$B$90,0),0),0)+IFERROR(OFFSET('SIND PITS'!$Q$2,MATCH('RESUMEN PITS'!C100,'SIND PITS'!$C$3:$C$103,0),0),0)</f>
        <v>3711.0610000000001</v>
      </c>
    </row>
    <row r="101" spans="1:244" s="47" customFormat="1" ht="15" x14ac:dyDescent="0.25">
      <c r="A101" s="38" t="s">
        <v>385</v>
      </c>
      <c r="B101" s="37" t="s">
        <v>95</v>
      </c>
      <c r="C101" s="38" t="s">
        <v>352</v>
      </c>
      <c r="D101" s="37" t="e">
        <f>VLOOKUP(C101,'IP PITSS'!$B$9:$U$90,21,0)</f>
        <v>#REF!</v>
      </c>
      <c r="E101" s="59"/>
      <c r="F101" s="47">
        <f>+'SIND PITS'!D102</f>
        <v>308.80000000000018</v>
      </c>
      <c r="G101" s="47">
        <f>VLOOKUP(C101,'SIND PITS'!C102:E106,3,0)</f>
        <v>325</v>
      </c>
      <c r="H101" s="47">
        <f>VLOOKUP(C101,'SIND PITS'!C102:F106,4,0)</f>
        <v>0</v>
      </c>
      <c r="I101" s="47">
        <f>+'SIND PITS'!G102</f>
        <v>0</v>
      </c>
      <c r="J101" s="43"/>
      <c r="K101" s="47" t="e">
        <f t="shared" si="9"/>
        <v>#REF!</v>
      </c>
      <c r="L101" s="47">
        <v>6000</v>
      </c>
      <c r="M101" s="47">
        <f t="shared" si="11"/>
        <v>3000</v>
      </c>
      <c r="N101" s="44"/>
      <c r="O101" s="36">
        <f>VLOOKUP(C101,'[1]IP PITS'!$B$6:$I$87,8,0)</f>
        <v>0</v>
      </c>
      <c r="P101" s="47">
        <f t="shared" si="10"/>
        <v>325</v>
      </c>
      <c r="Q101" s="36">
        <f>(VLOOKUP(C101,'IP PITSS'!$B$9:$M$90,10,0))+(VLOOKUP(C101,'IP PITSS'!$B$9:$M$90,11,0))+(VLOOKUP(C101,'IP PITSS'!$B$9:$M$90,12,0))</f>
        <v>0</v>
      </c>
      <c r="R101" s="36" t="e">
        <f>VLOOKUP(C101,'IP PITSS'!$B$9:$Q$90,17,0)</f>
        <v>#REF!</v>
      </c>
      <c r="S101" s="36" t="e">
        <f>VLOOKUP(C101,'IP PITSS'!$B$9:$R$90,18,0)</f>
        <v>#REF!</v>
      </c>
      <c r="T101" s="44"/>
      <c r="U101" s="47" t="e">
        <f t="shared" si="12"/>
        <v>#REF!</v>
      </c>
      <c r="V101" s="36" t="e">
        <f t="shared" si="8"/>
        <v>#REF!</v>
      </c>
      <c r="W101" s="71" t="s">
        <v>443</v>
      </c>
      <c r="Y101" s="36">
        <f ca="1">IFERROR(OFFSET('CPD PITSS'!$AN$8,MATCH('RESUMEN PITS'!C101,'CPD PITSS'!$B$9:$B$26,0),0),0)+IFERROR(OFFSET('IP PITSS'!$AL$8,MATCH('RESUMEN PITS'!C101,'IP PITSS'!$B$9:$B$90,0),0),0)+IFERROR(OFFSET('SIND PITS'!$Q$2,MATCH('RESUMEN PITS'!C101,'SIND PITS'!$C$3:$C$103,0),0),0)</f>
        <v>4641.1900000000005</v>
      </c>
    </row>
    <row r="102" spans="1:244" s="47" customFormat="1" ht="15" x14ac:dyDescent="0.25">
      <c r="A102" s="38"/>
      <c r="B102" s="18" t="s">
        <v>95</v>
      </c>
      <c r="C102" s="18" t="s">
        <v>290</v>
      </c>
      <c r="D102" s="37" t="e">
        <f>VLOOKUP(C102,'IP PITSS'!$B$9:$U$90,21,0)</f>
        <v>#REF!</v>
      </c>
      <c r="E102" s="59"/>
      <c r="F102" s="47">
        <f>VLOOKUP(C102,'SIND PITS'!$C$3:$D$100,2,0)</f>
        <v>392.29000000000042</v>
      </c>
      <c r="G102" s="47">
        <f>VLOOKUP(C102,'SIND PITS'!$C$3:$E$100,3,0)</f>
        <v>2642.92</v>
      </c>
      <c r="H102" s="47">
        <f>VLOOKUP(C102,'SIND PITS'!$C$3:$F$100,4,0)</f>
        <v>0</v>
      </c>
      <c r="I102" s="47">
        <f>VLOOKUP(C102,'SIND PITS'!$C$3:$G$100,5,0)</f>
        <v>0</v>
      </c>
      <c r="J102" s="43"/>
      <c r="K102" s="47" t="e">
        <f t="shared" si="9"/>
        <v>#REF!</v>
      </c>
      <c r="L102" s="47">
        <v>5000</v>
      </c>
      <c r="M102" s="47">
        <f t="shared" si="11"/>
        <v>2500</v>
      </c>
      <c r="N102" s="44"/>
      <c r="O102" s="36">
        <f>VLOOKUP(C102,'[1]IP PITS'!$B$6:$I$87,8,0)</f>
        <v>184.8</v>
      </c>
      <c r="P102" s="47">
        <f t="shared" si="10"/>
        <v>2642.92</v>
      </c>
      <c r="Q102" s="36">
        <f>(VLOOKUP(C102,'IP PITSS'!$B$9:$M$90,10,0))+(VLOOKUP(C102,'IP PITSS'!$B$9:$M$90,11,0))+(VLOOKUP(C102,'IP PITSS'!$B$9:$M$90,12,0))</f>
        <v>971.31</v>
      </c>
      <c r="R102" s="36" t="e">
        <f>VLOOKUP(C102,'IP PITSS'!$B$9:$Q$90,17,0)</f>
        <v>#REF!</v>
      </c>
      <c r="S102" s="36" t="e">
        <f>VLOOKUP(C102,'IP PITSS'!$B$9:$R$90,18,0)</f>
        <v>#REF!</v>
      </c>
      <c r="T102" s="44"/>
      <c r="U102" s="47" t="e">
        <f t="shared" si="12"/>
        <v>#REF!</v>
      </c>
      <c r="V102" s="36" t="e">
        <f t="shared" si="8"/>
        <v>#REF!</v>
      </c>
      <c r="W102" s="72"/>
      <c r="Y102" s="36">
        <f ca="1">IFERROR(OFFSET('CPD PITSS'!$AN$8,MATCH('RESUMEN PITS'!C102,'CPD PITSS'!$B$9:$B$26,0),0),0)+IFERROR(OFFSET('IP PITSS'!$AL$8,MATCH('RESUMEN PITS'!C102,'IP PITSS'!$B$9:$B$90,0),0),0)+IFERROR(OFFSET('SIND PITS'!$Q$2,MATCH('RESUMEN PITS'!C102,'SIND PITS'!$C$3:$C$103,0),0),0)</f>
        <v>6549.2844000000005</v>
      </c>
    </row>
    <row r="103" spans="1:244" s="47" customFormat="1" ht="15" x14ac:dyDescent="0.25">
      <c r="A103" s="38"/>
      <c r="B103" s="18" t="s">
        <v>95</v>
      </c>
      <c r="C103" s="18" t="s">
        <v>440</v>
      </c>
      <c r="D103" s="37" t="e">
        <f>VLOOKUP(C103,'IP PITSS'!$B$9:$U$90,21,0)</f>
        <v>#REF!</v>
      </c>
      <c r="E103" s="59"/>
      <c r="F103" s="47">
        <v>0</v>
      </c>
      <c r="J103" s="43"/>
      <c r="K103" s="47" t="e">
        <f t="shared" si="9"/>
        <v>#REF!</v>
      </c>
      <c r="L103" s="47">
        <v>6300</v>
      </c>
      <c r="M103" s="47">
        <f t="shared" si="11"/>
        <v>3150</v>
      </c>
      <c r="N103" s="44"/>
      <c r="O103" s="36"/>
      <c r="Q103" s="36">
        <f>(VLOOKUP(C103,'IP PITSS'!$B$9:$M$90,10,0))+(VLOOKUP(C103,'IP PITSS'!$B$9:$M$90,11,0))+(VLOOKUP(C103,'IP PITSS'!$B$9:$M$90,12,0))</f>
        <v>0</v>
      </c>
      <c r="R103" s="36" t="e">
        <f>VLOOKUP(C103,'IP PITSS'!$B$9:$Q$90,17,0)</f>
        <v>#REF!</v>
      </c>
      <c r="S103" s="36" t="e">
        <f>VLOOKUP(C103,'IP PITSS'!$B$9:$R$90,18,0)</f>
        <v>#REF!</v>
      </c>
      <c r="T103" s="44"/>
      <c r="U103" s="47" t="e">
        <f t="shared" si="12"/>
        <v>#REF!</v>
      </c>
      <c r="V103" s="36" t="e">
        <f t="shared" si="8"/>
        <v>#REF!</v>
      </c>
      <c r="W103" s="71" t="s">
        <v>442</v>
      </c>
      <c r="Y103" s="36">
        <f ca="1">IFERROR(OFFSET('CPD PITSS'!$AN$8,MATCH('RESUMEN PITS'!C103,'CPD PITSS'!$B$9:$B$26,0),0),0)+IFERROR(OFFSET('IP PITSS'!$AL$8,MATCH('RESUMEN PITS'!C103,'IP PITSS'!$B$9:$B$90,0),0),0)+IFERROR(OFFSET('SIND PITS'!$Q$2,MATCH('RESUMEN PITS'!C103,'SIND PITS'!$C$3:$C$103,0),0),0)</f>
        <v>1365.172</v>
      </c>
    </row>
    <row r="104" spans="1:244" s="73" customFormat="1" ht="24.75" customHeight="1" x14ac:dyDescent="0.2">
      <c r="C104" s="73" t="s">
        <v>386</v>
      </c>
      <c r="D104" s="73" t="e">
        <f>SUBTOTAL(9,D3:D103)</f>
        <v>#REF!</v>
      </c>
      <c r="E104" s="59"/>
      <c r="F104" s="73">
        <f t="shared" ref="F104:I104" si="13">SUBTOTAL(9,F3:F103)</f>
        <v>151352.48500000004</v>
      </c>
      <c r="G104" s="73">
        <f t="shared" si="13"/>
        <v>37527.93</v>
      </c>
      <c r="H104" s="73">
        <f t="shared" si="13"/>
        <v>10960</v>
      </c>
      <c r="I104" s="73">
        <f t="shared" si="13"/>
        <v>796.42</v>
      </c>
      <c r="J104" s="43"/>
      <c r="K104" s="73" t="e">
        <f t="shared" ref="K104:M104" si="14">SUBTOTAL(9,K3:K103)</f>
        <v>#REF!</v>
      </c>
      <c r="L104" s="73">
        <f t="shared" si="14"/>
        <v>1015831.01</v>
      </c>
      <c r="M104" s="73">
        <f t="shared" si="14"/>
        <v>507915.505</v>
      </c>
      <c r="N104" s="44"/>
      <c r="O104" s="73">
        <f t="shared" ref="O104:S104" si="15">SUBTOTAL(9,O3:O103)</f>
        <v>2789.13</v>
      </c>
      <c r="P104" s="73">
        <f t="shared" si="15"/>
        <v>49284.35</v>
      </c>
      <c r="Q104" s="73">
        <f t="shared" si="15"/>
        <v>40282.539999999986</v>
      </c>
      <c r="R104" s="73" t="e">
        <f t="shared" si="15"/>
        <v>#REF!</v>
      </c>
      <c r="S104" s="73" t="e">
        <f t="shared" si="15"/>
        <v>#REF!</v>
      </c>
      <c r="T104" s="44"/>
      <c r="U104" s="73" t="e">
        <f t="shared" ref="U104:V104" si="16">SUBTOTAL(9,U3:U103)</f>
        <v>#REF!</v>
      </c>
      <c r="V104" s="73" t="e">
        <f t="shared" si="16"/>
        <v>#REF!</v>
      </c>
      <c r="W104" s="73">
        <f t="shared" ref="W104:X104" si="17">SUBTOTAL(9,W3:W102)</f>
        <v>0</v>
      </c>
      <c r="X104" s="73">
        <f t="shared" si="17"/>
        <v>0</v>
      </c>
      <c r="Y104" s="36"/>
      <c r="Z104" s="73">
        <f t="shared" ref="Y104:Z104" si="18">SUM(Z3:Z101)</f>
        <v>0</v>
      </c>
      <c r="AA104" s="73">
        <f t="shared" ref="AA104:AE104" si="19">SUM(AA3:AA100)</f>
        <v>0</v>
      </c>
      <c r="AB104" s="73">
        <f t="shared" si="19"/>
        <v>0</v>
      </c>
      <c r="AC104" s="73">
        <f t="shared" si="19"/>
        <v>0</v>
      </c>
      <c r="AD104" s="73">
        <f t="shared" si="19"/>
        <v>0</v>
      </c>
      <c r="AE104" s="73">
        <f t="shared" si="19"/>
        <v>0</v>
      </c>
      <c r="AF104" s="73">
        <f>SUM(AF3:AF90)</f>
        <v>0</v>
      </c>
    </row>
    <row r="105" spans="1:244" s="74" customFormat="1" x14ac:dyDescent="0.2">
      <c r="C105" s="75"/>
      <c r="E105" s="59"/>
      <c r="J105" s="43"/>
      <c r="N105" s="44"/>
      <c r="T105" s="44"/>
      <c r="V105" s="69"/>
      <c r="W105" s="69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0"/>
      <c r="BU105" s="60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0"/>
      <c r="CO105" s="60"/>
      <c r="CP105" s="60"/>
      <c r="CQ105" s="60"/>
      <c r="CR105" s="60"/>
      <c r="CS105" s="60"/>
      <c r="CT105" s="60"/>
      <c r="CU105" s="60"/>
      <c r="CV105" s="60"/>
      <c r="CW105" s="60"/>
      <c r="CX105" s="60"/>
      <c r="CY105" s="60"/>
      <c r="CZ105" s="60"/>
      <c r="DA105" s="60"/>
      <c r="DB105" s="60"/>
      <c r="DC105" s="60"/>
      <c r="DD105" s="60"/>
      <c r="DE105" s="60"/>
      <c r="DF105" s="60"/>
      <c r="DG105" s="60"/>
      <c r="DH105" s="60"/>
      <c r="DI105" s="60"/>
      <c r="DJ105" s="60"/>
      <c r="DK105" s="60"/>
      <c r="DL105" s="60"/>
      <c r="DM105" s="60"/>
      <c r="DN105" s="60"/>
      <c r="DO105" s="60"/>
      <c r="DP105" s="60"/>
      <c r="DQ105" s="60"/>
      <c r="DR105" s="60"/>
      <c r="DS105" s="60"/>
      <c r="DT105" s="60"/>
      <c r="DU105" s="60"/>
      <c r="DV105" s="60"/>
      <c r="DW105" s="60"/>
      <c r="DX105" s="60"/>
      <c r="DY105" s="60"/>
      <c r="DZ105" s="60"/>
      <c r="EA105" s="60"/>
      <c r="EB105" s="60"/>
      <c r="EC105" s="60"/>
      <c r="ED105" s="60"/>
      <c r="EE105" s="60"/>
      <c r="EF105" s="60"/>
      <c r="EG105" s="60"/>
      <c r="EH105" s="60"/>
      <c r="EI105" s="60"/>
      <c r="EJ105" s="60"/>
      <c r="EK105" s="60"/>
      <c r="EL105" s="60"/>
      <c r="EM105" s="60"/>
      <c r="EN105" s="60"/>
      <c r="EO105" s="60"/>
      <c r="EP105" s="60"/>
      <c r="EQ105" s="60"/>
      <c r="ER105" s="60"/>
      <c r="ES105" s="60"/>
      <c r="ET105" s="60"/>
      <c r="EU105" s="60"/>
      <c r="EV105" s="60"/>
      <c r="EW105" s="60"/>
      <c r="EX105" s="60"/>
      <c r="EY105" s="60"/>
      <c r="EZ105" s="60"/>
      <c r="FA105" s="60"/>
      <c r="FB105" s="60"/>
      <c r="FC105" s="60"/>
      <c r="FD105" s="60"/>
      <c r="FE105" s="60"/>
      <c r="FF105" s="60"/>
      <c r="FG105" s="60"/>
      <c r="FH105" s="60"/>
      <c r="FI105" s="60"/>
      <c r="FJ105" s="60"/>
      <c r="FK105" s="60"/>
      <c r="FL105" s="60"/>
      <c r="FM105" s="60"/>
      <c r="FN105" s="60"/>
      <c r="FO105" s="60"/>
      <c r="FP105" s="60"/>
      <c r="FQ105" s="60"/>
      <c r="FR105" s="60"/>
      <c r="FS105" s="60"/>
      <c r="FT105" s="60"/>
      <c r="FU105" s="60"/>
      <c r="FV105" s="60"/>
      <c r="FW105" s="60"/>
      <c r="FX105" s="60"/>
      <c r="FY105" s="60"/>
      <c r="FZ105" s="60"/>
      <c r="GA105" s="60"/>
      <c r="GB105" s="60"/>
      <c r="GC105" s="60"/>
      <c r="GD105" s="60"/>
      <c r="GE105" s="60"/>
      <c r="GF105" s="60"/>
      <c r="GG105" s="60"/>
      <c r="GH105" s="60"/>
      <c r="GI105" s="60"/>
      <c r="GJ105" s="60"/>
      <c r="GK105" s="60"/>
      <c r="GL105" s="60"/>
      <c r="GM105" s="60"/>
      <c r="GN105" s="60"/>
      <c r="GO105" s="60"/>
      <c r="GP105" s="60"/>
      <c r="GQ105" s="60"/>
      <c r="GR105" s="60"/>
      <c r="GS105" s="60"/>
      <c r="GT105" s="60"/>
      <c r="GU105" s="60"/>
      <c r="GV105" s="60"/>
      <c r="GW105" s="60"/>
      <c r="GX105" s="60"/>
      <c r="GY105" s="60"/>
      <c r="GZ105" s="60"/>
      <c r="HA105" s="60"/>
      <c r="HB105" s="60"/>
      <c r="HC105" s="60"/>
      <c r="HD105" s="60"/>
      <c r="HE105" s="60"/>
      <c r="HF105" s="60"/>
      <c r="HG105" s="60"/>
      <c r="HH105" s="60"/>
      <c r="HI105" s="60"/>
      <c r="HJ105" s="60"/>
      <c r="HK105" s="60"/>
      <c r="HL105" s="60"/>
      <c r="HM105" s="60"/>
      <c r="HN105" s="60"/>
      <c r="HO105" s="60"/>
      <c r="HP105" s="60"/>
      <c r="HQ105" s="60"/>
      <c r="HR105" s="60"/>
      <c r="HS105" s="60"/>
      <c r="HT105" s="60"/>
      <c r="HU105" s="60"/>
      <c r="HV105" s="60"/>
      <c r="HW105" s="60"/>
      <c r="HX105" s="60"/>
      <c r="HY105" s="60"/>
      <c r="HZ105" s="60"/>
      <c r="IA105" s="60"/>
      <c r="IB105" s="60"/>
      <c r="IC105" s="60"/>
      <c r="ID105" s="60"/>
      <c r="IE105" s="60"/>
      <c r="IF105" s="60"/>
      <c r="IG105" s="60"/>
      <c r="IH105" s="60"/>
      <c r="II105" s="60"/>
      <c r="IJ105" s="60"/>
    </row>
    <row r="106" spans="1:244" s="74" customFormat="1" x14ac:dyDescent="0.2">
      <c r="C106" s="75"/>
      <c r="E106" s="59"/>
      <c r="J106" s="43"/>
      <c r="M106" s="74">
        <f>+M101/15</f>
        <v>200</v>
      </c>
      <c r="N106" s="44"/>
      <c r="T106" s="44"/>
      <c r="V106" s="69"/>
      <c r="W106" s="69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0"/>
      <c r="BU106" s="60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0"/>
      <c r="CO106" s="60"/>
      <c r="CP106" s="60"/>
      <c r="CQ106" s="60"/>
      <c r="CR106" s="60"/>
      <c r="CS106" s="60"/>
      <c r="CT106" s="60"/>
      <c r="CU106" s="60"/>
      <c r="CV106" s="60"/>
      <c r="CW106" s="60"/>
      <c r="CX106" s="60"/>
      <c r="CY106" s="60"/>
      <c r="CZ106" s="60"/>
      <c r="DA106" s="60"/>
      <c r="DB106" s="60"/>
      <c r="DC106" s="60"/>
      <c r="DD106" s="60"/>
      <c r="DE106" s="60"/>
      <c r="DF106" s="60"/>
      <c r="DG106" s="60"/>
      <c r="DH106" s="60"/>
      <c r="DI106" s="60"/>
      <c r="DJ106" s="60"/>
      <c r="DK106" s="60"/>
      <c r="DL106" s="60"/>
      <c r="DM106" s="60"/>
      <c r="DN106" s="60"/>
      <c r="DO106" s="60"/>
      <c r="DP106" s="60"/>
      <c r="DQ106" s="60"/>
      <c r="DR106" s="60"/>
      <c r="DS106" s="60"/>
      <c r="DT106" s="60"/>
      <c r="DU106" s="60"/>
      <c r="DV106" s="60"/>
      <c r="DW106" s="60"/>
      <c r="DX106" s="60"/>
      <c r="DY106" s="60"/>
      <c r="DZ106" s="60"/>
      <c r="EA106" s="60"/>
      <c r="EB106" s="60"/>
      <c r="EC106" s="60"/>
      <c r="ED106" s="60"/>
      <c r="EE106" s="60"/>
      <c r="EF106" s="60"/>
      <c r="EG106" s="60"/>
      <c r="EH106" s="60"/>
      <c r="EI106" s="60"/>
      <c r="EJ106" s="60"/>
      <c r="EK106" s="60"/>
      <c r="EL106" s="60"/>
      <c r="EM106" s="60"/>
      <c r="EN106" s="60"/>
      <c r="EO106" s="60"/>
      <c r="EP106" s="60"/>
      <c r="EQ106" s="60"/>
      <c r="ER106" s="60"/>
      <c r="ES106" s="60"/>
      <c r="ET106" s="60"/>
      <c r="EU106" s="60"/>
      <c r="EV106" s="60"/>
      <c r="EW106" s="60"/>
      <c r="EX106" s="60"/>
      <c r="EY106" s="60"/>
      <c r="EZ106" s="60"/>
      <c r="FA106" s="60"/>
      <c r="FB106" s="60"/>
      <c r="FC106" s="60"/>
      <c r="FD106" s="60"/>
      <c r="FE106" s="60"/>
      <c r="FF106" s="60"/>
      <c r="FG106" s="60"/>
      <c r="FH106" s="60"/>
      <c r="FI106" s="60"/>
      <c r="FJ106" s="60"/>
      <c r="FK106" s="60"/>
      <c r="FL106" s="60"/>
      <c r="FM106" s="60"/>
      <c r="FN106" s="60"/>
      <c r="FO106" s="60"/>
      <c r="FP106" s="60"/>
      <c r="FQ106" s="60"/>
      <c r="FR106" s="60"/>
      <c r="FS106" s="60"/>
      <c r="FT106" s="60"/>
      <c r="FU106" s="60"/>
      <c r="FV106" s="60"/>
      <c r="FW106" s="60"/>
      <c r="FX106" s="60"/>
      <c r="FY106" s="60"/>
      <c r="FZ106" s="60"/>
      <c r="GA106" s="60"/>
      <c r="GB106" s="60"/>
      <c r="GC106" s="60"/>
      <c r="GD106" s="60"/>
      <c r="GE106" s="60"/>
      <c r="GF106" s="60"/>
      <c r="GG106" s="60"/>
      <c r="GH106" s="60"/>
      <c r="GI106" s="60"/>
      <c r="GJ106" s="60"/>
      <c r="GK106" s="60"/>
      <c r="GL106" s="60"/>
      <c r="GM106" s="60"/>
      <c r="GN106" s="60"/>
      <c r="GO106" s="60"/>
      <c r="GP106" s="60"/>
      <c r="GQ106" s="60"/>
      <c r="GR106" s="60"/>
      <c r="GS106" s="60"/>
      <c r="GT106" s="60"/>
      <c r="GU106" s="60"/>
      <c r="GV106" s="60"/>
      <c r="GW106" s="60"/>
      <c r="GX106" s="60"/>
      <c r="GY106" s="60"/>
      <c r="GZ106" s="60"/>
      <c r="HA106" s="60"/>
      <c r="HB106" s="60"/>
      <c r="HC106" s="60"/>
      <c r="HD106" s="60"/>
      <c r="HE106" s="60"/>
      <c r="HF106" s="60"/>
      <c r="HG106" s="60"/>
      <c r="HH106" s="60"/>
      <c r="HI106" s="60"/>
      <c r="HJ106" s="60"/>
      <c r="HK106" s="60"/>
      <c r="HL106" s="60"/>
      <c r="HM106" s="60"/>
      <c r="HN106" s="60"/>
      <c r="HO106" s="60"/>
      <c r="HP106" s="60"/>
      <c r="HQ106" s="60"/>
      <c r="HR106" s="60"/>
      <c r="HS106" s="60"/>
      <c r="HT106" s="60"/>
      <c r="HU106" s="60"/>
      <c r="HV106" s="60"/>
      <c r="HW106" s="60"/>
      <c r="HX106" s="60"/>
      <c r="HY106" s="60"/>
      <c r="HZ106" s="60"/>
      <c r="IA106" s="60"/>
      <c r="IB106" s="60"/>
      <c r="IC106" s="60"/>
      <c r="ID106" s="60"/>
      <c r="IE106" s="60"/>
      <c r="IF106" s="60"/>
      <c r="IG106" s="60"/>
      <c r="IH106" s="60"/>
      <c r="II106" s="60"/>
      <c r="IJ106" s="60"/>
    </row>
    <row r="107" spans="1:244" x14ac:dyDescent="0.2">
      <c r="F107" s="30" t="e">
        <f>+F101+D101+H107</f>
        <v>#REF!</v>
      </c>
      <c r="M107" s="30">
        <f>+M106*14</f>
        <v>2800</v>
      </c>
    </row>
  </sheetData>
  <autoFilter ref="A2:W106" xr:uid="{00000000-0009-0000-0000-000003000000}"/>
  <mergeCells count="4">
    <mergeCell ref="A1:D1"/>
    <mergeCell ref="F1:I1"/>
    <mergeCell ref="K1:M1"/>
    <mergeCell ref="O1:S1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8:I20"/>
  <sheetViews>
    <sheetView showGridLines="0" topLeftCell="A7" zoomScale="90" zoomScaleNormal="90" workbookViewId="0">
      <selection activeCell="E23" sqref="E23"/>
    </sheetView>
  </sheetViews>
  <sheetFormatPr baseColWidth="10" defaultRowHeight="15.75" x14ac:dyDescent="0.25"/>
  <cols>
    <col min="1" max="3" width="11.42578125" style="77"/>
    <col min="4" max="4" width="19.5703125" style="77" bestFit="1" customWidth="1"/>
    <col min="5" max="5" width="16.28515625" style="77" customWidth="1"/>
    <col min="6" max="6" width="16.5703125" style="77" bestFit="1" customWidth="1"/>
    <col min="7" max="7" width="11.42578125" style="77"/>
    <col min="8" max="8" width="18.7109375" style="77" customWidth="1"/>
    <col min="9" max="9" width="23.28515625" style="77" customWidth="1"/>
    <col min="10" max="16384" width="11.42578125" style="77"/>
  </cols>
  <sheetData>
    <row r="8" spans="4:9" ht="28.5" customHeight="1" x14ac:dyDescent="0.25">
      <c r="D8" s="123" t="s">
        <v>387</v>
      </c>
      <c r="E8" s="123"/>
      <c r="H8" s="124" t="s">
        <v>388</v>
      </c>
      <c r="I8" s="124"/>
    </row>
    <row r="9" spans="4:9" x14ac:dyDescent="0.25">
      <c r="D9" s="78" t="s">
        <v>389</v>
      </c>
      <c r="E9" s="79">
        <f>+'CPD PITSS'!M43</f>
        <v>138671.46780800002</v>
      </c>
      <c r="F9" s="79"/>
      <c r="G9" s="79"/>
      <c r="H9" s="78" t="s">
        <v>389</v>
      </c>
      <c r="I9" s="79">
        <f>+'CPD PITSS'!M53</f>
        <v>6065.6935853685263</v>
      </c>
    </row>
    <row r="10" spans="4:9" x14ac:dyDescent="0.25">
      <c r="D10" s="78" t="s">
        <v>390</v>
      </c>
      <c r="E10" s="79">
        <f>+'IP PITSS'!J107</f>
        <v>446354.43890399998</v>
      </c>
      <c r="F10" s="79"/>
      <c r="G10" s="79"/>
      <c r="H10" s="78" t="s">
        <v>390</v>
      </c>
      <c r="I10" s="79">
        <f>+'IP PITSS'!J117</f>
        <v>19410.868321103921</v>
      </c>
    </row>
    <row r="11" spans="4:9" x14ac:dyDescent="0.25">
      <c r="D11" s="78" t="s">
        <v>391</v>
      </c>
      <c r="E11" s="79">
        <f>+'SIND PITS'!H115</f>
        <v>237393.50317200003</v>
      </c>
      <c r="F11" s="79"/>
      <c r="G11" s="79"/>
      <c r="H11" s="78"/>
      <c r="I11" s="80"/>
    </row>
    <row r="12" spans="4:9" x14ac:dyDescent="0.25">
      <c r="D12" s="79"/>
      <c r="E12" s="81">
        <f>+E9+E10+E11</f>
        <v>822419.40988400008</v>
      </c>
      <c r="F12" s="79"/>
      <c r="G12" s="79"/>
      <c r="H12" s="79"/>
      <c r="I12" s="81">
        <f>+I9+I10+I11</f>
        <v>25476.561906472445</v>
      </c>
    </row>
    <row r="13" spans="4:9" x14ac:dyDescent="0.25">
      <c r="F13" s="79"/>
      <c r="G13" s="79"/>
    </row>
    <row r="14" spans="4:9" x14ac:dyDescent="0.25">
      <c r="D14" s="123" t="s">
        <v>392</v>
      </c>
      <c r="E14" s="123"/>
      <c r="F14" s="111" t="s">
        <v>445</v>
      </c>
      <c r="G14" s="79"/>
      <c r="H14" s="123" t="s">
        <v>392</v>
      </c>
      <c r="I14" s="123"/>
    </row>
    <row r="15" spans="4:9" x14ac:dyDescent="0.25">
      <c r="D15" s="78" t="s">
        <v>393</v>
      </c>
      <c r="E15" s="79">
        <f>+E12*4%</f>
        <v>32896.776395360001</v>
      </c>
      <c r="F15" s="110">
        <v>49</v>
      </c>
      <c r="G15" s="79"/>
      <c r="H15" s="78" t="s">
        <v>393</v>
      </c>
      <c r="I15" s="79">
        <f>+I12*4%</f>
        <v>1019.0624762588978</v>
      </c>
    </row>
    <row r="16" spans="4:9" x14ac:dyDescent="0.25">
      <c r="D16" s="78" t="s">
        <v>394</v>
      </c>
      <c r="E16" s="79">
        <f>+E12*12%</f>
        <v>98690.329186080009</v>
      </c>
      <c r="F16" s="110">
        <v>49</v>
      </c>
      <c r="G16" s="79"/>
      <c r="H16" s="78" t="s">
        <v>394</v>
      </c>
      <c r="I16" s="79">
        <f>+I12*12%</f>
        <v>3057.1874287766932</v>
      </c>
    </row>
    <row r="17" spans="4:9" x14ac:dyDescent="0.25">
      <c r="D17" s="78" t="s">
        <v>395</v>
      </c>
      <c r="E17" s="79">
        <f>+E12*11%</f>
        <v>90466.135087240007</v>
      </c>
      <c r="F17" s="110">
        <v>39</v>
      </c>
      <c r="G17" s="79"/>
      <c r="H17" s="78" t="s">
        <v>395</v>
      </c>
      <c r="I17" s="79">
        <f>+I12*11%</f>
        <v>2802.4218097119688</v>
      </c>
    </row>
    <row r="18" spans="4:9" x14ac:dyDescent="0.25">
      <c r="D18" s="78" t="s">
        <v>396</v>
      </c>
      <c r="E18" s="79">
        <f>+E12*73%</f>
        <v>600366.16921532003</v>
      </c>
      <c r="F18" s="110">
        <v>107</v>
      </c>
      <c r="H18" s="78" t="s">
        <v>396</v>
      </c>
      <c r="I18" s="79">
        <f>+I12*73%</f>
        <v>18597.890191724884</v>
      </c>
    </row>
    <row r="19" spans="4:9" x14ac:dyDescent="0.25">
      <c r="E19" s="82">
        <f>SUM(E15:E18)</f>
        <v>822419.40988399996</v>
      </c>
      <c r="F19" s="79"/>
      <c r="I19" s="82">
        <f>SUM(I15:I18)</f>
        <v>25476.561906472445</v>
      </c>
    </row>
    <row r="20" spans="4:9" x14ac:dyDescent="0.25">
      <c r="E20" s="79"/>
      <c r="F20" s="79"/>
    </row>
  </sheetData>
  <mergeCells count="4">
    <mergeCell ref="D8:E8"/>
    <mergeCell ref="H8:I8"/>
    <mergeCell ref="D14:E14"/>
    <mergeCell ref="H14:I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showGridLines="0" zoomScale="90" zoomScaleNormal="90" workbookViewId="0">
      <selection activeCell="E31" sqref="E31"/>
    </sheetView>
  </sheetViews>
  <sheetFormatPr baseColWidth="10" defaultRowHeight="15" x14ac:dyDescent="0.25"/>
  <cols>
    <col min="1" max="1" width="39.5703125" customWidth="1"/>
    <col min="2" max="2" width="16.85546875" customWidth="1"/>
    <col min="3" max="3" width="11.140625" customWidth="1"/>
    <col min="6" max="6" width="12.28515625" bestFit="1" customWidth="1"/>
    <col min="8" max="8" width="12.28515625" bestFit="1" customWidth="1"/>
    <col min="9" max="9" width="20.28515625" bestFit="1" customWidth="1"/>
  </cols>
  <sheetData>
    <row r="1" spans="1:9" x14ac:dyDescent="0.25">
      <c r="A1" s="83" t="s">
        <v>397</v>
      </c>
      <c r="B1" s="83"/>
      <c r="C1" s="83"/>
    </row>
    <row r="2" spans="1:9" x14ac:dyDescent="0.25">
      <c r="A2" s="83" t="s">
        <v>398</v>
      </c>
      <c r="B2" s="83"/>
      <c r="C2" s="83"/>
    </row>
    <row r="6" spans="1:9" ht="15.75" thickBot="1" x14ac:dyDescent="0.3">
      <c r="D6" s="84" t="s">
        <v>399</v>
      </c>
      <c r="E6" s="125" t="s">
        <v>400</v>
      </c>
      <c r="F6" s="126"/>
      <c r="G6" s="126"/>
      <c r="H6" s="126"/>
    </row>
    <row r="7" spans="1:9" ht="29.25" customHeight="1" x14ac:dyDescent="0.25">
      <c r="A7" s="85" t="s">
        <v>401</v>
      </c>
      <c r="B7" s="85" t="s">
        <v>402</v>
      </c>
      <c r="C7" s="85" t="s">
        <v>403</v>
      </c>
      <c r="D7" s="85" t="s">
        <v>404</v>
      </c>
      <c r="E7" s="85" t="s">
        <v>405</v>
      </c>
      <c r="F7" s="85" t="s">
        <v>406</v>
      </c>
      <c r="G7" s="85" t="s">
        <v>31</v>
      </c>
      <c r="H7" s="85" t="s">
        <v>88</v>
      </c>
    </row>
    <row r="8" spans="1:9" x14ac:dyDescent="0.25">
      <c r="A8" s="86" t="s">
        <v>407</v>
      </c>
      <c r="B8" s="87">
        <v>70000</v>
      </c>
      <c r="C8" s="87">
        <v>2865.8</v>
      </c>
      <c r="D8" s="88">
        <f>(B8/2)-C8</f>
        <v>32134.2</v>
      </c>
      <c r="E8" s="87">
        <f>+D8*0.02</f>
        <v>642.68400000000008</v>
      </c>
      <c r="F8" s="87">
        <f>+D8+E8</f>
        <v>32776.883999999998</v>
      </c>
      <c r="G8" s="87">
        <f>F8*0.16</f>
        <v>5244.3014400000002</v>
      </c>
      <c r="H8" s="87">
        <f>+F8+G8</f>
        <v>38021.185440000001</v>
      </c>
      <c r="I8" t="s">
        <v>408</v>
      </c>
    </row>
    <row r="9" spans="1:9" ht="24" customHeight="1" x14ac:dyDescent="0.25">
      <c r="A9" s="86"/>
      <c r="B9" s="87"/>
      <c r="C9" s="87"/>
      <c r="D9" s="89"/>
      <c r="E9" s="87"/>
      <c r="F9" s="87"/>
      <c r="G9" s="87"/>
      <c r="H9" s="87"/>
    </row>
    <row r="10" spans="1:9" s="83" customFormat="1" x14ac:dyDescent="0.25">
      <c r="A10" s="90" t="s">
        <v>409</v>
      </c>
      <c r="B10" s="91">
        <f t="shared" ref="B10:H10" si="0">SUM(B8:B8)</f>
        <v>70000</v>
      </c>
      <c r="C10" s="91">
        <f t="shared" si="0"/>
        <v>2865.8</v>
      </c>
      <c r="D10" s="92">
        <f t="shared" si="0"/>
        <v>32134.2</v>
      </c>
      <c r="E10" s="91">
        <f t="shared" si="0"/>
        <v>642.68400000000008</v>
      </c>
      <c r="F10" s="91">
        <f t="shared" si="0"/>
        <v>32776.883999999998</v>
      </c>
      <c r="G10" s="91">
        <f t="shared" si="0"/>
        <v>5244.3014400000002</v>
      </c>
      <c r="H10" s="91">
        <f t="shared" si="0"/>
        <v>38021.185440000001</v>
      </c>
    </row>
    <row r="11" spans="1:9" x14ac:dyDescent="0.25">
      <c r="A11" s="86"/>
      <c r="B11" s="86"/>
      <c r="C11" s="86"/>
      <c r="D11" s="86"/>
      <c r="E11" s="86"/>
      <c r="F11" s="86"/>
      <c r="G11" s="86"/>
      <c r="H11" s="86"/>
    </row>
    <row r="12" spans="1:9" x14ac:dyDescent="0.25">
      <c r="D12" s="93"/>
    </row>
    <row r="13" spans="1:9" x14ac:dyDescent="0.25">
      <c r="D13" s="94"/>
      <c r="E13" s="94"/>
      <c r="F13" s="93"/>
      <c r="G13" s="93"/>
      <c r="H13" s="93"/>
    </row>
    <row r="14" spans="1:9" x14ac:dyDescent="0.25">
      <c r="G14" s="95"/>
    </row>
  </sheetData>
  <mergeCells count="1">
    <mergeCell ref="E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CPD PITSS</vt:lpstr>
      <vt:lpstr>IP PITSS</vt:lpstr>
      <vt:lpstr>SIND PITS</vt:lpstr>
      <vt:lpstr>RESUMEN PITS</vt:lpstr>
      <vt:lpstr>FACTURACION</vt:lpstr>
      <vt:lpstr>ASIMILADOS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HG-LAP-03</dc:creator>
  <cp:lastModifiedBy>Alfonso Aguilar Aguirre</cp:lastModifiedBy>
  <dcterms:created xsi:type="dcterms:W3CDTF">2019-05-15T00:59:26Z</dcterms:created>
  <dcterms:modified xsi:type="dcterms:W3CDTF">2019-09-04T18:39:35Z</dcterms:modified>
</cp:coreProperties>
</file>