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\\Hg-servidor-pc\servidor hg\CONSULTORIA EN PROYECTOS\II.- NOMINAS\NOMINAS 2019\SUELDOS Y SALARIOS\SEITON\05 MAYO\09\"/>
    </mc:Choice>
  </mc:AlternateContent>
  <bookViews>
    <workbookView xWindow="0" yWindow="0" windowWidth="16365" windowHeight="6720" activeTab="4"/>
  </bookViews>
  <sheets>
    <sheet name="CPD PITSS" sheetId="1" r:id="rId1"/>
    <sheet name="IP PITSS" sheetId="6" r:id="rId2"/>
    <sheet name="SIND PITS" sheetId="2" r:id="rId3"/>
    <sheet name="RESUMEN PITS" sheetId="3" r:id="rId4"/>
    <sheet name="FACTURACION" sheetId="4" r:id="rId5"/>
    <sheet name="ASIMILADOS" sheetId="5" state="hidden" r:id="rId6"/>
  </sheets>
  <externalReferences>
    <externalReference r:id="rId7"/>
    <externalReference r:id="rId8"/>
  </externalReferences>
  <definedNames>
    <definedName name="_xlnm._FilterDatabase" localSheetId="3" hidden="1">'RESUMEN PITS'!$A$2:$W$106</definedName>
    <definedName name="_xlnm._FilterDatabase" localSheetId="2" hidden="1">'SIND PITS'!$A$2:$N$110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5" i="6" l="1"/>
  <c r="F94" i="3" l="1"/>
  <c r="F37" i="3"/>
  <c r="F63" i="3"/>
  <c r="F86" i="3"/>
  <c r="F52" i="3"/>
  <c r="F35" i="3"/>
  <c r="F101" i="3"/>
  <c r="F100" i="3"/>
  <c r="F26" i="3"/>
  <c r="F67" i="3"/>
  <c r="F53" i="3"/>
  <c r="F92" i="3"/>
  <c r="F81" i="3"/>
  <c r="F28" i="3"/>
  <c r="F80" i="3"/>
  <c r="F33" i="3"/>
  <c r="F23" i="3"/>
  <c r="F95" i="3"/>
  <c r="F22" i="3"/>
  <c r="F60" i="3"/>
  <c r="F78" i="3"/>
  <c r="F76" i="3"/>
  <c r="F64" i="3"/>
  <c r="F72" i="3"/>
  <c r="F34" i="3"/>
  <c r="F39" i="3"/>
  <c r="F36" i="3"/>
  <c r="F84" i="3"/>
  <c r="F82" i="3"/>
  <c r="F91" i="3"/>
  <c r="F61" i="3"/>
  <c r="F43" i="3"/>
  <c r="F89" i="3"/>
  <c r="F46" i="3"/>
  <c r="F62" i="3"/>
  <c r="F54" i="3"/>
  <c r="F30" i="3"/>
  <c r="F45" i="3"/>
  <c r="F99" i="3"/>
  <c r="F21" i="3"/>
  <c r="F57" i="3"/>
  <c r="F41" i="3"/>
  <c r="F32" i="3"/>
  <c r="F65" i="3"/>
  <c r="F25" i="3"/>
  <c r="F77" i="3"/>
  <c r="F56" i="3"/>
  <c r="F24" i="3"/>
  <c r="F40" i="3"/>
  <c r="F97" i="3"/>
  <c r="F70" i="3"/>
  <c r="F42" i="3"/>
  <c r="F69" i="3"/>
  <c r="F74" i="3"/>
  <c r="F90" i="3"/>
  <c r="F85" i="3"/>
  <c r="F102" i="3"/>
  <c r="F96" i="3"/>
  <c r="F88" i="3"/>
  <c r="F87" i="3"/>
  <c r="F83" i="3"/>
  <c r="F79" i="3"/>
  <c r="F75" i="3"/>
  <c r="F73" i="3"/>
  <c r="F71" i="3"/>
  <c r="F68" i="3"/>
  <c r="F66" i="3"/>
  <c r="F59" i="3"/>
  <c r="F58" i="3"/>
  <c r="F55" i="3"/>
  <c r="F51" i="3"/>
  <c r="F50" i="3"/>
  <c r="F49" i="3"/>
  <c r="F48" i="3"/>
  <c r="F47" i="3"/>
  <c r="F44" i="3"/>
  <c r="F38" i="3"/>
  <c r="F31" i="3"/>
  <c r="F29" i="3"/>
  <c r="F27" i="3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D104" i="2" l="1"/>
  <c r="H21" i="2"/>
  <c r="F98" i="3"/>
  <c r="V93" i="6"/>
  <c r="J97" i="6" s="1"/>
  <c r="J101" i="6" s="1"/>
  <c r="J102" i="6" s="1"/>
  <c r="J103" i="6" s="1"/>
  <c r="I10" i="4"/>
  <c r="I9" i="4"/>
  <c r="E9" i="4"/>
  <c r="M107" i="3" l="1"/>
  <c r="M106" i="3"/>
  <c r="J89" i="6"/>
  <c r="S13" i="3" l="1"/>
  <c r="V20" i="1"/>
  <c r="M34" i="1"/>
  <c r="S9" i="3"/>
  <c r="V16" i="1"/>
  <c r="S103" i="3"/>
  <c r="R103" i="3"/>
  <c r="Q103" i="3"/>
  <c r="S102" i="3"/>
  <c r="R102" i="3"/>
  <c r="Q102" i="3"/>
  <c r="S101" i="3"/>
  <c r="R101" i="3"/>
  <c r="Q101" i="3"/>
  <c r="S100" i="3"/>
  <c r="R100" i="3"/>
  <c r="Q100" i="3"/>
  <c r="S99" i="3"/>
  <c r="R99" i="3"/>
  <c r="Q99" i="3"/>
  <c r="S98" i="3"/>
  <c r="R98" i="3"/>
  <c r="Q98" i="3"/>
  <c r="S97" i="3"/>
  <c r="R97" i="3"/>
  <c r="Q97" i="3"/>
  <c r="S96" i="3"/>
  <c r="R96" i="3"/>
  <c r="Q96" i="3"/>
  <c r="S95" i="3"/>
  <c r="R95" i="3"/>
  <c r="Q95" i="3"/>
  <c r="S94" i="3"/>
  <c r="R94" i="3"/>
  <c r="Q94" i="3"/>
  <c r="S92" i="3"/>
  <c r="R92" i="3"/>
  <c r="Q92" i="3"/>
  <c r="S91" i="3"/>
  <c r="R91" i="3"/>
  <c r="Q91" i="3"/>
  <c r="S90" i="3"/>
  <c r="R90" i="3"/>
  <c r="Q90" i="3"/>
  <c r="S89" i="3"/>
  <c r="R89" i="3"/>
  <c r="Q89" i="3"/>
  <c r="S88" i="3"/>
  <c r="R88" i="3"/>
  <c r="Q88" i="3"/>
  <c r="S87" i="3"/>
  <c r="R87" i="3"/>
  <c r="Q87" i="3"/>
  <c r="S86" i="3"/>
  <c r="R86" i="3"/>
  <c r="Q86" i="3"/>
  <c r="S85" i="3"/>
  <c r="R85" i="3"/>
  <c r="Q85" i="3"/>
  <c r="S84" i="3"/>
  <c r="R84" i="3"/>
  <c r="Q84" i="3"/>
  <c r="S83" i="3"/>
  <c r="R83" i="3"/>
  <c r="Q83" i="3"/>
  <c r="S82" i="3"/>
  <c r="R82" i="3"/>
  <c r="Q82" i="3"/>
  <c r="S81" i="3"/>
  <c r="R81" i="3"/>
  <c r="Q81" i="3"/>
  <c r="S80" i="3"/>
  <c r="R80" i="3"/>
  <c r="Q80" i="3"/>
  <c r="S79" i="3"/>
  <c r="R79" i="3"/>
  <c r="Q79" i="3"/>
  <c r="S78" i="3"/>
  <c r="R78" i="3"/>
  <c r="Q78" i="3"/>
  <c r="S77" i="3"/>
  <c r="R77" i="3"/>
  <c r="Q77" i="3"/>
  <c r="S74" i="3"/>
  <c r="R74" i="3"/>
  <c r="Q74" i="3"/>
  <c r="S73" i="3"/>
  <c r="R73" i="3"/>
  <c r="Q73" i="3"/>
  <c r="S72" i="3"/>
  <c r="R72" i="3"/>
  <c r="Q72" i="3"/>
  <c r="S71" i="3"/>
  <c r="R71" i="3"/>
  <c r="Q71" i="3"/>
  <c r="S70" i="3"/>
  <c r="R70" i="3"/>
  <c r="Q70" i="3"/>
  <c r="S69" i="3"/>
  <c r="R69" i="3"/>
  <c r="Q69" i="3"/>
  <c r="S68" i="3"/>
  <c r="R68" i="3"/>
  <c r="Q68" i="3"/>
  <c r="S67" i="3"/>
  <c r="R67" i="3"/>
  <c r="Q67" i="3"/>
  <c r="S66" i="3"/>
  <c r="R66" i="3"/>
  <c r="Q66" i="3"/>
  <c r="S65" i="3"/>
  <c r="R65" i="3"/>
  <c r="Q65" i="3"/>
  <c r="S64" i="3"/>
  <c r="R64" i="3"/>
  <c r="Q64" i="3"/>
  <c r="S63" i="3"/>
  <c r="R63" i="3"/>
  <c r="Q63" i="3"/>
  <c r="S62" i="3"/>
  <c r="R62" i="3"/>
  <c r="Q62" i="3"/>
  <c r="S61" i="3"/>
  <c r="R61" i="3"/>
  <c r="Q61" i="3"/>
  <c r="S60" i="3"/>
  <c r="R60" i="3"/>
  <c r="Q60" i="3"/>
  <c r="S59" i="3"/>
  <c r="R59" i="3"/>
  <c r="Q59" i="3"/>
  <c r="S58" i="3"/>
  <c r="R58" i="3"/>
  <c r="Q58" i="3"/>
  <c r="S57" i="3"/>
  <c r="R57" i="3"/>
  <c r="Q57" i="3"/>
  <c r="S56" i="3"/>
  <c r="R56" i="3"/>
  <c r="Q56" i="3"/>
  <c r="S55" i="3"/>
  <c r="R55" i="3"/>
  <c r="Q55" i="3"/>
  <c r="S54" i="3"/>
  <c r="R54" i="3"/>
  <c r="Q54" i="3"/>
  <c r="S53" i="3"/>
  <c r="R53" i="3"/>
  <c r="Q53" i="3"/>
  <c r="S52" i="3"/>
  <c r="R52" i="3"/>
  <c r="Q52" i="3"/>
  <c r="S51" i="3"/>
  <c r="R51" i="3"/>
  <c r="Q51" i="3"/>
  <c r="S50" i="3"/>
  <c r="R50" i="3"/>
  <c r="Q50" i="3"/>
  <c r="S49" i="3"/>
  <c r="R49" i="3"/>
  <c r="Q49" i="3"/>
  <c r="S48" i="3"/>
  <c r="R48" i="3"/>
  <c r="Q48" i="3"/>
  <c r="S47" i="3"/>
  <c r="R47" i="3"/>
  <c r="Q47" i="3"/>
  <c r="S46" i="3"/>
  <c r="R46" i="3"/>
  <c r="Q46" i="3"/>
  <c r="S45" i="3"/>
  <c r="R45" i="3"/>
  <c r="Q45" i="3"/>
  <c r="S44" i="3"/>
  <c r="R44" i="3"/>
  <c r="Q44" i="3"/>
  <c r="S43" i="3"/>
  <c r="R43" i="3"/>
  <c r="Q43" i="3"/>
  <c r="S42" i="3"/>
  <c r="R42" i="3"/>
  <c r="Q42" i="3"/>
  <c r="S41" i="3"/>
  <c r="R41" i="3"/>
  <c r="Q41" i="3"/>
  <c r="S40" i="3"/>
  <c r="R40" i="3"/>
  <c r="Q40" i="3"/>
  <c r="S39" i="3"/>
  <c r="R39" i="3"/>
  <c r="Q39" i="3"/>
  <c r="S38" i="3"/>
  <c r="R38" i="3"/>
  <c r="Q38" i="3"/>
  <c r="S37" i="3"/>
  <c r="R37" i="3"/>
  <c r="Q37" i="3"/>
  <c r="S36" i="3"/>
  <c r="R36" i="3"/>
  <c r="Q36" i="3"/>
  <c r="S35" i="3"/>
  <c r="R35" i="3"/>
  <c r="Q35" i="3"/>
  <c r="S34" i="3"/>
  <c r="R34" i="3"/>
  <c r="Q34" i="3"/>
  <c r="S33" i="3"/>
  <c r="R33" i="3"/>
  <c r="Q33" i="3"/>
  <c r="S32" i="3"/>
  <c r="R32" i="3"/>
  <c r="Q32" i="3"/>
  <c r="S31" i="3"/>
  <c r="R31" i="3"/>
  <c r="Q31" i="3"/>
  <c r="S30" i="3"/>
  <c r="R30" i="3"/>
  <c r="Q30" i="3"/>
  <c r="S29" i="3"/>
  <c r="R29" i="3"/>
  <c r="Q29" i="3"/>
  <c r="S28" i="3"/>
  <c r="R28" i="3"/>
  <c r="Q28" i="3"/>
  <c r="S27" i="3"/>
  <c r="R27" i="3"/>
  <c r="Q27" i="3"/>
  <c r="S26" i="3"/>
  <c r="R26" i="3"/>
  <c r="Q26" i="3"/>
  <c r="S25" i="3"/>
  <c r="R25" i="3"/>
  <c r="Q25" i="3"/>
  <c r="S24" i="3"/>
  <c r="R24" i="3"/>
  <c r="Q24" i="3"/>
  <c r="S23" i="3"/>
  <c r="R23" i="3"/>
  <c r="Q23" i="3"/>
  <c r="S22" i="3"/>
  <c r="R22" i="3"/>
  <c r="Q22" i="3"/>
  <c r="Q21" i="3"/>
  <c r="S21" i="3"/>
  <c r="R21" i="3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D103" i="3"/>
  <c r="K103" i="3" s="1"/>
  <c r="M103" i="3"/>
  <c r="M104" i="3"/>
  <c r="L104" i="3"/>
  <c r="D76" i="3"/>
  <c r="D75" i="3"/>
  <c r="D102" i="3"/>
  <c r="D101" i="3"/>
  <c r="D100" i="3"/>
  <c r="D99" i="3"/>
  <c r="D98" i="3"/>
  <c r="D97" i="3"/>
  <c r="D96" i="3"/>
  <c r="D95" i="3"/>
  <c r="D94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J72" i="2"/>
  <c r="J53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G103" i="2"/>
  <c r="H103" i="2" s="1"/>
  <c r="J112" i="6"/>
  <c r="AG91" i="6"/>
  <c r="AG90" i="6"/>
  <c r="AG89" i="6"/>
  <c r="AG88" i="6"/>
  <c r="AG87" i="6"/>
  <c r="AG86" i="6"/>
  <c r="AG85" i="6"/>
  <c r="AG84" i="6"/>
  <c r="AG83" i="6"/>
  <c r="AG82" i="6"/>
  <c r="AG81" i="6"/>
  <c r="AG80" i="6"/>
  <c r="AG79" i="6"/>
  <c r="AG78" i="6"/>
  <c r="AG77" i="6"/>
  <c r="AG76" i="6"/>
  <c r="AG75" i="6"/>
  <c r="AG74" i="6"/>
  <c r="AG73" i="6"/>
  <c r="AG72" i="6"/>
  <c r="AG71" i="6"/>
  <c r="AG70" i="6"/>
  <c r="AG69" i="6"/>
  <c r="AG68" i="6"/>
  <c r="AG67" i="6"/>
  <c r="AG66" i="6"/>
  <c r="AG65" i="6"/>
  <c r="AG64" i="6"/>
  <c r="AG63" i="6"/>
  <c r="AG62" i="6"/>
  <c r="AG61" i="6"/>
  <c r="AG60" i="6"/>
  <c r="AG59" i="6"/>
  <c r="AG58" i="6"/>
  <c r="AG57" i="6"/>
  <c r="AG56" i="6"/>
  <c r="AG55" i="6"/>
  <c r="AG54" i="6"/>
  <c r="AG53" i="6"/>
  <c r="AG52" i="6"/>
  <c r="AG51" i="6"/>
  <c r="AG50" i="6"/>
  <c r="AG49" i="6"/>
  <c r="AG48" i="6"/>
  <c r="AG47" i="6"/>
  <c r="AG46" i="6"/>
  <c r="AG45" i="6"/>
  <c r="AG44" i="6"/>
  <c r="AG43" i="6"/>
  <c r="AG42" i="6"/>
  <c r="AG41" i="6"/>
  <c r="AG40" i="6"/>
  <c r="AG39" i="6"/>
  <c r="AG38" i="6"/>
  <c r="AG37" i="6"/>
  <c r="AG36" i="6"/>
  <c r="AG35" i="6"/>
  <c r="AG34" i="6"/>
  <c r="AG33" i="6"/>
  <c r="AG32" i="6"/>
  <c r="AG31" i="6"/>
  <c r="AG30" i="6"/>
  <c r="AG29" i="6"/>
  <c r="AG28" i="6"/>
  <c r="AG27" i="6"/>
  <c r="AG26" i="6"/>
  <c r="AG25" i="6"/>
  <c r="AG24" i="6"/>
  <c r="AG23" i="6"/>
  <c r="AG22" i="6"/>
  <c r="AG21" i="6"/>
  <c r="AG20" i="6"/>
  <c r="AG19" i="6"/>
  <c r="AG18" i="6"/>
  <c r="AG17" i="6"/>
  <c r="AG16" i="6"/>
  <c r="AG15" i="6"/>
  <c r="AG14" i="6"/>
  <c r="AG13" i="6"/>
  <c r="AG12" i="6"/>
  <c r="AG11" i="6"/>
  <c r="AG10" i="6"/>
  <c r="AD93" i="6"/>
  <c r="J99" i="6"/>
  <c r="J98" i="6"/>
  <c r="AF93" i="6"/>
  <c r="AE93" i="6"/>
  <c r="AC93" i="6"/>
  <c r="AB93" i="6"/>
  <c r="AA93" i="6"/>
  <c r="Z93" i="6"/>
  <c r="J104" i="6" s="1"/>
  <c r="J106" i="6" s="1"/>
  <c r="Y93" i="6"/>
  <c r="X93" i="6"/>
  <c r="W93" i="6"/>
  <c r="U93" i="6"/>
  <c r="T93" i="6"/>
  <c r="S93" i="6"/>
  <c r="R93" i="6"/>
  <c r="Q93" i="6"/>
  <c r="P93" i="6"/>
  <c r="O93" i="6"/>
  <c r="N93" i="6"/>
  <c r="M93" i="6"/>
  <c r="L93" i="6"/>
  <c r="K93" i="6"/>
  <c r="J93" i="6"/>
  <c r="I93" i="6"/>
  <c r="H93" i="6"/>
  <c r="G93" i="6"/>
  <c r="F93" i="6"/>
  <c r="E93" i="6"/>
  <c r="D93" i="6"/>
  <c r="C93" i="6"/>
  <c r="J107" i="6" l="1"/>
  <c r="J108" i="6" s="1"/>
  <c r="U103" i="3"/>
  <c r="V103" i="3" s="1"/>
  <c r="AG93" i="6"/>
  <c r="J115" i="6"/>
  <c r="J113" i="6"/>
  <c r="J114" i="6" s="1"/>
  <c r="J116" i="6" s="1"/>
  <c r="W104" i="3"/>
  <c r="K104" i="2"/>
  <c r="F104" i="2"/>
  <c r="E104" i="2"/>
  <c r="Q20" i="3"/>
  <c r="O20" i="3"/>
  <c r="Q19" i="3"/>
  <c r="O19" i="3"/>
  <c r="Q18" i="3"/>
  <c r="O18" i="3"/>
  <c r="Q17" i="3"/>
  <c r="O17" i="3"/>
  <c r="Q16" i="3"/>
  <c r="O16" i="3"/>
  <c r="Q15" i="3"/>
  <c r="O15" i="3"/>
  <c r="Q14" i="3"/>
  <c r="O14" i="3"/>
  <c r="Q13" i="3"/>
  <c r="O13" i="3"/>
  <c r="Q12" i="3"/>
  <c r="O12" i="3"/>
  <c r="Q11" i="3"/>
  <c r="O11" i="3"/>
  <c r="Q10" i="3"/>
  <c r="O10" i="3"/>
  <c r="Q9" i="3"/>
  <c r="O9" i="3"/>
  <c r="Q8" i="3"/>
  <c r="O8" i="3"/>
  <c r="Q7" i="3"/>
  <c r="O7" i="3"/>
  <c r="Q6" i="3"/>
  <c r="O6" i="3"/>
  <c r="Q5" i="3"/>
  <c r="O5" i="3"/>
  <c r="Q4" i="3"/>
  <c r="O4" i="3"/>
  <c r="Q3" i="3"/>
  <c r="Q104" i="3" s="1"/>
  <c r="O3" i="3"/>
  <c r="H20" i="3"/>
  <c r="G20" i="3"/>
  <c r="F20" i="3"/>
  <c r="H19" i="3"/>
  <c r="G19" i="3"/>
  <c r="F19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9" i="3"/>
  <c r="G9" i="3"/>
  <c r="F9" i="3"/>
  <c r="H8" i="3"/>
  <c r="G8" i="3"/>
  <c r="F8" i="3"/>
  <c r="H7" i="3"/>
  <c r="G7" i="3"/>
  <c r="F7" i="3"/>
  <c r="H6" i="3"/>
  <c r="G6" i="3"/>
  <c r="F6" i="3"/>
  <c r="H5" i="3"/>
  <c r="G5" i="3"/>
  <c r="F5" i="3"/>
  <c r="H4" i="3"/>
  <c r="G4" i="3"/>
  <c r="F4" i="3"/>
  <c r="H3" i="3"/>
  <c r="G3" i="3"/>
  <c r="F3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J3" i="2"/>
  <c r="J20" i="2"/>
  <c r="L20" i="2" s="1"/>
  <c r="J19" i="2"/>
  <c r="L19" i="2" s="1"/>
  <c r="J18" i="2"/>
  <c r="L18" i="2" s="1"/>
  <c r="J17" i="2"/>
  <c r="L17" i="2" s="1"/>
  <c r="J16" i="2"/>
  <c r="L16" i="2" s="1"/>
  <c r="J15" i="2"/>
  <c r="L15" i="2" s="1"/>
  <c r="J14" i="2"/>
  <c r="L14" i="2" s="1"/>
  <c r="J13" i="2"/>
  <c r="L13" i="2" s="1"/>
  <c r="J12" i="2"/>
  <c r="L12" i="2" s="1"/>
  <c r="J11" i="2"/>
  <c r="L11" i="2" s="1"/>
  <c r="J10" i="2"/>
  <c r="L10" i="2" s="1"/>
  <c r="J9" i="2"/>
  <c r="L9" i="2" s="1"/>
  <c r="J8" i="2"/>
  <c r="L8" i="2" s="1"/>
  <c r="J7" i="2"/>
  <c r="L7" i="2" s="1"/>
  <c r="J6" i="2"/>
  <c r="L6" i="2" s="1"/>
  <c r="J5" i="2"/>
  <c r="L5" i="2" s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C7" i="1"/>
  <c r="D10" i="5"/>
  <c r="C10" i="5"/>
  <c r="B10" i="5"/>
  <c r="D8" i="5"/>
  <c r="E8" i="5" s="1"/>
  <c r="AF104" i="3"/>
  <c r="AE104" i="3"/>
  <c r="AD104" i="3"/>
  <c r="AC104" i="3"/>
  <c r="AB104" i="3"/>
  <c r="AA104" i="3"/>
  <c r="Z104" i="3"/>
  <c r="Y104" i="3"/>
  <c r="S104" i="3"/>
  <c r="R104" i="3"/>
  <c r="O102" i="3"/>
  <c r="M102" i="3"/>
  <c r="H102" i="3"/>
  <c r="G102" i="3"/>
  <c r="O101" i="3"/>
  <c r="M101" i="3"/>
  <c r="H101" i="3"/>
  <c r="G101" i="3"/>
  <c r="F107" i="3"/>
  <c r="O100" i="3"/>
  <c r="M100" i="3"/>
  <c r="H100" i="3"/>
  <c r="G100" i="3"/>
  <c r="O99" i="3"/>
  <c r="M99" i="3"/>
  <c r="H99" i="3"/>
  <c r="G99" i="3"/>
  <c r="O98" i="3"/>
  <c r="M98" i="3"/>
  <c r="I98" i="3"/>
  <c r="H98" i="3"/>
  <c r="G98" i="3"/>
  <c r="O97" i="3"/>
  <c r="M97" i="3"/>
  <c r="H97" i="3"/>
  <c r="G97" i="3"/>
  <c r="O96" i="3"/>
  <c r="M96" i="3"/>
  <c r="H96" i="3"/>
  <c r="G96" i="3"/>
  <c r="O95" i="3"/>
  <c r="M95" i="3"/>
  <c r="H95" i="3"/>
  <c r="G95" i="3"/>
  <c r="O94" i="3"/>
  <c r="M94" i="3"/>
  <c r="H94" i="3"/>
  <c r="G94" i="3"/>
  <c r="O93" i="3"/>
  <c r="M93" i="3"/>
  <c r="H93" i="3"/>
  <c r="G93" i="3"/>
  <c r="O92" i="3"/>
  <c r="M92" i="3"/>
  <c r="H92" i="3"/>
  <c r="G92" i="3"/>
  <c r="O91" i="3"/>
  <c r="M91" i="3"/>
  <c r="H91" i="3"/>
  <c r="G91" i="3"/>
  <c r="O90" i="3"/>
  <c r="M90" i="3"/>
  <c r="H90" i="3"/>
  <c r="G90" i="3"/>
  <c r="O89" i="3"/>
  <c r="M89" i="3"/>
  <c r="H89" i="3"/>
  <c r="G89" i="3"/>
  <c r="O88" i="3"/>
  <c r="M88" i="3"/>
  <c r="H88" i="3"/>
  <c r="G88" i="3"/>
  <c r="O87" i="3"/>
  <c r="M87" i="3"/>
  <c r="H87" i="3"/>
  <c r="G87" i="3"/>
  <c r="O86" i="3"/>
  <c r="M86" i="3"/>
  <c r="H86" i="3"/>
  <c r="G86" i="3"/>
  <c r="O85" i="3"/>
  <c r="M85" i="3"/>
  <c r="H85" i="3"/>
  <c r="G85" i="3"/>
  <c r="O84" i="3"/>
  <c r="M84" i="3"/>
  <c r="H84" i="3"/>
  <c r="G84" i="3"/>
  <c r="O83" i="3"/>
  <c r="M83" i="3"/>
  <c r="H83" i="3"/>
  <c r="G83" i="3"/>
  <c r="O82" i="3"/>
  <c r="M82" i="3"/>
  <c r="H82" i="3"/>
  <c r="G82" i="3"/>
  <c r="O81" i="3"/>
  <c r="M81" i="3"/>
  <c r="H81" i="3"/>
  <c r="G81" i="3"/>
  <c r="O80" i="3"/>
  <c r="M80" i="3"/>
  <c r="H80" i="3"/>
  <c r="G80" i="3"/>
  <c r="O79" i="3"/>
  <c r="M79" i="3"/>
  <c r="H79" i="3"/>
  <c r="G79" i="3"/>
  <c r="O78" i="3"/>
  <c r="M78" i="3"/>
  <c r="H78" i="3"/>
  <c r="G78" i="3"/>
  <c r="O77" i="3"/>
  <c r="M77" i="3"/>
  <c r="H77" i="3"/>
  <c r="G77" i="3"/>
  <c r="O76" i="3"/>
  <c r="M76" i="3"/>
  <c r="H76" i="3"/>
  <c r="G76" i="3"/>
  <c r="O75" i="3"/>
  <c r="M75" i="3"/>
  <c r="H75" i="3"/>
  <c r="G75" i="3"/>
  <c r="O74" i="3"/>
  <c r="M74" i="3"/>
  <c r="H74" i="3"/>
  <c r="G74" i="3"/>
  <c r="O73" i="3"/>
  <c r="M73" i="3"/>
  <c r="H73" i="3"/>
  <c r="G73" i="3"/>
  <c r="O72" i="3"/>
  <c r="M72" i="3"/>
  <c r="H72" i="3"/>
  <c r="G72" i="3"/>
  <c r="O71" i="3"/>
  <c r="M71" i="3"/>
  <c r="H71" i="3"/>
  <c r="G71" i="3"/>
  <c r="O70" i="3"/>
  <c r="M70" i="3"/>
  <c r="H70" i="3"/>
  <c r="G70" i="3"/>
  <c r="O69" i="3"/>
  <c r="M69" i="3"/>
  <c r="H69" i="3"/>
  <c r="G69" i="3"/>
  <c r="O68" i="3"/>
  <c r="M68" i="3"/>
  <c r="H68" i="3"/>
  <c r="G68" i="3"/>
  <c r="O67" i="3"/>
  <c r="M67" i="3"/>
  <c r="H67" i="3"/>
  <c r="G67" i="3"/>
  <c r="O66" i="3"/>
  <c r="M66" i="3"/>
  <c r="H66" i="3"/>
  <c r="G66" i="3"/>
  <c r="O65" i="3"/>
  <c r="M65" i="3"/>
  <c r="H65" i="3"/>
  <c r="G65" i="3"/>
  <c r="O64" i="3"/>
  <c r="M64" i="3"/>
  <c r="H64" i="3"/>
  <c r="G64" i="3"/>
  <c r="O63" i="3"/>
  <c r="M63" i="3"/>
  <c r="H63" i="3"/>
  <c r="G63" i="3"/>
  <c r="O62" i="3"/>
  <c r="M62" i="3"/>
  <c r="H62" i="3"/>
  <c r="G62" i="3"/>
  <c r="O61" i="3"/>
  <c r="M61" i="3"/>
  <c r="H61" i="3"/>
  <c r="G61" i="3"/>
  <c r="O60" i="3"/>
  <c r="M60" i="3"/>
  <c r="H60" i="3"/>
  <c r="G60" i="3"/>
  <c r="O59" i="3"/>
  <c r="M59" i="3"/>
  <c r="H59" i="3"/>
  <c r="G59" i="3"/>
  <c r="O58" i="3"/>
  <c r="M58" i="3"/>
  <c r="H58" i="3"/>
  <c r="G58" i="3"/>
  <c r="O57" i="3"/>
  <c r="M57" i="3"/>
  <c r="H57" i="3"/>
  <c r="G57" i="3"/>
  <c r="O56" i="3"/>
  <c r="M56" i="3"/>
  <c r="H56" i="3"/>
  <c r="G56" i="3"/>
  <c r="O55" i="3"/>
  <c r="M55" i="3"/>
  <c r="H55" i="3"/>
  <c r="G55" i="3"/>
  <c r="O54" i="3"/>
  <c r="M54" i="3"/>
  <c r="H54" i="3"/>
  <c r="G54" i="3"/>
  <c r="O53" i="3"/>
  <c r="M53" i="3"/>
  <c r="H53" i="3"/>
  <c r="G53" i="3"/>
  <c r="O52" i="3"/>
  <c r="M52" i="3"/>
  <c r="H52" i="3"/>
  <c r="G52" i="3"/>
  <c r="O51" i="3"/>
  <c r="M51" i="3"/>
  <c r="H51" i="3"/>
  <c r="G51" i="3"/>
  <c r="O50" i="3"/>
  <c r="M50" i="3"/>
  <c r="H50" i="3"/>
  <c r="G50" i="3"/>
  <c r="O49" i="3"/>
  <c r="M49" i="3"/>
  <c r="H49" i="3"/>
  <c r="G49" i="3"/>
  <c r="O48" i="3"/>
  <c r="M48" i="3"/>
  <c r="H48" i="3"/>
  <c r="G48" i="3"/>
  <c r="O47" i="3"/>
  <c r="M47" i="3"/>
  <c r="H47" i="3"/>
  <c r="G47" i="3"/>
  <c r="O46" i="3"/>
  <c r="M46" i="3"/>
  <c r="H46" i="3"/>
  <c r="G46" i="3"/>
  <c r="O45" i="3"/>
  <c r="M45" i="3"/>
  <c r="H45" i="3"/>
  <c r="G45" i="3"/>
  <c r="O44" i="3"/>
  <c r="M44" i="3"/>
  <c r="H44" i="3"/>
  <c r="G44" i="3"/>
  <c r="O43" i="3"/>
  <c r="M43" i="3"/>
  <c r="H43" i="3"/>
  <c r="G43" i="3"/>
  <c r="O42" i="3"/>
  <c r="M42" i="3"/>
  <c r="H42" i="3"/>
  <c r="G42" i="3"/>
  <c r="O41" i="3"/>
  <c r="M41" i="3"/>
  <c r="H41" i="3"/>
  <c r="G41" i="3"/>
  <c r="O40" i="3"/>
  <c r="M40" i="3"/>
  <c r="H40" i="3"/>
  <c r="G40" i="3"/>
  <c r="O39" i="3"/>
  <c r="M39" i="3"/>
  <c r="H39" i="3"/>
  <c r="G39" i="3"/>
  <c r="O38" i="3"/>
  <c r="M38" i="3"/>
  <c r="H38" i="3"/>
  <c r="G38" i="3"/>
  <c r="O37" i="3"/>
  <c r="M37" i="3"/>
  <c r="H37" i="3"/>
  <c r="G37" i="3"/>
  <c r="O36" i="3"/>
  <c r="M36" i="3"/>
  <c r="H36" i="3"/>
  <c r="G36" i="3"/>
  <c r="O35" i="3"/>
  <c r="M35" i="3"/>
  <c r="H35" i="3"/>
  <c r="G35" i="3"/>
  <c r="O34" i="3"/>
  <c r="M34" i="3"/>
  <c r="H34" i="3"/>
  <c r="G34" i="3"/>
  <c r="O33" i="3"/>
  <c r="M33" i="3"/>
  <c r="H33" i="3"/>
  <c r="G33" i="3"/>
  <c r="T32" i="3"/>
  <c r="O32" i="3"/>
  <c r="M32" i="3"/>
  <c r="H32" i="3"/>
  <c r="G32" i="3"/>
  <c r="O31" i="3"/>
  <c r="M31" i="3"/>
  <c r="H31" i="3"/>
  <c r="G31" i="3"/>
  <c r="O30" i="3"/>
  <c r="M30" i="3"/>
  <c r="H30" i="3"/>
  <c r="G30" i="3"/>
  <c r="O29" i="3"/>
  <c r="M29" i="3"/>
  <c r="H29" i="3"/>
  <c r="G29" i="3"/>
  <c r="O28" i="3"/>
  <c r="M28" i="3"/>
  <c r="H28" i="3"/>
  <c r="G28" i="3"/>
  <c r="O27" i="3"/>
  <c r="M27" i="3"/>
  <c r="H27" i="3"/>
  <c r="G27" i="3"/>
  <c r="O26" i="3"/>
  <c r="M26" i="3"/>
  <c r="H26" i="3"/>
  <c r="G26" i="3"/>
  <c r="O25" i="3"/>
  <c r="M25" i="3"/>
  <c r="H25" i="3"/>
  <c r="G25" i="3"/>
  <c r="O24" i="3"/>
  <c r="M24" i="3"/>
  <c r="H24" i="3"/>
  <c r="G24" i="3"/>
  <c r="O23" i="3"/>
  <c r="M23" i="3"/>
  <c r="H23" i="3"/>
  <c r="G23" i="3"/>
  <c r="O22" i="3"/>
  <c r="M22" i="3"/>
  <c r="I22" i="3"/>
  <c r="H22" i="3"/>
  <c r="G22" i="3"/>
  <c r="O21" i="3"/>
  <c r="M21" i="3"/>
  <c r="H21" i="3"/>
  <c r="G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G102" i="2"/>
  <c r="I101" i="3" s="1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G82" i="2"/>
  <c r="I102" i="3" s="1"/>
  <c r="L81" i="2"/>
  <c r="L80" i="2"/>
  <c r="L79" i="2"/>
  <c r="L78" i="2"/>
  <c r="L77" i="2"/>
  <c r="H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N63" i="2" s="1"/>
  <c r="G63" i="2" s="1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N47" i="2" s="1"/>
  <c r="G47" i="2" s="1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4" i="2"/>
  <c r="L25" i="2"/>
  <c r="L24" i="2"/>
  <c r="L23" i="2"/>
  <c r="L22" i="2"/>
  <c r="I12" i="4" l="1"/>
  <c r="I17" i="4" s="1"/>
  <c r="D104" i="3"/>
  <c r="O104" i="3"/>
  <c r="G104" i="3"/>
  <c r="F104" i="3"/>
  <c r="H104" i="3"/>
  <c r="N22" i="2"/>
  <c r="G22" i="2" s="1"/>
  <c r="H22" i="2" s="1"/>
  <c r="N88" i="2"/>
  <c r="G88" i="2" s="1"/>
  <c r="I28" i="3" s="1"/>
  <c r="P28" i="3" s="1"/>
  <c r="J117" i="6"/>
  <c r="J118" i="6" s="1"/>
  <c r="E10" i="4"/>
  <c r="N8" i="2"/>
  <c r="G8" i="2" s="1"/>
  <c r="I11" i="3" s="1"/>
  <c r="K11" i="3" s="1"/>
  <c r="N15" i="2"/>
  <c r="G15" i="2" s="1"/>
  <c r="I7" i="3" s="1"/>
  <c r="P7" i="3" s="1"/>
  <c r="M104" i="2"/>
  <c r="N7" i="2"/>
  <c r="G7" i="2" s="1"/>
  <c r="I18" i="3" s="1"/>
  <c r="P18" i="3" s="1"/>
  <c r="J104" i="2"/>
  <c r="L3" i="2"/>
  <c r="P101" i="3"/>
  <c r="N38" i="2"/>
  <c r="G38" i="2" s="1"/>
  <c r="I94" i="3" s="1"/>
  <c r="K94" i="3" s="1"/>
  <c r="N48" i="2"/>
  <c r="G48" i="2" s="1"/>
  <c r="I46" i="3" s="1"/>
  <c r="K46" i="3" s="1"/>
  <c r="N77" i="2"/>
  <c r="N29" i="2"/>
  <c r="G29" i="2" s="1"/>
  <c r="I38" i="3" s="1"/>
  <c r="K38" i="3" s="1"/>
  <c r="N33" i="2"/>
  <c r="G33" i="2" s="1"/>
  <c r="H33" i="2" s="1"/>
  <c r="N35" i="2"/>
  <c r="G35" i="2" s="1"/>
  <c r="I47" i="3" s="1"/>
  <c r="P47" i="3" s="1"/>
  <c r="N37" i="2"/>
  <c r="G37" i="2" s="1"/>
  <c r="H37" i="2" s="1"/>
  <c r="N66" i="2"/>
  <c r="G66" i="2" s="1"/>
  <c r="I72" i="3" s="1"/>
  <c r="K72" i="3" s="1"/>
  <c r="N74" i="2"/>
  <c r="G74" i="2" s="1"/>
  <c r="H74" i="2" s="1"/>
  <c r="N27" i="2"/>
  <c r="G27" i="2" s="1"/>
  <c r="H27" i="2" s="1"/>
  <c r="N28" i="2"/>
  <c r="G28" i="2" s="1"/>
  <c r="I45" i="3" s="1"/>
  <c r="P45" i="3" s="1"/>
  <c r="N43" i="2"/>
  <c r="G43" i="2" s="1"/>
  <c r="I97" i="3" s="1"/>
  <c r="P97" i="3" s="1"/>
  <c r="N59" i="2"/>
  <c r="G59" i="2" s="1"/>
  <c r="H59" i="2" s="1"/>
  <c r="N16" i="2"/>
  <c r="G16" i="2" s="1"/>
  <c r="N84" i="2"/>
  <c r="G84" i="2" s="1"/>
  <c r="H84" i="2" s="1"/>
  <c r="N87" i="2"/>
  <c r="G87" i="2" s="1"/>
  <c r="H87" i="2" s="1"/>
  <c r="N18" i="2"/>
  <c r="G18" i="2" s="1"/>
  <c r="N90" i="2"/>
  <c r="G90" i="2" s="1"/>
  <c r="H90" i="2" s="1"/>
  <c r="N93" i="2"/>
  <c r="G93" i="2" s="1"/>
  <c r="I68" i="3" s="1"/>
  <c r="P68" i="3" s="1"/>
  <c r="N95" i="2"/>
  <c r="G95" i="2" s="1"/>
  <c r="H95" i="2" s="1"/>
  <c r="N97" i="2"/>
  <c r="G97" i="2" s="1"/>
  <c r="I67" i="3" s="1"/>
  <c r="P67" i="3" s="1"/>
  <c r="N99" i="2"/>
  <c r="G99" i="2" s="1"/>
  <c r="H99" i="2" s="1"/>
  <c r="N100" i="2"/>
  <c r="G100" i="2" s="1"/>
  <c r="H100" i="2" s="1"/>
  <c r="N41" i="2"/>
  <c r="G41" i="2" s="1"/>
  <c r="I58" i="3" s="1"/>
  <c r="P58" i="3" s="1"/>
  <c r="N52" i="2"/>
  <c r="G52" i="2" s="1"/>
  <c r="I43" i="3" s="1"/>
  <c r="P43" i="3" s="1"/>
  <c r="N11" i="2"/>
  <c r="G11" i="2" s="1"/>
  <c r="I3" i="3" s="1"/>
  <c r="N55" i="2"/>
  <c r="G55" i="2" s="1"/>
  <c r="H55" i="2" s="1"/>
  <c r="N58" i="2"/>
  <c r="G58" i="2" s="1"/>
  <c r="I48" i="3" s="1"/>
  <c r="P48" i="3" s="1"/>
  <c r="N60" i="2"/>
  <c r="G60" i="2" s="1"/>
  <c r="H60" i="2" s="1"/>
  <c r="N14" i="2"/>
  <c r="G14" i="2" s="1"/>
  <c r="N79" i="2"/>
  <c r="G79" i="2" s="1"/>
  <c r="I55" i="3" s="1"/>
  <c r="P55" i="3" s="1"/>
  <c r="N80" i="2"/>
  <c r="G80" i="2" s="1"/>
  <c r="H80" i="2" s="1"/>
  <c r="N85" i="2"/>
  <c r="G85" i="2" s="1"/>
  <c r="H85" i="2" s="1"/>
  <c r="N89" i="2"/>
  <c r="G89" i="2" s="1"/>
  <c r="I81" i="3" s="1"/>
  <c r="P81" i="3" s="1"/>
  <c r="N91" i="2"/>
  <c r="G91" i="2" s="1"/>
  <c r="I57" i="3" s="1"/>
  <c r="P57" i="3" s="1"/>
  <c r="N94" i="2"/>
  <c r="G94" i="2" s="1"/>
  <c r="H94" i="2" s="1"/>
  <c r="N96" i="2"/>
  <c r="G96" i="2" s="1"/>
  <c r="H96" i="2" s="1"/>
  <c r="N98" i="2"/>
  <c r="G98" i="2" s="1"/>
  <c r="H98" i="2" s="1"/>
  <c r="N20" i="2"/>
  <c r="G20" i="2" s="1"/>
  <c r="P22" i="3"/>
  <c r="N26" i="2"/>
  <c r="G26" i="2" s="1"/>
  <c r="I52" i="3" s="1"/>
  <c r="P52" i="3" s="1"/>
  <c r="N23" i="2"/>
  <c r="G23" i="2" s="1"/>
  <c r="I85" i="3" s="1"/>
  <c r="K85" i="3" s="1"/>
  <c r="N25" i="2"/>
  <c r="G25" i="2" s="1"/>
  <c r="I29" i="3" s="1"/>
  <c r="N30" i="2"/>
  <c r="G30" i="2" s="1"/>
  <c r="I63" i="3" s="1"/>
  <c r="P63" i="3" s="1"/>
  <c r="N34" i="2"/>
  <c r="G34" i="2" s="1"/>
  <c r="H34" i="2" s="1"/>
  <c r="N36" i="2"/>
  <c r="G36" i="2" s="1"/>
  <c r="I42" i="3" s="1"/>
  <c r="K42" i="3" s="1"/>
  <c r="N42" i="2"/>
  <c r="G42" i="2" s="1"/>
  <c r="I87" i="3" s="1"/>
  <c r="P87" i="3" s="1"/>
  <c r="N44" i="2"/>
  <c r="G44" i="2" s="1"/>
  <c r="H44" i="2" s="1"/>
  <c r="N49" i="2"/>
  <c r="G49" i="2" s="1"/>
  <c r="I89" i="3" s="1"/>
  <c r="K89" i="3" s="1"/>
  <c r="N51" i="2"/>
  <c r="G51" i="2" s="1"/>
  <c r="I24" i="3" s="1"/>
  <c r="P24" i="3" s="1"/>
  <c r="N53" i="2"/>
  <c r="G53" i="2" s="1"/>
  <c r="H53" i="2" s="1"/>
  <c r="N54" i="2"/>
  <c r="G54" i="2" s="1"/>
  <c r="H54" i="2" s="1"/>
  <c r="N57" i="2"/>
  <c r="G57" i="2" s="1"/>
  <c r="H57" i="2" s="1"/>
  <c r="N62" i="2"/>
  <c r="G62" i="2" s="1"/>
  <c r="I79" i="3" s="1"/>
  <c r="P79" i="3" s="1"/>
  <c r="N65" i="2"/>
  <c r="G65" i="2" s="1"/>
  <c r="H65" i="2" s="1"/>
  <c r="N69" i="2"/>
  <c r="G69" i="2" s="1"/>
  <c r="I71" i="3" s="1"/>
  <c r="P71" i="3" s="1"/>
  <c r="N71" i="2"/>
  <c r="G71" i="2" s="1"/>
  <c r="H71" i="2" s="1"/>
  <c r="N73" i="2"/>
  <c r="G73" i="2" s="1"/>
  <c r="H73" i="2" s="1"/>
  <c r="N75" i="2"/>
  <c r="G75" i="2" s="1"/>
  <c r="I32" i="3" s="1"/>
  <c r="K32" i="3" s="1"/>
  <c r="N101" i="2"/>
  <c r="G101" i="2" s="1"/>
  <c r="I100" i="3" s="1"/>
  <c r="P100" i="3" s="1"/>
  <c r="N24" i="2"/>
  <c r="G24" i="2" s="1"/>
  <c r="H24" i="2" s="1"/>
  <c r="N50" i="2"/>
  <c r="G50" i="2" s="1"/>
  <c r="H50" i="2" s="1"/>
  <c r="N61" i="2"/>
  <c r="G61" i="2" s="1"/>
  <c r="I36" i="3" s="1"/>
  <c r="K36" i="3" s="1"/>
  <c r="P98" i="3"/>
  <c r="N78" i="2"/>
  <c r="G78" i="2" s="1"/>
  <c r="H78" i="2" s="1"/>
  <c r="N68" i="2"/>
  <c r="G68" i="2" s="1"/>
  <c r="N86" i="2"/>
  <c r="G86" i="2" s="1"/>
  <c r="I73" i="3" s="1"/>
  <c r="K73" i="3" s="1"/>
  <c r="N6" i="2"/>
  <c r="G6" i="2" s="1"/>
  <c r="I10" i="3" s="1"/>
  <c r="P10" i="3" s="1"/>
  <c r="N32" i="2"/>
  <c r="G32" i="2" s="1"/>
  <c r="H32" i="2" s="1"/>
  <c r="N40" i="2"/>
  <c r="G40" i="2" s="1"/>
  <c r="I70" i="3" s="1"/>
  <c r="N12" i="2"/>
  <c r="G12" i="2" s="1"/>
  <c r="N56" i="2"/>
  <c r="G56" i="2" s="1"/>
  <c r="I91" i="3" s="1"/>
  <c r="K91" i="3" s="1"/>
  <c r="N64" i="2"/>
  <c r="G64" i="2" s="1"/>
  <c r="N70" i="2"/>
  <c r="G70" i="2" s="1"/>
  <c r="H70" i="2" s="1"/>
  <c r="N76" i="2"/>
  <c r="G76" i="2" s="1"/>
  <c r="I60" i="3" s="1"/>
  <c r="K60" i="3" s="1"/>
  <c r="H82" i="2"/>
  <c r="N17" i="2"/>
  <c r="G17" i="2" s="1"/>
  <c r="N19" i="2"/>
  <c r="G19" i="2" s="1"/>
  <c r="I20" i="3" s="1"/>
  <c r="P20" i="3" s="1"/>
  <c r="I93" i="3"/>
  <c r="P93" i="3" s="1"/>
  <c r="H52" i="2"/>
  <c r="H63" i="2"/>
  <c r="I25" i="3"/>
  <c r="P25" i="3" s="1"/>
  <c r="I40" i="3"/>
  <c r="K40" i="3" s="1"/>
  <c r="H47" i="2"/>
  <c r="H38" i="2"/>
  <c r="L21" i="2"/>
  <c r="N4" i="2"/>
  <c r="G4" i="2" s="1"/>
  <c r="I13" i="3" s="1"/>
  <c r="P13" i="3" s="1"/>
  <c r="N46" i="2"/>
  <c r="G46" i="2" s="1"/>
  <c r="N13" i="2"/>
  <c r="G13" i="2" s="1"/>
  <c r="I12" i="3" s="1"/>
  <c r="P12" i="3" s="1"/>
  <c r="N5" i="2"/>
  <c r="G5" i="2" s="1"/>
  <c r="I19" i="3" s="1"/>
  <c r="P19" i="3" s="1"/>
  <c r="N31" i="2"/>
  <c r="G31" i="2" s="1"/>
  <c r="N39" i="2"/>
  <c r="G39" i="2" s="1"/>
  <c r="N9" i="2"/>
  <c r="G9" i="2" s="1"/>
  <c r="I17" i="3" s="1"/>
  <c r="P17" i="3" s="1"/>
  <c r="N45" i="2"/>
  <c r="G45" i="2" s="1"/>
  <c r="N10" i="2"/>
  <c r="G10" i="2" s="1"/>
  <c r="I9" i="3" s="1"/>
  <c r="P9" i="3" s="1"/>
  <c r="N67" i="2"/>
  <c r="G67" i="2" s="1"/>
  <c r="N72" i="2"/>
  <c r="G72" i="2" s="1"/>
  <c r="N81" i="2"/>
  <c r="G81" i="2" s="1"/>
  <c r="N83" i="2"/>
  <c r="G83" i="2" s="1"/>
  <c r="N92" i="2"/>
  <c r="G92" i="2" s="1"/>
  <c r="K22" i="3"/>
  <c r="K102" i="3"/>
  <c r="H102" i="2"/>
  <c r="K101" i="3"/>
  <c r="P102" i="3"/>
  <c r="K98" i="3"/>
  <c r="F8" i="5"/>
  <c r="E10" i="5"/>
  <c r="I18" i="4"/>
  <c r="I16" i="4"/>
  <c r="I15" i="4"/>
  <c r="I59" i="3" l="1"/>
  <c r="K59" i="3" s="1"/>
  <c r="H42" i="2"/>
  <c r="I19" i="4"/>
  <c r="H91" i="2"/>
  <c r="I26" i="3"/>
  <c r="K26" i="3" s="1"/>
  <c r="I56" i="3"/>
  <c r="K56" i="3" s="1"/>
  <c r="H49" i="2"/>
  <c r="I77" i="3"/>
  <c r="P77" i="3" s="1"/>
  <c r="I96" i="3"/>
  <c r="K96" i="3" s="1"/>
  <c r="I65" i="3"/>
  <c r="P65" i="3" s="1"/>
  <c r="H97" i="2"/>
  <c r="I80" i="3"/>
  <c r="K80" i="3" s="1"/>
  <c r="I41" i="3"/>
  <c r="K41" i="3" s="1"/>
  <c r="H43" i="2"/>
  <c r="H41" i="2"/>
  <c r="H75" i="2"/>
  <c r="H69" i="2"/>
  <c r="H101" i="2"/>
  <c r="H28" i="2"/>
  <c r="H56" i="2"/>
  <c r="I95" i="3"/>
  <c r="P95" i="3" s="1"/>
  <c r="I23" i="3"/>
  <c r="P23" i="3" s="1"/>
  <c r="H93" i="2"/>
  <c r="H29" i="2"/>
  <c r="I30" i="3"/>
  <c r="P30" i="3" s="1"/>
  <c r="H88" i="2"/>
  <c r="H58" i="2"/>
  <c r="I33" i="3"/>
  <c r="P33" i="3" s="1"/>
  <c r="I66" i="3"/>
  <c r="P66" i="3" s="1"/>
  <c r="I21" i="3"/>
  <c r="P21" i="3" s="1"/>
  <c r="H30" i="2"/>
  <c r="H76" i="2"/>
  <c r="H79" i="2"/>
  <c r="H66" i="2"/>
  <c r="I90" i="3"/>
  <c r="P90" i="3" s="1"/>
  <c r="I61" i="3"/>
  <c r="K61" i="3" s="1"/>
  <c r="K18" i="3"/>
  <c r="U18" i="3" s="1"/>
  <c r="V18" i="3" s="1"/>
  <c r="H15" i="2"/>
  <c r="I99" i="3"/>
  <c r="P99" i="3" s="1"/>
  <c r="H51" i="2"/>
  <c r="I35" i="3"/>
  <c r="K35" i="3" s="1"/>
  <c r="I84" i="3"/>
  <c r="K84" i="3" s="1"/>
  <c r="H8" i="2"/>
  <c r="P11" i="3"/>
  <c r="U11" i="3" s="1"/>
  <c r="V11" i="3" s="1"/>
  <c r="I37" i="3"/>
  <c r="K37" i="3" s="1"/>
  <c r="I53" i="3"/>
  <c r="K53" i="3" s="1"/>
  <c r="I88" i="3"/>
  <c r="K88" i="3" s="1"/>
  <c r="I82" i="3"/>
  <c r="K82" i="3" s="1"/>
  <c r="K63" i="3"/>
  <c r="U63" i="3" s="1"/>
  <c r="V63" i="3" s="1"/>
  <c r="U101" i="3"/>
  <c r="I75" i="3"/>
  <c r="K75" i="3" s="1"/>
  <c r="I49" i="3"/>
  <c r="K49" i="3" s="1"/>
  <c r="H62" i="2"/>
  <c r="I78" i="3"/>
  <c r="K78" i="3" s="1"/>
  <c r="I44" i="3"/>
  <c r="K44" i="3" s="1"/>
  <c r="H48" i="2"/>
  <c r="H35" i="2"/>
  <c r="H40" i="2"/>
  <c r="I50" i="3"/>
  <c r="K50" i="3" s="1"/>
  <c r="H36" i="2"/>
  <c r="I86" i="3"/>
  <c r="K86" i="3" s="1"/>
  <c r="H23" i="2"/>
  <c r="H7" i="2"/>
  <c r="H6" i="2"/>
  <c r="P94" i="3"/>
  <c r="U94" i="3" s="1"/>
  <c r="V94" i="3" s="1"/>
  <c r="U22" i="3"/>
  <c r="V22" i="3" s="1"/>
  <c r="H14" i="2"/>
  <c r="I5" i="3"/>
  <c r="P5" i="3" s="1"/>
  <c r="I15" i="3"/>
  <c r="P15" i="3" s="1"/>
  <c r="H17" i="2"/>
  <c r="I4" i="3"/>
  <c r="P4" i="3" s="1"/>
  <c r="H18" i="2"/>
  <c r="I16" i="3"/>
  <c r="P16" i="3" s="1"/>
  <c r="H16" i="2"/>
  <c r="N3" i="2"/>
  <c r="L104" i="2"/>
  <c r="H11" i="2"/>
  <c r="H12" i="2"/>
  <c r="I14" i="3"/>
  <c r="P14" i="3" s="1"/>
  <c r="H20" i="2"/>
  <c r="I6" i="3"/>
  <c r="U98" i="3"/>
  <c r="V98" i="3" s="1"/>
  <c r="H89" i="2"/>
  <c r="K93" i="3"/>
  <c r="U93" i="3" s="1"/>
  <c r="P60" i="3"/>
  <c r="U60" i="3" s="1"/>
  <c r="V60" i="3" s="1"/>
  <c r="K45" i="3"/>
  <c r="U45" i="3" s="1"/>
  <c r="V45" i="3" s="1"/>
  <c r="P85" i="3"/>
  <c r="U85" i="3" s="1"/>
  <c r="V85" i="3" s="1"/>
  <c r="P36" i="3"/>
  <c r="U36" i="3" s="1"/>
  <c r="V36" i="3" s="1"/>
  <c r="K81" i="3"/>
  <c r="U81" i="3" s="1"/>
  <c r="V81" i="3" s="1"/>
  <c r="K52" i="3"/>
  <c r="U52" i="3" s="1"/>
  <c r="V52" i="3" s="1"/>
  <c r="K55" i="3"/>
  <c r="U55" i="3" s="1"/>
  <c r="V55" i="3" s="1"/>
  <c r="P73" i="3"/>
  <c r="U73" i="3" s="1"/>
  <c r="V73" i="3" s="1"/>
  <c r="K58" i="3"/>
  <c r="U58" i="3" s="1"/>
  <c r="V58" i="3" s="1"/>
  <c r="K28" i="3"/>
  <c r="U28" i="3" s="1"/>
  <c r="V28" i="3" s="1"/>
  <c r="H26" i="2"/>
  <c r="K7" i="3"/>
  <c r="U7" i="3" s="1"/>
  <c r="V7" i="3" s="1"/>
  <c r="I34" i="3"/>
  <c r="P34" i="3" s="1"/>
  <c r="K47" i="3"/>
  <c r="U47" i="3" s="1"/>
  <c r="V47" i="3" s="1"/>
  <c r="P29" i="3"/>
  <c r="K29" i="3"/>
  <c r="P72" i="3"/>
  <c r="U72" i="3" s="1"/>
  <c r="V72" i="3" s="1"/>
  <c r="H61" i="2"/>
  <c r="H25" i="2"/>
  <c r="K67" i="3"/>
  <c r="U67" i="3" s="1"/>
  <c r="V67" i="3" s="1"/>
  <c r="K57" i="3"/>
  <c r="U57" i="3" s="1"/>
  <c r="V57" i="3" s="1"/>
  <c r="K10" i="3"/>
  <c r="U10" i="3" s="1"/>
  <c r="V10" i="3" s="1"/>
  <c r="I69" i="3"/>
  <c r="P69" i="3" s="1"/>
  <c r="P89" i="3"/>
  <c r="U89" i="3" s="1"/>
  <c r="V89" i="3" s="1"/>
  <c r="K48" i="3"/>
  <c r="U48" i="3" s="1"/>
  <c r="V48" i="3" s="1"/>
  <c r="H86" i="2"/>
  <c r="K70" i="3"/>
  <c r="P70" i="3"/>
  <c r="K87" i="3"/>
  <c r="U87" i="3" s="1"/>
  <c r="V87" i="3" s="1"/>
  <c r="I39" i="3"/>
  <c r="H64" i="2"/>
  <c r="K24" i="3"/>
  <c r="U24" i="3" s="1"/>
  <c r="V24" i="3" s="1"/>
  <c r="I64" i="3"/>
  <c r="H68" i="2"/>
  <c r="H19" i="2"/>
  <c r="P38" i="3"/>
  <c r="U38" i="3" s="1"/>
  <c r="V38" i="3" s="1"/>
  <c r="P42" i="3"/>
  <c r="U42" i="3" s="1"/>
  <c r="V42" i="3" s="1"/>
  <c r="P40" i="3"/>
  <c r="U40" i="3" s="1"/>
  <c r="V40" i="3" s="1"/>
  <c r="P32" i="3"/>
  <c r="U32" i="3" s="1"/>
  <c r="V32" i="3" s="1"/>
  <c r="I83" i="3"/>
  <c r="H83" i="2"/>
  <c r="F10" i="5"/>
  <c r="G8" i="5"/>
  <c r="G10" i="5" s="1"/>
  <c r="K79" i="3"/>
  <c r="U79" i="3" s="1"/>
  <c r="V79" i="3" s="1"/>
  <c r="U102" i="3"/>
  <c r="V102" i="3" s="1"/>
  <c r="H81" i="2"/>
  <c r="I27" i="3"/>
  <c r="I31" i="3"/>
  <c r="H39" i="2"/>
  <c r="H13" i="2"/>
  <c r="K68" i="3"/>
  <c r="U68" i="3" s="1"/>
  <c r="V68" i="3" s="1"/>
  <c r="I51" i="3"/>
  <c r="H67" i="2"/>
  <c r="H9" i="2"/>
  <c r="N21" i="2"/>
  <c r="K100" i="3"/>
  <c r="P46" i="3"/>
  <c r="U46" i="3" s="1"/>
  <c r="V46" i="3" s="1"/>
  <c r="P3" i="3"/>
  <c r="K3" i="3"/>
  <c r="I92" i="3"/>
  <c r="H92" i="2"/>
  <c r="H10" i="2"/>
  <c r="I74" i="3"/>
  <c r="H31" i="2"/>
  <c r="I62" i="3"/>
  <c r="H46" i="2"/>
  <c r="P91" i="3"/>
  <c r="U91" i="3" s="1"/>
  <c r="V91" i="3" s="1"/>
  <c r="K97" i="3"/>
  <c r="U97" i="3" s="1"/>
  <c r="V97" i="3" s="1"/>
  <c r="K71" i="3"/>
  <c r="U71" i="3" s="1"/>
  <c r="V71" i="3" s="1"/>
  <c r="K43" i="3"/>
  <c r="U43" i="3" s="1"/>
  <c r="V43" i="3" s="1"/>
  <c r="K25" i="3"/>
  <c r="U25" i="3" s="1"/>
  <c r="V25" i="3" s="1"/>
  <c r="I76" i="3"/>
  <c r="H72" i="2"/>
  <c r="I54" i="3"/>
  <c r="H45" i="2"/>
  <c r="H5" i="2"/>
  <c r="H4" i="2"/>
  <c r="P96" i="3" l="1"/>
  <c r="U96" i="3" s="1"/>
  <c r="V96" i="3" s="1"/>
  <c r="P59" i="3"/>
  <c r="U59" i="3" s="1"/>
  <c r="V59" i="3" s="1"/>
  <c r="K33" i="3"/>
  <c r="U33" i="3" s="1"/>
  <c r="V33" i="3" s="1"/>
  <c r="K77" i="3"/>
  <c r="U77" i="3" s="1"/>
  <c r="V77" i="3" s="1"/>
  <c r="P26" i="3"/>
  <c r="U26" i="3" s="1"/>
  <c r="V26" i="3" s="1"/>
  <c r="P35" i="3"/>
  <c r="U35" i="3" s="1"/>
  <c r="V35" i="3" s="1"/>
  <c r="P41" i="3"/>
  <c r="U41" i="3" s="1"/>
  <c r="V41" i="3" s="1"/>
  <c r="V101" i="3"/>
  <c r="X104" i="3"/>
  <c r="K95" i="3"/>
  <c r="U95" i="3" s="1"/>
  <c r="V95" i="3" s="1"/>
  <c r="P80" i="3"/>
  <c r="U80" i="3" s="1"/>
  <c r="V80" i="3" s="1"/>
  <c r="P61" i="3"/>
  <c r="U61" i="3" s="1"/>
  <c r="V61" i="3" s="1"/>
  <c r="P56" i="3"/>
  <c r="U56" i="3" s="1"/>
  <c r="V56" i="3" s="1"/>
  <c r="K30" i="3"/>
  <c r="U30" i="3" s="1"/>
  <c r="V30" i="3" s="1"/>
  <c r="K65" i="3"/>
  <c r="U65" i="3" s="1"/>
  <c r="V65" i="3" s="1"/>
  <c r="K66" i="3"/>
  <c r="U66" i="3" s="1"/>
  <c r="V66" i="3" s="1"/>
  <c r="K90" i="3"/>
  <c r="U90" i="3" s="1"/>
  <c r="V90" i="3" s="1"/>
  <c r="K23" i="3"/>
  <c r="U23" i="3" s="1"/>
  <c r="V23" i="3" s="1"/>
  <c r="P37" i="3"/>
  <c r="U37" i="3" s="1"/>
  <c r="V37" i="3" s="1"/>
  <c r="K21" i="3"/>
  <c r="U21" i="3" s="1"/>
  <c r="V21" i="3" s="1"/>
  <c r="K99" i="3"/>
  <c r="U99" i="3" s="1"/>
  <c r="V99" i="3" s="1"/>
  <c r="P75" i="3"/>
  <c r="U75" i="3" s="1"/>
  <c r="V75" i="3" s="1"/>
  <c r="P53" i="3"/>
  <c r="U53" i="3" s="1"/>
  <c r="V53" i="3" s="1"/>
  <c r="P84" i="3"/>
  <c r="U84" i="3" s="1"/>
  <c r="V84" i="3" s="1"/>
  <c r="P82" i="3"/>
  <c r="U82" i="3" s="1"/>
  <c r="V82" i="3" s="1"/>
  <c r="P88" i="3"/>
  <c r="U88" i="3" s="1"/>
  <c r="V88" i="3" s="1"/>
  <c r="U100" i="3"/>
  <c r="P78" i="3"/>
  <c r="U78" i="3" s="1"/>
  <c r="V78" i="3" s="1"/>
  <c r="P49" i="3"/>
  <c r="U49" i="3" s="1"/>
  <c r="V49" i="3" s="1"/>
  <c r="P86" i="3"/>
  <c r="U86" i="3" s="1"/>
  <c r="V86" i="3" s="1"/>
  <c r="P50" i="3"/>
  <c r="U50" i="3" s="1"/>
  <c r="V50" i="3" s="1"/>
  <c r="P44" i="3"/>
  <c r="U44" i="3" s="1"/>
  <c r="V44" i="3" s="1"/>
  <c r="K14" i="3"/>
  <c r="U14" i="3" s="1"/>
  <c r="V14" i="3" s="1"/>
  <c r="K15" i="3"/>
  <c r="U15" i="3" s="1"/>
  <c r="V15" i="3" s="1"/>
  <c r="G3" i="2"/>
  <c r="N104" i="2"/>
  <c r="P6" i="3"/>
  <c r="K6" i="3"/>
  <c r="K4" i="3"/>
  <c r="U4" i="3" s="1"/>
  <c r="V4" i="3" s="1"/>
  <c r="K34" i="3"/>
  <c r="U34" i="3" s="1"/>
  <c r="V34" i="3" s="1"/>
  <c r="K5" i="3"/>
  <c r="U70" i="3"/>
  <c r="V70" i="3" s="1"/>
  <c r="K69" i="3"/>
  <c r="U69" i="3" s="1"/>
  <c r="V69" i="3" s="1"/>
  <c r="U29" i="3"/>
  <c r="V29" i="3" s="1"/>
  <c r="K16" i="3"/>
  <c r="K64" i="3"/>
  <c r="P64" i="3"/>
  <c r="K20" i="3"/>
  <c r="P39" i="3"/>
  <c r="K39" i="3"/>
  <c r="P27" i="3"/>
  <c r="K27" i="3"/>
  <c r="K19" i="3"/>
  <c r="K74" i="3"/>
  <c r="P74" i="3"/>
  <c r="P92" i="3"/>
  <c r="K92" i="3"/>
  <c r="H8" i="5"/>
  <c r="H10" i="5" s="1"/>
  <c r="K83" i="3"/>
  <c r="P83" i="3"/>
  <c r="P51" i="3"/>
  <c r="K51" i="3"/>
  <c r="K12" i="3"/>
  <c r="K76" i="3"/>
  <c r="P76" i="3"/>
  <c r="K17" i="3"/>
  <c r="K13" i="3"/>
  <c r="K54" i="3"/>
  <c r="P54" i="3"/>
  <c r="K62" i="3"/>
  <c r="P62" i="3"/>
  <c r="K9" i="3"/>
  <c r="U3" i="3"/>
  <c r="P31" i="3"/>
  <c r="K31" i="3"/>
  <c r="V100" i="3" l="1"/>
  <c r="U6" i="3"/>
  <c r="V6" i="3" s="1"/>
  <c r="I8" i="3"/>
  <c r="I104" i="3" s="1"/>
  <c r="G104" i="2"/>
  <c r="H3" i="2"/>
  <c r="H104" i="2" s="1"/>
  <c r="H106" i="2" s="1"/>
  <c r="H108" i="2" s="1"/>
  <c r="H109" i="2" s="1"/>
  <c r="H110" i="2" s="1"/>
  <c r="H113" i="2" s="1"/>
  <c r="H114" i="2" s="1"/>
  <c r="H115" i="2" s="1"/>
  <c r="U5" i="3"/>
  <c r="V5" i="3" s="1"/>
  <c r="U16" i="3"/>
  <c r="V16" i="3" s="1"/>
  <c r="U20" i="3"/>
  <c r="V20" i="3" s="1"/>
  <c r="U27" i="3"/>
  <c r="V27" i="3" s="1"/>
  <c r="U39" i="3"/>
  <c r="V39" i="3" s="1"/>
  <c r="U13" i="3"/>
  <c r="V13" i="3" s="1"/>
  <c r="U51" i="3"/>
  <c r="V51" i="3" s="1"/>
  <c r="U64" i="3"/>
  <c r="V64" i="3" s="1"/>
  <c r="U92" i="3"/>
  <c r="V92" i="3" s="1"/>
  <c r="U31" i="3"/>
  <c r="V31" i="3" s="1"/>
  <c r="U9" i="3"/>
  <c r="U17" i="3"/>
  <c r="V17" i="3" s="1"/>
  <c r="U12" i="3"/>
  <c r="V12" i="3" s="1"/>
  <c r="V3" i="3"/>
  <c r="U62" i="3"/>
  <c r="V62" i="3" s="1"/>
  <c r="U74" i="3"/>
  <c r="V74" i="3" s="1"/>
  <c r="U76" i="3"/>
  <c r="V76" i="3" s="1"/>
  <c r="U54" i="3"/>
  <c r="V54" i="3" s="1"/>
  <c r="U83" i="3"/>
  <c r="V83" i="3" s="1"/>
  <c r="U19" i="3"/>
  <c r="V19" i="3" s="1"/>
  <c r="E11" i="4" l="1"/>
  <c r="E12" i="4" s="1"/>
  <c r="P8" i="3"/>
  <c r="P104" i="3" s="1"/>
  <c r="K8" i="3"/>
  <c r="K104" i="3" s="1"/>
  <c r="V9" i="3"/>
  <c r="E16" i="4" l="1"/>
  <c r="E17" i="4"/>
  <c r="E15" i="4"/>
  <c r="E18" i="4"/>
  <c r="U8" i="3"/>
  <c r="U104" i="3" s="1"/>
  <c r="E19" i="4" l="1"/>
  <c r="V8" i="3"/>
  <c r="V104" i="3" s="1"/>
  <c r="AF29" i="1" l="1"/>
  <c r="AE29" i="1"/>
  <c r="AD29" i="1"/>
  <c r="AC29" i="1"/>
  <c r="AB29" i="1"/>
  <c r="AA29" i="1"/>
  <c r="Z29" i="1"/>
  <c r="Y29" i="1"/>
  <c r="X29" i="1"/>
  <c r="W29" i="1"/>
  <c r="V29" i="1"/>
  <c r="M33" i="1" s="1"/>
  <c r="U29" i="1"/>
  <c r="T29" i="1"/>
  <c r="S29" i="1"/>
  <c r="R29" i="1"/>
  <c r="M40" i="1" s="1"/>
  <c r="Q29" i="1"/>
  <c r="P29" i="1"/>
  <c r="O29" i="1"/>
  <c r="N29" i="1"/>
  <c r="M29" i="1"/>
  <c r="M41" i="1" s="1"/>
  <c r="L29" i="1"/>
  <c r="K29" i="1"/>
  <c r="J29" i="1"/>
  <c r="I29" i="1"/>
  <c r="H29" i="1"/>
  <c r="G29" i="1"/>
  <c r="F29" i="1"/>
  <c r="E29" i="1"/>
  <c r="D29" i="1"/>
  <c r="C29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29" i="1" s="1"/>
  <c r="M48" i="1" s="1"/>
  <c r="AG11" i="1"/>
  <c r="AG10" i="1"/>
  <c r="M35" i="1" l="1"/>
  <c r="M37" i="1" s="1"/>
  <c r="M38" i="1" s="1"/>
  <c r="M39" i="1" s="1"/>
  <c r="M42" i="1" s="1"/>
  <c r="M51" i="1"/>
  <c r="M49" i="1"/>
  <c r="M50" i="1" s="1"/>
  <c r="M52" i="1" s="1"/>
  <c r="M53" i="1" s="1"/>
  <c r="M54" i="1" s="1"/>
  <c r="M43" i="1" l="1"/>
  <c r="M44" i="1" s="1"/>
</calcChain>
</file>

<file path=xl/sharedStrings.xml><?xml version="1.0" encoding="utf-8"?>
<sst xmlns="http://schemas.openxmlformats.org/spreadsheetml/2006/main" count="1322" uniqueCount="447">
  <si>
    <t>CONSULTORIA EN PROYECTOS DINAMICOS S DE RL DE CV</t>
  </si>
  <si>
    <t>Lista de Raya (forma tabular)</t>
  </si>
  <si>
    <t>Periodo 9 al 9 QNA SEITON del 01/05/2019 al 15/05/2019</t>
  </si>
  <si>
    <t>Reg Pat IMSS: Z2940859106</t>
  </si>
  <si>
    <t xml:space="preserve">RFC: CPD -150911-FA3 </t>
  </si>
  <si>
    <t>Código</t>
  </si>
  <si>
    <t>Empleado</t>
  </si>
  <si>
    <t>Sueldo</t>
  </si>
  <si>
    <t>Vacaciones a tiempo</t>
  </si>
  <si>
    <t>Prima de vacaciones a tiempo</t>
  </si>
  <si>
    <t>Ayuda de Transporte</t>
  </si>
  <si>
    <t>Ayuda Alimentaria</t>
  </si>
  <si>
    <t>Ayuda de Renta</t>
  </si>
  <si>
    <t>*TOTAL* *PERCEPCIONES*</t>
  </si>
  <si>
    <t>Seguro de vivienda Infonavit</t>
  </si>
  <si>
    <t>Préstamo Infonavit (vsm)</t>
  </si>
  <si>
    <t>Subsidio al Empleo (sp)</t>
  </si>
  <si>
    <t>I.S.R. (sp)</t>
  </si>
  <si>
    <t>I.M.S.S.</t>
  </si>
  <si>
    <t>Ajuste al neto</t>
  </si>
  <si>
    <t>*TOTAL* *DEDUCCIONES*</t>
  </si>
  <si>
    <t>*NETO*</t>
  </si>
  <si>
    <t>Invalidez y Vida</t>
  </si>
  <si>
    <t>Cesantia y Vejez</t>
  </si>
  <si>
    <t>Enf. y Mat. Patron</t>
  </si>
  <si>
    <t>2% Fondo retiro SAR (8)</t>
  </si>
  <si>
    <t>2% Impuesto estatal</t>
  </si>
  <si>
    <t>Riesgo de trabajo (9)</t>
  </si>
  <si>
    <t>I.M.S.S. empresa</t>
  </si>
  <si>
    <t>Infonavit empresa</t>
  </si>
  <si>
    <t>Guarderia I.M.S.S. (7)</t>
  </si>
  <si>
    <t>IVA</t>
  </si>
  <si>
    <t>Dias Laborados</t>
  </si>
  <si>
    <t>Dias Vacaciones</t>
  </si>
  <si>
    <t>Salario Diario</t>
  </si>
  <si>
    <t>Salario Diario Integrado</t>
  </si>
  <si>
    <t>Banco</t>
  </si>
  <si>
    <t>SEI0010</t>
  </si>
  <si>
    <t>SEI0449</t>
  </si>
  <si>
    <t>SEI0009</t>
  </si>
  <si>
    <t>Gutierrez Gutierrez Luis Arturo</t>
  </si>
  <si>
    <t>SEI0026</t>
  </si>
  <si>
    <t>Patricio Aguilar Jhonattan Cristian</t>
  </si>
  <si>
    <t>SEI0040</t>
  </si>
  <si>
    <t>Mora Ramirez Acal Aldo Isidro</t>
  </si>
  <si>
    <t>SEI0041</t>
  </si>
  <si>
    <t>Vazquez Perez Miguel Angel</t>
  </si>
  <si>
    <t>SEI0088</t>
  </si>
  <si>
    <t>Morgado Fernandez Martin</t>
  </si>
  <si>
    <t>SEI0097</t>
  </si>
  <si>
    <t>Arreola Jimenez Jose Nieves</t>
  </si>
  <si>
    <t>SEI0099</t>
  </si>
  <si>
    <t>Garcia Villicaña Ricardo Pascual</t>
  </si>
  <si>
    <t>SEI0108</t>
  </si>
  <si>
    <t>Caballero Diaz Francisco Javier</t>
  </si>
  <si>
    <t>SEI0116</t>
  </si>
  <si>
    <t>Casillas Cardona Cesar Alejandro</t>
  </si>
  <si>
    <t>SEI0117</t>
  </si>
  <si>
    <t>Mariscal Romero Luis Adrian</t>
  </si>
  <si>
    <t>SEI0118</t>
  </si>
  <si>
    <t>Arroyo Ramirez Hector Hugo</t>
  </si>
  <si>
    <t>SEI0127</t>
  </si>
  <si>
    <t>Hernandez Ochoa Eduardo</t>
  </si>
  <si>
    <t>SEI0173</t>
  </si>
  <si>
    <t>Nieto Ortiz Jose Luis</t>
  </si>
  <si>
    <t>SEI0221</t>
  </si>
  <si>
    <t>Rogel Teran Marco Antonio</t>
  </si>
  <si>
    <t>SEI0401</t>
  </si>
  <si>
    <t>De La Torre Zambara Francisco Ernesto</t>
  </si>
  <si>
    <t>SEI0425</t>
  </si>
  <si>
    <t>Carbajal Cabuto Jose Luis</t>
  </si>
  <si>
    <t>SEI0435</t>
  </si>
  <si>
    <t>Benavides Herrera Alejandra</t>
  </si>
  <si>
    <t>SEI0442</t>
  </si>
  <si>
    <t>Sierra Escamilla Daniela</t>
  </si>
  <si>
    <t xml:space="preserve">  =============</t>
  </si>
  <si>
    <t>Total Gral.</t>
  </si>
  <si>
    <t xml:space="preserve"> </t>
  </si>
  <si>
    <t>Aguinaldo</t>
  </si>
  <si>
    <t>SINDICATO</t>
  </si>
  <si>
    <t>PRIMA VACACIONAL</t>
  </si>
  <si>
    <t>CLAVE</t>
  </si>
  <si>
    <t>EMPRESA</t>
  </si>
  <si>
    <t>NOMBRE</t>
  </si>
  <si>
    <t xml:space="preserve">SUELDO SINDICATO </t>
  </si>
  <si>
    <t>BONO</t>
  </si>
  <si>
    <t>COMISION</t>
  </si>
  <si>
    <t>prima vacaciones</t>
  </si>
  <si>
    <t>TOTAL</t>
  </si>
  <si>
    <t>DIAS DE VACACIONES</t>
  </si>
  <si>
    <t>SUELDO NETO MENSUAL</t>
  </si>
  <si>
    <t>MONTO PRIMA TOTAL</t>
  </si>
  <si>
    <t>MENOS PRIMA IMSS</t>
  </si>
  <si>
    <t>PRIMA A PAGAR SINDICATO</t>
  </si>
  <si>
    <t>SEI0544</t>
  </si>
  <si>
    <t>IP INNOVACION</t>
  </si>
  <si>
    <t>Aguilar Aguirre Alfonso</t>
  </si>
  <si>
    <t xml:space="preserve"> SEI0652</t>
  </si>
  <si>
    <t>SEI0431</t>
  </si>
  <si>
    <t>Alcaraz Conde Zabdi Guadalupe</t>
  </si>
  <si>
    <t xml:space="preserve"> SEI0456</t>
  </si>
  <si>
    <t>SEI0527</t>
  </si>
  <si>
    <t>Alejandro Peña Deivi</t>
  </si>
  <si>
    <t xml:space="preserve"> SEI0628</t>
  </si>
  <si>
    <t>SEI0535</t>
  </si>
  <si>
    <t>Alejandro Vazquez Erasmo Miguel</t>
  </si>
  <si>
    <t xml:space="preserve"> SEI0638</t>
  </si>
  <si>
    <t>SEI0029</t>
  </si>
  <si>
    <t>Arceo Garcia Manuel Federico</t>
  </si>
  <si>
    <t xml:space="preserve"> SEI0029</t>
  </si>
  <si>
    <t>CONSULTORIA</t>
  </si>
  <si>
    <t xml:space="preserve"> SEI0097</t>
  </si>
  <si>
    <t xml:space="preserve"> SEI0118</t>
  </si>
  <si>
    <t>SEI0472</t>
  </si>
  <si>
    <t>Arzate Gil Juan Sebastian</t>
  </si>
  <si>
    <t xml:space="preserve"> SEI0550</t>
  </si>
  <si>
    <t>SEI0377</t>
  </si>
  <si>
    <t xml:space="preserve"> SEI0377</t>
  </si>
  <si>
    <t xml:space="preserve"> SEI0108</t>
  </si>
  <si>
    <t xml:space="preserve"> SEI0453</t>
  </si>
  <si>
    <t>SEI0528</t>
  </si>
  <si>
    <t>Casas Chavarria Rafael</t>
  </si>
  <si>
    <t xml:space="preserve"> SEI0629</t>
  </si>
  <si>
    <t xml:space="preserve"> SEI0116</t>
  </si>
  <si>
    <t>SEI0460</t>
  </si>
  <si>
    <t>Castellon Ramos Rene</t>
  </si>
  <si>
    <t xml:space="preserve"> SEI0499</t>
  </si>
  <si>
    <t>SEI0443</t>
  </si>
  <si>
    <t>Castillo Nungaray Nestor Roman</t>
  </si>
  <si>
    <t xml:space="preserve"> SEI0468</t>
  </si>
  <si>
    <t>SEI0490</t>
  </si>
  <si>
    <t>Castillo Ramirez Hector Ivan</t>
  </si>
  <si>
    <t xml:space="preserve"> SEI0448</t>
  </si>
  <si>
    <t>SEI0508</t>
  </si>
  <si>
    <t>Cerro Garcia Elvis</t>
  </si>
  <si>
    <t xml:space="preserve"> SEI0513</t>
  </si>
  <si>
    <t>SEI0499</t>
  </si>
  <si>
    <t>Chavez Dominguez Salvador</t>
  </si>
  <si>
    <t xml:space="preserve"> SEI0483</t>
  </si>
  <si>
    <t>SEI0541</t>
  </si>
  <si>
    <t>Chavez Govea Edgar Aram</t>
  </si>
  <si>
    <t xml:space="preserve"> SEI0644</t>
  </si>
  <si>
    <t>Chavez Pedraza Samuel</t>
  </si>
  <si>
    <t xml:space="preserve"> SEI0467</t>
  </si>
  <si>
    <t>SEI0462</t>
  </si>
  <si>
    <t>Chavez Saucedo Jorge Arturo</t>
  </si>
  <si>
    <t xml:space="preserve"> SEI0516</t>
  </si>
  <si>
    <t>SEI0456</t>
  </si>
  <si>
    <t>Chavira Garcia David Fernando</t>
  </si>
  <si>
    <t xml:space="preserve"> SEI0495</t>
  </si>
  <si>
    <t>SEI0538</t>
  </si>
  <si>
    <t>Coronado Vega Carlos Eduardo</t>
  </si>
  <si>
    <t xml:space="preserve"> SEI0642</t>
  </si>
  <si>
    <t>SEI0015</t>
  </si>
  <si>
    <t>Cota Jaramillo Miguel Angel</t>
  </si>
  <si>
    <t xml:space="preserve"> SEI0015</t>
  </si>
  <si>
    <t>SEI0413</t>
  </si>
  <si>
    <t>Courtenay Gutierrez Barry Vladimir</t>
  </si>
  <si>
    <t xml:space="preserve"> SEI0436</t>
  </si>
  <si>
    <t>SEI0501</t>
  </si>
  <si>
    <t>Cruz Herrera Roberto</t>
  </si>
  <si>
    <t xml:space="preserve"> SEI0485</t>
  </si>
  <si>
    <t>SEI479</t>
  </si>
  <si>
    <t>Cruz Perez Alejandro Nezahualcoyotl</t>
  </si>
  <si>
    <t xml:space="preserve"> SEI0606</t>
  </si>
  <si>
    <t xml:space="preserve"> SEI0401</t>
  </si>
  <si>
    <t>SEI0530</t>
  </si>
  <si>
    <t>Del Pilar Mendez Lucio</t>
  </si>
  <si>
    <t xml:space="preserve"> SEI0630</t>
  </si>
  <si>
    <t>SEI0543</t>
  </si>
  <si>
    <t>Diaz Ortiz Hiram Guillermo</t>
  </si>
  <si>
    <t xml:space="preserve"> SEI0646</t>
  </si>
  <si>
    <t>SEI0364</t>
  </si>
  <si>
    <t>Dominguez Lopez Mayeli Del Pilar</t>
  </si>
  <si>
    <t xml:space="preserve"> SEI0364</t>
  </si>
  <si>
    <t>SEI0474</t>
  </si>
  <si>
    <t>Enriquez Zamora Jessica Del Rocio</t>
  </si>
  <si>
    <t xml:space="preserve"> SEI0600</t>
  </si>
  <si>
    <t>SEI0489</t>
  </si>
  <si>
    <t>Escobedo Olivares Juan Guadalupe</t>
  </si>
  <si>
    <t xml:space="preserve"> SEI0447</t>
  </si>
  <si>
    <t>Flores Cerrillos Jorge Humberto</t>
  </si>
  <si>
    <t xml:space="preserve"> SEI0474</t>
  </si>
  <si>
    <t>SEI0461</t>
  </si>
  <si>
    <t>Flores Franco Marco</t>
  </si>
  <si>
    <t xml:space="preserve"> SEI0500</t>
  </si>
  <si>
    <t>SEI0500</t>
  </si>
  <si>
    <t>Garcia Gutierrez Jose Juan</t>
  </si>
  <si>
    <t xml:space="preserve"> SEI0484</t>
  </si>
  <si>
    <t xml:space="preserve"> SEI0099</t>
  </si>
  <si>
    <t>SEI0534</t>
  </si>
  <si>
    <t>Gonzalez Ramirez Paul</t>
  </si>
  <si>
    <t>0SEI0635</t>
  </si>
  <si>
    <t>SEI0019</t>
  </si>
  <si>
    <t>Gonzalez Rasgado Miguel Isaias</t>
  </si>
  <si>
    <t xml:space="preserve"> SEI0019</t>
  </si>
  <si>
    <t>SEI0457</t>
  </si>
  <si>
    <t>Guerrero Lara Cesar Adrian</t>
  </si>
  <si>
    <t xml:space="preserve"> SEI0496</t>
  </si>
  <si>
    <t>SEI0509</t>
  </si>
  <si>
    <t>Gutierrez Castillo Jose De Jesus</t>
  </si>
  <si>
    <t xml:space="preserve"> SEI0610</t>
  </si>
  <si>
    <t xml:space="preserve"> SEI0009</t>
  </si>
  <si>
    <t>SEI0483</t>
  </si>
  <si>
    <t>Gutierrez Muñoz Carlos Alejandro</t>
  </si>
  <si>
    <t xml:space="preserve"> SEI0095</t>
  </si>
  <si>
    <t>SEI0476</t>
  </si>
  <si>
    <t>Hernandez Garcia Manuel Alejandro</t>
  </si>
  <si>
    <t xml:space="preserve"> SEI0602</t>
  </si>
  <si>
    <t xml:space="preserve"> SEI0127</t>
  </si>
  <si>
    <t>SEI0536</t>
  </si>
  <si>
    <t>Hernandez Ojeda Julio Cesar</t>
  </si>
  <si>
    <t xml:space="preserve"> SEI0640</t>
  </si>
  <si>
    <t>SEI0523</t>
  </si>
  <si>
    <t>Hernandez Rodriguez Jorge</t>
  </si>
  <si>
    <t xml:space="preserve"> SEI0624</t>
  </si>
  <si>
    <t>SEI0464</t>
  </si>
  <si>
    <t>Hueramo Hueramo Jesus Daniel</t>
  </si>
  <si>
    <t xml:space="preserve"> SEI 502</t>
  </si>
  <si>
    <t>SEI0511</t>
  </si>
  <si>
    <t>Lizaran Maceda Jose Guadalupe</t>
  </si>
  <si>
    <t xml:space="preserve"> SEI0517</t>
  </si>
  <si>
    <t>SEI0525</t>
  </si>
  <si>
    <t>Lizaran Maceda Jesus</t>
  </si>
  <si>
    <t xml:space="preserve"> SEI0626</t>
  </si>
  <si>
    <t>SEI0438</t>
  </si>
  <si>
    <t>Lopez Terron Roberto Porfirio</t>
  </si>
  <si>
    <t xml:space="preserve"> SEI0463</t>
  </si>
  <si>
    <t>SEI0517</t>
  </si>
  <si>
    <t>Macias Torres Enrique</t>
  </si>
  <si>
    <t xml:space="preserve"> SEI0120</t>
  </si>
  <si>
    <t>SEI0020</t>
  </si>
  <si>
    <t>Mar Marquez Cesar Eduardo</t>
  </si>
  <si>
    <t xml:space="preserve"> SEI0020</t>
  </si>
  <si>
    <t xml:space="preserve"> SEI0117</t>
  </si>
  <si>
    <t>SEI0444</t>
  </si>
  <si>
    <t>Marquez Hernandez Rogelio</t>
  </si>
  <si>
    <t xml:space="preserve"> SEI0469</t>
  </si>
  <si>
    <t>SEI0428</t>
  </si>
  <si>
    <t>Martinez Hernandez J. Antonio</t>
  </si>
  <si>
    <t xml:space="preserve"> SEI0452</t>
  </si>
  <si>
    <t>SEI0504</t>
  </si>
  <si>
    <t>Martinez Malo Cesar</t>
  </si>
  <si>
    <t xml:space="preserve"> SEI0488</t>
  </si>
  <si>
    <t>SEI0469</t>
  </si>
  <si>
    <t>Martinez Morales Jose Martin</t>
  </si>
  <si>
    <t xml:space="preserve"> SEI0511</t>
  </si>
  <si>
    <t>SEI0493</t>
  </si>
  <si>
    <t>Martinez Morales Tomas</t>
  </si>
  <si>
    <t xml:space="preserve"> SEI0477</t>
  </si>
  <si>
    <t>SEI0503</t>
  </si>
  <si>
    <t>Martinez Rodriguez Paulo Cesar</t>
  </si>
  <si>
    <t xml:space="preserve"> SEI0487</t>
  </si>
  <si>
    <t>SEI0458</t>
  </si>
  <si>
    <t>Martinez Zamora Gerardo Mario</t>
  </si>
  <si>
    <t xml:space="preserve"> SEI0497</t>
  </si>
  <si>
    <t>SEI0494</t>
  </si>
  <si>
    <t>Medellin Colunga Ruben Dario</t>
  </si>
  <si>
    <t xml:space="preserve"> SEI0478</t>
  </si>
  <si>
    <t>SEI0506</t>
  </si>
  <si>
    <t>Mejia Duarte Jose Luis</t>
  </si>
  <si>
    <t xml:space="preserve"> SEI0506</t>
  </si>
  <si>
    <t>SEI0513</t>
  </si>
  <si>
    <t>Mendez Rivera Ivan Israel</t>
  </si>
  <si>
    <t xml:space="preserve"> SEI0612</t>
  </si>
  <si>
    <t>SEI0488</t>
  </si>
  <si>
    <t>Mireles Casillas Brenda Cristina</t>
  </si>
  <si>
    <t xml:space="preserve"> SEI0446</t>
  </si>
  <si>
    <t>Marin Avila Hector</t>
  </si>
  <si>
    <t xml:space="preserve"> SEI0445</t>
  </si>
  <si>
    <t>SEI0485</t>
  </si>
  <si>
    <t>Molina Ramirez Gerardo Daniel</t>
  </si>
  <si>
    <t xml:space="preserve"> SEI0033</t>
  </si>
  <si>
    <t xml:space="preserve"> SEI0014 </t>
  </si>
  <si>
    <t>Montoya Portillo Carlos Alberto</t>
  </si>
  <si>
    <t xml:space="preserve"> SEI0014</t>
  </si>
  <si>
    <t xml:space="preserve"> SEI0040</t>
  </si>
  <si>
    <t>SEI0540</t>
  </si>
  <si>
    <t>Morales Martinez Eduardo</t>
  </si>
  <si>
    <t xml:space="preserve"> SEI0648</t>
  </si>
  <si>
    <t>SEI0475</t>
  </si>
  <si>
    <t>Moreno Quiroga Ana Sarahi</t>
  </si>
  <si>
    <t xml:space="preserve"> SEI0601</t>
  </si>
  <si>
    <t xml:space="preserve"> SEI0088</t>
  </si>
  <si>
    <t>SEI0017</t>
  </si>
  <si>
    <t>Muñoz Reyes Luis Eduardo</t>
  </si>
  <si>
    <t xml:space="preserve"> SEI0017</t>
  </si>
  <si>
    <t>SEI0022</t>
  </si>
  <si>
    <t>Najera Lopez Raul</t>
  </si>
  <si>
    <t xml:space="preserve"> SEI0022</t>
  </si>
  <si>
    <t>Negrete Bejar Aide Sarai</t>
  </si>
  <si>
    <t xml:space="preserve"> SEI0016</t>
  </si>
  <si>
    <t xml:space="preserve"> SEI0173</t>
  </si>
  <si>
    <t>SEI0524</t>
  </si>
  <si>
    <t>Orea Gonzalez Concepcion Esteban</t>
  </si>
  <si>
    <t xml:space="preserve"> SEI0625</t>
  </si>
  <si>
    <t>SEI0424</t>
  </si>
  <si>
    <t>Palacios Ramos Jesus</t>
  </si>
  <si>
    <t xml:space="preserve"> SEI0424</t>
  </si>
  <si>
    <t>SEI0519</t>
  </si>
  <si>
    <t>Palacios Vega Luis Rosendo</t>
  </si>
  <si>
    <t xml:space="preserve"> SEI0519</t>
  </si>
  <si>
    <t xml:space="preserve"> SEI0026</t>
  </si>
  <si>
    <t>SEI0505</t>
  </si>
  <si>
    <t>Perez Balboa Cesar</t>
  </si>
  <si>
    <t xml:space="preserve"> SEI0489</t>
  </si>
  <si>
    <t>SEI0455</t>
  </si>
  <si>
    <t>Perez Garcia Andres Alvaro</t>
  </si>
  <si>
    <t xml:space="preserve"> SEI0494</t>
  </si>
  <si>
    <t>SEI0023</t>
  </si>
  <si>
    <t>Puente Murguia Luis Felipe</t>
  </si>
  <si>
    <t xml:space="preserve"> SEI0023</t>
  </si>
  <si>
    <t xml:space="preserve"> SEI0221</t>
  </si>
  <si>
    <t>SEI0521</t>
  </si>
  <si>
    <t>Rondero Savin Jacinto</t>
  </si>
  <si>
    <t xml:space="preserve"> SEI0622</t>
  </si>
  <si>
    <t>SEI0465</t>
  </si>
  <si>
    <t>Sandoval Garcia Luis</t>
  </si>
  <si>
    <t xml:space="preserve"> SEI0503</t>
  </si>
  <si>
    <t>SEI0477</t>
  </si>
  <si>
    <t>Sandoval Medina Demetrio</t>
  </si>
  <si>
    <t xml:space="preserve"> SEI0603</t>
  </si>
  <si>
    <t>SEI0537</t>
  </si>
  <si>
    <t>Serrano Esquivel Armando</t>
  </si>
  <si>
    <t xml:space="preserve"> SEI0641</t>
  </si>
  <si>
    <t xml:space="preserve"> SEI0618</t>
  </si>
  <si>
    <t>SEI0498</t>
  </si>
  <si>
    <t>Tenorio Alvarez Alberto Antonio</t>
  </si>
  <si>
    <t xml:space="preserve"> SEI0482</t>
  </si>
  <si>
    <t>SEI0495</t>
  </si>
  <si>
    <t>Torres Perez Carlos Alberto</t>
  </si>
  <si>
    <t xml:space="preserve"> SEI0479</t>
  </si>
  <si>
    <t>Torres Ricardez Alfredo</t>
  </si>
  <si>
    <t xml:space="preserve"> SEI0010</t>
  </si>
  <si>
    <t>SEI0473</t>
  </si>
  <si>
    <t>Torres Velazquez Juan Antonio</t>
  </si>
  <si>
    <t xml:space="preserve"> SEI0604</t>
  </si>
  <si>
    <t>SEI0497</t>
  </si>
  <si>
    <t>Treviño Alvarez Jorge Alberto</t>
  </si>
  <si>
    <t xml:space="preserve"> SEI0481</t>
  </si>
  <si>
    <t>SEI0467</t>
  </si>
  <si>
    <t>Vaca Valdez Guillermo</t>
  </si>
  <si>
    <t xml:space="preserve"> SEI0505</t>
  </si>
  <si>
    <t>SEI0545</t>
  </si>
  <si>
    <t>Vallarta Fonseca Mayra Karina</t>
  </si>
  <si>
    <t xml:space="preserve"> SEI0653</t>
  </si>
  <si>
    <t xml:space="preserve"> SEI0041</t>
  </si>
  <si>
    <t>SEI0021</t>
  </si>
  <si>
    <t>Velez Rodriguez Jaime</t>
  </si>
  <si>
    <t xml:space="preserve"> SEI0021</t>
  </si>
  <si>
    <t>Aguilar Garcia Rosa Paola</t>
  </si>
  <si>
    <t xml:space="preserve"> SEI0654</t>
  </si>
  <si>
    <t>Jauregui Madera Jorge Silvestre</t>
  </si>
  <si>
    <t xml:space="preserve"> SEI0656</t>
  </si>
  <si>
    <t>NETO CPD</t>
  </si>
  <si>
    <t>SUELDO SINDICATO</t>
  </si>
  <si>
    <t>PRIMA VACACIONAL SINDICATO</t>
  </si>
  <si>
    <t>B</t>
  </si>
  <si>
    <t>NETO A PAGAR</t>
  </si>
  <si>
    <t>NETO MENSUAL</t>
  </si>
  <si>
    <t>NETO QUINCENAL SEITON</t>
  </si>
  <si>
    <t>C</t>
  </si>
  <si>
    <t>prima vacacional</t>
  </si>
  <si>
    <t>COMISION Y PRIMA VACACIONAL</t>
  </si>
  <si>
    <t>INFONAVIT</t>
  </si>
  <si>
    <t>FONACOT</t>
  </si>
  <si>
    <t>DESCUENTOS</t>
  </si>
  <si>
    <t>D</t>
  </si>
  <si>
    <t>TOTAL GENERAL</t>
  </si>
  <si>
    <t>DIFERENCIAS</t>
  </si>
  <si>
    <t>OBSERVACIONES</t>
  </si>
  <si>
    <t>SEI0421</t>
  </si>
  <si>
    <t>incapacidad 5 dias</t>
  </si>
  <si>
    <t>SEI0415</t>
  </si>
  <si>
    <t>SEI0033</t>
  </si>
  <si>
    <t>SEI0095</t>
  </si>
  <si>
    <t>SEI0416</t>
  </si>
  <si>
    <t>SEI0417</t>
  </si>
  <si>
    <t>SEI0420</t>
  </si>
  <si>
    <t>SEI0422</t>
  </si>
  <si>
    <t>SEI0426</t>
  </si>
  <si>
    <t>SEI0430</t>
  </si>
  <si>
    <t>SEI0432</t>
  </si>
  <si>
    <t>SEI0433</t>
  </si>
  <si>
    <t>SEI0547</t>
  </si>
  <si>
    <t>SEI0548</t>
  </si>
  <si>
    <t xml:space="preserve">TOTAL GENERAL </t>
  </si>
  <si>
    <t>TOTAL FACTURACION NOMINA</t>
  </si>
  <si>
    <t>TOTAL PROV AGUINALDOS</t>
  </si>
  <si>
    <t>TOTAL CPD</t>
  </si>
  <si>
    <t>TOTAL IP</t>
  </si>
  <si>
    <t>TOTAL SINDICATO</t>
  </si>
  <si>
    <t>PORCENTAJES POR EMPRESA</t>
  </si>
  <si>
    <t>EM 4%</t>
  </si>
  <si>
    <t>CPD 12%</t>
  </si>
  <si>
    <t>IP 11%</t>
  </si>
  <si>
    <t>ITA 73%</t>
  </si>
  <si>
    <t>CONSULTORIA EN PROYECTOS DINAMICOS</t>
  </si>
  <si>
    <t>CALCULO DE PAGO POR ASIMILADOS Y/O COMISIONES</t>
  </si>
  <si>
    <t>QUINCENAL</t>
  </si>
  <si>
    <t>FACTURACION</t>
  </si>
  <si>
    <t>Nombre</t>
  </si>
  <si>
    <t>SUELDO MENSUAL</t>
  </si>
  <si>
    <t>IMSS</t>
  </si>
  <si>
    <t>Asimilados</t>
  </si>
  <si>
    <t>Comision 2%</t>
  </si>
  <si>
    <t>SUBTOTAL</t>
  </si>
  <si>
    <t>PABLO BENAVIDES HERRERA</t>
  </si>
  <si>
    <t>SE FACTURA A PITSS</t>
  </si>
  <si>
    <t>TOTALES</t>
  </si>
  <si>
    <t>Devengado Salario</t>
  </si>
  <si>
    <t>RETORNOS</t>
  </si>
  <si>
    <t>Infonavit</t>
  </si>
  <si>
    <t>Prestamo Prospera</t>
  </si>
  <si>
    <t>Subtotal 1</t>
  </si>
  <si>
    <t>Comision</t>
  </si>
  <si>
    <t>Subtotal 2</t>
  </si>
  <si>
    <t>Costo Patronal Imss</t>
  </si>
  <si>
    <t xml:space="preserve">2% Sobre Nomina </t>
  </si>
  <si>
    <t>Importe de Factura</t>
  </si>
  <si>
    <t>PROVISION AGUINALDO</t>
  </si>
  <si>
    <t>FACTURACION PITS</t>
  </si>
  <si>
    <t>QNA PASADA</t>
  </si>
  <si>
    <t>SUBTOTAL 2</t>
  </si>
  <si>
    <t>SUBTOTAL 3</t>
  </si>
  <si>
    <t>TOTA</t>
  </si>
  <si>
    <t xml:space="preserve">Devengado Salario </t>
  </si>
  <si>
    <t>Deduccion General</t>
  </si>
  <si>
    <t>IP INNOVACION EN PROYECTOS S DE RL DE CV</t>
  </si>
  <si>
    <t>Reg Pat IMSS: R1363592103</t>
  </si>
  <si>
    <t xml:space="preserve">RFC: IIP -150923-DT7 </t>
  </si>
  <si>
    <t>Préstamo Infonavit (cf)</t>
  </si>
  <si>
    <t>I.S.R. a compensar</t>
  </si>
  <si>
    <t>Préstamo FONACOT</t>
  </si>
  <si>
    <t>Deduccion general</t>
  </si>
  <si>
    <t xml:space="preserve">Aguinaldo </t>
  </si>
  <si>
    <t>SEI0014</t>
  </si>
  <si>
    <t>SEI0016</t>
  </si>
  <si>
    <t>Mejia  Duarte Jose Luis</t>
  </si>
  <si>
    <t xml:space="preserve">Gutierrez  Castillo  Jose De Jesus </t>
  </si>
  <si>
    <t>SEI0549</t>
  </si>
  <si>
    <t>Hinojosa  Guerrero  Alejandro</t>
  </si>
  <si>
    <t xml:space="preserve">Proceso de Finiquito </t>
  </si>
  <si>
    <t>INGRESO13/05</t>
  </si>
  <si>
    <t>1 P. S/sueldo</t>
  </si>
  <si>
    <t xml:space="preserve"> -   </t>
  </si>
  <si>
    <t>PEDIDO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</si>
</sst>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1" formatCode="_-* #,##0_-;\-* #,##0_-;_-* &quot;-&quot;_-;_-@_-"/>
    <numFmt numFmtId="43" formatCode="_-* #,##0.00_-;\-* #,##0.00_-;_-* &quot;-&quot;??_-;_-@_-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color rgb="FF0000FF"/>
      <name val="Calibri"/>
      <family val="2"/>
    </font>
    <font>
      <i/>
      <sz val="8"/>
      <color rgb="FFFF9900"/>
      <name val="Calibri"/>
      <family val="2"/>
    </font>
    <font>
      <sz val="8"/>
      <color rgb="FFFF9900"/>
      <name val="Arial"/>
      <family val="2"/>
    </font>
    <font>
      <b/>
      <sz val="14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8"/>
      <color indexed="12"/>
      <name val="Arial"/>
      <family val="2"/>
    </font>
    <font>
      <sz val="8"/>
      <color indexed="10"/>
      <name val="Arial"/>
      <family val="2"/>
    </font>
    <font>
      <b/>
      <sz val="8"/>
      <name val="Arial"/>
      <family val="2"/>
    </font>
    <font>
      <b/>
      <sz val="14"/>
      <color theme="1"/>
      <name val="Calibri"/>
      <family val="2"/>
    </font>
    <font>
      <i/>
      <sz val="9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theme="1"/>
      <name val="Calibri"/>
      <family val="2"/>
      <scheme val="minor"/>
    </font>
    <font>
      <sz val="9"/>
      <color theme="1"/>
      <name val="Calibri"/>
      <family val="2"/>
    </font>
    <font>
      <sz val="9"/>
      <name val="Calibri"/>
      <family val="2"/>
    </font>
    <font>
      <sz val="11"/>
      <color theme="1"/>
      <name val="Calibri"/>
      <family val="2"/>
    </font>
    <font>
      <i/>
      <sz val="10"/>
      <name val="Calibri"/>
      <family val="2"/>
    </font>
    <font>
      <b/>
      <i/>
      <sz val="10"/>
      <name val="Calibri"/>
      <family val="2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9"/>
      <name val="Calibri"/>
      <family val="2"/>
    </font>
    <font>
      <b/>
      <i/>
      <sz val="9"/>
      <color theme="1"/>
      <name val="Calibri"/>
      <family val="2"/>
    </font>
    <font>
      <b/>
      <sz val="10"/>
      <color rgb="FFFF0000"/>
      <name val="Calibri"/>
      <family val="2"/>
    </font>
    <font>
      <b/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rgb="FF0000FD"/>
      </left>
      <right style="thin">
        <color rgb="FF0000FD"/>
      </right>
      <top style="thin">
        <color rgb="FF0000FD"/>
      </top>
      <bottom style="double">
        <color rgb="FF0000FD"/>
      </bottom>
      <diagonal/>
    </border>
    <border>
      <left/>
      <right/>
      <top/>
      <bottom style="thin">
        <color rgb="FF0000FD"/>
      </bottom>
      <diagonal/>
    </border>
    <border>
      <left style="thin">
        <color rgb="FF0000FD"/>
      </left>
      <right/>
      <top style="thin">
        <color rgb="FF0000FD"/>
      </top>
      <bottom style="double">
        <color rgb="FF0000FD"/>
      </bottom>
      <diagonal/>
    </border>
    <border>
      <left/>
      <right style="thin">
        <color rgb="FF0000FD"/>
      </right>
      <top style="thin">
        <color rgb="FF0000FD"/>
      </top>
      <bottom style="double">
        <color rgb="FF0000FD"/>
      </bottom>
      <diagonal/>
    </border>
    <border>
      <left/>
      <right/>
      <top style="thin">
        <color rgb="FF0000FD"/>
      </top>
      <bottom style="double">
        <color rgb="FF0000FD"/>
      </bottom>
      <diagonal/>
    </border>
    <border>
      <left style="thin">
        <color rgb="FF0000FD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rgb="FF0000FD"/>
      </bottom>
      <diagonal/>
    </border>
    <border>
      <left style="thin">
        <color rgb="FF0000FD"/>
      </left>
      <right style="thin">
        <color rgb="FF0000FD"/>
      </right>
      <top style="thin">
        <color rgb="FF0000FD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7" fillId="0" borderId="0"/>
    <xf numFmtId="0" fontId="17" fillId="0" borderId="0"/>
  </cellStyleXfs>
  <cellXfs count="127">
    <xf numFmtId="0" fontId="0" fillId="0" borderId="0" xfId="0"/>
    <xf numFmtId="0" fontId="3" fillId="0" borderId="0" xfId="0" applyFont="1"/>
    <xf numFmtId="49" fontId="3" fillId="0" borderId="0" xfId="0" applyNumberFormat="1" applyFont="1"/>
    <xf numFmtId="49" fontId="6" fillId="0" borderId="0" xfId="0" applyNumberFormat="1" applyFont="1" applyAlignment="1">
      <alignment horizontal="centerContinuous"/>
    </xf>
    <xf numFmtId="49" fontId="7" fillId="0" borderId="0" xfId="0" applyNumberFormat="1" applyFont="1" applyAlignment="1">
      <alignment horizontal="centerContinuous" vertical="top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12" fillId="0" borderId="0" xfId="0" applyFont="1"/>
    <xf numFmtId="43" fontId="3" fillId="0" borderId="0" xfId="1" applyFont="1"/>
    <xf numFmtId="43" fontId="14" fillId="0" borderId="0" xfId="1" applyFont="1"/>
    <xf numFmtId="43" fontId="12" fillId="0" borderId="0" xfId="1" applyFont="1" applyAlignment="1">
      <alignment horizontal="left"/>
    </xf>
    <xf numFmtId="43" fontId="3" fillId="0" borderId="0" xfId="1" applyFont="1" applyAlignment="1">
      <alignment horizontal="right"/>
    </xf>
    <xf numFmtId="43" fontId="12" fillId="0" borderId="0" xfId="1" applyFont="1"/>
    <xf numFmtId="0" fontId="3" fillId="0" borderId="0" xfId="0" applyFont="1" applyAlignment="1"/>
    <xf numFmtId="49" fontId="12" fillId="3" borderId="1" xfId="0" applyNumberFormat="1" applyFont="1" applyFill="1" applyBorder="1" applyAlignment="1">
      <alignment horizontal="center" wrapText="1"/>
    </xf>
    <xf numFmtId="0" fontId="12" fillId="3" borderId="1" xfId="0" applyFont="1" applyFill="1" applyBorder="1" applyAlignment="1">
      <alignment horizontal="center" wrapText="1"/>
    </xf>
    <xf numFmtId="0" fontId="13" fillId="3" borderId="1" xfId="0" applyFont="1" applyFill="1" applyBorder="1" applyAlignment="1">
      <alignment horizontal="center" wrapText="1"/>
    </xf>
    <xf numFmtId="0" fontId="15" fillId="5" borderId="1" xfId="0" applyFont="1" applyFill="1" applyBorder="1" applyAlignment="1">
      <alignment horizontal="center" wrapText="1"/>
    </xf>
    <xf numFmtId="43" fontId="4" fillId="0" borderId="0" xfId="0" applyNumberFormat="1" applyFont="1"/>
    <xf numFmtId="43" fontId="4" fillId="6" borderId="0" xfId="0" applyNumberFormat="1" applyFont="1" applyFill="1" applyBorder="1"/>
    <xf numFmtId="43" fontId="18" fillId="3" borderId="1" xfId="2" applyNumberFormat="1" applyFont="1" applyFill="1" applyBorder="1" applyAlignment="1">
      <alignment horizontal="center" vertical="center" wrapText="1"/>
    </xf>
    <xf numFmtId="43" fontId="18" fillId="5" borderId="3" xfId="2" applyNumberFormat="1" applyFont="1" applyFill="1" applyBorder="1" applyAlignment="1">
      <alignment horizontal="center" vertical="center" wrapText="1"/>
    </xf>
    <xf numFmtId="43" fontId="18" fillId="6" borderId="0" xfId="2" applyNumberFormat="1" applyFont="1" applyFill="1" applyBorder="1" applyAlignment="1">
      <alignment horizontal="center" vertical="center" wrapText="1"/>
    </xf>
    <xf numFmtId="43" fontId="18" fillId="3" borderId="4" xfId="2" applyNumberFormat="1" applyFont="1" applyFill="1" applyBorder="1" applyAlignment="1">
      <alignment horizontal="center" vertical="center" wrapText="1"/>
    </xf>
    <xf numFmtId="43" fontId="4" fillId="0" borderId="0" xfId="0" applyNumberFormat="1" applyFont="1" applyFill="1"/>
    <xf numFmtId="43" fontId="19" fillId="7" borderId="0" xfId="3" applyNumberFormat="1" applyFont="1" applyFill="1"/>
    <xf numFmtId="43" fontId="4" fillId="2" borderId="0" xfId="0" applyNumberFormat="1" applyFont="1" applyFill="1"/>
    <xf numFmtId="43" fontId="4" fillId="7" borderId="0" xfId="0" applyNumberFormat="1" applyFont="1" applyFill="1"/>
    <xf numFmtId="43" fontId="5" fillId="0" borderId="0" xfId="0" applyNumberFormat="1" applyFont="1"/>
    <xf numFmtId="43" fontId="19" fillId="2" borderId="0" xfId="3" applyNumberFormat="1" applyFont="1" applyFill="1"/>
    <xf numFmtId="43" fontId="20" fillId="0" borderId="0" xfId="0" applyNumberFormat="1" applyFont="1"/>
    <xf numFmtId="43" fontId="4" fillId="0" borderId="0" xfId="0" applyNumberFormat="1" applyFont="1" applyAlignment="1">
      <alignment horizontal="center"/>
    </xf>
    <xf numFmtId="43" fontId="21" fillId="0" borderId="0" xfId="0" applyNumberFormat="1" applyFont="1"/>
    <xf numFmtId="43" fontId="21" fillId="0" borderId="0" xfId="0" applyNumberFormat="1" applyFont="1" applyFill="1"/>
    <xf numFmtId="43" fontId="21" fillId="6" borderId="0" xfId="0" applyNumberFormat="1" applyFont="1" applyFill="1" applyBorder="1"/>
    <xf numFmtId="43" fontId="22" fillId="0" borderId="0" xfId="3" applyNumberFormat="1" applyFont="1" applyFill="1"/>
    <xf numFmtId="43" fontId="20" fillId="0" borderId="0" xfId="0" applyNumberFormat="1" applyFont="1" applyFill="1"/>
    <xf numFmtId="43" fontId="19" fillId="0" borderId="0" xfId="3" applyNumberFormat="1" applyFont="1" applyFill="1"/>
    <xf numFmtId="43" fontId="23" fillId="0" borderId="0" xfId="0" applyNumberFormat="1" applyFont="1"/>
    <xf numFmtId="43" fontId="24" fillId="0" borderId="0" xfId="3" applyNumberFormat="1" applyFont="1"/>
    <xf numFmtId="43" fontId="18" fillId="7" borderId="0" xfId="3" applyNumberFormat="1" applyFont="1" applyFill="1"/>
    <xf numFmtId="43" fontId="25" fillId="3" borderId="0" xfId="2" applyNumberFormat="1" applyFont="1" applyFill="1"/>
    <xf numFmtId="43" fontId="24" fillId="3" borderId="0" xfId="2" applyNumberFormat="1" applyFont="1" applyFill="1"/>
    <xf numFmtId="43" fontId="20" fillId="6" borderId="0" xfId="0" applyNumberFormat="1" applyFont="1" applyFill="1" applyBorder="1"/>
    <xf numFmtId="43" fontId="20" fillId="4" borderId="0" xfId="0" applyNumberFormat="1" applyFont="1" applyFill="1" applyBorder="1"/>
    <xf numFmtId="43" fontId="20" fillId="6" borderId="0" xfId="0" applyNumberFormat="1" applyFont="1" applyFill="1"/>
    <xf numFmtId="43" fontId="20" fillId="0" borderId="0" xfId="0" applyNumberFormat="1" applyFont="1" applyFill="1" applyAlignment="1"/>
    <xf numFmtId="43" fontId="20" fillId="7" borderId="0" xfId="0" applyNumberFormat="1" applyFont="1" applyFill="1"/>
    <xf numFmtId="43" fontId="27" fillId="3" borderId="1" xfId="2" applyNumberFormat="1" applyFont="1" applyFill="1" applyBorder="1" applyAlignment="1">
      <alignment horizontal="center" vertical="center" wrapText="1"/>
    </xf>
    <xf numFmtId="43" fontId="27" fillId="6" borderId="0" xfId="2" applyNumberFormat="1" applyFont="1" applyFill="1" applyBorder="1" applyAlignment="1">
      <alignment horizontal="center" vertical="center" wrapText="1"/>
    </xf>
    <xf numFmtId="43" fontId="27" fillId="3" borderId="5" xfId="2" applyNumberFormat="1" applyFont="1" applyFill="1" applyBorder="1" applyAlignment="1">
      <alignment horizontal="center" vertical="center" wrapText="1"/>
    </xf>
    <xf numFmtId="43" fontId="27" fillId="3" borderId="4" xfId="2" applyNumberFormat="1" applyFont="1" applyFill="1" applyBorder="1" applyAlignment="1">
      <alignment horizontal="center" vertical="center" wrapText="1"/>
    </xf>
    <xf numFmtId="43" fontId="27" fillId="5" borderId="1" xfId="2" applyNumberFormat="1" applyFont="1" applyFill="1" applyBorder="1" applyAlignment="1">
      <alignment horizontal="center" vertical="center" wrapText="1"/>
    </xf>
    <xf numFmtId="43" fontId="27" fillId="4" borderId="0" xfId="2" applyNumberFormat="1" applyFont="1" applyFill="1" applyBorder="1" applyAlignment="1">
      <alignment horizontal="center" vertical="center" wrapText="1"/>
    </xf>
    <xf numFmtId="43" fontId="27" fillId="3" borderId="6" xfId="2" applyNumberFormat="1" applyFont="1" applyFill="1" applyBorder="1" applyAlignment="1">
      <alignment horizontal="center" vertical="center" wrapText="1"/>
    </xf>
    <xf numFmtId="43" fontId="27" fillId="3" borderId="6" xfId="2" applyNumberFormat="1" applyFont="1" applyFill="1" applyBorder="1" applyAlignment="1">
      <alignment horizontal="center" vertical="center"/>
    </xf>
    <xf numFmtId="43" fontId="19" fillId="7" borderId="0" xfId="3" applyNumberFormat="1" applyFont="1" applyFill="1" applyAlignment="1">
      <alignment horizontal="left" vertical="center"/>
    </xf>
    <xf numFmtId="43" fontId="19" fillId="6" borderId="0" xfId="3" applyNumberFormat="1" applyFont="1" applyFill="1" applyBorder="1"/>
    <xf numFmtId="43" fontId="19" fillId="0" borderId="0" xfId="3" applyNumberFormat="1" applyFont="1" applyFill="1" applyAlignment="1">
      <alignment horizontal="left" vertical="center"/>
    </xf>
    <xf numFmtId="43" fontId="26" fillId="6" borderId="0" xfId="0" applyNumberFormat="1" applyFont="1" applyFill="1" applyBorder="1"/>
    <xf numFmtId="43" fontId="26" fillId="7" borderId="0" xfId="0" applyNumberFormat="1" applyFont="1" applyFill="1"/>
    <xf numFmtId="14" fontId="20" fillId="0" borderId="0" xfId="0" applyNumberFormat="1" applyFont="1" applyFill="1"/>
    <xf numFmtId="43" fontId="26" fillId="0" borderId="0" xfId="0" applyNumberFormat="1" applyFont="1" applyFill="1" applyBorder="1"/>
    <xf numFmtId="43" fontId="20" fillId="0" borderId="0" xfId="0" applyNumberFormat="1" applyFont="1" applyFill="1" applyBorder="1"/>
    <xf numFmtId="43" fontId="20" fillId="2" borderId="0" xfId="0" applyNumberFormat="1" applyFont="1" applyFill="1"/>
    <xf numFmtId="43" fontId="20" fillId="0" borderId="0" xfId="0" applyNumberFormat="1" applyFont="1" applyFill="1" applyAlignment="1">
      <alignment horizontal="center"/>
    </xf>
    <xf numFmtId="14" fontId="26" fillId="0" borderId="0" xfId="0" applyNumberFormat="1" applyFont="1" applyFill="1"/>
    <xf numFmtId="0" fontId="20" fillId="0" borderId="0" xfId="0" applyNumberFormat="1" applyFont="1" applyFill="1" applyAlignment="1"/>
    <xf numFmtId="43" fontId="20" fillId="5" borderId="0" xfId="0" applyNumberFormat="1" applyFont="1" applyFill="1"/>
    <xf numFmtId="43" fontId="26" fillId="0" borderId="0" xfId="0" applyNumberFormat="1" applyFont="1" applyFill="1"/>
    <xf numFmtId="14" fontId="20" fillId="2" borderId="0" xfId="0" applyNumberFormat="1" applyFont="1" applyFill="1"/>
    <xf numFmtId="14" fontId="20" fillId="2" borderId="0" xfId="0" applyNumberFormat="1" applyFont="1" applyFill="1" applyAlignment="1">
      <alignment horizontal="center"/>
    </xf>
    <xf numFmtId="14" fontId="20" fillId="0" borderId="0" xfId="0" applyNumberFormat="1" applyFont="1" applyFill="1" applyAlignment="1">
      <alignment horizontal="center"/>
    </xf>
    <xf numFmtId="43" fontId="26" fillId="5" borderId="0" xfId="0" applyNumberFormat="1" applyFont="1" applyFill="1" applyAlignment="1">
      <alignment vertical="center"/>
    </xf>
    <xf numFmtId="43" fontId="26" fillId="0" borderId="0" xfId="0" applyNumberFormat="1" applyFont="1"/>
    <xf numFmtId="43" fontId="26" fillId="0" borderId="0" xfId="0" applyNumberFormat="1" applyFont="1" applyAlignment="1">
      <alignment horizontal="left" vertical="center"/>
    </xf>
    <xf numFmtId="43" fontId="20" fillId="0" borderId="0" xfId="0" applyNumberFormat="1" applyFont="1" applyAlignment="1">
      <alignment horizontal="left" vertical="center"/>
    </xf>
    <xf numFmtId="43" fontId="29" fillId="0" borderId="0" xfId="0" applyNumberFormat="1" applyFont="1"/>
    <xf numFmtId="43" fontId="28" fillId="0" borderId="0" xfId="0" applyNumberFormat="1" applyFont="1" applyFill="1"/>
    <xf numFmtId="43" fontId="29" fillId="0" borderId="0" xfId="0" applyNumberFormat="1" applyFont="1" applyFill="1"/>
    <xf numFmtId="43" fontId="30" fillId="0" borderId="0" xfId="2" applyNumberFormat="1" applyFont="1" applyFill="1"/>
    <xf numFmtId="43" fontId="31" fillId="0" borderId="0" xfId="2" applyNumberFormat="1" applyFont="1" applyFill="1"/>
    <xf numFmtId="43" fontId="28" fillId="0" borderId="0" xfId="0" applyNumberFormat="1" applyFont="1"/>
    <xf numFmtId="0" fontId="2" fillId="0" borderId="0" xfId="0" applyFont="1"/>
    <xf numFmtId="0" fontId="2" fillId="2" borderId="7" xfId="0" applyFont="1" applyFill="1" applyBorder="1" applyAlignment="1">
      <alignment horizontal="center"/>
    </xf>
    <xf numFmtId="43" fontId="26" fillId="3" borderId="9" xfId="0" applyNumberFormat="1" applyFont="1" applyFill="1" applyBorder="1" applyAlignment="1">
      <alignment horizontal="center" vertical="center" wrapText="1"/>
    </xf>
    <xf numFmtId="0" fontId="0" fillId="0" borderId="0" xfId="0" applyBorder="1"/>
    <xf numFmtId="43" fontId="0" fillId="0" borderId="0" xfId="1" applyFont="1" applyBorder="1"/>
    <xf numFmtId="43" fontId="0" fillId="2" borderId="0" xfId="1" applyFont="1" applyFill="1" applyBorder="1"/>
    <xf numFmtId="43" fontId="0" fillId="0" borderId="0" xfId="1" applyFont="1" applyFill="1" applyBorder="1"/>
    <xf numFmtId="0" fontId="2" fillId="0" borderId="0" xfId="0" applyFont="1" applyBorder="1"/>
    <xf numFmtId="43" fontId="2" fillId="0" borderId="0" xfId="0" applyNumberFormat="1" applyFont="1" applyBorder="1"/>
    <xf numFmtId="43" fontId="2" fillId="0" borderId="0" xfId="0" applyNumberFormat="1" applyFont="1" applyFill="1" applyBorder="1"/>
    <xf numFmtId="43" fontId="0" fillId="0" borderId="0" xfId="0" applyNumberFormat="1"/>
    <xf numFmtId="43" fontId="2" fillId="0" borderId="0" xfId="0" applyNumberFormat="1" applyFont="1"/>
    <xf numFmtId="43" fontId="0" fillId="0" borderId="0" xfId="1" applyFont="1"/>
    <xf numFmtId="43" fontId="26" fillId="3" borderId="0" xfId="0" applyNumberFormat="1" applyFont="1" applyFill="1"/>
    <xf numFmtId="43" fontId="20" fillId="3" borderId="0" xfId="0" applyNumberFormat="1" applyFont="1" applyFill="1"/>
    <xf numFmtId="43" fontId="34" fillId="3" borderId="0" xfId="2" applyNumberFormat="1" applyFont="1" applyFill="1"/>
    <xf numFmtId="43" fontId="35" fillId="3" borderId="0" xfId="0" applyNumberFormat="1" applyFont="1" applyFill="1"/>
    <xf numFmtId="43" fontId="3" fillId="0" borderId="0" xfId="0" applyNumberFormat="1" applyFont="1"/>
    <xf numFmtId="43" fontId="4" fillId="5" borderId="0" xfId="0" applyNumberFormat="1" applyFont="1" applyFill="1"/>
    <xf numFmtId="43" fontId="36" fillId="5" borderId="0" xfId="0" applyNumberFormat="1" applyFont="1" applyFill="1"/>
    <xf numFmtId="43" fontId="36" fillId="5" borderId="0" xfId="3" applyNumberFormat="1" applyFont="1" applyFill="1"/>
    <xf numFmtId="43" fontId="37" fillId="5" borderId="0" xfId="0" applyNumberFormat="1" applyFont="1" applyFill="1" applyBorder="1"/>
    <xf numFmtId="43" fontId="37" fillId="5" borderId="0" xfId="0" applyNumberFormat="1" applyFont="1" applyFill="1"/>
    <xf numFmtId="14" fontId="37" fillId="5" borderId="0" xfId="0" applyNumberFormat="1" applyFont="1" applyFill="1" applyAlignment="1">
      <alignment horizontal="center"/>
    </xf>
    <xf numFmtId="43" fontId="5" fillId="5" borderId="0" xfId="0" applyNumberFormat="1" applyFont="1" applyFill="1"/>
    <xf numFmtId="43" fontId="5" fillId="5" borderId="0" xfId="0" applyNumberFormat="1" applyFont="1" applyFill="1" applyBorder="1"/>
    <xf numFmtId="43" fontId="5" fillId="5" borderId="0" xfId="3" applyNumberFormat="1" applyFont="1" applyFill="1"/>
    <xf numFmtId="43" fontId="28" fillId="5" borderId="0" xfId="0" applyNumberFormat="1" applyFont="1" applyFill="1" applyAlignment="1">
      <alignment horizontal="center" wrapText="1"/>
    </xf>
    <xf numFmtId="0" fontId="8" fillId="0" borderId="0" xfId="0" applyFont="1" applyAlignment="1">
      <alignment horizontal="center"/>
    </xf>
    <xf numFmtId="0" fontId="0" fillId="0" borderId="0" xfId="0" applyAlignment="1"/>
    <xf numFmtId="0" fontId="9" fillId="0" borderId="0" xfId="0" applyFont="1" applyAlignment="1">
      <alignment vertical="center"/>
    </xf>
    <xf numFmtId="0" fontId="0" fillId="0" borderId="0" xfId="0" applyAlignment="1">
      <alignment vertical="center"/>
    </xf>
    <xf numFmtId="0" fontId="10" fillId="0" borderId="0" xfId="0" applyFont="1" applyAlignment="1"/>
    <xf numFmtId="0" fontId="11" fillId="0" borderId="0" xfId="0" applyFont="1" applyAlignment="1"/>
    <xf numFmtId="43" fontId="33" fillId="5" borderId="0" xfId="0" applyNumberFormat="1" applyFont="1" applyFill="1" applyAlignment="1">
      <alignment horizontal="center" wrapText="1"/>
    </xf>
    <xf numFmtId="43" fontId="26" fillId="5" borderId="0" xfId="0" applyNumberFormat="1" applyFont="1" applyFill="1" applyAlignment="1">
      <alignment horizontal="center"/>
    </xf>
    <xf numFmtId="43" fontId="16" fillId="6" borderId="2" xfId="0" applyNumberFormat="1" applyFont="1" applyFill="1" applyBorder="1" applyAlignment="1">
      <alignment horizontal="center" vertical="center" wrapText="1"/>
    </xf>
    <xf numFmtId="43" fontId="26" fillId="6" borderId="2" xfId="0" applyNumberFormat="1" applyFont="1" applyFill="1" applyBorder="1" applyAlignment="1">
      <alignment horizontal="center" vertical="center" wrapText="1"/>
    </xf>
    <xf numFmtId="43" fontId="28" fillId="3" borderId="0" xfId="0" applyNumberFormat="1" applyFont="1" applyFill="1" applyAlignment="1">
      <alignment horizontal="center" vertical="center" wrapText="1"/>
    </xf>
    <xf numFmtId="43" fontId="28" fillId="3" borderId="0" xfId="0" applyNumberFormat="1" applyFont="1" applyFill="1" applyAlignment="1">
      <alignment horizontal="center" vertical="center"/>
    </xf>
    <xf numFmtId="0" fontId="32" fillId="5" borderId="8" xfId="0" applyFont="1" applyFill="1" applyBorder="1" applyAlignment="1">
      <alignment horizontal="center"/>
    </xf>
    <xf numFmtId="0" fontId="32" fillId="5" borderId="2" xfId="0" applyFont="1" applyFill="1" applyBorder="1" applyAlignment="1">
      <alignment horizontal="center"/>
    </xf>
    <xf numFmtId="41" fontId="29" fillId="0" borderId="0" xfId="0" applyNumberFormat="1" applyFont="1" applyFill="1" applyAlignment="1">
      <alignment horizontal="center" vertical="center"/>
    </xf>
    <xf numFmtId="43" fontId="29" fillId="0" borderId="0" xfId="0" applyNumberFormat="1" applyFont="1" applyFill="1" applyAlignment="1">
      <alignment horizontal="center" vertical="center"/>
    </xf>
  </cellXfs>
  <cellStyles count="4">
    <cellStyle name="Millares" xfId="1" builtinId="3"/>
    <cellStyle name="Normal" xfId="0" builtinId="0"/>
    <cellStyle name="Normal 2" xfId="3"/>
    <cellStyle name="Normal 3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ONSULTORIA%20EN%20PROYECTOS/II.-%20NOMINAS/NOMINAS%202019/SUELDOS%20Y%20SALARIOS/SEITON/04%20ABRIL/08/NOMINA%20QUINCENAL%20NO.08%20PIT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CONSULTORIA%20EN%20PROYECTOS/II.-%20NOMINAS/NOMINAS%202019/SUELDOS%20Y%20SALARIOS/SEITON/04%20ABRIL/08/NOMINA%20QUINCENAL%20NO.07%20SEITON%20DE%20MEXIC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CTURACION SINDICATO"/>
      <sheetName val="CPD PITS"/>
      <sheetName val="IP PITS"/>
      <sheetName val="SIND PITS"/>
      <sheetName val="RESUMEN"/>
      <sheetName val="RESUMEN PITS"/>
      <sheetName val="FACTURACION"/>
      <sheetName val="ASIMILADOS"/>
      <sheetName val="NETOS"/>
      <sheetName val="ABC"/>
      <sheetName val="Hoja4"/>
    </sheetNames>
    <sheetDataSet>
      <sheetData sheetId="0"/>
      <sheetData sheetId="1"/>
      <sheetData sheetId="2">
        <row r="6">
          <cell r="B6" t="str">
            <v>Torres Ricardez Alfredo</v>
          </cell>
          <cell r="C6">
            <v>15</v>
          </cell>
          <cell r="D6">
            <v>0</v>
          </cell>
          <cell r="E6">
            <v>266.67</v>
          </cell>
          <cell r="F6">
            <v>278.72000000000003</v>
          </cell>
          <cell r="G6">
            <v>4000.05</v>
          </cell>
          <cell r="H6">
            <v>0</v>
          </cell>
          <cell r="I6">
            <v>0</v>
          </cell>
        </row>
        <row r="7">
          <cell r="B7" t="str">
            <v>Montoya Portillo Carlos Alberto</v>
          </cell>
          <cell r="C7">
            <v>15</v>
          </cell>
          <cell r="D7">
            <v>0</v>
          </cell>
          <cell r="E7">
            <v>266.67</v>
          </cell>
          <cell r="F7">
            <v>278.72000000000003</v>
          </cell>
          <cell r="G7">
            <v>4000.05</v>
          </cell>
          <cell r="H7">
            <v>0</v>
          </cell>
          <cell r="I7">
            <v>0</v>
          </cell>
        </row>
        <row r="8">
          <cell r="B8" t="str">
            <v>Cota Jaramillo Miguel Angel</v>
          </cell>
          <cell r="C8">
            <v>8</v>
          </cell>
          <cell r="D8">
            <v>7</v>
          </cell>
          <cell r="E8">
            <v>200</v>
          </cell>
          <cell r="F8">
            <v>209.04</v>
          </cell>
          <cell r="G8">
            <v>1600</v>
          </cell>
          <cell r="H8">
            <v>1400</v>
          </cell>
          <cell r="I8">
            <v>420</v>
          </cell>
        </row>
        <row r="9">
          <cell r="B9" t="str">
            <v>Negrete Bejar Aide Sarai</v>
          </cell>
          <cell r="C9">
            <v>11</v>
          </cell>
          <cell r="D9">
            <v>4</v>
          </cell>
          <cell r="E9">
            <v>154</v>
          </cell>
          <cell r="F9">
            <v>160.96</v>
          </cell>
          <cell r="G9">
            <v>1694</v>
          </cell>
          <cell r="H9">
            <v>616</v>
          </cell>
          <cell r="I9">
            <v>184.8</v>
          </cell>
        </row>
        <row r="10">
          <cell r="B10" t="str">
            <v>Muñoz Reyes Luis Eduardo</v>
          </cell>
          <cell r="C10">
            <v>15</v>
          </cell>
          <cell r="D10">
            <v>0</v>
          </cell>
          <cell r="E10">
            <v>266.67</v>
          </cell>
          <cell r="F10">
            <v>278.72000000000003</v>
          </cell>
          <cell r="G10">
            <v>4000.05</v>
          </cell>
          <cell r="H10">
            <v>0</v>
          </cell>
          <cell r="I10">
            <v>0</v>
          </cell>
        </row>
        <row r="11">
          <cell r="B11" t="str">
            <v>Gonzalez Rasgado Miguel Isaias</v>
          </cell>
          <cell r="C11">
            <v>15</v>
          </cell>
          <cell r="D11">
            <v>0</v>
          </cell>
          <cell r="E11">
            <v>400</v>
          </cell>
          <cell r="F11">
            <v>424.2</v>
          </cell>
          <cell r="G11">
            <v>6000</v>
          </cell>
          <cell r="H11">
            <v>0</v>
          </cell>
          <cell r="I11">
            <v>0</v>
          </cell>
        </row>
        <row r="12">
          <cell r="B12" t="str">
            <v>Mar Marquez Cesar Eduardo</v>
          </cell>
          <cell r="C12">
            <v>15</v>
          </cell>
          <cell r="D12">
            <v>0</v>
          </cell>
          <cell r="E12">
            <v>266.67</v>
          </cell>
          <cell r="F12">
            <v>278.72000000000003</v>
          </cell>
          <cell r="G12">
            <v>4000.05</v>
          </cell>
          <cell r="H12">
            <v>0</v>
          </cell>
          <cell r="I12">
            <v>0</v>
          </cell>
        </row>
        <row r="13">
          <cell r="B13" t="str">
            <v>Velez Rodriguez Jaime</v>
          </cell>
          <cell r="C13">
            <v>15</v>
          </cell>
          <cell r="D13">
            <v>0</v>
          </cell>
          <cell r="E13">
            <v>200</v>
          </cell>
          <cell r="F13">
            <v>212.1</v>
          </cell>
          <cell r="G13">
            <v>3000</v>
          </cell>
          <cell r="H13">
            <v>0</v>
          </cell>
          <cell r="I13">
            <v>0</v>
          </cell>
        </row>
        <row r="14">
          <cell r="B14" t="str">
            <v>Najera Lopez Raul</v>
          </cell>
          <cell r="C14">
            <v>15</v>
          </cell>
          <cell r="D14">
            <v>0</v>
          </cell>
          <cell r="E14">
            <v>333.33</v>
          </cell>
          <cell r="F14">
            <v>353.5</v>
          </cell>
          <cell r="G14">
            <v>4999.95</v>
          </cell>
          <cell r="H14">
            <v>0</v>
          </cell>
          <cell r="I14">
            <v>0</v>
          </cell>
        </row>
        <row r="15">
          <cell r="B15" t="str">
            <v>Puente Murguia Luis Felipe</v>
          </cell>
          <cell r="C15">
            <v>15</v>
          </cell>
          <cell r="D15">
            <v>0</v>
          </cell>
          <cell r="E15">
            <v>233.33</v>
          </cell>
          <cell r="F15">
            <v>247.45</v>
          </cell>
          <cell r="G15">
            <v>3499.95</v>
          </cell>
          <cell r="H15">
            <v>0</v>
          </cell>
          <cell r="I15">
            <v>0</v>
          </cell>
        </row>
        <row r="16">
          <cell r="B16" t="str">
            <v>Arceo Garcia Manuel Federico</v>
          </cell>
          <cell r="C16">
            <v>12</v>
          </cell>
          <cell r="D16">
            <v>3</v>
          </cell>
          <cell r="E16">
            <v>200</v>
          </cell>
          <cell r="F16">
            <v>212.1</v>
          </cell>
          <cell r="G16">
            <v>2400</v>
          </cell>
          <cell r="H16">
            <v>600</v>
          </cell>
          <cell r="I16">
            <v>180</v>
          </cell>
        </row>
        <row r="17">
          <cell r="B17" t="str">
            <v>Dominguez Lopez Mayeli Del Pilar</v>
          </cell>
          <cell r="C17">
            <v>15</v>
          </cell>
          <cell r="D17">
            <v>0</v>
          </cell>
          <cell r="E17">
            <v>266.67</v>
          </cell>
          <cell r="F17">
            <v>282.81</v>
          </cell>
          <cell r="G17">
            <v>4000.05</v>
          </cell>
          <cell r="H17">
            <v>0</v>
          </cell>
          <cell r="I17">
            <v>0</v>
          </cell>
        </row>
        <row r="18">
          <cell r="B18" t="str">
            <v>Courtenay Gutierrez Barry Vladimir</v>
          </cell>
          <cell r="C18">
            <v>15</v>
          </cell>
          <cell r="D18">
            <v>0</v>
          </cell>
          <cell r="E18">
            <v>166.67</v>
          </cell>
          <cell r="F18">
            <v>174.2</v>
          </cell>
          <cell r="G18">
            <v>2500.0500000000002</v>
          </cell>
          <cell r="H18">
            <v>0</v>
          </cell>
          <cell r="I18">
            <v>0</v>
          </cell>
        </row>
        <row r="19">
          <cell r="B19" t="str">
            <v>Marin Avila Hector</v>
          </cell>
          <cell r="C19">
            <v>15</v>
          </cell>
          <cell r="D19">
            <v>0</v>
          </cell>
          <cell r="E19">
            <v>275</v>
          </cell>
          <cell r="F19">
            <v>287.43</v>
          </cell>
          <cell r="G19">
            <v>4125</v>
          </cell>
          <cell r="H19">
            <v>0</v>
          </cell>
          <cell r="I19">
            <v>0</v>
          </cell>
        </row>
        <row r="20">
          <cell r="B20" t="str">
            <v>Palacios Ramos Jesus</v>
          </cell>
          <cell r="C20">
            <v>15</v>
          </cell>
          <cell r="D20">
            <v>0</v>
          </cell>
          <cell r="E20">
            <v>266.67</v>
          </cell>
          <cell r="F20">
            <v>282.81</v>
          </cell>
          <cell r="G20">
            <v>4000.05</v>
          </cell>
          <cell r="H20">
            <v>0</v>
          </cell>
          <cell r="I20">
            <v>0</v>
          </cell>
        </row>
        <row r="21">
          <cell r="B21" t="str">
            <v>Martinez Hernandez J. Antonio</v>
          </cell>
          <cell r="C21">
            <v>15</v>
          </cell>
          <cell r="D21">
            <v>0</v>
          </cell>
          <cell r="E21">
            <v>266.67</v>
          </cell>
          <cell r="F21">
            <v>282.81</v>
          </cell>
          <cell r="G21">
            <v>4000.05</v>
          </cell>
          <cell r="H21">
            <v>0</v>
          </cell>
          <cell r="I21">
            <v>0</v>
          </cell>
        </row>
        <row r="22">
          <cell r="B22" t="str">
            <v>Alcaraz Conde Zabdi Guadalupe</v>
          </cell>
          <cell r="C22">
            <v>15</v>
          </cell>
          <cell r="D22">
            <v>0</v>
          </cell>
          <cell r="E22">
            <v>200</v>
          </cell>
          <cell r="F22">
            <v>212.11</v>
          </cell>
          <cell r="G22">
            <v>3000</v>
          </cell>
          <cell r="H22">
            <v>0</v>
          </cell>
          <cell r="I22">
            <v>0</v>
          </cell>
        </row>
        <row r="23">
          <cell r="B23" t="str">
            <v>Lopez Terron Roberto Porfirio</v>
          </cell>
          <cell r="C23">
            <v>10</v>
          </cell>
          <cell r="D23">
            <v>0</v>
          </cell>
          <cell r="E23">
            <v>466.67</v>
          </cell>
          <cell r="F23">
            <v>494.92</v>
          </cell>
          <cell r="G23">
            <v>4666.7</v>
          </cell>
          <cell r="H23">
            <v>0</v>
          </cell>
          <cell r="I23">
            <v>0</v>
          </cell>
        </row>
        <row r="24">
          <cell r="B24" t="str">
            <v>Chavez Pedraza Samuel</v>
          </cell>
          <cell r="C24">
            <v>15</v>
          </cell>
          <cell r="D24">
            <v>0</v>
          </cell>
          <cell r="E24">
            <v>466.67</v>
          </cell>
          <cell r="F24">
            <v>494.92</v>
          </cell>
          <cell r="G24">
            <v>7000.05</v>
          </cell>
          <cell r="H24">
            <v>0</v>
          </cell>
          <cell r="I24">
            <v>0</v>
          </cell>
        </row>
        <row r="25">
          <cell r="B25" t="str">
            <v>Castillo Nungaray Nestor Roman</v>
          </cell>
          <cell r="C25">
            <v>15</v>
          </cell>
          <cell r="D25">
            <v>0</v>
          </cell>
          <cell r="E25">
            <v>200</v>
          </cell>
          <cell r="F25">
            <v>212.11</v>
          </cell>
          <cell r="G25">
            <v>3000</v>
          </cell>
          <cell r="H25">
            <v>0</v>
          </cell>
          <cell r="I25">
            <v>0</v>
          </cell>
        </row>
        <row r="26">
          <cell r="B26" t="str">
            <v>Marquez Hernandez Rogelio</v>
          </cell>
          <cell r="C26">
            <v>15</v>
          </cell>
          <cell r="D26">
            <v>0</v>
          </cell>
          <cell r="E26">
            <v>266.67</v>
          </cell>
          <cell r="F26">
            <v>282.81</v>
          </cell>
          <cell r="G26">
            <v>4000.05</v>
          </cell>
          <cell r="H26">
            <v>0</v>
          </cell>
          <cell r="I26">
            <v>0</v>
          </cell>
        </row>
        <row r="27">
          <cell r="B27" t="str">
            <v>Flores Cerrillos Jorge Humberto</v>
          </cell>
          <cell r="C27">
            <v>15</v>
          </cell>
          <cell r="D27">
            <v>0</v>
          </cell>
          <cell r="E27">
            <v>266.67</v>
          </cell>
          <cell r="F27">
            <v>282.81</v>
          </cell>
          <cell r="G27">
            <v>4000.05</v>
          </cell>
          <cell r="H27">
            <v>0</v>
          </cell>
          <cell r="I27">
            <v>0</v>
          </cell>
        </row>
        <row r="28">
          <cell r="B28" t="str">
            <v>Perez Garcia Andres Alvaro</v>
          </cell>
          <cell r="C28">
            <v>15</v>
          </cell>
          <cell r="D28">
            <v>0</v>
          </cell>
          <cell r="E28">
            <v>266.67</v>
          </cell>
          <cell r="F28">
            <v>282.81</v>
          </cell>
          <cell r="G28">
            <v>4000</v>
          </cell>
          <cell r="H28">
            <v>0</v>
          </cell>
          <cell r="I28">
            <v>0</v>
          </cell>
        </row>
        <row r="29">
          <cell r="B29" t="str">
            <v>Chavira Garcia David Fernando</v>
          </cell>
          <cell r="C29">
            <v>15</v>
          </cell>
          <cell r="D29">
            <v>0</v>
          </cell>
          <cell r="E29">
            <v>333.33</v>
          </cell>
          <cell r="F29">
            <v>353.52</v>
          </cell>
          <cell r="G29">
            <v>5000</v>
          </cell>
          <cell r="H29">
            <v>0</v>
          </cell>
          <cell r="I29">
            <v>0</v>
          </cell>
        </row>
        <row r="30">
          <cell r="B30" t="str">
            <v>Guerrero Lara Cesar Adrian</v>
          </cell>
          <cell r="C30">
            <v>15</v>
          </cell>
          <cell r="D30">
            <v>0</v>
          </cell>
          <cell r="E30">
            <v>266.67</v>
          </cell>
          <cell r="F30">
            <v>282.81</v>
          </cell>
          <cell r="G30">
            <v>4000</v>
          </cell>
          <cell r="H30">
            <v>0</v>
          </cell>
          <cell r="I30">
            <v>0</v>
          </cell>
        </row>
        <row r="31">
          <cell r="B31" t="str">
            <v>Martinez Zamora Gerardo Mario</v>
          </cell>
          <cell r="C31">
            <v>15</v>
          </cell>
          <cell r="D31">
            <v>0</v>
          </cell>
          <cell r="E31">
            <v>318.33</v>
          </cell>
          <cell r="F31">
            <v>337.61</v>
          </cell>
          <cell r="G31">
            <v>4775</v>
          </cell>
          <cell r="H31">
            <v>0</v>
          </cell>
          <cell r="I31">
            <v>0</v>
          </cell>
        </row>
        <row r="32">
          <cell r="B32" t="str">
            <v>Castellon Ramos Rene</v>
          </cell>
          <cell r="C32">
            <v>15</v>
          </cell>
          <cell r="D32">
            <v>0</v>
          </cell>
          <cell r="E32">
            <v>250</v>
          </cell>
          <cell r="F32">
            <v>265.14</v>
          </cell>
          <cell r="G32">
            <v>3750</v>
          </cell>
          <cell r="H32">
            <v>0</v>
          </cell>
          <cell r="I32">
            <v>0</v>
          </cell>
        </row>
        <row r="33">
          <cell r="B33" t="str">
            <v>Flores Franco Marco</v>
          </cell>
          <cell r="C33">
            <v>15</v>
          </cell>
          <cell r="D33">
            <v>0</v>
          </cell>
          <cell r="E33">
            <v>283.33</v>
          </cell>
          <cell r="F33">
            <v>300.49</v>
          </cell>
          <cell r="G33">
            <v>4250</v>
          </cell>
          <cell r="H33">
            <v>0</v>
          </cell>
          <cell r="I33">
            <v>0</v>
          </cell>
        </row>
        <row r="34">
          <cell r="B34" t="str">
            <v>Chavez Saucedo Jorge Arturo</v>
          </cell>
          <cell r="C34">
            <v>15</v>
          </cell>
          <cell r="D34">
            <v>0</v>
          </cell>
          <cell r="E34">
            <v>266.67</v>
          </cell>
          <cell r="F34">
            <v>278.72000000000003</v>
          </cell>
          <cell r="G34">
            <v>4000.05</v>
          </cell>
          <cell r="H34">
            <v>0</v>
          </cell>
          <cell r="I34">
            <v>0</v>
          </cell>
        </row>
        <row r="35">
          <cell r="B35" t="str">
            <v>Hueramo Hueramo Jesus Daniel</v>
          </cell>
          <cell r="C35">
            <v>15</v>
          </cell>
          <cell r="D35">
            <v>0</v>
          </cell>
          <cell r="E35">
            <v>283.33</v>
          </cell>
          <cell r="F35">
            <v>300.49</v>
          </cell>
          <cell r="G35">
            <v>4250</v>
          </cell>
          <cell r="H35">
            <v>0</v>
          </cell>
          <cell r="I35">
            <v>0</v>
          </cell>
        </row>
        <row r="36">
          <cell r="B36" t="str">
            <v>Sandoval Garcia Luis</v>
          </cell>
          <cell r="C36">
            <v>15</v>
          </cell>
          <cell r="D36">
            <v>0</v>
          </cell>
          <cell r="E36">
            <v>266.67</v>
          </cell>
          <cell r="F36">
            <v>282.81</v>
          </cell>
          <cell r="G36">
            <v>4000.05</v>
          </cell>
          <cell r="H36">
            <v>0</v>
          </cell>
          <cell r="I36">
            <v>0</v>
          </cell>
        </row>
        <row r="37">
          <cell r="B37" t="str">
            <v>Vaca Valdez Guillermo</v>
          </cell>
          <cell r="C37">
            <v>12</v>
          </cell>
          <cell r="D37">
            <v>3</v>
          </cell>
          <cell r="E37">
            <v>266.67</v>
          </cell>
          <cell r="F37">
            <v>282.81</v>
          </cell>
          <cell r="G37">
            <v>3200.04</v>
          </cell>
          <cell r="H37">
            <v>800.01</v>
          </cell>
          <cell r="I37">
            <v>240</v>
          </cell>
        </row>
        <row r="38">
          <cell r="B38" t="str">
            <v>Martinez Morales Jose Martin</v>
          </cell>
          <cell r="C38">
            <v>15</v>
          </cell>
          <cell r="D38">
            <v>0</v>
          </cell>
          <cell r="E38">
            <v>466.67</v>
          </cell>
          <cell r="F38">
            <v>494.92</v>
          </cell>
          <cell r="G38">
            <v>7000.05</v>
          </cell>
          <cell r="H38">
            <v>0</v>
          </cell>
          <cell r="I38">
            <v>0</v>
          </cell>
        </row>
        <row r="39">
          <cell r="B39" t="str">
            <v>Arzate Gil Juan Sebastian</v>
          </cell>
          <cell r="C39">
            <v>15</v>
          </cell>
          <cell r="D39">
            <v>0</v>
          </cell>
          <cell r="E39">
            <v>266.67</v>
          </cell>
          <cell r="F39">
            <v>282.81</v>
          </cell>
          <cell r="G39">
            <v>4000.05</v>
          </cell>
          <cell r="H39">
            <v>0</v>
          </cell>
          <cell r="I39">
            <v>0</v>
          </cell>
        </row>
        <row r="40">
          <cell r="B40" t="str">
            <v>Torres Velazquez Juan Antonio</v>
          </cell>
          <cell r="C40">
            <v>15</v>
          </cell>
          <cell r="D40">
            <v>0</v>
          </cell>
          <cell r="E40">
            <v>266.67</v>
          </cell>
          <cell r="F40">
            <v>282.81</v>
          </cell>
          <cell r="G40">
            <v>4000.05</v>
          </cell>
          <cell r="H40">
            <v>0</v>
          </cell>
          <cell r="I40">
            <v>0</v>
          </cell>
        </row>
        <row r="41">
          <cell r="B41" t="str">
            <v>Enriquez Zamora Jessica Del Rocio</v>
          </cell>
          <cell r="C41">
            <v>14</v>
          </cell>
          <cell r="D41">
            <v>1</v>
          </cell>
          <cell r="E41">
            <v>200</v>
          </cell>
          <cell r="F41">
            <v>212.11</v>
          </cell>
          <cell r="G41">
            <v>2800</v>
          </cell>
          <cell r="H41">
            <v>200</v>
          </cell>
          <cell r="I41">
            <v>60</v>
          </cell>
        </row>
        <row r="42">
          <cell r="B42" t="str">
            <v>Moreno Quiroga Ana Sarahi</v>
          </cell>
          <cell r="C42">
            <v>15</v>
          </cell>
          <cell r="D42">
            <v>0</v>
          </cell>
          <cell r="E42">
            <v>266.67</v>
          </cell>
          <cell r="F42">
            <v>282.81</v>
          </cell>
          <cell r="G42">
            <v>4000.05</v>
          </cell>
          <cell r="H42">
            <v>0</v>
          </cell>
          <cell r="I42">
            <v>0</v>
          </cell>
        </row>
        <row r="43">
          <cell r="B43" t="str">
            <v>Hernandez Garcia Manuel Alejandro</v>
          </cell>
          <cell r="C43">
            <v>15</v>
          </cell>
          <cell r="D43">
            <v>0</v>
          </cell>
          <cell r="E43">
            <v>266.67</v>
          </cell>
          <cell r="F43">
            <v>278.72000000000003</v>
          </cell>
          <cell r="G43">
            <v>4000.05</v>
          </cell>
          <cell r="H43">
            <v>0</v>
          </cell>
          <cell r="I43">
            <v>0</v>
          </cell>
        </row>
        <row r="44">
          <cell r="B44" t="str">
            <v>Sandoval Medina Demetrio</v>
          </cell>
          <cell r="C44">
            <v>15</v>
          </cell>
          <cell r="D44">
            <v>0</v>
          </cell>
          <cell r="E44">
            <v>266.67</v>
          </cell>
          <cell r="F44">
            <v>278.72000000000003</v>
          </cell>
          <cell r="G44">
            <v>4000.05</v>
          </cell>
          <cell r="H44">
            <v>0</v>
          </cell>
          <cell r="I44">
            <v>0</v>
          </cell>
        </row>
        <row r="45">
          <cell r="B45" t="str">
            <v>Gutierrez Muñoz Carlos Alejandro</v>
          </cell>
          <cell r="C45">
            <v>15</v>
          </cell>
          <cell r="D45">
            <v>0</v>
          </cell>
          <cell r="E45">
            <v>220.83</v>
          </cell>
          <cell r="F45">
            <v>234.2</v>
          </cell>
          <cell r="G45">
            <v>3312.45</v>
          </cell>
          <cell r="H45">
            <v>0</v>
          </cell>
          <cell r="I45">
            <v>0</v>
          </cell>
        </row>
        <row r="46">
          <cell r="B46" t="str">
            <v>Molina Ramirez Gerardo Daniel</v>
          </cell>
          <cell r="C46">
            <v>15</v>
          </cell>
          <cell r="D46">
            <v>0</v>
          </cell>
          <cell r="E46">
            <v>150</v>
          </cell>
          <cell r="F46">
            <v>156.78</v>
          </cell>
          <cell r="G46">
            <v>2250</v>
          </cell>
          <cell r="H46">
            <v>0</v>
          </cell>
          <cell r="I46">
            <v>0</v>
          </cell>
        </row>
        <row r="47">
          <cell r="B47" t="str">
            <v>Mireles Casillas Brenda Cristina</v>
          </cell>
          <cell r="C47">
            <v>15</v>
          </cell>
          <cell r="D47">
            <v>0</v>
          </cell>
          <cell r="E47">
            <v>150</v>
          </cell>
          <cell r="F47">
            <v>156.78</v>
          </cell>
          <cell r="G47">
            <v>2250</v>
          </cell>
          <cell r="H47">
            <v>0</v>
          </cell>
          <cell r="I47">
            <v>0</v>
          </cell>
        </row>
        <row r="48">
          <cell r="B48" t="str">
            <v>Escobedo Olivares Juan Guadalupe</v>
          </cell>
          <cell r="C48">
            <v>15</v>
          </cell>
          <cell r="D48">
            <v>0</v>
          </cell>
          <cell r="E48">
            <v>233.33</v>
          </cell>
          <cell r="F48">
            <v>243.88</v>
          </cell>
          <cell r="G48">
            <v>3499.95</v>
          </cell>
          <cell r="H48">
            <v>0</v>
          </cell>
          <cell r="I48">
            <v>0</v>
          </cell>
        </row>
        <row r="49">
          <cell r="B49" t="str">
            <v>Castillo Ramirez Hector Ivan</v>
          </cell>
          <cell r="C49">
            <v>11</v>
          </cell>
          <cell r="D49">
            <v>4</v>
          </cell>
          <cell r="E49">
            <v>233.33</v>
          </cell>
          <cell r="F49">
            <v>243.88</v>
          </cell>
          <cell r="G49">
            <v>2566.63</v>
          </cell>
          <cell r="H49">
            <v>933.32</v>
          </cell>
          <cell r="I49">
            <v>280</v>
          </cell>
        </row>
        <row r="50">
          <cell r="B50" t="str">
            <v>Martinez Morales Tomas</v>
          </cell>
          <cell r="C50">
            <v>15</v>
          </cell>
          <cell r="D50">
            <v>0</v>
          </cell>
          <cell r="E50">
            <v>312.87</v>
          </cell>
          <cell r="F50">
            <v>327.01</v>
          </cell>
          <cell r="G50">
            <v>4693.05</v>
          </cell>
          <cell r="H50">
            <v>0</v>
          </cell>
          <cell r="I50">
            <v>0</v>
          </cell>
        </row>
        <row r="51">
          <cell r="B51" t="str">
            <v>Medellin Colunga Ruben Dario</v>
          </cell>
          <cell r="C51">
            <v>15</v>
          </cell>
          <cell r="D51">
            <v>0</v>
          </cell>
          <cell r="E51">
            <v>312.87</v>
          </cell>
          <cell r="F51">
            <v>327.01</v>
          </cell>
          <cell r="G51">
            <v>4693.05</v>
          </cell>
          <cell r="H51">
            <v>0</v>
          </cell>
          <cell r="I51">
            <v>0</v>
          </cell>
        </row>
        <row r="52">
          <cell r="B52" t="str">
            <v>Torres Perez Carlos Alberto</v>
          </cell>
          <cell r="C52">
            <v>15</v>
          </cell>
          <cell r="D52">
            <v>0</v>
          </cell>
          <cell r="E52">
            <v>238.84</v>
          </cell>
          <cell r="F52">
            <v>249.64</v>
          </cell>
          <cell r="G52">
            <v>3582.6</v>
          </cell>
          <cell r="H52">
            <v>0</v>
          </cell>
          <cell r="I52">
            <v>0</v>
          </cell>
        </row>
        <row r="53">
          <cell r="B53" t="str">
            <v>Treviño Alvarez Jorge Alberto</v>
          </cell>
          <cell r="C53">
            <v>15</v>
          </cell>
          <cell r="D53">
            <v>0</v>
          </cell>
          <cell r="E53">
            <v>238.84</v>
          </cell>
          <cell r="F53">
            <v>249.64</v>
          </cell>
          <cell r="G53">
            <v>3582.6</v>
          </cell>
          <cell r="H53">
            <v>0</v>
          </cell>
          <cell r="I53">
            <v>0</v>
          </cell>
        </row>
        <row r="54">
          <cell r="B54" t="str">
            <v>Tenorio Alvarez Alberto Antonio</v>
          </cell>
          <cell r="C54">
            <v>15</v>
          </cell>
          <cell r="D54">
            <v>0</v>
          </cell>
          <cell r="E54">
            <v>238.84</v>
          </cell>
          <cell r="F54">
            <v>249.64</v>
          </cell>
          <cell r="G54">
            <v>3582.6</v>
          </cell>
          <cell r="H54">
            <v>0</v>
          </cell>
          <cell r="I54">
            <v>0</v>
          </cell>
        </row>
        <row r="55">
          <cell r="B55" t="str">
            <v>Chavez Dominguez Salvador</v>
          </cell>
          <cell r="C55">
            <v>15</v>
          </cell>
          <cell r="D55">
            <v>0</v>
          </cell>
          <cell r="E55">
            <v>238.84</v>
          </cell>
          <cell r="F55">
            <v>249.64</v>
          </cell>
          <cell r="G55">
            <v>3582.6</v>
          </cell>
          <cell r="H55">
            <v>0</v>
          </cell>
          <cell r="I55">
            <v>0</v>
          </cell>
        </row>
        <row r="56">
          <cell r="B56" t="str">
            <v>Garcia Gutierrez Jose Juan</v>
          </cell>
          <cell r="C56">
            <v>15</v>
          </cell>
          <cell r="D56">
            <v>0</v>
          </cell>
          <cell r="E56">
            <v>200</v>
          </cell>
          <cell r="F56">
            <v>212.11</v>
          </cell>
          <cell r="G56">
            <v>3000</v>
          </cell>
          <cell r="H56">
            <v>0</v>
          </cell>
          <cell r="I56">
            <v>0</v>
          </cell>
        </row>
        <row r="57">
          <cell r="B57" t="str">
            <v>Cruz Herrera Roberto</v>
          </cell>
          <cell r="C57">
            <v>15</v>
          </cell>
          <cell r="D57">
            <v>0</v>
          </cell>
          <cell r="E57">
            <v>238.84</v>
          </cell>
          <cell r="F57">
            <v>249.64</v>
          </cell>
          <cell r="G57">
            <v>3582.6</v>
          </cell>
          <cell r="H57">
            <v>0</v>
          </cell>
          <cell r="I57">
            <v>0</v>
          </cell>
        </row>
        <row r="58">
          <cell r="B58" t="str">
            <v>Martinez Rodriguez Paulo Cesar</v>
          </cell>
          <cell r="C58">
            <v>15</v>
          </cell>
          <cell r="D58">
            <v>0</v>
          </cell>
          <cell r="E58">
            <v>166.67</v>
          </cell>
          <cell r="F58">
            <v>174.2</v>
          </cell>
          <cell r="G58">
            <v>2500.0500000000002</v>
          </cell>
          <cell r="H58">
            <v>0</v>
          </cell>
          <cell r="I58">
            <v>0</v>
          </cell>
        </row>
        <row r="59">
          <cell r="B59" t="str">
            <v>Martinez Malo Cesar</v>
          </cell>
          <cell r="C59">
            <v>15</v>
          </cell>
          <cell r="D59">
            <v>0</v>
          </cell>
          <cell r="E59">
            <v>195.38</v>
          </cell>
          <cell r="F59">
            <v>204.21</v>
          </cell>
          <cell r="G59">
            <v>2930.7</v>
          </cell>
          <cell r="H59">
            <v>0</v>
          </cell>
          <cell r="I59">
            <v>0</v>
          </cell>
        </row>
        <row r="60">
          <cell r="B60" t="str">
            <v>Perez Balboa Cesar</v>
          </cell>
          <cell r="C60">
            <v>4</v>
          </cell>
          <cell r="D60">
            <v>11</v>
          </cell>
          <cell r="E60">
            <v>195.38</v>
          </cell>
          <cell r="F60">
            <v>204.21</v>
          </cell>
          <cell r="G60">
            <v>781.52</v>
          </cell>
          <cell r="H60">
            <v>2149.1799999999998</v>
          </cell>
          <cell r="I60">
            <v>644.75</v>
          </cell>
        </row>
        <row r="61">
          <cell r="B61" t="str">
            <v>Mejia Duarte Jose Luis</v>
          </cell>
          <cell r="C61">
            <v>15</v>
          </cell>
          <cell r="D61">
            <v>0</v>
          </cell>
          <cell r="E61">
            <v>166.67</v>
          </cell>
          <cell r="F61">
            <v>176.76</v>
          </cell>
          <cell r="G61">
            <v>2500.0500000000002</v>
          </cell>
          <cell r="H61">
            <v>0</v>
          </cell>
          <cell r="I61">
            <v>0</v>
          </cell>
        </row>
        <row r="62">
          <cell r="B62" t="str">
            <v>Cerro Garcia Elvis</v>
          </cell>
          <cell r="C62">
            <v>15</v>
          </cell>
          <cell r="D62">
            <v>0</v>
          </cell>
          <cell r="E62">
            <v>166.67</v>
          </cell>
          <cell r="F62">
            <v>177.03</v>
          </cell>
          <cell r="G62">
            <v>2500.0500000000002</v>
          </cell>
          <cell r="H62">
            <v>0</v>
          </cell>
          <cell r="I62">
            <v>0</v>
          </cell>
        </row>
        <row r="63">
          <cell r="B63" t="str">
            <v>Gutierrez Castillo Jose De Jesus</v>
          </cell>
          <cell r="C63">
            <v>15</v>
          </cell>
          <cell r="D63">
            <v>0</v>
          </cell>
          <cell r="E63">
            <v>200</v>
          </cell>
          <cell r="F63">
            <v>209.04</v>
          </cell>
          <cell r="G63">
            <v>3000</v>
          </cell>
          <cell r="H63">
            <v>0</v>
          </cell>
          <cell r="I63">
            <v>0</v>
          </cell>
        </row>
        <row r="64">
          <cell r="B64" t="str">
            <v>Lizaran Maceda Jose Guadalupe</v>
          </cell>
          <cell r="C64">
            <v>15</v>
          </cell>
          <cell r="D64">
            <v>0</v>
          </cell>
          <cell r="E64">
            <v>166.67</v>
          </cell>
          <cell r="F64">
            <v>175.8</v>
          </cell>
          <cell r="G64">
            <v>2500.0500000000002</v>
          </cell>
          <cell r="H64">
            <v>0</v>
          </cell>
          <cell r="I64">
            <v>0</v>
          </cell>
        </row>
        <row r="65">
          <cell r="B65" t="str">
            <v>Mendez Rivera Ivan Israel</v>
          </cell>
          <cell r="C65">
            <v>15</v>
          </cell>
          <cell r="D65">
            <v>0</v>
          </cell>
          <cell r="E65">
            <v>166.66</v>
          </cell>
          <cell r="F65">
            <v>174.19</v>
          </cell>
          <cell r="G65">
            <v>2499.9</v>
          </cell>
          <cell r="H65">
            <v>0</v>
          </cell>
          <cell r="I65">
            <v>0</v>
          </cell>
        </row>
        <row r="66">
          <cell r="B66" t="str">
            <v>Macias Torres Enrique</v>
          </cell>
          <cell r="C66">
            <v>15</v>
          </cell>
          <cell r="D66">
            <v>0</v>
          </cell>
          <cell r="E66">
            <v>256.67</v>
          </cell>
          <cell r="F66">
            <v>272.20999999999998</v>
          </cell>
          <cell r="G66">
            <v>3850.05</v>
          </cell>
          <cell r="H66">
            <v>0</v>
          </cell>
          <cell r="I66">
            <v>0</v>
          </cell>
        </row>
        <row r="67">
          <cell r="B67" t="str">
            <v>Palacios Vega Luis Rosendo</v>
          </cell>
          <cell r="C67">
            <v>15</v>
          </cell>
          <cell r="D67">
            <v>0</v>
          </cell>
          <cell r="E67">
            <v>166.67</v>
          </cell>
          <cell r="F67">
            <v>174.2</v>
          </cell>
          <cell r="G67">
            <v>2500.0500000000002</v>
          </cell>
          <cell r="H67">
            <v>0</v>
          </cell>
          <cell r="I67">
            <v>0</v>
          </cell>
        </row>
        <row r="68">
          <cell r="B68" t="str">
            <v>Rondero Savin Jacinto</v>
          </cell>
          <cell r="C68">
            <v>15</v>
          </cell>
          <cell r="D68">
            <v>0</v>
          </cell>
          <cell r="E68">
            <v>233.33</v>
          </cell>
          <cell r="F68">
            <v>243.88</v>
          </cell>
          <cell r="G68">
            <v>3499.95</v>
          </cell>
          <cell r="H68">
            <v>0</v>
          </cell>
          <cell r="I68">
            <v>0</v>
          </cell>
        </row>
        <row r="69">
          <cell r="B69" t="str">
            <v>Hernandez Rodriguez Jorge</v>
          </cell>
          <cell r="C69">
            <v>15</v>
          </cell>
          <cell r="D69">
            <v>0</v>
          </cell>
          <cell r="E69">
            <v>233.33</v>
          </cell>
          <cell r="F69">
            <v>247.46</v>
          </cell>
          <cell r="G69">
            <v>3499.95</v>
          </cell>
          <cell r="H69">
            <v>0</v>
          </cell>
          <cell r="I69">
            <v>0</v>
          </cell>
        </row>
        <row r="70">
          <cell r="B70" t="str">
            <v>Orea Gonzalez Concepcion Esteban</v>
          </cell>
          <cell r="C70">
            <v>15</v>
          </cell>
          <cell r="D70">
            <v>0</v>
          </cell>
          <cell r="E70">
            <v>210</v>
          </cell>
          <cell r="F70">
            <v>222.72</v>
          </cell>
          <cell r="G70">
            <v>3150</v>
          </cell>
          <cell r="H70">
            <v>0</v>
          </cell>
          <cell r="I70">
            <v>0</v>
          </cell>
        </row>
        <row r="71">
          <cell r="B71" t="str">
            <v>Lizaran Maceda Jesus</v>
          </cell>
          <cell r="C71">
            <v>15</v>
          </cell>
          <cell r="D71">
            <v>0</v>
          </cell>
          <cell r="E71">
            <v>210</v>
          </cell>
          <cell r="F71">
            <v>222.72</v>
          </cell>
          <cell r="G71">
            <v>3150</v>
          </cell>
          <cell r="H71">
            <v>0</v>
          </cell>
          <cell r="I71">
            <v>0</v>
          </cell>
        </row>
        <row r="72">
          <cell r="B72" t="str">
            <v>Alejandro Peña Deivi</v>
          </cell>
          <cell r="C72">
            <v>15</v>
          </cell>
          <cell r="D72">
            <v>0</v>
          </cell>
          <cell r="E72">
            <v>210</v>
          </cell>
          <cell r="F72">
            <v>222.72</v>
          </cell>
          <cell r="G72">
            <v>3150</v>
          </cell>
          <cell r="H72">
            <v>0</v>
          </cell>
          <cell r="I72">
            <v>0</v>
          </cell>
        </row>
        <row r="73">
          <cell r="B73" t="str">
            <v>Casas Chavarria Rafael</v>
          </cell>
          <cell r="C73">
            <v>15</v>
          </cell>
          <cell r="D73">
            <v>0</v>
          </cell>
          <cell r="E73">
            <v>210</v>
          </cell>
          <cell r="F73">
            <v>222.72</v>
          </cell>
          <cell r="G73">
            <v>3150</v>
          </cell>
          <cell r="H73">
            <v>0</v>
          </cell>
          <cell r="I73">
            <v>0</v>
          </cell>
        </row>
        <row r="74">
          <cell r="B74" t="str">
            <v>Del Pilar Mendez Lucio</v>
          </cell>
          <cell r="C74">
            <v>15</v>
          </cell>
          <cell r="D74">
            <v>0</v>
          </cell>
          <cell r="E74">
            <v>200</v>
          </cell>
          <cell r="F74">
            <v>209.04</v>
          </cell>
          <cell r="G74">
            <v>3000</v>
          </cell>
          <cell r="H74">
            <v>0</v>
          </cell>
          <cell r="I74">
            <v>0</v>
          </cell>
        </row>
        <row r="75">
          <cell r="B75" t="str">
            <v>Gonzalez Ramirez Paul</v>
          </cell>
          <cell r="C75">
            <v>14</v>
          </cell>
          <cell r="D75">
            <v>0</v>
          </cell>
          <cell r="E75">
            <v>200</v>
          </cell>
          <cell r="F75">
            <v>209.04</v>
          </cell>
          <cell r="G75">
            <v>2800</v>
          </cell>
          <cell r="H75">
            <v>0</v>
          </cell>
          <cell r="I75">
            <v>0</v>
          </cell>
        </row>
        <row r="76">
          <cell r="B76" t="str">
            <v>Alejandro Vazquez Erasmo Miguel</v>
          </cell>
          <cell r="C76">
            <v>15</v>
          </cell>
          <cell r="D76">
            <v>0</v>
          </cell>
          <cell r="E76">
            <v>200</v>
          </cell>
          <cell r="F76">
            <v>212.11</v>
          </cell>
          <cell r="G76">
            <v>3000</v>
          </cell>
          <cell r="H76">
            <v>0</v>
          </cell>
          <cell r="I76">
            <v>0</v>
          </cell>
        </row>
        <row r="77">
          <cell r="B77" t="str">
            <v>Hernandez Ojeda Julio Cesar</v>
          </cell>
          <cell r="C77">
            <v>15</v>
          </cell>
          <cell r="D77">
            <v>0</v>
          </cell>
          <cell r="E77">
            <v>116.67</v>
          </cell>
          <cell r="F77">
            <v>123.73</v>
          </cell>
          <cell r="G77">
            <v>1750.05</v>
          </cell>
          <cell r="H77">
            <v>0</v>
          </cell>
          <cell r="I77">
            <v>0</v>
          </cell>
        </row>
        <row r="78">
          <cell r="B78" t="str">
            <v>Serrano Esquivel Armando</v>
          </cell>
          <cell r="C78">
            <v>15</v>
          </cell>
          <cell r="D78">
            <v>0</v>
          </cell>
          <cell r="E78">
            <v>116.67</v>
          </cell>
          <cell r="F78">
            <v>123.73</v>
          </cell>
          <cell r="G78">
            <v>1750.05</v>
          </cell>
          <cell r="H78">
            <v>0</v>
          </cell>
          <cell r="I78">
            <v>0</v>
          </cell>
        </row>
        <row r="79">
          <cell r="B79" t="str">
            <v>Coronado Vega Carlos Eduardo</v>
          </cell>
          <cell r="C79"/>
          <cell r="D79"/>
          <cell r="E79"/>
          <cell r="F79"/>
          <cell r="G79"/>
          <cell r="H79"/>
          <cell r="I79"/>
        </row>
        <row r="80">
          <cell r="B80" t="str">
            <v>Morales Martinez Eduardo</v>
          </cell>
          <cell r="C80">
            <v>15</v>
          </cell>
          <cell r="D80">
            <v>0</v>
          </cell>
          <cell r="E80">
            <v>210</v>
          </cell>
          <cell r="F80">
            <v>222.72</v>
          </cell>
          <cell r="G80">
            <v>3150</v>
          </cell>
          <cell r="H80">
            <v>0</v>
          </cell>
          <cell r="I80">
            <v>0</v>
          </cell>
        </row>
        <row r="81">
          <cell r="B81" t="str">
            <v>Chavez Govea Edgar Aram</v>
          </cell>
          <cell r="C81">
            <v>15</v>
          </cell>
          <cell r="D81">
            <v>0</v>
          </cell>
          <cell r="E81">
            <v>233.33</v>
          </cell>
          <cell r="F81">
            <v>247.46</v>
          </cell>
          <cell r="G81">
            <v>3499.95</v>
          </cell>
          <cell r="H81">
            <v>0</v>
          </cell>
          <cell r="I81">
            <v>0</v>
          </cell>
        </row>
        <row r="82">
          <cell r="B82" t="str">
            <v>Diaz Ortiz Hiram Guillermo</v>
          </cell>
          <cell r="C82">
            <v>15</v>
          </cell>
          <cell r="D82">
            <v>0</v>
          </cell>
          <cell r="E82">
            <v>210</v>
          </cell>
          <cell r="F82">
            <v>219.49</v>
          </cell>
          <cell r="G82">
            <v>3150</v>
          </cell>
          <cell r="H82">
            <v>0</v>
          </cell>
          <cell r="I82">
            <v>0</v>
          </cell>
        </row>
        <row r="83">
          <cell r="B83" t="str">
            <v>Aguilar Aguirre Alfonso</v>
          </cell>
          <cell r="C83">
            <v>15</v>
          </cell>
          <cell r="D83">
            <v>0</v>
          </cell>
          <cell r="E83">
            <v>200</v>
          </cell>
          <cell r="F83">
            <v>212.11</v>
          </cell>
          <cell r="G83">
            <v>3000</v>
          </cell>
          <cell r="H83">
            <v>0</v>
          </cell>
          <cell r="I83">
            <v>0</v>
          </cell>
        </row>
        <row r="84">
          <cell r="B84" t="str">
            <v>Vallarta Fonseca Mayra Karina</v>
          </cell>
          <cell r="C84">
            <v>15</v>
          </cell>
          <cell r="D84">
            <v>0</v>
          </cell>
          <cell r="E84">
            <v>200</v>
          </cell>
          <cell r="F84">
            <v>212.11</v>
          </cell>
          <cell r="G84">
            <v>3000</v>
          </cell>
          <cell r="H84">
            <v>0</v>
          </cell>
          <cell r="I84">
            <v>0</v>
          </cell>
        </row>
        <row r="85">
          <cell r="B85" t="str">
            <v>Aguilar Garcia Rosa Paola</v>
          </cell>
          <cell r="C85">
            <v>15</v>
          </cell>
          <cell r="D85">
            <v>0</v>
          </cell>
          <cell r="E85">
            <v>166.67</v>
          </cell>
          <cell r="F85">
            <v>176.76</v>
          </cell>
          <cell r="G85">
            <v>2500.0500000000002</v>
          </cell>
          <cell r="H85">
            <v>0</v>
          </cell>
          <cell r="I85">
            <v>0</v>
          </cell>
        </row>
        <row r="86">
          <cell r="B86" t="str">
            <v>Jauregui Madera Jorge Silvestre</v>
          </cell>
          <cell r="C86">
            <v>15</v>
          </cell>
          <cell r="D86">
            <v>0</v>
          </cell>
          <cell r="E86">
            <v>200</v>
          </cell>
          <cell r="F86">
            <v>209.04</v>
          </cell>
          <cell r="G86">
            <v>3000</v>
          </cell>
          <cell r="H86">
            <v>0</v>
          </cell>
          <cell r="I86">
            <v>0</v>
          </cell>
        </row>
        <row r="87">
          <cell r="B87" t="str">
            <v>Cruz Perez Alejandro Nezahualcoyotl</v>
          </cell>
          <cell r="C87">
            <v>15</v>
          </cell>
          <cell r="D87">
            <v>0</v>
          </cell>
          <cell r="E87">
            <v>266.67</v>
          </cell>
          <cell r="F87">
            <v>282.81</v>
          </cell>
          <cell r="G87">
            <v>4000.05</v>
          </cell>
          <cell r="H87">
            <v>0</v>
          </cell>
          <cell r="I87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CTURACION SINDICATO"/>
      <sheetName val="CPD"/>
      <sheetName val="CPD SEITON"/>
      <sheetName val="IP"/>
      <sheetName val="IP SEITON"/>
      <sheetName val="SINDICATO"/>
      <sheetName val="RESUMEN"/>
      <sheetName val="RESUMEN SEITON"/>
      <sheetName val="QUINCENA PASADA"/>
      <sheetName val="FACTURACION"/>
      <sheetName val="ASIMILADOS"/>
      <sheetName val="NETOS"/>
      <sheetName val="ABC"/>
      <sheetName val="Hoja4"/>
    </sheetNames>
    <sheetDataSet>
      <sheetData sheetId="0"/>
      <sheetData sheetId="1"/>
      <sheetData sheetId="2"/>
      <sheetData sheetId="3"/>
      <sheetData sheetId="4">
        <row r="6">
          <cell r="B6" t="str">
            <v>Negrete Bejar Aide Sarai</v>
          </cell>
          <cell r="C6">
            <v>15</v>
          </cell>
          <cell r="D6">
            <v>0</v>
          </cell>
          <cell r="E6">
            <v>154</v>
          </cell>
          <cell r="F6">
            <v>160.96</v>
          </cell>
          <cell r="G6">
            <v>2310</v>
          </cell>
          <cell r="H6">
            <v>0</v>
          </cell>
          <cell r="I6">
            <v>0</v>
          </cell>
          <cell r="J6">
            <v>2310</v>
          </cell>
          <cell r="K6">
            <v>0</v>
          </cell>
          <cell r="L6">
            <v>-39.729999999999997</v>
          </cell>
          <cell r="M6">
            <v>57.34</v>
          </cell>
          <cell r="N6">
            <v>999.55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</row>
        <row r="7">
          <cell r="B7" t="str">
            <v>Jimenez Alcaraz Elizabeth</v>
          </cell>
          <cell r="C7">
            <v>15</v>
          </cell>
          <cell r="D7">
            <v>0</v>
          </cell>
          <cell r="E7">
            <v>200</v>
          </cell>
          <cell r="F7">
            <v>212.11</v>
          </cell>
          <cell r="G7">
            <v>3000</v>
          </cell>
          <cell r="H7">
            <v>0</v>
          </cell>
          <cell r="I7">
            <v>0</v>
          </cell>
          <cell r="J7">
            <v>3000</v>
          </cell>
          <cell r="K7">
            <v>59.69</v>
          </cell>
          <cell r="L7">
            <v>0</v>
          </cell>
          <cell r="M7">
            <v>75.56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</row>
        <row r="8">
          <cell r="B8" t="str">
            <v>Contreras Zetina Victor Hugo</v>
          </cell>
          <cell r="C8">
            <v>15</v>
          </cell>
          <cell r="D8">
            <v>0</v>
          </cell>
          <cell r="E8">
            <v>230</v>
          </cell>
          <cell r="F8">
            <v>243.91</v>
          </cell>
          <cell r="G8">
            <v>3450</v>
          </cell>
          <cell r="H8">
            <v>0</v>
          </cell>
          <cell r="I8">
            <v>0</v>
          </cell>
          <cell r="J8">
            <v>3450</v>
          </cell>
          <cell r="K8">
            <v>128.93</v>
          </cell>
          <cell r="L8">
            <v>0</v>
          </cell>
          <cell r="M8">
            <v>86.9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</row>
        <row r="9">
          <cell r="B9" t="str">
            <v>Gomez Oliveros Alin</v>
          </cell>
          <cell r="C9">
            <v>15</v>
          </cell>
          <cell r="D9">
            <v>0</v>
          </cell>
          <cell r="E9">
            <v>200</v>
          </cell>
          <cell r="F9">
            <v>212.11</v>
          </cell>
          <cell r="G9">
            <v>3000</v>
          </cell>
          <cell r="H9">
            <v>0</v>
          </cell>
          <cell r="I9">
            <v>0</v>
          </cell>
          <cell r="J9">
            <v>3000</v>
          </cell>
          <cell r="K9">
            <v>59.69</v>
          </cell>
          <cell r="L9">
            <v>0</v>
          </cell>
          <cell r="M9">
            <v>75.56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</row>
        <row r="10">
          <cell r="B10" t="str">
            <v>Aguilar Leal Karina Livier</v>
          </cell>
          <cell r="C10">
            <v>13</v>
          </cell>
          <cell r="D10">
            <v>2</v>
          </cell>
          <cell r="E10">
            <v>266.67</v>
          </cell>
          <cell r="F10">
            <v>282.81</v>
          </cell>
          <cell r="G10">
            <v>3466.71</v>
          </cell>
          <cell r="H10">
            <v>533.34</v>
          </cell>
          <cell r="I10">
            <v>160</v>
          </cell>
          <cell r="J10">
            <v>4160.05</v>
          </cell>
          <cell r="K10">
            <v>313.87</v>
          </cell>
          <cell r="L10">
            <v>0</v>
          </cell>
          <cell r="M10">
            <v>102.51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</row>
        <row r="11">
          <cell r="B11" t="str">
            <v>Amezcua Contreras Martha Frine</v>
          </cell>
          <cell r="C11">
            <v>15</v>
          </cell>
          <cell r="D11">
            <v>0</v>
          </cell>
          <cell r="E11">
            <v>566.66999999999996</v>
          </cell>
          <cell r="F11">
            <v>600.98</v>
          </cell>
          <cell r="G11">
            <v>8500.0499999999993</v>
          </cell>
          <cell r="H11">
            <v>0</v>
          </cell>
          <cell r="I11">
            <v>0</v>
          </cell>
          <cell r="J11">
            <v>8500.0499999999993</v>
          </cell>
          <cell r="K11">
            <v>1177.3900000000001</v>
          </cell>
          <cell r="L11">
            <v>0</v>
          </cell>
          <cell r="M11">
            <v>234.96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</row>
        <row r="12">
          <cell r="B12" t="str">
            <v>Guizar Perez Sergio</v>
          </cell>
          <cell r="C12">
            <v>13</v>
          </cell>
          <cell r="D12">
            <v>2</v>
          </cell>
          <cell r="E12">
            <v>250</v>
          </cell>
          <cell r="F12">
            <v>265.14</v>
          </cell>
          <cell r="G12">
            <v>3250</v>
          </cell>
          <cell r="H12">
            <v>500</v>
          </cell>
          <cell r="I12">
            <v>150</v>
          </cell>
          <cell r="J12">
            <v>3900</v>
          </cell>
          <cell r="K12">
            <v>286.67</v>
          </cell>
          <cell r="L12">
            <v>0</v>
          </cell>
          <cell r="M12">
            <v>95.15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</row>
        <row r="13">
          <cell r="B13" t="str">
            <v>Quinto Valle Martin</v>
          </cell>
          <cell r="C13">
            <v>15</v>
          </cell>
          <cell r="D13">
            <v>0</v>
          </cell>
          <cell r="E13">
            <v>333.33</v>
          </cell>
          <cell r="F13">
            <v>353.52</v>
          </cell>
          <cell r="G13">
            <v>4999.95</v>
          </cell>
          <cell r="H13">
            <v>0</v>
          </cell>
          <cell r="I13">
            <v>0</v>
          </cell>
          <cell r="J13">
            <v>4999.95</v>
          </cell>
          <cell r="K13">
            <v>461.63</v>
          </cell>
          <cell r="L13">
            <v>0</v>
          </cell>
          <cell r="M13">
            <v>131.94999999999999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</row>
        <row r="14">
          <cell r="B14" t="str">
            <v>Negrete Renteria Jose Luis</v>
          </cell>
          <cell r="C14">
            <v>15</v>
          </cell>
          <cell r="D14">
            <v>0</v>
          </cell>
          <cell r="E14">
            <v>281.67</v>
          </cell>
          <cell r="F14">
            <v>298.72000000000003</v>
          </cell>
          <cell r="G14">
            <v>4225.05</v>
          </cell>
          <cell r="H14">
            <v>0</v>
          </cell>
          <cell r="I14">
            <v>0</v>
          </cell>
          <cell r="J14">
            <v>4225.05</v>
          </cell>
          <cell r="K14">
            <v>338.35</v>
          </cell>
          <cell r="L14">
            <v>0</v>
          </cell>
          <cell r="M14">
            <v>109.14</v>
          </cell>
          <cell r="N14">
            <v>1637.48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</row>
        <row r="15">
          <cell r="B15" t="str">
            <v>Alonso Flores Beda</v>
          </cell>
          <cell r="C15">
            <v>15</v>
          </cell>
          <cell r="D15">
            <v>0</v>
          </cell>
          <cell r="E15">
            <v>341.35</v>
          </cell>
          <cell r="F15">
            <v>357.25</v>
          </cell>
          <cell r="G15">
            <v>5120.25</v>
          </cell>
          <cell r="H15">
            <v>0</v>
          </cell>
          <cell r="I15">
            <v>0</v>
          </cell>
          <cell r="J15">
            <v>5120.25</v>
          </cell>
          <cell r="K15">
            <v>483.19</v>
          </cell>
          <cell r="L15">
            <v>0</v>
          </cell>
          <cell r="M15">
            <v>133.51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</row>
        <row r="16">
          <cell r="B16" t="str">
            <v>Romero Mayoral Lorenzo</v>
          </cell>
          <cell r="C16">
            <v>15</v>
          </cell>
          <cell r="D16">
            <v>0</v>
          </cell>
          <cell r="E16">
            <v>266.67</v>
          </cell>
          <cell r="F16">
            <v>282.81</v>
          </cell>
          <cell r="G16">
            <v>4000.05</v>
          </cell>
          <cell r="H16">
            <v>0</v>
          </cell>
          <cell r="I16">
            <v>0</v>
          </cell>
          <cell r="J16">
            <v>4000.05</v>
          </cell>
          <cell r="K16">
            <v>313.87</v>
          </cell>
          <cell r="L16">
            <v>0</v>
          </cell>
          <cell r="M16">
            <v>102.51</v>
          </cell>
          <cell r="N16">
            <v>1088.47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</row>
        <row r="17">
          <cell r="B17" t="str">
            <v>Ramirez Vera Maria Del Carmen</v>
          </cell>
          <cell r="C17">
            <v>15</v>
          </cell>
          <cell r="D17">
            <v>0</v>
          </cell>
          <cell r="E17">
            <v>266.67</v>
          </cell>
          <cell r="F17">
            <v>282.81</v>
          </cell>
          <cell r="G17">
            <v>4000.05</v>
          </cell>
          <cell r="H17">
            <v>0</v>
          </cell>
          <cell r="I17">
            <v>0</v>
          </cell>
          <cell r="J17">
            <v>4000.05</v>
          </cell>
          <cell r="K17">
            <v>313.87</v>
          </cell>
          <cell r="L17">
            <v>0</v>
          </cell>
          <cell r="M17">
            <v>102.51</v>
          </cell>
          <cell r="N17">
            <v>878.84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</row>
        <row r="18">
          <cell r="B18" t="str">
            <v>Bueno Herrera Mariana Guadalupe</v>
          </cell>
          <cell r="C18">
            <v>15</v>
          </cell>
          <cell r="D18">
            <v>0</v>
          </cell>
          <cell r="E18">
            <v>266.67</v>
          </cell>
          <cell r="F18">
            <v>282.81</v>
          </cell>
          <cell r="G18">
            <v>4000.05</v>
          </cell>
          <cell r="H18">
            <v>0</v>
          </cell>
          <cell r="I18">
            <v>0</v>
          </cell>
          <cell r="J18">
            <v>4000.05</v>
          </cell>
          <cell r="K18">
            <v>313.87</v>
          </cell>
          <cell r="L18">
            <v>0</v>
          </cell>
          <cell r="M18">
            <v>102.51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</row>
        <row r="19">
          <cell r="B19" t="str">
            <v>Lara Campos Maximino</v>
          </cell>
          <cell r="C19">
            <v>15</v>
          </cell>
          <cell r="D19">
            <v>0</v>
          </cell>
          <cell r="E19">
            <v>362.41</v>
          </cell>
          <cell r="F19">
            <v>379.29</v>
          </cell>
          <cell r="G19">
            <v>5436.15</v>
          </cell>
          <cell r="H19">
            <v>0</v>
          </cell>
          <cell r="I19">
            <v>0</v>
          </cell>
          <cell r="J19">
            <v>5436.15</v>
          </cell>
          <cell r="K19">
            <v>539.79</v>
          </cell>
          <cell r="L19">
            <v>0</v>
          </cell>
          <cell r="M19">
            <v>142.68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</row>
        <row r="20">
          <cell r="B20" t="str">
            <v>Rodriguez Diaz Cesar Salvador</v>
          </cell>
          <cell r="C20">
            <v>10</v>
          </cell>
          <cell r="D20">
            <v>5</v>
          </cell>
          <cell r="E20">
            <v>266.67</v>
          </cell>
          <cell r="F20">
            <v>282.8</v>
          </cell>
          <cell r="G20">
            <v>2666.7</v>
          </cell>
          <cell r="H20">
            <v>1333.35</v>
          </cell>
          <cell r="I20">
            <v>400</v>
          </cell>
          <cell r="J20">
            <v>4400.05</v>
          </cell>
          <cell r="K20">
            <v>313.87</v>
          </cell>
          <cell r="L20">
            <v>0</v>
          </cell>
          <cell r="M20">
            <v>102.51</v>
          </cell>
          <cell r="N20">
            <v>565.24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</row>
        <row r="21">
          <cell r="B21" t="str">
            <v>Marquez Alcaraz Martin</v>
          </cell>
          <cell r="C21">
            <v>15</v>
          </cell>
          <cell r="D21">
            <v>0</v>
          </cell>
          <cell r="E21">
            <v>266.67</v>
          </cell>
          <cell r="F21">
            <v>282.8</v>
          </cell>
          <cell r="G21">
            <v>4000.05</v>
          </cell>
          <cell r="H21">
            <v>0</v>
          </cell>
          <cell r="I21">
            <v>0</v>
          </cell>
          <cell r="J21">
            <v>4000.05</v>
          </cell>
          <cell r="K21">
            <v>313.87</v>
          </cell>
          <cell r="L21">
            <v>0</v>
          </cell>
          <cell r="M21">
            <v>102.51</v>
          </cell>
          <cell r="N21">
            <v>0</v>
          </cell>
          <cell r="O21">
            <v>1217.9000000000001</v>
          </cell>
          <cell r="P21">
            <v>0</v>
          </cell>
          <cell r="Q21">
            <v>0</v>
          </cell>
          <cell r="R21">
            <v>0</v>
          </cell>
        </row>
        <row r="22">
          <cell r="B22" t="str">
            <v>Rojo Avelar Adrian</v>
          </cell>
          <cell r="C22">
            <v>15</v>
          </cell>
          <cell r="D22">
            <v>0</v>
          </cell>
          <cell r="E22">
            <v>200</v>
          </cell>
          <cell r="F22">
            <v>212.11</v>
          </cell>
          <cell r="G22">
            <v>3000</v>
          </cell>
          <cell r="H22">
            <v>0</v>
          </cell>
          <cell r="I22">
            <v>0</v>
          </cell>
          <cell r="J22">
            <v>3000</v>
          </cell>
          <cell r="K22">
            <v>59.69</v>
          </cell>
          <cell r="L22">
            <v>0</v>
          </cell>
          <cell r="M22">
            <v>75.56</v>
          </cell>
          <cell r="N22">
            <v>1075.99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</row>
        <row r="23">
          <cell r="B23" t="str">
            <v>Hurtado Avalos J.jesus</v>
          </cell>
          <cell r="C23">
            <v>15</v>
          </cell>
          <cell r="D23">
            <v>0</v>
          </cell>
          <cell r="E23">
            <v>200</v>
          </cell>
          <cell r="F23">
            <v>212.11</v>
          </cell>
          <cell r="G23">
            <v>3000</v>
          </cell>
          <cell r="H23">
            <v>0</v>
          </cell>
          <cell r="I23">
            <v>0</v>
          </cell>
          <cell r="J23">
            <v>3000</v>
          </cell>
          <cell r="K23">
            <v>59.69</v>
          </cell>
          <cell r="L23">
            <v>0</v>
          </cell>
          <cell r="M23">
            <v>75.56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</row>
        <row r="24">
          <cell r="B24" t="str">
            <v>Mora Cavazos Roberto Manuel</v>
          </cell>
          <cell r="C24">
            <v>15</v>
          </cell>
          <cell r="D24">
            <v>0</v>
          </cell>
          <cell r="E24">
            <v>266.67</v>
          </cell>
          <cell r="F24">
            <v>282.81</v>
          </cell>
          <cell r="G24">
            <v>4000</v>
          </cell>
          <cell r="H24">
            <v>0</v>
          </cell>
          <cell r="I24">
            <v>0</v>
          </cell>
          <cell r="J24">
            <v>4000</v>
          </cell>
          <cell r="K24">
            <v>313.87</v>
          </cell>
          <cell r="L24">
            <v>0</v>
          </cell>
          <cell r="M24">
            <v>102.51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</row>
        <row r="25">
          <cell r="B25" t="str">
            <v>Martinez Rivera Maria Teresa</v>
          </cell>
          <cell r="C25">
            <v>14</v>
          </cell>
          <cell r="D25">
            <v>0</v>
          </cell>
          <cell r="E25">
            <v>341.35</v>
          </cell>
          <cell r="F25">
            <v>357.25</v>
          </cell>
          <cell r="G25">
            <v>4778.8999999999996</v>
          </cell>
          <cell r="H25">
            <v>0</v>
          </cell>
          <cell r="I25">
            <v>0</v>
          </cell>
          <cell r="J25">
            <v>4778.8999999999996</v>
          </cell>
          <cell r="K25">
            <v>425.29</v>
          </cell>
          <cell r="L25">
            <v>0</v>
          </cell>
          <cell r="M25">
            <v>127.26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</row>
        <row r="26">
          <cell r="B26" t="str">
            <v>Ramirez Vera Eustolia</v>
          </cell>
          <cell r="C26">
            <v>15</v>
          </cell>
          <cell r="D26">
            <v>0</v>
          </cell>
          <cell r="E26">
            <v>300.23</v>
          </cell>
          <cell r="F26">
            <v>318.41000000000003</v>
          </cell>
          <cell r="G26">
            <v>4503.45</v>
          </cell>
          <cell r="H26">
            <v>0</v>
          </cell>
          <cell r="I26">
            <v>0</v>
          </cell>
          <cell r="J26">
            <v>4503.45</v>
          </cell>
          <cell r="K26">
            <v>381.22</v>
          </cell>
          <cell r="L26">
            <v>0</v>
          </cell>
          <cell r="M26">
            <v>117.33</v>
          </cell>
          <cell r="N26">
            <v>428.6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</row>
        <row r="27">
          <cell r="B27" t="str">
            <v>Leal Montaño Francisco</v>
          </cell>
          <cell r="C27">
            <v>15</v>
          </cell>
          <cell r="D27">
            <v>0</v>
          </cell>
          <cell r="E27">
            <v>200</v>
          </cell>
          <cell r="F27">
            <v>212.11</v>
          </cell>
          <cell r="G27">
            <v>3000</v>
          </cell>
          <cell r="H27">
            <v>0</v>
          </cell>
          <cell r="I27">
            <v>0</v>
          </cell>
          <cell r="J27">
            <v>3000</v>
          </cell>
          <cell r="K27">
            <v>59.69</v>
          </cell>
          <cell r="L27">
            <v>0</v>
          </cell>
          <cell r="M27">
            <v>75.56</v>
          </cell>
          <cell r="N27">
            <v>1018.71</v>
          </cell>
          <cell r="O27">
            <v>0</v>
          </cell>
          <cell r="P27">
            <v>0</v>
          </cell>
          <cell r="Q27">
            <v>900</v>
          </cell>
          <cell r="R27">
            <v>0</v>
          </cell>
        </row>
        <row r="28">
          <cell r="B28" t="str">
            <v>Camarillo Canela Reynaldo</v>
          </cell>
          <cell r="C28">
            <v>15</v>
          </cell>
          <cell r="D28">
            <v>0</v>
          </cell>
          <cell r="E28">
            <v>185.83</v>
          </cell>
          <cell r="F28">
            <v>197.09</v>
          </cell>
          <cell r="G28">
            <v>2787.45</v>
          </cell>
          <cell r="H28">
            <v>0</v>
          </cell>
          <cell r="I28">
            <v>0</v>
          </cell>
          <cell r="J28">
            <v>2787.45</v>
          </cell>
          <cell r="K28">
            <v>36.57</v>
          </cell>
          <cell r="L28">
            <v>0</v>
          </cell>
          <cell r="M28">
            <v>70.22</v>
          </cell>
          <cell r="N28">
            <v>1366.67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</row>
        <row r="29">
          <cell r="B29" t="str">
            <v>Romo Sandoval Ma De Lourdez</v>
          </cell>
          <cell r="C29">
            <v>15</v>
          </cell>
          <cell r="D29">
            <v>0</v>
          </cell>
          <cell r="E29">
            <v>333.33</v>
          </cell>
          <cell r="F29">
            <v>353.52</v>
          </cell>
          <cell r="G29">
            <v>4999.95</v>
          </cell>
          <cell r="H29">
            <v>0</v>
          </cell>
          <cell r="I29">
            <v>0</v>
          </cell>
          <cell r="J29">
            <v>4999.95</v>
          </cell>
          <cell r="K29">
            <v>461.63</v>
          </cell>
          <cell r="L29">
            <v>0</v>
          </cell>
          <cell r="M29">
            <v>131.94999999999999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</row>
        <row r="30">
          <cell r="B30" t="str">
            <v>Benavides Reyes Jorge</v>
          </cell>
          <cell r="C30">
            <v>15</v>
          </cell>
          <cell r="D30">
            <v>0</v>
          </cell>
          <cell r="E30">
            <v>200</v>
          </cell>
          <cell r="F30">
            <v>209.04</v>
          </cell>
          <cell r="G30">
            <v>3000</v>
          </cell>
          <cell r="H30">
            <v>0</v>
          </cell>
          <cell r="I30">
            <v>0</v>
          </cell>
          <cell r="J30">
            <v>3000</v>
          </cell>
          <cell r="K30">
            <v>59.69</v>
          </cell>
          <cell r="L30">
            <v>0</v>
          </cell>
          <cell r="M30">
            <v>74.48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</row>
        <row r="31">
          <cell r="B31" t="str">
            <v>Amezcua Magaña Tania Estefania</v>
          </cell>
          <cell r="C31">
            <v>15</v>
          </cell>
          <cell r="D31">
            <v>0</v>
          </cell>
          <cell r="E31">
            <v>233.33</v>
          </cell>
          <cell r="F31">
            <v>243.88</v>
          </cell>
          <cell r="G31">
            <v>3499.95</v>
          </cell>
          <cell r="H31">
            <v>0</v>
          </cell>
          <cell r="I31">
            <v>0</v>
          </cell>
          <cell r="J31">
            <v>3499.95</v>
          </cell>
          <cell r="K31">
            <v>134.36000000000001</v>
          </cell>
          <cell r="L31">
            <v>0</v>
          </cell>
          <cell r="M31">
            <v>86.88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4"/>
  <sheetViews>
    <sheetView showGridLines="0" workbookViewId="0">
      <pane xSplit="2" ySplit="8" topLeftCell="J25" activePane="bottomRight" state="frozen"/>
      <selection pane="topRight" activeCell="C1" sqref="C1"/>
      <selection pane="bottomLeft" activeCell="A9" sqref="A9"/>
      <selection pane="bottomRight" activeCell="B23" sqref="B23"/>
    </sheetView>
  </sheetViews>
  <sheetFormatPr baseColWidth="10" defaultRowHeight="11.25" x14ac:dyDescent="0.2"/>
  <cols>
    <col min="1" max="1" width="12.28515625" style="2" customWidth="1"/>
    <col min="2" max="2" width="30.7109375" style="1" customWidth="1"/>
    <col min="3" max="11" width="15.7109375" style="1" customWidth="1"/>
    <col min="12" max="12" width="17.7109375" style="1" customWidth="1"/>
    <col min="13" max="32" width="15.7109375" style="1" customWidth="1"/>
    <col min="33" max="16384" width="11.42578125" style="1"/>
  </cols>
  <sheetData>
    <row r="1" spans="1:33" ht="18" customHeight="1" x14ac:dyDescent="0.25">
      <c r="A1" s="3"/>
      <c r="B1" s="111" t="s">
        <v>77</v>
      </c>
      <c r="C1" s="112"/>
      <c r="D1" s="112"/>
      <c r="E1" s="112"/>
      <c r="F1" s="112"/>
    </row>
    <row r="2" spans="1:33" ht="24.95" customHeight="1" x14ac:dyDescent="0.2">
      <c r="A2" s="4"/>
      <c r="B2" s="113" t="s">
        <v>0</v>
      </c>
      <c r="C2" s="114"/>
      <c r="D2" s="114"/>
      <c r="E2" s="114"/>
      <c r="F2" s="114"/>
    </row>
    <row r="3" spans="1:33" ht="15.75" x14ac:dyDescent="0.25">
      <c r="B3" s="115" t="s">
        <v>1</v>
      </c>
      <c r="C3" s="112"/>
      <c r="D3" s="112"/>
      <c r="E3" s="112"/>
      <c r="F3" s="112"/>
      <c r="G3" s="6"/>
    </row>
    <row r="4" spans="1:33" ht="15" x14ac:dyDescent="0.25">
      <c r="B4" s="116" t="s">
        <v>2</v>
      </c>
      <c r="C4" s="112"/>
      <c r="D4" s="112"/>
      <c r="E4" s="112"/>
      <c r="F4" s="112"/>
      <c r="G4" s="6"/>
    </row>
    <row r="5" spans="1:33" x14ac:dyDescent="0.2">
      <c r="B5" s="13" t="s">
        <v>3</v>
      </c>
      <c r="C5" s="13"/>
      <c r="D5" s="13"/>
      <c r="E5" s="13"/>
      <c r="F5" s="13"/>
    </row>
    <row r="6" spans="1:33" x14ac:dyDescent="0.2">
      <c r="B6" s="13" t="s">
        <v>4</v>
      </c>
      <c r="C6" s="13"/>
      <c r="D6" s="13"/>
      <c r="E6" s="13"/>
      <c r="F6" s="13"/>
    </row>
    <row r="7" spans="1:33" x14ac:dyDescent="0.2">
      <c r="B7" s="1">
        <v>1</v>
      </c>
      <c r="C7" s="1">
        <f>+B7+1</f>
        <v>2</v>
      </c>
      <c r="D7" s="1">
        <f t="shared" ref="D7:V7" si="0">+C7+1</f>
        <v>3</v>
      </c>
      <c r="E7" s="1">
        <f t="shared" si="0"/>
        <v>4</v>
      </c>
      <c r="F7" s="1">
        <f t="shared" si="0"/>
        <v>5</v>
      </c>
      <c r="G7" s="1">
        <f t="shared" si="0"/>
        <v>6</v>
      </c>
      <c r="H7" s="1">
        <f t="shared" si="0"/>
        <v>7</v>
      </c>
      <c r="I7" s="1">
        <f t="shared" si="0"/>
        <v>8</v>
      </c>
      <c r="J7" s="1">
        <f t="shared" si="0"/>
        <v>9</v>
      </c>
      <c r="K7" s="1">
        <f t="shared" si="0"/>
        <v>10</v>
      </c>
      <c r="L7" s="1">
        <f t="shared" si="0"/>
        <v>11</v>
      </c>
      <c r="M7" s="1">
        <f t="shared" si="0"/>
        <v>12</v>
      </c>
      <c r="N7" s="1">
        <f t="shared" si="0"/>
        <v>13</v>
      </c>
      <c r="O7" s="1">
        <f t="shared" si="0"/>
        <v>14</v>
      </c>
      <c r="P7" s="1">
        <f t="shared" si="0"/>
        <v>15</v>
      </c>
      <c r="Q7" s="1">
        <f t="shared" si="0"/>
        <v>16</v>
      </c>
      <c r="R7" s="1">
        <f t="shared" si="0"/>
        <v>17</v>
      </c>
      <c r="S7" s="1">
        <f t="shared" si="0"/>
        <v>18</v>
      </c>
      <c r="T7" s="1">
        <f>+S7+1</f>
        <v>19</v>
      </c>
      <c r="U7" s="1">
        <f t="shared" si="0"/>
        <v>20</v>
      </c>
      <c r="V7" s="1">
        <f t="shared" si="0"/>
        <v>21</v>
      </c>
    </row>
    <row r="8" spans="1:33" s="5" customFormat="1" ht="34.5" thickBot="1" x14ac:dyDescent="0.25">
      <c r="A8" s="14" t="s">
        <v>5</v>
      </c>
      <c r="B8" s="15" t="s">
        <v>6</v>
      </c>
      <c r="C8" s="15" t="s">
        <v>32</v>
      </c>
      <c r="D8" s="15" t="s">
        <v>33</v>
      </c>
      <c r="E8" s="15" t="s">
        <v>34</v>
      </c>
      <c r="F8" s="15" t="s">
        <v>35</v>
      </c>
      <c r="G8" s="15" t="s">
        <v>7</v>
      </c>
      <c r="H8" s="15" t="s">
        <v>8</v>
      </c>
      <c r="I8" s="15" t="s">
        <v>9</v>
      </c>
      <c r="J8" s="15" t="s">
        <v>10</v>
      </c>
      <c r="K8" s="15" t="s">
        <v>11</v>
      </c>
      <c r="L8" s="15" t="s">
        <v>12</v>
      </c>
      <c r="M8" s="16" t="s">
        <v>13</v>
      </c>
      <c r="N8" s="15" t="s">
        <v>14</v>
      </c>
      <c r="O8" s="15" t="s">
        <v>15</v>
      </c>
      <c r="P8" s="15" t="s">
        <v>16</v>
      </c>
      <c r="Q8" s="15" t="s">
        <v>17</v>
      </c>
      <c r="R8" s="15" t="s">
        <v>18</v>
      </c>
      <c r="S8" s="15" t="s">
        <v>427</v>
      </c>
      <c r="T8" s="15" t="s">
        <v>19</v>
      </c>
      <c r="U8" s="16" t="s">
        <v>20</v>
      </c>
      <c r="V8" s="17" t="s">
        <v>21</v>
      </c>
      <c r="W8" s="15" t="s">
        <v>22</v>
      </c>
      <c r="X8" s="15" t="s">
        <v>23</v>
      </c>
      <c r="Y8" s="15" t="s">
        <v>24</v>
      </c>
      <c r="Z8" s="15" t="s">
        <v>25</v>
      </c>
      <c r="AA8" s="15" t="s">
        <v>26</v>
      </c>
      <c r="AB8" s="15" t="s">
        <v>27</v>
      </c>
      <c r="AC8" s="15" t="s">
        <v>28</v>
      </c>
      <c r="AD8" s="15" t="s">
        <v>29</v>
      </c>
      <c r="AE8" s="15" t="s">
        <v>30</v>
      </c>
      <c r="AF8" s="15" t="s">
        <v>36</v>
      </c>
      <c r="AG8" s="15" t="s">
        <v>78</v>
      </c>
    </row>
    <row r="9" spans="1:33" ht="12" thickTop="1" x14ac:dyDescent="0.2"/>
    <row r="10" spans="1:33" s="8" customFormat="1" x14ac:dyDescent="0.2">
      <c r="A10" s="8" t="s">
        <v>39</v>
      </c>
      <c r="B10" s="8" t="s">
        <v>40</v>
      </c>
      <c r="C10" s="8">
        <v>15</v>
      </c>
      <c r="D10" s="8">
        <v>0</v>
      </c>
      <c r="E10" s="8">
        <v>141.66999999999999</v>
      </c>
      <c r="F10" s="8">
        <v>150.25</v>
      </c>
      <c r="G10" s="8">
        <v>2125.0500000000002</v>
      </c>
      <c r="H10" s="8">
        <v>0</v>
      </c>
      <c r="I10" s="8">
        <v>0</v>
      </c>
      <c r="J10" s="8">
        <v>212.51</v>
      </c>
      <c r="K10" s="8">
        <v>212.51</v>
      </c>
      <c r="L10" s="8">
        <v>212.51</v>
      </c>
      <c r="M10" s="8">
        <v>2762.58</v>
      </c>
      <c r="N10" s="8">
        <v>0</v>
      </c>
      <c r="O10" s="8">
        <v>0</v>
      </c>
      <c r="P10" s="9">
        <v>-65.5</v>
      </c>
      <c r="Q10" s="8">
        <v>0</v>
      </c>
      <c r="R10" s="8">
        <v>53.52</v>
      </c>
      <c r="S10" s="8">
        <v>0</v>
      </c>
      <c r="T10" s="9">
        <v>-0.04</v>
      </c>
      <c r="U10" s="8">
        <v>-12.02</v>
      </c>
      <c r="V10" s="8">
        <v>2774.6</v>
      </c>
      <c r="W10" s="8">
        <v>39.44</v>
      </c>
      <c r="X10" s="8">
        <v>70.989999999999995</v>
      </c>
      <c r="Y10" s="8">
        <v>297.98</v>
      </c>
      <c r="Z10" s="8">
        <v>372.78</v>
      </c>
      <c r="AA10" s="8">
        <v>55.25</v>
      </c>
      <c r="AB10" s="8">
        <v>11.27</v>
      </c>
      <c r="AC10" s="8">
        <v>408.41</v>
      </c>
      <c r="AD10" s="8">
        <v>112.69</v>
      </c>
      <c r="AE10" s="8">
        <v>350.24</v>
      </c>
      <c r="AF10" s="8">
        <v>110</v>
      </c>
      <c r="AG10" s="8">
        <f>((20/365.24)*15)*($E10*1.3)</f>
        <v>151.2739568502902</v>
      </c>
    </row>
    <row r="11" spans="1:33" s="8" customFormat="1" x14ac:dyDescent="0.2">
      <c r="A11" s="8" t="s">
        <v>41</v>
      </c>
      <c r="B11" s="8" t="s">
        <v>42</v>
      </c>
      <c r="C11" s="8">
        <v>15</v>
      </c>
      <c r="D11" s="8">
        <v>0</v>
      </c>
      <c r="E11" s="8">
        <v>150</v>
      </c>
      <c r="F11" s="8">
        <v>159.07</v>
      </c>
      <c r="G11" s="8">
        <v>2250</v>
      </c>
      <c r="H11" s="8">
        <v>0</v>
      </c>
      <c r="I11" s="8">
        <v>0</v>
      </c>
      <c r="J11" s="8">
        <v>225</v>
      </c>
      <c r="K11" s="8">
        <v>225</v>
      </c>
      <c r="L11" s="8">
        <v>225</v>
      </c>
      <c r="M11" s="8">
        <v>2925</v>
      </c>
      <c r="N11" s="8">
        <v>0</v>
      </c>
      <c r="O11" s="8">
        <v>0</v>
      </c>
      <c r="P11" s="9">
        <v>-43.57</v>
      </c>
      <c r="Q11" s="8">
        <v>0</v>
      </c>
      <c r="R11" s="8">
        <v>56.67</v>
      </c>
      <c r="S11" s="8">
        <v>0</v>
      </c>
      <c r="T11" s="9">
        <v>-0.1</v>
      </c>
      <c r="U11" s="8">
        <v>13</v>
      </c>
      <c r="V11" s="8">
        <v>2912</v>
      </c>
      <c r="W11" s="8">
        <v>41.76</v>
      </c>
      <c r="X11" s="8">
        <v>75.16</v>
      </c>
      <c r="Y11" s="8">
        <v>300.29000000000002</v>
      </c>
      <c r="Z11" s="8">
        <v>375.41999999999996</v>
      </c>
      <c r="AA11" s="8">
        <v>58.5</v>
      </c>
      <c r="AB11" s="8">
        <v>11.93</v>
      </c>
      <c r="AC11" s="8">
        <v>417.21</v>
      </c>
      <c r="AD11" s="8">
        <v>119.31</v>
      </c>
      <c r="AE11" s="8">
        <v>351.56</v>
      </c>
      <c r="AF11" s="8">
        <v>110</v>
      </c>
      <c r="AG11" s="8">
        <f t="shared" ref="AG11:AG27" si="1">((20/365.24)*15)*($E11*1.3)</f>
        <v>160.16865622604314</v>
      </c>
    </row>
    <row r="12" spans="1:33" s="8" customFormat="1" x14ac:dyDescent="0.2">
      <c r="A12" s="8" t="s">
        <v>43</v>
      </c>
      <c r="B12" s="8" t="s">
        <v>44</v>
      </c>
      <c r="C12" s="8">
        <v>15</v>
      </c>
      <c r="D12" s="8">
        <v>0</v>
      </c>
      <c r="E12" s="8">
        <v>216.67</v>
      </c>
      <c r="F12" s="8">
        <v>229.79</v>
      </c>
      <c r="G12" s="8">
        <v>3250.05</v>
      </c>
      <c r="H12" s="8">
        <v>0</v>
      </c>
      <c r="I12" s="8">
        <v>0</v>
      </c>
      <c r="J12" s="8">
        <v>325.01</v>
      </c>
      <c r="K12" s="8">
        <v>325.01</v>
      </c>
      <c r="L12" s="8">
        <v>325.01</v>
      </c>
      <c r="M12" s="8">
        <v>4225.08</v>
      </c>
      <c r="N12" s="8">
        <v>0</v>
      </c>
      <c r="O12" s="8">
        <v>0</v>
      </c>
      <c r="P12" s="8">
        <v>0</v>
      </c>
      <c r="Q12" s="8">
        <v>107.17</v>
      </c>
      <c r="R12" s="8">
        <v>81.87</v>
      </c>
      <c r="S12" s="8">
        <v>0</v>
      </c>
      <c r="T12" s="8">
        <v>0.04</v>
      </c>
      <c r="U12" s="8">
        <v>189.08</v>
      </c>
      <c r="V12" s="8">
        <v>4036</v>
      </c>
      <c r="W12" s="8">
        <v>60.32</v>
      </c>
      <c r="X12" s="8">
        <v>108.58</v>
      </c>
      <c r="Y12" s="8">
        <v>318.86</v>
      </c>
      <c r="Z12" s="8">
        <v>396.64</v>
      </c>
      <c r="AA12" s="8">
        <v>84.5</v>
      </c>
      <c r="AB12" s="8">
        <v>17.23</v>
      </c>
      <c r="AC12" s="8">
        <v>487.76</v>
      </c>
      <c r="AD12" s="8">
        <v>172.34</v>
      </c>
      <c r="AE12" s="8">
        <v>362.16999999999996</v>
      </c>
      <c r="AF12" s="8">
        <v>110</v>
      </c>
      <c r="AG12" s="8">
        <f t="shared" si="1"/>
        <v>231.35828496331177</v>
      </c>
    </row>
    <row r="13" spans="1:33" s="8" customFormat="1" x14ac:dyDescent="0.2">
      <c r="A13" s="8" t="s">
        <v>45</v>
      </c>
      <c r="B13" s="8" t="s">
        <v>46</v>
      </c>
      <c r="C13" s="8">
        <v>15</v>
      </c>
      <c r="D13" s="8">
        <v>0</v>
      </c>
      <c r="E13" s="8">
        <v>283.33</v>
      </c>
      <c r="F13" s="8">
        <v>300.49</v>
      </c>
      <c r="G13" s="8">
        <v>4249.95</v>
      </c>
      <c r="H13" s="8">
        <v>0</v>
      </c>
      <c r="I13" s="8">
        <v>0</v>
      </c>
      <c r="J13" s="8">
        <v>425</v>
      </c>
      <c r="K13" s="8">
        <v>425</v>
      </c>
      <c r="L13" s="8">
        <v>425</v>
      </c>
      <c r="M13" s="8">
        <v>5524.95</v>
      </c>
      <c r="N13" s="8">
        <v>0</v>
      </c>
      <c r="O13" s="8">
        <v>0</v>
      </c>
      <c r="P13" s="8">
        <v>0</v>
      </c>
      <c r="Q13" s="8">
        <v>341.06</v>
      </c>
      <c r="R13" s="8">
        <v>109.87</v>
      </c>
      <c r="S13" s="8">
        <v>0</v>
      </c>
      <c r="T13" s="8">
        <v>0.02</v>
      </c>
      <c r="U13" s="8">
        <v>450.95</v>
      </c>
      <c r="V13" s="8">
        <v>5074</v>
      </c>
      <c r="W13" s="8">
        <v>78.88</v>
      </c>
      <c r="X13" s="8">
        <v>141.97999999999999</v>
      </c>
      <c r="Y13" s="8">
        <v>345.18</v>
      </c>
      <c r="Z13" s="8">
        <v>417.85</v>
      </c>
      <c r="AA13" s="8">
        <v>110.5</v>
      </c>
      <c r="AB13" s="8">
        <v>22.54</v>
      </c>
      <c r="AC13" s="8">
        <v>566.04</v>
      </c>
      <c r="AD13" s="8">
        <v>225.37</v>
      </c>
      <c r="AE13" s="8">
        <v>372.77</v>
      </c>
      <c r="AF13" s="8">
        <v>110</v>
      </c>
      <c r="AG13" s="8">
        <f t="shared" si="1"/>
        <v>302.53723579016537</v>
      </c>
    </row>
    <row r="14" spans="1:33" s="8" customFormat="1" x14ac:dyDescent="0.2">
      <c r="A14" s="8" t="s">
        <v>47</v>
      </c>
      <c r="B14" s="8" t="s">
        <v>48</v>
      </c>
      <c r="C14" s="8">
        <v>15</v>
      </c>
      <c r="D14" s="8">
        <v>0</v>
      </c>
      <c r="E14" s="8">
        <v>273.33</v>
      </c>
      <c r="F14" s="8">
        <v>289.87</v>
      </c>
      <c r="G14" s="8">
        <v>4099.95</v>
      </c>
      <c r="H14" s="8">
        <v>0</v>
      </c>
      <c r="I14" s="8">
        <v>0</v>
      </c>
      <c r="J14" s="8">
        <v>410</v>
      </c>
      <c r="K14" s="8">
        <v>410</v>
      </c>
      <c r="L14" s="8">
        <v>410</v>
      </c>
      <c r="M14" s="8">
        <v>5329.95</v>
      </c>
      <c r="N14" s="8">
        <v>0</v>
      </c>
      <c r="O14" s="8">
        <v>0</v>
      </c>
      <c r="P14" s="8">
        <v>0</v>
      </c>
      <c r="Q14" s="8">
        <v>324.74</v>
      </c>
      <c r="R14" s="8">
        <v>105.46</v>
      </c>
      <c r="S14" s="8">
        <v>0</v>
      </c>
      <c r="T14" s="9">
        <v>-0.05</v>
      </c>
      <c r="U14" s="8">
        <v>430.15</v>
      </c>
      <c r="V14" s="8">
        <v>4899.8</v>
      </c>
      <c r="W14" s="8">
        <v>76.09</v>
      </c>
      <c r="X14" s="8">
        <v>136.96</v>
      </c>
      <c r="Y14" s="8">
        <v>340.64</v>
      </c>
      <c r="Z14" s="8">
        <v>414.65999999999997</v>
      </c>
      <c r="AA14" s="8">
        <v>106.6</v>
      </c>
      <c r="AB14" s="8">
        <v>21.74</v>
      </c>
      <c r="AC14" s="8">
        <v>553.69000000000005</v>
      </c>
      <c r="AD14" s="8">
        <v>217.4</v>
      </c>
      <c r="AE14" s="8">
        <v>371.18</v>
      </c>
      <c r="AF14" s="8">
        <v>110</v>
      </c>
      <c r="AG14" s="8">
        <f t="shared" si="1"/>
        <v>291.85932537509581</v>
      </c>
    </row>
    <row r="15" spans="1:33" s="8" customFormat="1" x14ac:dyDescent="0.2">
      <c r="A15" s="8" t="s">
        <v>49</v>
      </c>
      <c r="B15" s="8" t="s">
        <v>50</v>
      </c>
      <c r="C15" s="8">
        <v>13</v>
      </c>
      <c r="D15" s="8">
        <v>2</v>
      </c>
      <c r="E15" s="8">
        <v>185.83</v>
      </c>
      <c r="F15" s="8">
        <v>197.07</v>
      </c>
      <c r="G15" s="8">
        <v>2415.79</v>
      </c>
      <c r="H15" s="8">
        <v>371.66</v>
      </c>
      <c r="I15" s="8">
        <v>111.5</v>
      </c>
      <c r="J15" s="8">
        <v>278.75</v>
      </c>
      <c r="K15" s="8">
        <v>278.75</v>
      </c>
      <c r="L15" s="8">
        <v>278.75</v>
      </c>
      <c r="M15" s="8">
        <v>3735.2</v>
      </c>
      <c r="N15" s="8">
        <v>15</v>
      </c>
      <c r="O15" s="8">
        <v>1508.27</v>
      </c>
      <c r="P15" s="8">
        <v>0</v>
      </c>
      <c r="Q15" s="8">
        <v>36.57</v>
      </c>
      <c r="R15" s="8">
        <v>70.22</v>
      </c>
      <c r="S15" s="8">
        <v>0</v>
      </c>
      <c r="T15" s="9">
        <v>-0.06</v>
      </c>
      <c r="U15" s="8">
        <v>1630</v>
      </c>
      <c r="V15" s="8">
        <v>2105.1999999999998</v>
      </c>
      <c r="W15" s="8">
        <v>51.73</v>
      </c>
      <c r="X15" s="8">
        <v>93.12</v>
      </c>
      <c r="Y15" s="8">
        <v>310.27</v>
      </c>
      <c r="Z15" s="8">
        <v>386.82</v>
      </c>
      <c r="AA15" s="8">
        <v>74.7</v>
      </c>
      <c r="AB15" s="8">
        <v>14.78</v>
      </c>
      <c r="AC15" s="8">
        <v>455.12</v>
      </c>
      <c r="AD15" s="8">
        <v>147.80000000000001</v>
      </c>
      <c r="AE15" s="8">
        <v>357.26</v>
      </c>
      <c r="AF15" s="8">
        <v>110</v>
      </c>
      <c r="AG15" s="8">
        <f t="shared" si="1"/>
        <v>198.42760924323733</v>
      </c>
    </row>
    <row r="16" spans="1:33" s="8" customFormat="1" x14ac:dyDescent="0.2">
      <c r="A16" s="8" t="s">
        <v>51</v>
      </c>
      <c r="B16" s="8" t="s">
        <v>52</v>
      </c>
      <c r="C16" s="8">
        <v>15</v>
      </c>
      <c r="D16" s="8">
        <v>0</v>
      </c>
      <c r="E16" s="8">
        <v>273.33</v>
      </c>
      <c r="F16" s="8">
        <v>289.87</v>
      </c>
      <c r="G16" s="8">
        <v>4099.95</v>
      </c>
      <c r="H16" s="8">
        <v>0</v>
      </c>
      <c r="I16" s="8">
        <v>0</v>
      </c>
      <c r="J16" s="8">
        <v>410</v>
      </c>
      <c r="K16" s="8">
        <v>410</v>
      </c>
      <c r="L16" s="8">
        <v>410</v>
      </c>
      <c r="M16" s="8">
        <v>5329.95</v>
      </c>
      <c r="N16" s="8">
        <v>0</v>
      </c>
      <c r="O16" s="8">
        <v>0</v>
      </c>
      <c r="P16" s="8">
        <v>0</v>
      </c>
      <c r="Q16" s="8">
        <v>324.74</v>
      </c>
      <c r="R16" s="8">
        <v>105.46</v>
      </c>
      <c r="S16" s="8">
        <v>175.43</v>
      </c>
      <c r="T16" s="8">
        <v>0.12</v>
      </c>
      <c r="U16" s="8">
        <v>605.75</v>
      </c>
      <c r="V16" s="8">
        <f>+M16-U16</f>
        <v>4724.2</v>
      </c>
      <c r="W16" s="8">
        <v>76.09</v>
      </c>
      <c r="X16" s="8">
        <v>136.96</v>
      </c>
      <c r="Y16" s="8">
        <v>340.64</v>
      </c>
      <c r="Z16" s="8">
        <v>414.65999999999997</v>
      </c>
      <c r="AA16" s="8">
        <v>106.6</v>
      </c>
      <c r="AB16" s="8">
        <v>21.74</v>
      </c>
      <c r="AC16" s="8">
        <v>553.69000000000005</v>
      </c>
      <c r="AD16" s="8">
        <v>217.4</v>
      </c>
      <c r="AE16" s="8">
        <v>371.18</v>
      </c>
      <c r="AF16" s="8">
        <v>110</v>
      </c>
      <c r="AG16" s="8">
        <f t="shared" si="1"/>
        <v>291.85932537509581</v>
      </c>
    </row>
    <row r="17" spans="1:33" s="8" customFormat="1" x14ac:dyDescent="0.2">
      <c r="A17" s="8" t="s">
        <v>53</v>
      </c>
      <c r="B17" s="8" t="s">
        <v>54</v>
      </c>
      <c r="C17" s="8">
        <v>15</v>
      </c>
      <c r="D17" s="8">
        <v>0</v>
      </c>
      <c r="E17" s="8">
        <v>185.83</v>
      </c>
      <c r="F17" s="8">
        <v>197.07</v>
      </c>
      <c r="G17" s="8">
        <v>2787.45</v>
      </c>
      <c r="H17" s="8">
        <v>0</v>
      </c>
      <c r="I17" s="8">
        <v>0</v>
      </c>
      <c r="J17" s="8">
        <v>278.75</v>
      </c>
      <c r="K17" s="8">
        <v>278.75</v>
      </c>
      <c r="L17" s="8">
        <v>278.75</v>
      </c>
      <c r="M17" s="8">
        <v>3623.7</v>
      </c>
      <c r="N17" s="8">
        <v>15</v>
      </c>
      <c r="O17" s="8">
        <v>1750.48</v>
      </c>
      <c r="P17" s="8">
        <v>0</v>
      </c>
      <c r="Q17" s="8">
        <v>36.57</v>
      </c>
      <c r="R17" s="8">
        <v>70.22</v>
      </c>
      <c r="S17" s="8">
        <v>0</v>
      </c>
      <c r="T17" s="8">
        <v>0.03</v>
      </c>
      <c r="U17" s="8">
        <v>1872.3</v>
      </c>
      <c r="V17" s="8">
        <v>1751.4</v>
      </c>
      <c r="W17" s="8">
        <v>51.73</v>
      </c>
      <c r="X17" s="8">
        <v>93.12</v>
      </c>
      <c r="Y17" s="8">
        <v>310.27</v>
      </c>
      <c r="Z17" s="8">
        <v>386.82</v>
      </c>
      <c r="AA17" s="8">
        <v>72.47</v>
      </c>
      <c r="AB17" s="8">
        <v>14.78</v>
      </c>
      <c r="AC17" s="8">
        <v>455.12</v>
      </c>
      <c r="AD17" s="8">
        <v>147.80000000000001</v>
      </c>
      <c r="AE17" s="8">
        <v>357.26</v>
      </c>
      <c r="AF17" s="8">
        <v>110</v>
      </c>
      <c r="AG17" s="8">
        <f t="shared" si="1"/>
        <v>198.42760924323733</v>
      </c>
    </row>
    <row r="18" spans="1:33" s="8" customFormat="1" x14ac:dyDescent="0.2">
      <c r="A18" s="8" t="s">
        <v>55</v>
      </c>
      <c r="B18" s="8" t="s">
        <v>56</v>
      </c>
      <c r="C18" s="8">
        <v>15</v>
      </c>
      <c r="D18" s="8">
        <v>0</v>
      </c>
      <c r="E18" s="8">
        <v>220.83</v>
      </c>
      <c r="F18" s="8">
        <v>234.19</v>
      </c>
      <c r="G18" s="8">
        <v>3312.45</v>
      </c>
      <c r="H18" s="8">
        <v>0</v>
      </c>
      <c r="I18" s="8">
        <v>0</v>
      </c>
      <c r="J18" s="8">
        <v>331.25</v>
      </c>
      <c r="K18" s="8">
        <v>331.25</v>
      </c>
      <c r="L18" s="8">
        <v>331.25</v>
      </c>
      <c r="M18" s="8">
        <v>4306.2</v>
      </c>
      <c r="N18" s="8">
        <v>15</v>
      </c>
      <c r="O18" s="8">
        <v>1010.9</v>
      </c>
      <c r="P18" s="8">
        <v>0</v>
      </c>
      <c r="Q18" s="8">
        <v>113.96</v>
      </c>
      <c r="R18" s="8">
        <v>83.43</v>
      </c>
      <c r="S18" s="8">
        <v>0</v>
      </c>
      <c r="T18" s="9">
        <v>-0.09</v>
      </c>
      <c r="U18" s="8">
        <v>1223.2</v>
      </c>
      <c r="V18" s="8">
        <v>3083</v>
      </c>
      <c r="W18" s="8">
        <v>61.47</v>
      </c>
      <c r="X18" s="8">
        <v>110.65</v>
      </c>
      <c r="Y18" s="8">
        <v>320.01</v>
      </c>
      <c r="Z18" s="8">
        <v>397.96</v>
      </c>
      <c r="AA18" s="8">
        <v>86.12</v>
      </c>
      <c r="AB18" s="8">
        <v>17.559999999999999</v>
      </c>
      <c r="AC18" s="8">
        <v>492.13</v>
      </c>
      <c r="AD18" s="8">
        <v>175.64</v>
      </c>
      <c r="AE18" s="8">
        <v>362.83</v>
      </c>
      <c r="AF18" s="8">
        <v>110</v>
      </c>
      <c r="AG18" s="8">
        <f t="shared" si="1"/>
        <v>235.80029569598071</v>
      </c>
    </row>
    <row r="19" spans="1:33" s="8" customFormat="1" x14ac:dyDescent="0.2">
      <c r="A19" s="8" t="s">
        <v>57</v>
      </c>
      <c r="B19" s="8" t="s">
        <v>58</v>
      </c>
      <c r="C19" s="8">
        <v>15</v>
      </c>
      <c r="D19" s="8">
        <v>0</v>
      </c>
      <c r="E19" s="8">
        <v>264.58</v>
      </c>
      <c r="F19" s="8">
        <v>276.54000000000002</v>
      </c>
      <c r="G19" s="8">
        <v>3968.7</v>
      </c>
      <c r="H19" s="8">
        <v>0</v>
      </c>
      <c r="I19" s="8">
        <v>0</v>
      </c>
      <c r="J19" s="8">
        <v>396.87</v>
      </c>
      <c r="K19" s="8">
        <v>396.87</v>
      </c>
      <c r="L19" s="8">
        <v>396.87</v>
      </c>
      <c r="M19" s="8">
        <v>5159.3100000000004</v>
      </c>
      <c r="N19" s="8">
        <v>15</v>
      </c>
      <c r="O19" s="8">
        <v>1604.18</v>
      </c>
      <c r="P19" s="8">
        <v>0</v>
      </c>
      <c r="Q19" s="8">
        <v>310.45999999999998</v>
      </c>
      <c r="R19" s="8">
        <v>99.91</v>
      </c>
      <c r="S19" s="8">
        <v>0</v>
      </c>
      <c r="T19" s="9">
        <v>-0.04</v>
      </c>
      <c r="U19" s="8">
        <v>2029.51</v>
      </c>
      <c r="V19" s="8">
        <v>3129.8</v>
      </c>
      <c r="W19" s="8">
        <v>72.59</v>
      </c>
      <c r="X19" s="8">
        <v>130.66</v>
      </c>
      <c r="Y19" s="8">
        <v>334.94</v>
      </c>
      <c r="Z19" s="8">
        <v>410.65999999999997</v>
      </c>
      <c r="AA19" s="8">
        <v>103.19</v>
      </c>
      <c r="AB19" s="8">
        <v>20.74</v>
      </c>
      <c r="AC19" s="8">
        <v>538.19000000000005</v>
      </c>
      <c r="AD19" s="8">
        <v>207.4</v>
      </c>
      <c r="AE19" s="8">
        <v>369.18</v>
      </c>
      <c r="AF19" s="8">
        <v>110</v>
      </c>
      <c r="AG19" s="8">
        <f t="shared" si="1"/>
        <v>282.51615376190995</v>
      </c>
    </row>
    <row r="20" spans="1:33" s="8" customFormat="1" x14ac:dyDescent="0.2">
      <c r="A20" s="8" t="s">
        <v>59</v>
      </c>
      <c r="B20" s="8" t="s">
        <v>60</v>
      </c>
      <c r="C20" s="8">
        <v>15</v>
      </c>
      <c r="D20" s="8">
        <v>0</v>
      </c>
      <c r="E20" s="8">
        <v>238.33</v>
      </c>
      <c r="F20" s="8">
        <v>252.75</v>
      </c>
      <c r="G20" s="8">
        <v>3574.95</v>
      </c>
      <c r="H20" s="8">
        <v>0</v>
      </c>
      <c r="I20" s="8">
        <v>238.33</v>
      </c>
      <c r="J20" s="8">
        <v>357.5</v>
      </c>
      <c r="K20" s="8">
        <v>357.5</v>
      </c>
      <c r="L20" s="8">
        <v>357.5</v>
      </c>
      <c r="M20" s="8">
        <v>4885.78</v>
      </c>
      <c r="N20" s="8">
        <v>15</v>
      </c>
      <c r="O20" s="8">
        <v>1372</v>
      </c>
      <c r="P20" s="8">
        <v>0</v>
      </c>
      <c r="Q20" s="8">
        <v>160.25</v>
      </c>
      <c r="R20" s="8">
        <v>90.05</v>
      </c>
      <c r="S20" s="8">
        <v>255.4</v>
      </c>
      <c r="T20" s="8">
        <v>0.08</v>
      </c>
      <c r="U20" s="8">
        <v>1892.78</v>
      </c>
      <c r="V20" s="8">
        <f>+M20-U20</f>
        <v>2993</v>
      </c>
      <c r="W20" s="8">
        <v>66.349999999999994</v>
      </c>
      <c r="X20" s="8">
        <v>119.42</v>
      </c>
      <c r="Y20" s="8">
        <v>324.89</v>
      </c>
      <c r="Z20" s="8">
        <v>403.52</v>
      </c>
      <c r="AA20" s="8">
        <v>97.72</v>
      </c>
      <c r="AB20" s="8">
        <v>18.96</v>
      </c>
      <c r="AC20" s="8">
        <v>510.66</v>
      </c>
      <c r="AD20" s="8">
        <v>189.56</v>
      </c>
      <c r="AE20" s="8">
        <v>365.61</v>
      </c>
      <c r="AF20" s="8">
        <v>110</v>
      </c>
      <c r="AG20" s="8">
        <f t="shared" si="1"/>
        <v>254.48663892235243</v>
      </c>
    </row>
    <row r="21" spans="1:33" s="8" customFormat="1" x14ac:dyDescent="0.2">
      <c r="A21" s="8" t="s">
        <v>61</v>
      </c>
      <c r="B21" s="8" t="s">
        <v>62</v>
      </c>
      <c r="C21" s="8">
        <v>15</v>
      </c>
      <c r="D21" s="8">
        <v>0</v>
      </c>
      <c r="E21" s="8">
        <v>273.33</v>
      </c>
      <c r="F21" s="8">
        <v>289.87</v>
      </c>
      <c r="G21" s="8">
        <v>4099.95</v>
      </c>
      <c r="H21" s="8">
        <v>0</v>
      </c>
      <c r="I21" s="8">
        <v>0</v>
      </c>
      <c r="J21" s="8">
        <v>410</v>
      </c>
      <c r="K21" s="8">
        <v>410</v>
      </c>
      <c r="L21" s="8">
        <v>410</v>
      </c>
      <c r="M21" s="8">
        <v>5329.95</v>
      </c>
      <c r="N21" s="8">
        <v>0</v>
      </c>
      <c r="O21" s="8">
        <v>0</v>
      </c>
      <c r="P21" s="8">
        <v>0</v>
      </c>
      <c r="Q21" s="8">
        <v>324.74</v>
      </c>
      <c r="R21" s="8">
        <v>105.46</v>
      </c>
      <c r="S21" s="8">
        <v>0</v>
      </c>
      <c r="T21" s="8">
        <v>0.15</v>
      </c>
      <c r="U21" s="8">
        <v>430.35</v>
      </c>
      <c r="V21" s="8">
        <v>4899.6000000000004</v>
      </c>
      <c r="W21" s="8">
        <v>76.09</v>
      </c>
      <c r="X21" s="8">
        <v>136.96</v>
      </c>
      <c r="Y21" s="8">
        <v>340.64</v>
      </c>
      <c r="Z21" s="8">
        <v>414.65999999999997</v>
      </c>
      <c r="AA21" s="8">
        <v>106.6</v>
      </c>
      <c r="AB21" s="8">
        <v>21.74</v>
      </c>
      <c r="AC21" s="8">
        <v>553.69000000000005</v>
      </c>
      <c r="AD21" s="8">
        <v>217.4</v>
      </c>
      <c r="AE21" s="8">
        <v>371.18</v>
      </c>
      <c r="AF21" s="8">
        <v>110</v>
      </c>
      <c r="AG21" s="8">
        <f t="shared" si="1"/>
        <v>291.85932537509581</v>
      </c>
    </row>
    <row r="22" spans="1:33" s="8" customFormat="1" x14ac:dyDescent="0.2">
      <c r="A22" s="8" t="s">
        <v>63</v>
      </c>
      <c r="B22" s="8" t="s">
        <v>64</v>
      </c>
      <c r="C22" s="8">
        <v>15</v>
      </c>
      <c r="D22" s="8">
        <v>0</v>
      </c>
      <c r="E22" s="8">
        <v>185.83</v>
      </c>
      <c r="F22" s="8">
        <v>197.07</v>
      </c>
      <c r="G22" s="8">
        <v>2787.45</v>
      </c>
      <c r="H22" s="8">
        <v>0</v>
      </c>
      <c r="I22" s="8">
        <v>0</v>
      </c>
      <c r="J22" s="8">
        <v>278.75</v>
      </c>
      <c r="K22" s="8">
        <v>278.75</v>
      </c>
      <c r="L22" s="8">
        <v>278.75</v>
      </c>
      <c r="M22" s="8">
        <v>3623.7</v>
      </c>
      <c r="N22" s="8">
        <v>15</v>
      </c>
      <c r="O22" s="8">
        <v>2080.0300000000002</v>
      </c>
      <c r="P22" s="8">
        <v>0</v>
      </c>
      <c r="Q22" s="8">
        <v>36.57</v>
      </c>
      <c r="R22" s="8">
        <v>70.22</v>
      </c>
      <c r="S22" s="8">
        <v>0</v>
      </c>
      <c r="T22" s="8">
        <v>0.08</v>
      </c>
      <c r="U22" s="8">
        <v>2201.9</v>
      </c>
      <c r="V22" s="8">
        <v>1421.8</v>
      </c>
      <c r="W22" s="8">
        <v>51.73</v>
      </c>
      <c r="X22" s="8">
        <v>93.12</v>
      </c>
      <c r="Y22" s="8">
        <v>310.27</v>
      </c>
      <c r="Z22" s="8">
        <v>386.82</v>
      </c>
      <c r="AA22" s="8">
        <v>72.47</v>
      </c>
      <c r="AB22" s="8">
        <v>14.78</v>
      </c>
      <c r="AC22" s="8">
        <v>455.12</v>
      </c>
      <c r="AD22" s="8">
        <v>147.80000000000001</v>
      </c>
      <c r="AE22" s="8">
        <v>357.26</v>
      </c>
      <c r="AF22" s="8">
        <v>110</v>
      </c>
      <c r="AG22" s="8">
        <f t="shared" si="1"/>
        <v>198.42760924323733</v>
      </c>
    </row>
    <row r="23" spans="1:33" s="8" customFormat="1" x14ac:dyDescent="0.2">
      <c r="A23" s="8" t="s">
        <v>65</v>
      </c>
      <c r="B23" s="8" t="s">
        <v>66</v>
      </c>
      <c r="C23" s="8">
        <v>14</v>
      </c>
      <c r="D23" s="8">
        <v>1</v>
      </c>
      <c r="E23" s="8">
        <v>1060.83</v>
      </c>
      <c r="F23" s="8">
        <v>1125.06</v>
      </c>
      <c r="G23" s="8">
        <v>14851.62</v>
      </c>
      <c r="H23" s="8">
        <v>1060.83</v>
      </c>
      <c r="I23" s="8">
        <v>318.25</v>
      </c>
      <c r="J23" s="8">
        <v>1591.25</v>
      </c>
      <c r="K23" s="8">
        <v>1591.25</v>
      </c>
      <c r="L23" s="8">
        <v>1591.25</v>
      </c>
      <c r="M23" s="8">
        <v>21004.45</v>
      </c>
      <c r="N23" s="8">
        <v>0</v>
      </c>
      <c r="O23" s="8">
        <v>0</v>
      </c>
      <c r="P23" s="8">
        <v>0</v>
      </c>
      <c r="Q23" s="8">
        <v>2846.24</v>
      </c>
      <c r="R23" s="8">
        <v>453.09</v>
      </c>
      <c r="S23" s="8">
        <v>0</v>
      </c>
      <c r="T23" s="8">
        <v>0.12</v>
      </c>
      <c r="U23" s="8">
        <v>3299.45</v>
      </c>
      <c r="V23" s="8">
        <v>17705</v>
      </c>
      <c r="W23" s="8">
        <v>295.33</v>
      </c>
      <c r="X23" s="8">
        <v>531.59</v>
      </c>
      <c r="Y23" s="8">
        <v>697.68</v>
      </c>
      <c r="Z23" s="8">
        <v>665.22</v>
      </c>
      <c r="AA23" s="8">
        <v>420.09</v>
      </c>
      <c r="AB23" s="8">
        <v>84.38</v>
      </c>
      <c r="AC23" s="8">
        <v>1524.6</v>
      </c>
      <c r="AD23" s="8">
        <v>843.79</v>
      </c>
      <c r="AE23" s="8">
        <v>496.46</v>
      </c>
      <c r="AF23" s="8">
        <v>110</v>
      </c>
      <c r="AG23" s="8">
        <f t="shared" si="1"/>
        <v>1132.7447705618222</v>
      </c>
    </row>
    <row r="24" spans="1:33" s="8" customFormat="1" x14ac:dyDescent="0.2">
      <c r="A24" s="8" t="s">
        <v>67</v>
      </c>
      <c r="B24" s="8" t="s">
        <v>68</v>
      </c>
      <c r="C24" s="8">
        <v>13</v>
      </c>
      <c r="D24" s="8">
        <v>2</v>
      </c>
      <c r="E24" s="8">
        <v>185.83</v>
      </c>
      <c r="F24" s="8">
        <v>197.07</v>
      </c>
      <c r="G24" s="8">
        <v>2415.79</v>
      </c>
      <c r="H24" s="8">
        <v>371.66</v>
      </c>
      <c r="I24" s="8">
        <v>111.5</v>
      </c>
      <c r="J24" s="8">
        <v>278.75</v>
      </c>
      <c r="K24" s="8">
        <v>278.75</v>
      </c>
      <c r="L24" s="8">
        <v>278.75</v>
      </c>
      <c r="M24" s="8">
        <v>3735.2</v>
      </c>
      <c r="N24" s="8">
        <v>0</v>
      </c>
      <c r="O24" s="8">
        <v>0</v>
      </c>
      <c r="P24" s="8">
        <v>0</v>
      </c>
      <c r="Q24" s="8">
        <v>36.57</v>
      </c>
      <c r="R24" s="8">
        <v>70.22</v>
      </c>
      <c r="S24" s="8">
        <v>0</v>
      </c>
      <c r="T24" s="8">
        <v>0.01</v>
      </c>
      <c r="U24" s="8">
        <v>106.8</v>
      </c>
      <c r="V24" s="8">
        <v>3628.4</v>
      </c>
      <c r="W24" s="8">
        <v>51.73</v>
      </c>
      <c r="X24" s="8">
        <v>93.12</v>
      </c>
      <c r="Y24" s="8">
        <v>310.27</v>
      </c>
      <c r="Z24" s="8">
        <v>386.82</v>
      </c>
      <c r="AA24" s="8">
        <v>74.7</v>
      </c>
      <c r="AB24" s="8">
        <v>14.78</v>
      </c>
      <c r="AC24" s="8">
        <v>455.12</v>
      </c>
      <c r="AD24" s="8">
        <v>147.80000000000001</v>
      </c>
      <c r="AE24" s="8">
        <v>357.26</v>
      </c>
      <c r="AF24" s="8">
        <v>110</v>
      </c>
      <c r="AG24" s="8">
        <f t="shared" si="1"/>
        <v>198.42760924323733</v>
      </c>
    </row>
    <row r="25" spans="1:33" s="8" customFormat="1" x14ac:dyDescent="0.2">
      <c r="A25" s="8" t="s">
        <v>69</v>
      </c>
      <c r="B25" s="8" t="s">
        <v>70</v>
      </c>
      <c r="C25" s="8">
        <v>15</v>
      </c>
      <c r="D25" s="8">
        <v>0</v>
      </c>
      <c r="E25" s="8">
        <v>185.83</v>
      </c>
      <c r="F25" s="8">
        <v>197.07</v>
      </c>
      <c r="G25" s="8">
        <v>2787.45</v>
      </c>
      <c r="H25" s="8">
        <v>0</v>
      </c>
      <c r="I25" s="8">
        <v>0</v>
      </c>
      <c r="J25" s="8">
        <v>278.75</v>
      </c>
      <c r="K25" s="8">
        <v>278.75</v>
      </c>
      <c r="L25" s="8">
        <v>278.75</v>
      </c>
      <c r="M25" s="8">
        <v>3623.7</v>
      </c>
      <c r="N25" s="8">
        <v>15</v>
      </c>
      <c r="O25" s="8">
        <v>1443.16</v>
      </c>
      <c r="P25" s="8">
        <v>0</v>
      </c>
      <c r="Q25" s="8">
        <v>36.57</v>
      </c>
      <c r="R25" s="8">
        <v>70.22</v>
      </c>
      <c r="S25" s="8">
        <v>0</v>
      </c>
      <c r="T25" s="9">
        <v>-0.05</v>
      </c>
      <c r="U25" s="8">
        <v>1564.9</v>
      </c>
      <c r="V25" s="8">
        <v>2058.8000000000002</v>
      </c>
      <c r="W25" s="8">
        <v>51.73</v>
      </c>
      <c r="X25" s="8">
        <v>93.12</v>
      </c>
      <c r="Y25" s="8">
        <v>310.27</v>
      </c>
      <c r="Z25" s="8">
        <v>386.82</v>
      </c>
      <c r="AA25" s="8">
        <v>72.47</v>
      </c>
      <c r="AB25" s="8">
        <v>14.78</v>
      </c>
      <c r="AC25" s="8">
        <v>455.12</v>
      </c>
      <c r="AD25" s="8">
        <v>147.80000000000001</v>
      </c>
      <c r="AE25" s="8">
        <v>357.26</v>
      </c>
      <c r="AF25" s="8">
        <v>110</v>
      </c>
      <c r="AG25" s="8">
        <f t="shared" si="1"/>
        <v>198.42760924323733</v>
      </c>
    </row>
    <row r="26" spans="1:33" s="8" customFormat="1" x14ac:dyDescent="0.2">
      <c r="A26" s="8" t="s">
        <v>71</v>
      </c>
      <c r="B26" s="8" t="s">
        <v>72</v>
      </c>
      <c r="C26" s="8">
        <v>15</v>
      </c>
      <c r="D26" s="8">
        <v>0</v>
      </c>
      <c r="E26" s="8">
        <v>166.67</v>
      </c>
      <c r="F26" s="8">
        <v>176.76</v>
      </c>
      <c r="G26" s="8">
        <v>2500.0500000000002</v>
      </c>
      <c r="H26" s="8">
        <v>0</v>
      </c>
      <c r="I26" s="8">
        <v>0</v>
      </c>
      <c r="J26" s="8">
        <v>250.01</v>
      </c>
      <c r="K26" s="8">
        <v>250.01</v>
      </c>
      <c r="L26" s="8">
        <v>250.01</v>
      </c>
      <c r="M26" s="8">
        <v>3250.08</v>
      </c>
      <c r="N26" s="8">
        <v>0</v>
      </c>
      <c r="O26" s="8">
        <v>0</v>
      </c>
      <c r="P26" s="9">
        <v>-9.6199999999999992</v>
      </c>
      <c r="Q26" s="8">
        <v>0</v>
      </c>
      <c r="R26" s="8">
        <v>62.97</v>
      </c>
      <c r="S26" s="8">
        <v>0</v>
      </c>
      <c r="T26" s="9">
        <v>-7.0000000000000007E-2</v>
      </c>
      <c r="U26" s="8">
        <v>53.28</v>
      </c>
      <c r="V26" s="8">
        <v>3196.8</v>
      </c>
      <c r="W26" s="8">
        <v>46.4</v>
      </c>
      <c r="X26" s="8">
        <v>83.52</v>
      </c>
      <c r="Y26" s="8">
        <v>304.94</v>
      </c>
      <c r="Z26" s="8">
        <v>380.73</v>
      </c>
      <c r="AA26" s="8">
        <v>65</v>
      </c>
      <c r="AB26" s="8">
        <v>13.26</v>
      </c>
      <c r="AC26" s="8">
        <v>434.86</v>
      </c>
      <c r="AD26" s="8">
        <v>132.57</v>
      </c>
      <c r="AE26" s="8">
        <v>354.21</v>
      </c>
      <c r="AF26" s="8">
        <v>110</v>
      </c>
      <c r="AG26" s="8">
        <f t="shared" si="1"/>
        <v>177.96873288796405</v>
      </c>
    </row>
    <row r="27" spans="1:33" s="8" customFormat="1" x14ac:dyDescent="0.2">
      <c r="A27" s="8" t="s">
        <v>73</v>
      </c>
      <c r="B27" s="8" t="s">
        <v>74</v>
      </c>
      <c r="C27" s="8">
        <v>15</v>
      </c>
      <c r="D27" s="8">
        <v>0</v>
      </c>
      <c r="E27" s="8">
        <v>216.67</v>
      </c>
      <c r="F27" s="8">
        <v>229.79</v>
      </c>
      <c r="G27" s="8">
        <v>3250.05</v>
      </c>
      <c r="H27" s="8">
        <v>0</v>
      </c>
      <c r="I27" s="8">
        <v>0</v>
      </c>
      <c r="J27" s="8">
        <v>325.01</v>
      </c>
      <c r="K27" s="8">
        <v>325.01</v>
      </c>
      <c r="L27" s="8">
        <v>325.01</v>
      </c>
      <c r="M27" s="8">
        <v>4225.08</v>
      </c>
      <c r="N27" s="8">
        <v>0</v>
      </c>
      <c r="O27" s="8">
        <v>0</v>
      </c>
      <c r="P27" s="8">
        <v>0</v>
      </c>
      <c r="Q27" s="8">
        <v>107.17</v>
      </c>
      <c r="R27" s="8">
        <v>81.87</v>
      </c>
      <c r="S27" s="8">
        <v>0</v>
      </c>
      <c r="T27" s="8">
        <v>0.04</v>
      </c>
      <c r="U27" s="8">
        <v>189.08</v>
      </c>
      <c r="V27" s="8">
        <v>4036</v>
      </c>
      <c r="W27" s="8">
        <v>60.32</v>
      </c>
      <c r="X27" s="8">
        <v>108.58</v>
      </c>
      <c r="Y27" s="8">
        <v>318.86</v>
      </c>
      <c r="Z27" s="8">
        <v>396.64</v>
      </c>
      <c r="AA27" s="8">
        <v>84.5</v>
      </c>
      <c r="AB27" s="8">
        <v>17.23</v>
      </c>
      <c r="AC27" s="8">
        <v>487.76</v>
      </c>
      <c r="AD27" s="8">
        <v>172.34</v>
      </c>
      <c r="AE27" s="8">
        <v>362.16999999999996</v>
      </c>
      <c r="AF27" s="8">
        <v>110</v>
      </c>
      <c r="AG27" s="8">
        <f t="shared" si="1"/>
        <v>231.35828496331177</v>
      </c>
    </row>
    <row r="28" spans="1:33" s="11" customFormat="1" x14ac:dyDescent="0.2">
      <c r="C28" s="11" t="s">
        <v>75</v>
      </c>
      <c r="D28" s="11" t="s">
        <v>75</v>
      </c>
      <c r="E28" s="11" t="s">
        <v>75</v>
      </c>
      <c r="F28" s="11" t="s">
        <v>75</v>
      </c>
      <c r="G28" s="11" t="s">
        <v>75</v>
      </c>
      <c r="H28" s="11" t="s">
        <v>75</v>
      </c>
      <c r="I28" s="11" t="s">
        <v>75</v>
      </c>
      <c r="J28" s="11" t="s">
        <v>75</v>
      </c>
      <c r="K28" s="11" t="s">
        <v>75</v>
      </c>
      <c r="L28" s="11" t="s">
        <v>75</v>
      </c>
      <c r="M28" s="11" t="s">
        <v>75</v>
      </c>
      <c r="N28" s="11" t="s">
        <v>75</v>
      </c>
      <c r="O28" s="11" t="s">
        <v>75</v>
      </c>
      <c r="P28" s="11" t="s">
        <v>75</v>
      </c>
      <c r="Q28" s="11" t="s">
        <v>75</v>
      </c>
      <c r="R28" s="11" t="s">
        <v>75</v>
      </c>
      <c r="S28" s="11" t="s">
        <v>75</v>
      </c>
      <c r="T28" s="11" t="s">
        <v>75</v>
      </c>
      <c r="U28" s="11" t="s">
        <v>75</v>
      </c>
      <c r="V28" s="11" t="s">
        <v>75</v>
      </c>
      <c r="W28" s="11" t="s">
        <v>75</v>
      </c>
      <c r="X28" s="11" t="s">
        <v>75</v>
      </c>
      <c r="Y28" s="11" t="s">
        <v>75</v>
      </c>
      <c r="Z28" s="11" t="s">
        <v>75</v>
      </c>
      <c r="AA28" s="11" t="s">
        <v>75</v>
      </c>
      <c r="AB28" s="11" t="s">
        <v>75</v>
      </c>
      <c r="AC28" s="11" t="s">
        <v>75</v>
      </c>
      <c r="AD28" s="11" t="s">
        <v>75</v>
      </c>
      <c r="AE28" s="11" t="s">
        <v>75</v>
      </c>
      <c r="AF28" s="11" t="s">
        <v>75</v>
      </c>
      <c r="AG28" s="11" t="s">
        <v>75</v>
      </c>
    </row>
    <row r="29" spans="1:33" s="8" customFormat="1" x14ac:dyDescent="0.2">
      <c r="A29" s="10" t="s">
        <v>76</v>
      </c>
      <c r="B29" s="8" t="s">
        <v>77</v>
      </c>
      <c r="C29" s="12">
        <f t="shared" ref="C29:AF29" si="2">SUM(C10:C27)</f>
        <v>265</v>
      </c>
      <c r="D29" s="12">
        <f t="shared" si="2"/>
        <v>5</v>
      </c>
      <c r="E29" s="12">
        <f t="shared" si="2"/>
        <v>4708.7199999999993</v>
      </c>
      <c r="F29" s="12">
        <f t="shared" si="2"/>
        <v>4989.6499999999996</v>
      </c>
      <c r="G29" s="12">
        <f t="shared" si="2"/>
        <v>68826.649999999994</v>
      </c>
      <c r="H29" s="12">
        <f t="shared" si="2"/>
        <v>1804.15</v>
      </c>
      <c r="I29" s="12">
        <f t="shared" si="2"/>
        <v>779.58</v>
      </c>
      <c r="J29" s="12">
        <f t="shared" si="2"/>
        <v>7063.16</v>
      </c>
      <c r="K29" s="12">
        <f t="shared" si="2"/>
        <v>7063.16</v>
      </c>
      <c r="L29" s="12">
        <f t="shared" si="2"/>
        <v>7063.16</v>
      </c>
      <c r="M29" s="12">
        <f t="shared" si="2"/>
        <v>92599.859999999986</v>
      </c>
      <c r="N29" s="12">
        <f t="shared" si="2"/>
        <v>105</v>
      </c>
      <c r="O29" s="12">
        <f t="shared" si="2"/>
        <v>10769.02</v>
      </c>
      <c r="P29" s="12">
        <f t="shared" si="2"/>
        <v>-118.69</v>
      </c>
      <c r="Q29" s="12">
        <f t="shared" si="2"/>
        <v>5143.3799999999992</v>
      </c>
      <c r="R29" s="12">
        <f t="shared" si="2"/>
        <v>1840.73</v>
      </c>
      <c r="S29" s="12">
        <f t="shared" si="2"/>
        <v>430.83000000000004</v>
      </c>
      <c r="T29" s="12">
        <f t="shared" si="2"/>
        <v>0.19000000000000003</v>
      </c>
      <c r="U29" s="12">
        <f t="shared" si="2"/>
        <v>18170.460000000003</v>
      </c>
      <c r="V29" s="12">
        <f t="shared" si="2"/>
        <v>74429.400000000009</v>
      </c>
      <c r="W29" s="12">
        <f t="shared" si="2"/>
        <v>1309.7800000000002</v>
      </c>
      <c r="X29" s="12">
        <f t="shared" si="2"/>
        <v>2357.61</v>
      </c>
      <c r="Y29" s="12">
        <f t="shared" si="2"/>
        <v>6136.9</v>
      </c>
      <c r="Z29" s="12">
        <f t="shared" si="2"/>
        <v>7395.4999999999991</v>
      </c>
      <c r="AA29" s="12">
        <f t="shared" si="2"/>
        <v>1851.98</v>
      </c>
      <c r="AB29" s="12">
        <f t="shared" si="2"/>
        <v>374.21999999999997</v>
      </c>
      <c r="AC29" s="12">
        <f t="shared" si="2"/>
        <v>9804.2900000000027</v>
      </c>
      <c r="AD29" s="12">
        <f t="shared" si="2"/>
        <v>3742.2100000000009</v>
      </c>
      <c r="AE29" s="12">
        <f t="shared" si="2"/>
        <v>6647.0400000000009</v>
      </c>
      <c r="AF29" s="12">
        <f t="shared" si="2"/>
        <v>1980</v>
      </c>
      <c r="AG29" s="12">
        <f>SUM(AG10:AG27)</f>
        <v>5027.9290329646274</v>
      </c>
    </row>
    <row r="30" spans="1:33" s="8" customFormat="1" x14ac:dyDescent="0.2"/>
    <row r="31" spans="1:33" s="8" customFormat="1" x14ac:dyDescent="0.2">
      <c r="G31" s="8" t="s">
        <v>77</v>
      </c>
      <c r="H31" s="8" t="s">
        <v>77</v>
      </c>
      <c r="I31" s="8" t="s">
        <v>77</v>
      </c>
      <c r="M31" s="8" t="s">
        <v>77</v>
      </c>
      <c r="N31" s="8" t="s">
        <v>77</v>
      </c>
      <c r="O31" s="8" t="s">
        <v>77</v>
      </c>
      <c r="P31" s="8" t="s">
        <v>77</v>
      </c>
      <c r="Q31" s="8" t="s">
        <v>77</v>
      </c>
      <c r="R31" s="8" t="s">
        <v>77</v>
      </c>
      <c r="S31" s="8" t="s">
        <v>77</v>
      </c>
      <c r="T31" s="8" t="s">
        <v>77</v>
      </c>
      <c r="U31" s="8" t="s">
        <v>77</v>
      </c>
      <c r="V31" s="8" t="s">
        <v>77</v>
      </c>
      <c r="W31" s="8" t="s">
        <v>77</v>
      </c>
      <c r="X31" s="8" t="s">
        <v>77</v>
      </c>
      <c r="Y31" s="8" t="s">
        <v>77</v>
      </c>
      <c r="Z31" s="8" t="s">
        <v>77</v>
      </c>
      <c r="AA31" s="8" t="s">
        <v>77</v>
      </c>
      <c r="AB31" s="8" t="s">
        <v>77</v>
      </c>
      <c r="AC31" s="8" t="s">
        <v>77</v>
      </c>
      <c r="AD31" s="8" t="s">
        <v>77</v>
      </c>
      <c r="AE31" s="8" t="s">
        <v>77</v>
      </c>
      <c r="AF31" s="8" t="s">
        <v>77</v>
      </c>
    </row>
    <row r="32" spans="1:33" s="8" customFormat="1" ht="15.75" x14ac:dyDescent="0.25">
      <c r="A32" s="8" t="s">
        <v>77</v>
      </c>
      <c r="B32" s="8" t="s">
        <v>77</v>
      </c>
      <c r="G32" s="12"/>
      <c r="H32" s="12"/>
      <c r="I32" s="12"/>
      <c r="J32" s="12"/>
      <c r="K32" s="12"/>
      <c r="L32" s="117" t="s">
        <v>421</v>
      </c>
      <c r="M32" s="117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</row>
    <row r="33" spans="12:13" ht="12.75" x14ac:dyDescent="0.2">
      <c r="L33" s="96" t="s">
        <v>410</v>
      </c>
      <c r="M33" s="97">
        <f>+V29</f>
        <v>74429.400000000009</v>
      </c>
    </row>
    <row r="34" spans="12:13" ht="12.75" x14ac:dyDescent="0.2">
      <c r="L34" s="96" t="s">
        <v>411</v>
      </c>
      <c r="M34" s="97">
        <f>+S29</f>
        <v>430.83000000000004</v>
      </c>
    </row>
    <row r="35" spans="12:13" ht="12.75" x14ac:dyDescent="0.2">
      <c r="L35" s="96" t="s">
        <v>412</v>
      </c>
      <c r="M35" s="97">
        <f>+N29+O29+S29</f>
        <v>11304.85</v>
      </c>
    </row>
    <row r="36" spans="12:13" ht="12.75" x14ac:dyDescent="0.2">
      <c r="L36" s="96" t="s">
        <v>413</v>
      </c>
      <c r="M36" s="97">
        <v>0</v>
      </c>
    </row>
    <row r="37" spans="12:13" ht="12.75" x14ac:dyDescent="0.2">
      <c r="L37" s="96" t="s">
        <v>414</v>
      </c>
      <c r="M37" s="97">
        <f>SUM(M33:M36)</f>
        <v>86165.080000000016</v>
      </c>
    </row>
    <row r="38" spans="12:13" ht="12.75" x14ac:dyDescent="0.2">
      <c r="L38" s="96" t="s">
        <v>415</v>
      </c>
      <c r="M38" s="97">
        <f>+M37*2%</f>
        <v>1723.3016000000005</v>
      </c>
    </row>
    <row r="39" spans="12:13" ht="12.75" x14ac:dyDescent="0.2">
      <c r="L39" s="96" t="s">
        <v>416</v>
      </c>
      <c r="M39" s="97">
        <f>+M37+M38</f>
        <v>87888.381600000022</v>
      </c>
    </row>
    <row r="40" spans="12:13" ht="12.75" x14ac:dyDescent="0.2">
      <c r="L40" s="96" t="s">
        <v>417</v>
      </c>
      <c r="M40" s="97">
        <f>+R29+W29+X29+Y29+AB29+Z29+AD29+AE29</f>
        <v>29803.989999999998</v>
      </c>
    </row>
    <row r="41" spans="12:13" ht="12.75" x14ac:dyDescent="0.2">
      <c r="L41" s="96" t="s">
        <v>418</v>
      </c>
      <c r="M41" s="97">
        <f>+M29*2%</f>
        <v>1851.9971999999998</v>
      </c>
    </row>
    <row r="42" spans="12:13" ht="12.75" x14ac:dyDescent="0.2">
      <c r="L42" s="96" t="s">
        <v>419</v>
      </c>
      <c r="M42" s="97">
        <f>+M39+M40+M41</f>
        <v>119544.36880000001</v>
      </c>
    </row>
    <row r="43" spans="12:13" ht="12.75" x14ac:dyDescent="0.2">
      <c r="L43" s="96" t="s">
        <v>31</v>
      </c>
      <c r="M43" s="97">
        <f>+M42*16%</f>
        <v>19127.099008000001</v>
      </c>
    </row>
    <row r="44" spans="12:13" ht="12.75" x14ac:dyDescent="0.2">
      <c r="L44" s="96" t="s">
        <v>88</v>
      </c>
      <c r="M44" s="97">
        <f>+M42+M43</f>
        <v>138671.46780800002</v>
      </c>
    </row>
    <row r="45" spans="12:13" ht="12.75" x14ac:dyDescent="0.2">
      <c r="L45" s="30"/>
      <c r="M45" s="30"/>
    </row>
    <row r="46" spans="12:13" ht="12.75" x14ac:dyDescent="0.2">
      <c r="L46" s="118" t="s">
        <v>420</v>
      </c>
      <c r="M46" s="118"/>
    </row>
    <row r="47" spans="12:13" ht="15.75" x14ac:dyDescent="0.25">
      <c r="L47" s="110" t="s">
        <v>421</v>
      </c>
      <c r="M47" s="110"/>
    </row>
    <row r="48" spans="12:13" ht="12.75" x14ac:dyDescent="0.2">
      <c r="L48" s="96" t="s">
        <v>414</v>
      </c>
      <c r="M48" s="97">
        <f>+AG29</f>
        <v>5027.9290329646274</v>
      </c>
    </row>
    <row r="49" spans="12:13" ht="12.75" x14ac:dyDescent="0.2">
      <c r="L49" s="96" t="s">
        <v>415</v>
      </c>
      <c r="M49" s="97">
        <f>+M48*2%</f>
        <v>100.55858065929255</v>
      </c>
    </row>
    <row r="50" spans="12:13" ht="12.75" x14ac:dyDescent="0.2">
      <c r="L50" s="96" t="s">
        <v>416</v>
      </c>
      <c r="M50" s="97">
        <f>+M48+M49</f>
        <v>5128.48761362392</v>
      </c>
    </row>
    <row r="51" spans="12:13" ht="12.75" x14ac:dyDescent="0.2">
      <c r="L51" s="96" t="s">
        <v>418</v>
      </c>
      <c r="M51" s="97">
        <f>+M48*2%</f>
        <v>100.55858065929255</v>
      </c>
    </row>
    <row r="52" spans="12:13" ht="12.75" x14ac:dyDescent="0.2">
      <c r="L52" s="96" t="s">
        <v>419</v>
      </c>
      <c r="M52" s="97">
        <f>+M50+M51</f>
        <v>5229.0461942832126</v>
      </c>
    </row>
    <row r="53" spans="12:13" ht="12.75" x14ac:dyDescent="0.2">
      <c r="L53" s="96" t="s">
        <v>31</v>
      </c>
      <c r="M53" s="97">
        <f>+M52*16%</f>
        <v>836.64739108531398</v>
      </c>
    </row>
    <row r="54" spans="12:13" ht="12.75" x14ac:dyDescent="0.2">
      <c r="L54" s="96" t="s">
        <v>88</v>
      </c>
      <c r="M54" s="97">
        <f>+M52+M53</f>
        <v>6065.6935853685263</v>
      </c>
    </row>
  </sheetData>
  <mergeCells count="7">
    <mergeCell ref="L47:M47"/>
    <mergeCell ref="B1:F1"/>
    <mergeCell ref="B2:F2"/>
    <mergeCell ref="B3:F3"/>
    <mergeCell ref="B4:F4"/>
    <mergeCell ref="L32:M32"/>
    <mergeCell ref="L46:M4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79"/>
  <sheetViews>
    <sheetView showGridLines="0" workbookViewId="0">
      <pane xSplit="2" ySplit="8" topLeftCell="AB89" activePane="bottomRight" state="frozen"/>
      <selection pane="topRight" activeCell="C1" sqref="C1"/>
      <selection pane="bottomLeft" activeCell="A9" sqref="A9"/>
      <selection pane="bottomRight" activeCell="AE93" sqref="AE93"/>
    </sheetView>
  </sheetViews>
  <sheetFormatPr baseColWidth="10" defaultRowHeight="11.25" x14ac:dyDescent="0.2"/>
  <cols>
    <col min="1" max="1" width="12.28515625" style="2" customWidth="1"/>
    <col min="2" max="2" width="30.7109375" style="1" customWidth="1"/>
    <col min="3" max="37" width="15.7109375" style="1" customWidth="1"/>
    <col min="38" max="16384" width="11.42578125" style="1"/>
  </cols>
  <sheetData>
    <row r="1" spans="1:33" ht="18" customHeight="1" x14ac:dyDescent="0.25">
      <c r="A1" s="3"/>
      <c r="B1" s="111" t="s">
        <v>77</v>
      </c>
      <c r="C1" s="112"/>
      <c r="D1" s="112"/>
      <c r="E1" s="112"/>
      <c r="F1" s="112"/>
    </row>
    <row r="2" spans="1:33" ht="24.95" customHeight="1" x14ac:dyDescent="0.2">
      <c r="A2" s="4"/>
      <c r="B2" s="113" t="s">
        <v>428</v>
      </c>
      <c r="C2" s="114"/>
      <c r="D2" s="114"/>
      <c r="E2" s="114"/>
      <c r="F2" s="114"/>
    </row>
    <row r="3" spans="1:33" ht="15.75" x14ac:dyDescent="0.25">
      <c r="B3" s="115" t="s">
        <v>1</v>
      </c>
      <c r="C3" s="112"/>
      <c r="D3" s="112"/>
      <c r="E3" s="112"/>
      <c r="F3" s="112"/>
    </row>
    <row r="4" spans="1:33" ht="15" x14ac:dyDescent="0.25">
      <c r="B4" s="116" t="s">
        <v>2</v>
      </c>
      <c r="C4" s="112"/>
      <c r="D4" s="112"/>
      <c r="E4" s="112"/>
      <c r="F4" s="112"/>
    </row>
    <row r="5" spans="1:33" x14ac:dyDescent="0.2">
      <c r="B5" s="13" t="s">
        <v>429</v>
      </c>
      <c r="C5" s="13"/>
      <c r="D5" s="13"/>
      <c r="E5" s="13"/>
      <c r="F5" s="13"/>
    </row>
    <row r="6" spans="1:33" x14ac:dyDescent="0.2">
      <c r="B6" s="13" t="s">
        <v>430</v>
      </c>
      <c r="C6" s="13"/>
      <c r="D6" s="13"/>
      <c r="E6" s="13"/>
      <c r="F6" s="13"/>
    </row>
    <row r="8" spans="1:33" s="5" customFormat="1" ht="34.5" thickBot="1" x14ac:dyDescent="0.25">
      <c r="A8" s="14" t="s">
        <v>5</v>
      </c>
      <c r="B8" s="15" t="s">
        <v>6</v>
      </c>
      <c r="C8" s="15" t="s">
        <v>32</v>
      </c>
      <c r="D8" s="15" t="s">
        <v>33</v>
      </c>
      <c r="E8" s="15" t="s">
        <v>34</v>
      </c>
      <c r="F8" s="15" t="s">
        <v>35</v>
      </c>
      <c r="G8" s="15" t="s">
        <v>7</v>
      </c>
      <c r="H8" s="15" t="s">
        <v>8</v>
      </c>
      <c r="I8" s="15" t="s">
        <v>9</v>
      </c>
      <c r="J8" s="16" t="s">
        <v>13</v>
      </c>
      <c r="K8" s="15" t="s">
        <v>14</v>
      </c>
      <c r="L8" s="15" t="s">
        <v>15</v>
      </c>
      <c r="M8" s="15" t="s">
        <v>431</v>
      </c>
      <c r="N8" s="15" t="s">
        <v>16</v>
      </c>
      <c r="O8" s="15" t="s">
        <v>17</v>
      </c>
      <c r="P8" s="15" t="s">
        <v>18</v>
      </c>
      <c r="Q8" s="15" t="s">
        <v>432</v>
      </c>
      <c r="R8" s="15" t="s">
        <v>433</v>
      </c>
      <c r="S8" s="15" t="s">
        <v>434</v>
      </c>
      <c r="T8" s="15" t="s">
        <v>19</v>
      </c>
      <c r="U8" s="16" t="s">
        <v>20</v>
      </c>
      <c r="V8" s="17" t="s">
        <v>21</v>
      </c>
      <c r="W8" s="15" t="s">
        <v>22</v>
      </c>
      <c r="X8" s="15" t="s">
        <v>23</v>
      </c>
      <c r="Y8" s="15" t="s">
        <v>24</v>
      </c>
      <c r="Z8" s="15" t="s">
        <v>25</v>
      </c>
      <c r="AA8" s="15" t="s">
        <v>26</v>
      </c>
      <c r="AB8" s="15" t="s">
        <v>27</v>
      </c>
      <c r="AC8" s="15" t="s">
        <v>28</v>
      </c>
      <c r="AD8" s="15" t="s">
        <v>29</v>
      </c>
      <c r="AE8" s="15" t="s">
        <v>30</v>
      </c>
      <c r="AF8" s="15" t="s">
        <v>36</v>
      </c>
      <c r="AG8" s="15" t="s">
        <v>435</v>
      </c>
    </row>
    <row r="9" spans="1:33" ht="12" thickTop="1" x14ac:dyDescent="0.2"/>
    <row r="10" spans="1:33" s="8" customFormat="1" x14ac:dyDescent="0.2">
      <c r="A10" s="8" t="s">
        <v>37</v>
      </c>
      <c r="B10" s="8" t="s">
        <v>332</v>
      </c>
      <c r="C10" s="8">
        <v>15</v>
      </c>
      <c r="D10" s="8">
        <v>0</v>
      </c>
      <c r="E10" s="8">
        <v>266.67</v>
      </c>
      <c r="F10" s="8">
        <v>278.72000000000003</v>
      </c>
      <c r="G10" s="8">
        <v>4000.05</v>
      </c>
      <c r="H10" s="8">
        <v>0</v>
      </c>
      <c r="I10" s="8">
        <v>0</v>
      </c>
      <c r="J10" s="8">
        <v>4000.05</v>
      </c>
      <c r="K10" s="8">
        <v>0</v>
      </c>
      <c r="L10" s="8">
        <v>0</v>
      </c>
      <c r="M10" s="8">
        <v>0</v>
      </c>
      <c r="N10" s="8">
        <v>0</v>
      </c>
      <c r="O10" s="8">
        <v>313.87</v>
      </c>
      <c r="P10" s="8">
        <v>100.81</v>
      </c>
      <c r="Q10" s="9"/>
      <c r="R10" s="8">
        <v>0</v>
      </c>
      <c r="S10" s="8">
        <v>0</v>
      </c>
      <c r="T10" s="8">
        <v>-0.03</v>
      </c>
      <c r="U10" s="8">
        <v>414.65000000000003</v>
      </c>
      <c r="V10" s="8">
        <f t="shared" ref="V10:V41" si="0">+J10-U10</f>
        <v>3585.4</v>
      </c>
      <c r="W10" s="8">
        <v>73.16</v>
      </c>
      <c r="X10" s="8">
        <v>131.69999999999999</v>
      </c>
      <c r="Y10" s="8">
        <v>335.88</v>
      </c>
      <c r="Z10" s="8">
        <v>273.62</v>
      </c>
      <c r="AA10" s="8">
        <v>80</v>
      </c>
      <c r="AB10" s="8">
        <v>33.299999999999997</v>
      </c>
      <c r="AC10" s="8">
        <v>540.74</v>
      </c>
      <c r="AD10" s="8">
        <v>209.04</v>
      </c>
      <c r="AE10" s="8">
        <v>231.81</v>
      </c>
      <c r="AF10" s="8">
        <v>110</v>
      </c>
      <c r="AG10" s="8">
        <f>((20/365.24)*15)*E10</f>
        <v>219.03679772204578</v>
      </c>
    </row>
    <row r="11" spans="1:33" s="8" customFormat="1" x14ac:dyDescent="0.2">
      <c r="A11" s="8" t="s">
        <v>436</v>
      </c>
      <c r="B11" s="8" t="s">
        <v>274</v>
      </c>
      <c r="C11" s="8">
        <v>15</v>
      </c>
      <c r="D11" s="8">
        <v>0</v>
      </c>
      <c r="E11" s="8">
        <v>266.67</v>
      </c>
      <c r="F11" s="8">
        <v>278.72000000000003</v>
      </c>
      <c r="G11" s="8">
        <v>4000.05</v>
      </c>
      <c r="H11" s="8">
        <v>0</v>
      </c>
      <c r="I11" s="8">
        <v>0</v>
      </c>
      <c r="J11" s="8">
        <v>4000.05</v>
      </c>
      <c r="K11" s="8">
        <v>0</v>
      </c>
      <c r="L11" s="8">
        <v>0</v>
      </c>
      <c r="M11" s="8">
        <v>0</v>
      </c>
      <c r="N11" s="8">
        <v>0</v>
      </c>
      <c r="O11" s="8">
        <v>313.87</v>
      </c>
      <c r="P11" s="8">
        <v>100.81</v>
      </c>
      <c r="Q11" s="9"/>
      <c r="R11" s="8">
        <v>0</v>
      </c>
      <c r="S11" s="8">
        <v>0</v>
      </c>
      <c r="T11" s="9">
        <v>-0.03</v>
      </c>
      <c r="U11" s="8">
        <v>414.65000000000003</v>
      </c>
      <c r="V11" s="8">
        <f t="shared" si="0"/>
        <v>3585.4</v>
      </c>
      <c r="W11" s="8">
        <v>73.16</v>
      </c>
      <c r="X11" s="8">
        <v>131.69999999999999</v>
      </c>
      <c r="Y11" s="8">
        <v>335.88</v>
      </c>
      <c r="Z11" s="8">
        <v>273.62</v>
      </c>
      <c r="AA11" s="8">
        <v>80</v>
      </c>
      <c r="AB11" s="8">
        <v>33.299999999999997</v>
      </c>
      <c r="AC11" s="8">
        <v>540.74</v>
      </c>
      <c r="AD11" s="8">
        <v>209.04</v>
      </c>
      <c r="AE11" s="8">
        <v>231.81</v>
      </c>
      <c r="AF11" s="8">
        <v>110</v>
      </c>
      <c r="AG11" s="8">
        <f t="shared" ref="AG11:AG74" si="1">((20/365.24)*15)*E11</f>
        <v>219.03679772204578</v>
      </c>
    </row>
    <row r="12" spans="1:33" s="8" customFormat="1" x14ac:dyDescent="0.2">
      <c r="A12" s="8" t="s">
        <v>153</v>
      </c>
      <c r="B12" s="8" t="s">
        <v>154</v>
      </c>
      <c r="C12" s="8">
        <v>15</v>
      </c>
      <c r="D12" s="8">
        <v>0</v>
      </c>
      <c r="E12" s="8">
        <v>200</v>
      </c>
      <c r="F12" s="8">
        <v>209.04</v>
      </c>
      <c r="G12" s="8">
        <v>3000</v>
      </c>
      <c r="H12" s="8">
        <v>0</v>
      </c>
      <c r="I12" s="8">
        <v>0</v>
      </c>
      <c r="J12" s="8">
        <v>3000</v>
      </c>
      <c r="K12" s="8">
        <v>0</v>
      </c>
      <c r="L12" s="8">
        <v>0</v>
      </c>
      <c r="M12" s="8">
        <v>0</v>
      </c>
      <c r="N12" s="8">
        <v>0</v>
      </c>
      <c r="O12" s="8">
        <v>59.69</v>
      </c>
      <c r="P12" s="8">
        <v>74.48</v>
      </c>
      <c r="Q12" s="9"/>
      <c r="R12" s="8">
        <v>0</v>
      </c>
      <c r="S12" s="8">
        <v>0</v>
      </c>
      <c r="T12" s="8">
        <v>0.03</v>
      </c>
      <c r="U12" s="8">
        <v>134.20000000000002</v>
      </c>
      <c r="V12" s="8">
        <f t="shared" si="0"/>
        <v>2865.8</v>
      </c>
      <c r="W12" s="8">
        <v>54.87</v>
      </c>
      <c r="X12" s="8">
        <v>98.77</v>
      </c>
      <c r="Y12" s="8">
        <v>313.41000000000003</v>
      </c>
      <c r="Z12" s="8">
        <v>252.71</v>
      </c>
      <c r="AA12" s="8">
        <v>60</v>
      </c>
      <c r="AB12" s="8">
        <v>24.98</v>
      </c>
      <c r="AC12" s="8">
        <v>467.05</v>
      </c>
      <c r="AD12" s="8">
        <v>156.78</v>
      </c>
      <c r="AE12" s="8">
        <v>221.36</v>
      </c>
      <c r="AF12" s="8">
        <v>110</v>
      </c>
      <c r="AG12" s="8">
        <f t="shared" si="1"/>
        <v>164.27554484722373</v>
      </c>
    </row>
    <row r="13" spans="1:33" s="8" customFormat="1" x14ac:dyDescent="0.2">
      <c r="A13" s="8" t="s">
        <v>437</v>
      </c>
      <c r="B13" s="8" t="s">
        <v>290</v>
      </c>
      <c r="C13" s="8">
        <v>15</v>
      </c>
      <c r="D13" s="8">
        <v>0</v>
      </c>
      <c r="E13" s="8">
        <v>154</v>
      </c>
      <c r="F13" s="8">
        <v>160.96</v>
      </c>
      <c r="G13" s="8">
        <v>2310</v>
      </c>
      <c r="H13" s="8">
        <v>0</v>
      </c>
      <c r="I13" s="8">
        <v>0</v>
      </c>
      <c r="J13" s="8">
        <v>2310</v>
      </c>
      <c r="K13" s="8">
        <v>15</v>
      </c>
      <c r="L13" s="8">
        <v>956.31</v>
      </c>
      <c r="M13" s="8">
        <v>0</v>
      </c>
      <c r="N13" s="9">
        <v>-39.729999999999997</v>
      </c>
      <c r="O13" s="8">
        <v>0</v>
      </c>
      <c r="P13" s="8">
        <v>57.34</v>
      </c>
      <c r="R13" s="8">
        <v>0</v>
      </c>
      <c r="S13" s="8">
        <v>0</v>
      </c>
      <c r="T13" s="9">
        <v>-0.12</v>
      </c>
      <c r="U13" s="8">
        <v>988.8</v>
      </c>
      <c r="V13" s="8">
        <f t="shared" si="0"/>
        <v>1321.2</v>
      </c>
      <c r="W13" s="8">
        <v>42.25</v>
      </c>
      <c r="X13" s="8">
        <v>76.05</v>
      </c>
      <c r="Y13" s="8">
        <v>300.79000000000002</v>
      </c>
      <c r="Z13" s="8">
        <v>238.29</v>
      </c>
      <c r="AA13" s="8">
        <v>46.2</v>
      </c>
      <c r="AB13" s="8">
        <v>19.23</v>
      </c>
      <c r="AC13" s="8">
        <v>419.09</v>
      </c>
      <c r="AD13" s="8">
        <v>120.72</v>
      </c>
      <c r="AE13" s="8">
        <v>214.14</v>
      </c>
      <c r="AF13" s="8">
        <v>110</v>
      </c>
      <c r="AG13" s="8">
        <f t="shared" si="1"/>
        <v>126.49216953236227</v>
      </c>
    </row>
    <row r="14" spans="1:33" s="8" customFormat="1" x14ac:dyDescent="0.2">
      <c r="A14" s="8" t="s">
        <v>284</v>
      </c>
      <c r="B14" s="8" t="s">
        <v>285</v>
      </c>
      <c r="C14" s="8">
        <v>15</v>
      </c>
      <c r="D14" s="8">
        <v>0</v>
      </c>
      <c r="E14" s="8">
        <v>266.67</v>
      </c>
      <c r="F14" s="8">
        <v>278.72000000000003</v>
      </c>
      <c r="G14" s="8">
        <v>4000.05</v>
      </c>
      <c r="H14" s="8">
        <v>0</v>
      </c>
      <c r="I14" s="8">
        <v>0</v>
      </c>
      <c r="J14" s="8">
        <v>4000.05</v>
      </c>
      <c r="K14" s="8">
        <v>15</v>
      </c>
      <c r="L14" s="8">
        <v>849.56</v>
      </c>
      <c r="M14" s="8">
        <v>0</v>
      </c>
      <c r="N14" s="8">
        <v>0</v>
      </c>
      <c r="O14" s="8">
        <v>313.87</v>
      </c>
      <c r="P14" s="8">
        <v>100.81</v>
      </c>
      <c r="Q14" s="9"/>
      <c r="R14" s="8">
        <v>0</v>
      </c>
      <c r="S14" s="8">
        <v>0</v>
      </c>
      <c r="T14" s="8">
        <v>0.01</v>
      </c>
      <c r="U14" s="8">
        <v>1279.2499999999998</v>
      </c>
      <c r="V14" s="8">
        <f t="shared" si="0"/>
        <v>2720.8</v>
      </c>
      <c r="W14" s="8">
        <v>73.16</v>
      </c>
      <c r="X14" s="8">
        <v>131.69999999999999</v>
      </c>
      <c r="Y14" s="8">
        <v>335.88</v>
      </c>
      <c r="Z14" s="8">
        <v>273.62</v>
      </c>
      <c r="AA14" s="8">
        <v>80</v>
      </c>
      <c r="AB14" s="8">
        <v>33.299999999999997</v>
      </c>
      <c r="AC14" s="8">
        <v>540.74</v>
      </c>
      <c r="AD14" s="8">
        <v>209.04</v>
      </c>
      <c r="AE14" s="8">
        <v>231.81</v>
      </c>
      <c r="AF14" s="8">
        <v>110</v>
      </c>
      <c r="AG14" s="8">
        <f t="shared" si="1"/>
        <v>219.03679772204578</v>
      </c>
    </row>
    <row r="15" spans="1:33" s="8" customFormat="1" x14ac:dyDescent="0.2">
      <c r="A15" s="8" t="s">
        <v>193</v>
      </c>
      <c r="B15" s="8" t="s">
        <v>194</v>
      </c>
      <c r="C15" s="8">
        <v>15</v>
      </c>
      <c r="D15" s="8">
        <v>0</v>
      </c>
      <c r="E15" s="8">
        <v>400</v>
      </c>
      <c r="F15" s="8">
        <v>424.2</v>
      </c>
      <c r="G15" s="8">
        <v>6000</v>
      </c>
      <c r="H15" s="8">
        <v>0</v>
      </c>
      <c r="I15" s="8">
        <v>0</v>
      </c>
      <c r="J15" s="8">
        <v>6000</v>
      </c>
      <c r="K15" s="8">
        <v>0</v>
      </c>
      <c r="L15" s="8">
        <v>0</v>
      </c>
      <c r="M15" s="8">
        <v>0</v>
      </c>
      <c r="N15" s="8">
        <v>0</v>
      </c>
      <c r="O15" s="8">
        <v>643.38</v>
      </c>
      <c r="P15" s="8">
        <v>161.36000000000001</v>
      </c>
      <c r="Q15" s="9"/>
      <c r="R15" s="8">
        <v>0</v>
      </c>
      <c r="S15" s="8">
        <v>0</v>
      </c>
      <c r="T15" s="8">
        <v>0.06</v>
      </c>
      <c r="U15" s="8">
        <v>804.8</v>
      </c>
      <c r="V15" s="8">
        <f t="shared" si="0"/>
        <v>5195.2</v>
      </c>
      <c r="W15" s="8">
        <v>111.35</v>
      </c>
      <c r="X15" s="8">
        <v>200.43</v>
      </c>
      <c r="Y15" s="8">
        <v>398.06</v>
      </c>
      <c r="Z15" s="8">
        <v>317.26</v>
      </c>
      <c r="AA15" s="8">
        <v>120</v>
      </c>
      <c r="AB15" s="8">
        <v>50.69</v>
      </c>
      <c r="AC15" s="8">
        <v>709.84</v>
      </c>
      <c r="AD15" s="8">
        <v>318.14999999999998</v>
      </c>
      <c r="AE15" s="8">
        <v>253.63</v>
      </c>
      <c r="AF15" s="8">
        <v>110</v>
      </c>
      <c r="AG15" s="8">
        <f t="shared" si="1"/>
        <v>328.55108969444746</v>
      </c>
    </row>
    <row r="16" spans="1:33" s="8" customFormat="1" x14ac:dyDescent="0.2">
      <c r="A16" s="8" t="s">
        <v>231</v>
      </c>
      <c r="B16" s="8" t="s">
        <v>232</v>
      </c>
      <c r="C16" s="8">
        <v>15</v>
      </c>
      <c r="D16" s="8">
        <v>0</v>
      </c>
      <c r="E16" s="8">
        <v>266.67</v>
      </c>
      <c r="F16" s="8">
        <v>278.72000000000003</v>
      </c>
      <c r="G16" s="8">
        <v>4000.05</v>
      </c>
      <c r="H16" s="8">
        <v>0</v>
      </c>
      <c r="I16" s="8">
        <v>0</v>
      </c>
      <c r="J16" s="8">
        <v>4000.05</v>
      </c>
      <c r="K16" s="8">
        <v>0</v>
      </c>
      <c r="L16" s="8">
        <v>0</v>
      </c>
      <c r="M16" s="8">
        <v>0</v>
      </c>
      <c r="N16" s="8">
        <v>0</v>
      </c>
      <c r="O16" s="8">
        <v>313.87</v>
      </c>
      <c r="P16" s="8">
        <v>100.81</v>
      </c>
      <c r="Q16" s="9"/>
      <c r="R16" s="8">
        <v>0</v>
      </c>
      <c r="S16" s="8">
        <v>0</v>
      </c>
      <c r="T16" s="8">
        <v>-0.03</v>
      </c>
      <c r="U16" s="8">
        <v>414.65000000000003</v>
      </c>
      <c r="V16" s="8">
        <f t="shared" si="0"/>
        <v>3585.4</v>
      </c>
      <c r="W16" s="8">
        <v>73.16</v>
      </c>
      <c r="X16" s="8">
        <v>131.69999999999999</v>
      </c>
      <c r="Y16" s="8">
        <v>335.88</v>
      </c>
      <c r="Z16" s="8">
        <v>273.62</v>
      </c>
      <c r="AA16" s="8">
        <v>80</v>
      </c>
      <c r="AB16" s="8">
        <v>33.299999999999997</v>
      </c>
      <c r="AC16" s="8">
        <v>540.74</v>
      </c>
      <c r="AD16" s="8">
        <v>209.04</v>
      </c>
      <c r="AE16" s="8">
        <v>231.81</v>
      </c>
      <c r="AF16" s="8">
        <v>110</v>
      </c>
      <c r="AG16" s="8">
        <f t="shared" si="1"/>
        <v>219.03679772204578</v>
      </c>
    </row>
    <row r="17" spans="1:33" s="8" customFormat="1" x14ac:dyDescent="0.2">
      <c r="A17" s="8" t="s">
        <v>347</v>
      </c>
      <c r="B17" s="8" t="s">
        <v>348</v>
      </c>
      <c r="C17" s="8">
        <v>15</v>
      </c>
      <c r="D17" s="8">
        <v>0</v>
      </c>
      <c r="E17" s="8">
        <v>200</v>
      </c>
      <c r="F17" s="8">
        <v>212.1</v>
      </c>
      <c r="G17" s="8">
        <v>3000</v>
      </c>
      <c r="H17" s="8">
        <v>0</v>
      </c>
      <c r="I17" s="8">
        <v>0</v>
      </c>
      <c r="J17" s="8">
        <v>3000</v>
      </c>
      <c r="K17" s="8">
        <v>15</v>
      </c>
      <c r="L17" s="8">
        <v>1317.81</v>
      </c>
      <c r="M17" s="8">
        <v>0</v>
      </c>
      <c r="N17" s="8">
        <v>0</v>
      </c>
      <c r="O17" s="8">
        <v>59.69</v>
      </c>
      <c r="P17" s="8">
        <v>75.55</v>
      </c>
      <c r="Q17" s="9"/>
      <c r="R17" s="8">
        <v>0</v>
      </c>
      <c r="S17" s="8">
        <v>0</v>
      </c>
      <c r="T17" s="8">
        <v>-0.05</v>
      </c>
      <c r="U17" s="8">
        <v>1468</v>
      </c>
      <c r="V17" s="8">
        <f t="shared" si="0"/>
        <v>1532</v>
      </c>
      <c r="W17" s="8">
        <v>55.68</v>
      </c>
      <c r="X17" s="8">
        <v>100.22</v>
      </c>
      <c r="Y17" s="8">
        <v>314.22000000000003</v>
      </c>
      <c r="Z17" s="8">
        <v>253.63</v>
      </c>
      <c r="AA17" s="8">
        <v>60</v>
      </c>
      <c r="AB17" s="8">
        <v>25.34</v>
      </c>
      <c r="AC17" s="8">
        <v>470.12</v>
      </c>
      <c r="AD17" s="8">
        <v>159.08000000000001</v>
      </c>
      <c r="AE17" s="8">
        <v>221.82</v>
      </c>
      <c r="AF17" s="8">
        <v>110</v>
      </c>
      <c r="AG17" s="8">
        <f t="shared" si="1"/>
        <v>164.27554484722373</v>
      </c>
    </row>
    <row r="18" spans="1:33" s="8" customFormat="1" x14ac:dyDescent="0.2">
      <c r="A18" s="8" t="s">
        <v>287</v>
      </c>
      <c r="B18" s="8" t="s">
        <v>288</v>
      </c>
      <c r="C18" s="8">
        <v>15</v>
      </c>
      <c r="D18" s="8">
        <v>0</v>
      </c>
      <c r="E18" s="8">
        <v>333.33</v>
      </c>
      <c r="F18" s="8">
        <v>353.5</v>
      </c>
      <c r="G18" s="8">
        <v>4999.95</v>
      </c>
      <c r="H18" s="8">
        <v>0</v>
      </c>
      <c r="I18" s="8">
        <v>0</v>
      </c>
      <c r="J18" s="8">
        <v>4999.95</v>
      </c>
      <c r="K18" s="8">
        <v>0</v>
      </c>
      <c r="L18" s="8">
        <v>0</v>
      </c>
      <c r="M18" s="8">
        <v>0</v>
      </c>
      <c r="N18" s="8">
        <v>0</v>
      </c>
      <c r="O18" s="8">
        <v>461.63</v>
      </c>
      <c r="P18" s="8">
        <v>131.93</v>
      </c>
      <c r="Q18" s="9"/>
      <c r="R18" s="8">
        <v>0</v>
      </c>
      <c r="S18" s="8">
        <v>0</v>
      </c>
      <c r="T18" s="8">
        <v>-0.01</v>
      </c>
      <c r="U18" s="8">
        <v>593.54999999999995</v>
      </c>
      <c r="V18" s="8">
        <f t="shared" si="0"/>
        <v>4406.3999999999996</v>
      </c>
      <c r="W18" s="8">
        <v>92.79</v>
      </c>
      <c r="X18" s="8">
        <v>167.03</v>
      </c>
      <c r="Y18" s="8">
        <v>367.84</v>
      </c>
      <c r="Z18" s="8">
        <v>296.05</v>
      </c>
      <c r="AA18" s="8">
        <v>100</v>
      </c>
      <c r="AB18" s="8">
        <v>42.24</v>
      </c>
      <c r="AC18" s="8">
        <v>627.66</v>
      </c>
      <c r="AD18" s="8">
        <v>265.12</v>
      </c>
      <c r="AE18" s="8">
        <v>243.02</v>
      </c>
      <c r="AF18" s="8">
        <v>110</v>
      </c>
      <c r="AG18" s="8">
        <f t="shared" si="1"/>
        <v>273.78983681962541</v>
      </c>
    </row>
    <row r="19" spans="1:33" s="8" customFormat="1" x14ac:dyDescent="0.2">
      <c r="A19" s="8" t="s">
        <v>309</v>
      </c>
      <c r="B19" s="8" t="s">
        <v>310</v>
      </c>
      <c r="C19" s="8">
        <v>15</v>
      </c>
      <c r="D19" s="8">
        <v>0</v>
      </c>
      <c r="E19" s="8">
        <v>233.33</v>
      </c>
      <c r="F19" s="8">
        <v>247.45</v>
      </c>
      <c r="G19" s="8">
        <v>3499.95</v>
      </c>
      <c r="H19" s="8">
        <v>0</v>
      </c>
      <c r="I19" s="8">
        <v>0</v>
      </c>
      <c r="J19" s="8">
        <v>3499.95</v>
      </c>
      <c r="K19" s="8">
        <v>0</v>
      </c>
      <c r="L19" s="8">
        <v>0</v>
      </c>
      <c r="M19" s="8">
        <v>0</v>
      </c>
      <c r="N19" s="8">
        <v>0</v>
      </c>
      <c r="O19" s="8">
        <v>134.36000000000001</v>
      </c>
      <c r="P19" s="8">
        <v>88.16</v>
      </c>
      <c r="Q19" s="9"/>
      <c r="R19" s="8">
        <v>0</v>
      </c>
      <c r="S19" s="8">
        <v>0</v>
      </c>
      <c r="T19" s="9">
        <v>0.03</v>
      </c>
      <c r="U19" s="8">
        <v>222.55</v>
      </c>
      <c r="V19" s="8">
        <f t="shared" si="0"/>
        <v>3277.3999999999996</v>
      </c>
      <c r="W19" s="8">
        <v>64.95</v>
      </c>
      <c r="X19" s="8">
        <v>116.92</v>
      </c>
      <c r="Y19" s="8">
        <v>323.49</v>
      </c>
      <c r="Z19" s="8">
        <v>264.23</v>
      </c>
      <c r="AA19" s="8">
        <v>70</v>
      </c>
      <c r="AB19" s="8">
        <v>29.57</v>
      </c>
      <c r="AC19" s="8">
        <v>505.36</v>
      </c>
      <c r="AD19" s="8">
        <v>185.58</v>
      </c>
      <c r="AE19" s="8">
        <v>227.12</v>
      </c>
      <c r="AF19" s="8">
        <v>110</v>
      </c>
      <c r="AG19" s="8">
        <f t="shared" si="1"/>
        <v>191.65206439601357</v>
      </c>
    </row>
    <row r="20" spans="1:33" s="8" customFormat="1" x14ac:dyDescent="0.2">
      <c r="A20" s="8" t="s">
        <v>107</v>
      </c>
      <c r="B20" s="8" t="s">
        <v>108</v>
      </c>
      <c r="C20" s="8">
        <v>14</v>
      </c>
      <c r="D20" s="8">
        <v>1</v>
      </c>
      <c r="E20" s="8">
        <v>200</v>
      </c>
      <c r="F20" s="8">
        <v>212.1</v>
      </c>
      <c r="G20" s="8">
        <v>2800</v>
      </c>
      <c r="H20" s="8">
        <v>200</v>
      </c>
      <c r="I20" s="8">
        <v>60</v>
      </c>
      <c r="J20" s="8">
        <v>3060</v>
      </c>
      <c r="K20" s="8">
        <v>0</v>
      </c>
      <c r="L20" s="8">
        <v>0</v>
      </c>
      <c r="M20" s="8">
        <v>0</v>
      </c>
      <c r="N20" s="8">
        <v>0</v>
      </c>
      <c r="O20" s="8">
        <v>59.69</v>
      </c>
      <c r="P20" s="8">
        <v>75.55</v>
      </c>
      <c r="Q20" s="9"/>
      <c r="R20" s="8">
        <v>600</v>
      </c>
      <c r="S20" s="8">
        <v>0</v>
      </c>
      <c r="T20" s="9">
        <v>-0.04</v>
      </c>
      <c r="U20" s="8">
        <v>735.2</v>
      </c>
      <c r="V20" s="8">
        <f t="shared" si="0"/>
        <v>2324.8000000000002</v>
      </c>
      <c r="W20" s="8">
        <v>55.68</v>
      </c>
      <c r="X20" s="8">
        <v>100.22</v>
      </c>
      <c r="Y20" s="8">
        <v>314.22000000000003</v>
      </c>
      <c r="Z20" s="8">
        <v>253.63</v>
      </c>
      <c r="AA20" s="8">
        <v>61.2</v>
      </c>
      <c r="AB20" s="8">
        <v>25.34</v>
      </c>
      <c r="AC20" s="8">
        <v>470.12</v>
      </c>
      <c r="AD20" s="8">
        <v>159.08000000000001</v>
      </c>
      <c r="AE20" s="8">
        <v>221.82</v>
      </c>
      <c r="AF20" s="8">
        <v>110</v>
      </c>
      <c r="AG20" s="8">
        <f t="shared" si="1"/>
        <v>164.27554484722373</v>
      </c>
    </row>
    <row r="21" spans="1:33" s="8" customFormat="1" x14ac:dyDescent="0.2">
      <c r="A21" s="8" t="s">
        <v>172</v>
      </c>
      <c r="B21" s="8" t="s">
        <v>173</v>
      </c>
      <c r="C21" s="8">
        <v>15</v>
      </c>
      <c r="D21" s="8">
        <v>0</v>
      </c>
      <c r="E21" s="8">
        <v>266.67</v>
      </c>
      <c r="F21" s="8">
        <v>282.81</v>
      </c>
      <c r="G21" s="8">
        <v>4000.05</v>
      </c>
      <c r="H21" s="8">
        <v>0</v>
      </c>
      <c r="I21" s="8">
        <v>0</v>
      </c>
      <c r="J21" s="8">
        <v>4000.05</v>
      </c>
      <c r="K21" s="8">
        <v>0</v>
      </c>
      <c r="L21" s="8">
        <v>0</v>
      </c>
      <c r="M21" s="8">
        <v>0</v>
      </c>
      <c r="N21" s="8">
        <v>0</v>
      </c>
      <c r="O21" s="8">
        <v>313.87</v>
      </c>
      <c r="P21" s="8">
        <v>102.51</v>
      </c>
      <c r="Q21" s="9"/>
      <c r="R21" s="8">
        <v>0</v>
      </c>
      <c r="S21" s="8">
        <v>0</v>
      </c>
      <c r="T21" s="9">
        <v>-0.13</v>
      </c>
      <c r="U21" s="8">
        <v>416.25</v>
      </c>
      <c r="V21" s="8">
        <f t="shared" si="0"/>
        <v>3583.8</v>
      </c>
      <c r="W21" s="8">
        <v>74.239999999999995</v>
      </c>
      <c r="X21" s="8">
        <v>133.63</v>
      </c>
      <c r="Y21" s="8">
        <v>337.62</v>
      </c>
      <c r="Z21" s="8">
        <v>274.83999999999997</v>
      </c>
      <c r="AA21" s="8">
        <v>80</v>
      </c>
      <c r="AB21" s="8">
        <v>33.79</v>
      </c>
      <c r="AC21" s="8">
        <v>545.49</v>
      </c>
      <c r="AD21" s="8">
        <v>212.11</v>
      </c>
      <c r="AE21" s="8">
        <v>232.42</v>
      </c>
      <c r="AF21" s="8">
        <v>110</v>
      </c>
      <c r="AG21" s="8">
        <f t="shared" si="1"/>
        <v>219.03679772204578</v>
      </c>
    </row>
    <row r="22" spans="1:33" s="8" customFormat="1" x14ac:dyDescent="0.2">
      <c r="A22" s="8" t="s">
        <v>156</v>
      </c>
      <c r="B22" s="8" t="s">
        <v>157</v>
      </c>
      <c r="C22" s="8">
        <v>15</v>
      </c>
      <c r="D22" s="8">
        <v>0</v>
      </c>
      <c r="E22" s="8">
        <v>166.67</v>
      </c>
      <c r="F22" s="8">
        <v>174.2</v>
      </c>
      <c r="G22" s="8">
        <v>2500.0500000000002</v>
      </c>
      <c r="H22" s="8">
        <v>0</v>
      </c>
      <c r="I22" s="8">
        <v>0</v>
      </c>
      <c r="J22" s="8">
        <v>2500.0500000000002</v>
      </c>
      <c r="K22" s="8">
        <v>0</v>
      </c>
      <c r="L22" s="8">
        <v>0</v>
      </c>
      <c r="M22" s="8">
        <v>0</v>
      </c>
      <c r="N22" s="9">
        <v>-9.6199999999999992</v>
      </c>
      <c r="O22" s="8">
        <v>0</v>
      </c>
      <c r="P22" s="8">
        <v>62.06</v>
      </c>
      <c r="R22" s="8">
        <v>0</v>
      </c>
      <c r="S22" s="8">
        <v>275.45</v>
      </c>
      <c r="T22" s="9">
        <v>-0.04</v>
      </c>
      <c r="U22" s="8">
        <v>327.84999999999997</v>
      </c>
      <c r="V22" s="8">
        <f t="shared" si="0"/>
        <v>2172.2000000000003</v>
      </c>
      <c r="W22" s="8">
        <v>45.73</v>
      </c>
      <c r="X22" s="8">
        <v>82.31</v>
      </c>
      <c r="Y22" s="8">
        <v>304.27</v>
      </c>
      <c r="Z22" s="8">
        <v>242.26</v>
      </c>
      <c r="AA22" s="8">
        <v>50</v>
      </c>
      <c r="AB22" s="8">
        <v>20.82</v>
      </c>
      <c r="AC22" s="8">
        <v>432.31</v>
      </c>
      <c r="AD22" s="8">
        <v>130.65</v>
      </c>
      <c r="AE22" s="8">
        <v>216.13</v>
      </c>
      <c r="AF22" s="8">
        <v>110</v>
      </c>
      <c r="AG22" s="8">
        <f t="shared" si="1"/>
        <v>136.89902529843388</v>
      </c>
    </row>
    <row r="23" spans="1:33" s="8" customFormat="1" x14ac:dyDescent="0.2">
      <c r="A23" s="8" t="s">
        <v>371</v>
      </c>
      <c r="B23" s="8" t="s">
        <v>268</v>
      </c>
      <c r="C23" s="8">
        <v>15</v>
      </c>
      <c r="D23" s="8">
        <v>0</v>
      </c>
      <c r="E23" s="8">
        <v>275</v>
      </c>
      <c r="F23" s="8">
        <v>287.43</v>
      </c>
      <c r="G23" s="8">
        <v>4125</v>
      </c>
      <c r="H23" s="8">
        <v>0</v>
      </c>
      <c r="I23" s="8">
        <v>0</v>
      </c>
      <c r="J23" s="8">
        <v>4125</v>
      </c>
      <c r="K23" s="8">
        <v>0</v>
      </c>
      <c r="L23" s="8">
        <v>0</v>
      </c>
      <c r="M23" s="8">
        <v>0</v>
      </c>
      <c r="N23" s="8">
        <v>0</v>
      </c>
      <c r="O23" s="8">
        <v>327.47000000000003</v>
      </c>
      <c r="P23" s="8">
        <v>104.44</v>
      </c>
      <c r="Q23" s="9"/>
      <c r="R23" s="8">
        <v>0</v>
      </c>
      <c r="S23" s="8">
        <v>0</v>
      </c>
      <c r="T23" s="9">
        <v>-0.11</v>
      </c>
      <c r="U23" s="8">
        <v>431.8</v>
      </c>
      <c r="V23" s="8">
        <f t="shared" si="0"/>
        <v>3693.2</v>
      </c>
      <c r="W23" s="8">
        <v>75.45</v>
      </c>
      <c r="X23" s="8">
        <v>135.81</v>
      </c>
      <c r="Y23" s="8">
        <v>339.59</v>
      </c>
      <c r="Z23" s="8">
        <v>276.23</v>
      </c>
      <c r="AA23" s="8">
        <v>82.5</v>
      </c>
      <c r="AB23" s="8">
        <v>34.340000000000003</v>
      </c>
      <c r="AC23" s="8">
        <v>550.85</v>
      </c>
      <c r="AD23" s="8">
        <v>215.57</v>
      </c>
      <c r="AE23" s="8">
        <v>233.11</v>
      </c>
      <c r="AF23" s="8">
        <v>110</v>
      </c>
      <c r="AG23" s="8">
        <f t="shared" si="1"/>
        <v>225.87887416493263</v>
      </c>
    </row>
    <row r="24" spans="1:33" s="8" customFormat="1" x14ac:dyDescent="0.2">
      <c r="A24" s="8" t="s">
        <v>296</v>
      </c>
      <c r="B24" s="8" t="s">
        <v>297</v>
      </c>
      <c r="C24" s="8">
        <v>15</v>
      </c>
      <c r="D24" s="8">
        <v>0</v>
      </c>
      <c r="E24" s="8">
        <v>266.67</v>
      </c>
      <c r="F24" s="8">
        <v>282.81</v>
      </c>
      <c r="G24" s="8">
        <v>4000.05</v>
      </c>
      <c r="H24" s="8">
        <v>0</v>
      </c>
      <c r="I24" s="8">
        <v>0</v>
      </c>
      <c r="J24" s="8">
        <v>4000.05</v>
      </c>
      <c r="K24" s="8">
        <v>0</v>
      </c>
      <c r="L24" s="8">
        <v>0</v>
      </c>
      <c r="M24" s="8">
        <v>0</v>
      </c>
      <c r="N24" s="8">
        <v>0</v>
      </c>
      <c r="O24" s="8">
        <v>313.87</v>
      </c>
      <c r="P24" s="8">
        <v>102.51</v>
      </c>
      <c r="Q24" s="9"/>
      <c r="R24" s="8">
        <v>0</v>
      </c>
      <c r="S24" s="8">
        <v>0</v>
      </c>
      <c r="T24" s="9">
        <v>7.0000000000000007E-2</v>
      </c>
      <c r="U24" s="8">
        <v>416.45</v>
      </c>
      <c r="V24" s="8">
        <f t="shared" si="0"/>
        <v>3583.6000000000004</v>
      </c>
      <c r="W24" s="8">
        <v>74.239999999999995</v>
      </c>
      <c r="X24" s="8">
        <v>133.63</v>
      </c>
      <c r="Y24" s="8">
        <v>337.62</v>
      </c>
      <c r="Z24" s="8">
        <v>274.83999999999997</v>
      </c>
      <c r="AA24" s="8">
        <v>80</v>
      </c>
      <c r="AB24" s="8">
        <v>33.79</v>
      </c>
      <c r="AC24" s="8">
        <v>545.49</v>
      </c>
      <c r="AD24" s="8">
        <v>212.11</v>
      </c>
      <c r="AE24" s="8">
        <v>232.42</v>
      </c>
      <c r="AF24" s="8">
        <v>110</v>
      </c>
      <c r="AG24" s="8">
        <f t="shared" si="1"/>
        <v>219.03679772204578</v>
      </c>
    </row>
    <row r="25" spans="1:33" s="8" customFormat="1" x14ac:dyDescent="0.2">
      <c r="A25" s="8" t="s">
        <v>238</v>
      </c>
      <c r="B25" s="8" t="s">
        <v>239</v>
      </c>
      <c r="C25" s="8">
        <v>15</v>
      </c>
      <c r="D25" s="8">
        <v>0</v>
      </c>
      <c r="E25" s="8">
        <v>266.67</v>
      </c>
      <c r="F25" s="8">
        <v>282.81</v>
      </c>
      <c r="G25" s="8">
        <v>4000.05</v>
      </c>
      <c r="H25" s="8">
        <v>0</v>
      </c>
      <c r="I25" s="8">
        <v>0</v>
      </c>
      <c r="J25" s="8">
        <v>4000.05</v>
      </c>
      <c r="K25" s="8">
        <v>0</v>
      </c>
      <c r="L25" s="8">
        <v>0</v>
      </c>
      <c r="M25" s="8">
        <v>0</v>
      </c>
      <c r="N25" s="8">
        <v>0</v>
      </c>
      <c r="O25" s="8">
        <v>313.87</v>
      </c>
      <c r="P25" s="8">
        <v>102.51</v>
      </c>
      <c r="Q25" s="9"/>
      <c r="R25" s="8">
        <v>0</v>
      </c>
      <c r="S25" s="8">
        <v>0</v>
      </c>
      <c r="T25" s="9">
        <v>-0.13</v>
      </c>
      <c r="U25" s="8">
        <v>416.25</v>
      </c>
      <c r="V25" s="8">
        <f t="shared" si="0"/>
        <v>3583.8</v>
      </c>
      <c r="W25" s="8">
        <v>74.239999999999995</v>
      </c>
      <c r="X25" s="8">
        <v>133.63</v>
      </c>
      <c r="Y25" s="8">
        <v>337.62</v>
      </c>
      <c r="Z25" s="8">
        <v>274.83999999999997</v>
      </c>
      <c r="AA25" s="8">
        <v>80</v>
      </c>
      <c r="AB25" s="8">
        <v>33.79</v>
      </c>
      <c r="AC25" s="8">
        <v>545.49</v>
      </c>
      <c r="AD25" s="8">
        <v>212.11</v>
      </c>
      <c r="AE25" s="8">
        <v>232.42</v>
      </c>
      <c r="AF25" s="8">
        <v>110</v>
      </c>
      <c r="AG25" s="8">
        <f t="shared" si="1"/>
        <v>219.03679772204578</v>
      </c>
    </row>
    <row r="26" spans="1:33" s="8" customFormat="1" x14ac:dyDescent="0.2">
      <c r="A26" s="8" t="s">
        <v>98</v>
      </c>
      <c r="B26" s="8" t="s">
        <v>99</v>
      </c>
      <c r="C26" s="8">
        <v>15</v>
      </c>
      <c r="D26" s="8">
        <v>0</v>
      </c>
      <c r="E26" s="8">
        <v>200</v>
      </c>
      <c r="F26" s="8">
        <v>212.11</v>
      </c>
      <c r="G26" s="8">
        <v>3000</v>
      </c>
      <c r="H26" s="8">
        <v>0</v>
      </c>
      <c r="I26" s="8">
        <v>0</v>
      </c>
      <c r="J26" s="8">
        <v>3000</v>
      </c>
      <c r="K26" s="8">
        <v>15</v>
      </c>
      <c r="L26" s="8">
        <v>0</v>
      </c>
      <c r="M26" s="8">
        <v>1063.6600000000001</v>
      </c>
      <c r="N26" s="8">
        <v>0</v>
      </c>
      <c r="O26" s="8">
        <v>59.69</v>
      </c>
      <c r="P26" s="8">
        <v>75.56</v>
      </c>
      <c r="Q26" s="9"/>
      <c r="R26" s="8">
        <v>600</v>
      </c>
      <c r="S26" s="8">
        <v>0</v>
      </c>
      <c r="T26" s="9">
        <v>-0.11</v>
      </c>
      <c r="U26" s="8">
        <v>1813.8000000000002</v>
      </c>
      <c r="V26" s="8">
        <f t="shared" si="0"/>
        <v>1186.1999999999998</v>
      </c>
      <c r="W26" s="8">
        <v>55.68</v>
      </c>
      <c r="X26" s="8">
        <v>100.22</v>
      </c>
      <c r="Y26" s="8">
        <v>314.22000000000003</v>
      </c>
      <c r="Z26" s="8">
        <v>253.63</v>
      </c>
      <c r="AA26" s="8">
        <v>60</v>
      </c>
      <c r="AB26" s="8">
        <v>25.34</v>
      </c>
      <c r="AC26" s="8">
        <v>470.12</v>
      </c>
      <c r="AD26" s="8">
        <v>159.08000000000001</v>
      </c>
      <c r="AE26" s="8">
        <v>221.82</v>
      </c>
      <c r="AF26" s="8">
        <v>110</v>
      </c>
      <c r="AG26" s="8">
        <f t="shared" si="1"/>
        <v>164.27554484722373</v>
      </c>
    </row>
    <row r="27" spans="1:33" s="8" customFormat="1" x14ac:dyDescent="0.2">
      <c r="A27" s="8" t="s">
        <v>225</v>
      </c>
      <c r="B27" s="8" t="s">
        <v>226</v>
      </c>
      <c r="C27" s="8">
        <v>15</v>
      </c>
      <c r="D27" s="8">
        <v>0</v>
      </c>
      <c r="E27" s="8">
        <v>466.67</v>
      </c>
      <c r="F27" s="8">
        <v>494.92</v>
      </c>
      <c r="G27" s="8">
        <v>7000.05</v>
      </c>
      <c r="H27" s="8">
        <v>0</v>
      </c>
      <c r="I27" s="8">
        <v>0</v>
      </c>
      <c r="J27" s="8">
        <v>7000.05</v>
      </c>
      <c r="K27" s="8">
        <v>0</v>
      </c>
      <c r="L27" s="8">
        <v>0</v>
      </c>
      <c r="M27" s="8">
        <v>0</v>
      </c>
      <c r="N27" s="8">
        <v>0</v>
      </c>
      <c r="O27" s="8">
        <v>856.99</v>
      </c>
      <c r="P27" s="8">
        <v>190.81</v>
      </c>
      <c r="Q27" s="9"/>
      <c r="R27" s="8">
        <v>0</v>
      </c>
      <c r="S27" s="8">
        <v>0</v>
      </c>
      <c r="T27" s="8">
        <v>0.05</v>
      </c>
      <c r="U27" s="8">
        <v>1047.8499999999999</v>
      </c>
      <c r="V27" s="8">
        <f t="shared" si="0"/>
        <v>5952.2000000000007</v>
      </c>
      <c r="W27" s="8">
        <v>129.91999999999999</v>
      </c>
      <c r="X27" s="8">
        <v>233.85</v>
      </c>
      <c r="Y27" s="8">
        <v>428.3</v>
      </c>
      <c r="Z27" s="8">
        <v>338.48</v>
      </c>
      <c r="AA27" s="8">
        <v>140</v>
      </c>
      <c r="AB27" s="8">
        <v>59.14</v>
      </c>
      <c r="AC27" s="8">
        <v>792.07</v>
      </c>
      <c r="AD27" s="8">
        <v>371.19</v>
      </c>
      <c r="AE27" s="8">
        <v>264.24</v>
      </c>
      <c r="AF27" s="8">
        <v>110</v>
      </c>
      <c r="AG27" s="8">
        <f t="shared" si="1"/>
        <v>383.3123425692695</v>
      </c>
    </row>
    <row r="28" spans="1:33" s="8" customFormat="1" x14ac:dyDescent="0.2">
      <c r="A28" s="8" t="s">
        <v>73</v>
      </c>
      <c r="B28" s="8" t="s">
        <v>142</v>
      </c>
      <c r="C28" s="8">
        <v>15</v>
      </c>
      <c r="D28" s="8">
        <v>0</v>
      </c>
      <c r="E28" s="8">
        <v>466.67</v>
      </c>
      <c r="F28" s="8">
        <v>494.92</v>
      </c>
      <c r="G28" s="8">
        <v>7000.05</v>
      </c>
      <c r="H28" s="8">
        <v>0</v>
      </c>
      <c r="I28" s="8">
        <v>0</v>
      </c>
      <c r="J28" s="8">
        <v>7000.05</v>
      </c>
      <c r="K28" s="8">
        <v>0</v>
      </c>
      <c r="L28" s="8">
        <v>0</v>
      </c>
      <c r="M28" s="8">
        <v>0</v>
      </c>
      <c r="N28" s="8">
        <v>0</v>
      </c>
      <c r="O28" s="8">
        <v>856.99</v>
      </c>
      <c r="P28" s="8">
        <v>190.81</v>
      </c>
      <c r="Q28" s="9"/>
      <c r="R28" s="8">
        <v>0</v>
      </c>
      <c r="S28" s="8">
        <v>0</v>
      </c>
      <c r="T28" s="8">
        <v>0.05</v>
      </c>
      <c r="U28" s="8">
        <v>1047.8499999999999</v>
      </c>
      <c r="V28" s="8">
        <f t="shared" si="0"/>
        <v>5952.2000000000007</v>
      </c>
      <c r="W28" s="8">
        <v>129.91999999999999</v>
      </c>
      <c r="X28" s="8">
        <v>233.85</v>
      </c>
      <c r="Y28" s="8">
        <v>428.3</v>
      </c>
      <c r="Z28" s="8">
        <v>338.48</v>
      </c>
      <c r="AA28" s="8">
        <v>140</v>
      </c>
      <c r="AB28" s="8">
        <v>59.14</v>
      </c>
      <c r="AC28" s="8">
        <v>792.07</v>
      </c>
      <c r="AD28" s="8">
        <v>371.19</v>
      </c>
      <c r="AE28" s="8">
        <v>264.24</v>
      </c>
      <c r="AF28" s="8">
        <v>110</v>
      </c>
      <c r="AG28" s="8">
        <f t="shared" si="1"/>
        <v>383.3123425692695</v>
      </c>
    </row>
    <row r="29" spans="1:33" s="8" customFormat="1" x14ac:dyDescent="0.2">
      <c r="A29" s="8" t="s">
        <v>127</v>
      </c>
      <c r="B29" s="8" t="s">
        <v>128</v>
      </c>
      <c r="C29" s="8">
        <v>15</v>
      </c>
      <c r="D29" s="8">
        <v>0</v>
      </c>
      <c r="E29" s="8">
        <v>200</v>
      </c>
      <c r="F29" s="8">
        <v>212.11</v>
      </c>
      <c r="G29" s="8">
        <v>3000</v>
      </c>
      <c r="H29" s="8">
        <v>0</v>
      </c>
      <c r="I29" s="8">
        <v>0</v>
      </c>
      <c r="J29" s="8">
        <v>3000</v>
      </c>
      <c r="K29" s="8">
        <v>0</v>
      </c>
      <c r="L29" s="8">
        <v>0</v>
      </c>
      <c r="M29" s="8">
        <v>0</v>
      </c>
      <c r="N29" s="8">
        <v>0</v>
      </c>
      <c r="O29" s="8">
        <v>59.69</v>
      </c>
      <c r="P29" s="8">
        <v>75.56</v>
      </c>
      <c r="Q29" s="9"/>
      <c r="R29" s="8">
        <v>0</v>
      </c>
      <c r="S29" s="8">
        <v>0</v>
      </c>
      <c r="T29" s="8">
        <v>-0.05</v>
      </c>
      <c r="U29" s="8">
        <v>135.19999999999999</v>
      </c>
      <c r="V29" s="8">
        <f t="shared" si="0"/>
        <v>2864.8</v>
      </c>
      <c r="W29" s="8">
        <v>55.68</v>
      </c>
      <c r="X29" s="8">
        <v>100.22</v>
      </c>
      <c r="Y29" s="8">
        <v>314.22000000000003</v>
      </c>
      <c r="Z29" s="8">
        <v>253.63</v>
      </c>
      <c r="AA29" s="8">
        <v>60</v>
      </c>
      <c r="AB29" s="8">
        <v>25.34</v>
      </c>
      <c r="AC29" s="8">
        <v>470.12</v>
      </c>
      <c r="AD29" s="8">
        <v>159.08000000000001</v>
      </c>
      <c r="AE29" s="8">
        <v>221.82</v>
      </c>
      <c r="AF29" s="8">
        <v>110</v>
      </c>
      <c r="AG29" s="8">
        <f t="shared" si="1"/>
        <v>164.27554484722373</v>
      </c>
    </row>
    <row r="30" spans="1:33" s="8" customFormat="1" x14ac:dyDescent="0.2">
      <c r="A30" s="8" t="s">
        <v>235</v>
      </c>
      <c r="B30" s="8" t="s">
        <v>236</v>
      </c>
      <c r="C30" s="8">
        <v>15</v>
      </c>
      <c r="D30" s="8">
        <v>0</v>
      </c>
      <c r="E30" s="8">
        <v>266.67</v>
      </c>
      <c r="F30" s="8">
        <v>282.81</v>
      </c>
      <c r="G30" s="8">
        <v>4000.05</v>
      </c>
      <c r="H30" s="8">
        <v>0</v>
      </c>
      <c r="I30" s="8">
        <v>0</v>
      </c>
      <c r="J30" s="8">
        <v>4000.05</v>
      </c>
      <c r="K30" s="8">
        <v>0</v>
      </c>
      <c r="L30" s="8">
        <v>0</v>
      </c>
      <c r="M30" s="8">
        <v>0</v>
      </c>
      <c r="N30" s="8">
        <v>0</v>
      </c>
      <c r="O30" s="8">
        <v>313.87</v>
      </c>
      <c r="P30" s="8">
        <v>102.51</v>
      </c>
      <c r="Q30" s="9"/>
      <c r="R30" s="8">
        <v>0</v>
      </c>
      <c r="S30" s="8">
        <v>441</v>
      </c>
      <c r="T30" s="9">
        <v>7.0000000000000007E-2</v>
      </c>
      <c r="U30" s="8">
        <v>857.45</v>
      </c>
      <c r="V30" s="8">
        <f t="shared" si="0"/>
        <v>3142.6000000000004</v>
      </c>
      <c r="W30" s="8">
        <v>74.239999999999995</v>
      </c>
      <c r="X30" s="8">
        <v>133.63</v>
      </c>
      <c r="Y30" s="8">
        <v>337.62</v>
      </c>
      <c r="Z30" s="8">
        <v>274.83999999999997</v>
      </c>
      <c r="AA30" s="8">
        <v>80</v>
      </c>
      <c r="AB30" s="8">
        <v>33.79</v>
      </c>
      <c r="AC30" s="8">
        <v>545.49</v>
      </c>
      <c r="AD30" s="8">
        <v>212.11</v>
      </c>
      <c r="AE30" s="8">
        <v>232.42</v>
      </c>
      <c r="AF30" s="8">
        <v>110</v>
      </c>
      <c r="AG30" s="8">
        <f t="shared" si="1"/>
        <v>219.03679772204578</v>
      </c>
    </row>
    <row r="31" spans="1:33" s="8" customFormat="1" x14ac:dyDescent="0.2">
      <c r="A31" s="8" t="s">
        <v>38</v>
      </c>
      <c r="B31" s="8" t="s">
        <v>181</v>
      </c>
      <c r="C31" s="8">
        <v>15</v>
      </c>
      <c r="D31" s="8">
        <v>0</v>
      </c>
      <c r="E31" s="8">
        <v>266.67</v>
      </c>
      <c r="F31" s="8">
        <v>282.81</v>
      </c>
      <c r="G31" s="8">
        <v>4000.05</v>
      </c>
      <c r="H31" s="8">
        <v>0</v>
      </c>
      <c r="I31" s="8">
        <v>0</v>
      </c>
      <c r="J31" s="8">
        <v>4000.05</v>
      </c>
      <c r="K31" s="8">
        <v>0</v>
      </c>
      <c r="L31" s="8">
        <v>0</v>
      </c>
      <c r="M31" s="8">
        <v>0</v>
      </c>
      <c r="N31" s="8">
        <v>0</v>
      </c>
      <c r="O31" s="8">
        <v>313.87</v>
      </c>
      <c r="P31" s="8">
        <v>102.51</v>
      </c>
      <c r="Q31" s="9"/>
      <c r="R31" s="8">
        <v>0</v>
      </c>
      <c r="S31" s="8">
        <v>0</v>
      </c>
      <c r="T31" s="9">
        <v>-0.13</v>
      </c>
      <c r="U31" s="8">
        <v>416.25</v>
      </c>
      <c r="V31" s="8">
        <f t="shared" si="0"/>
        <v>3583.8</v>
      </c>
      <c r="W31" s="8">
        <v>74.239999999999995</v>
      </c>
      <c r="X31" s="8">
        <v>133.63</v>
      </c>
      <c r="Y31" s="8">
        <v>337.62</v>
      </c>
      <c r="Z31" s="8">
        <v>274.83999999999997</v>
      </c>
      <c r="AA31" s="8">
        <v>80</v>
      </c>
      <c r="AB31" s="8">
        <v>33.79</v>
      </c>
      <c r="AC31" s="8">
        <v>545.49</v>
      </c>
      <c r="AD31" s="8">
        <v>212.11</v>
      </c>
      <c r="AE31" s="8">
        <v>232.42</v>
      </c>
      <c r="AF31" s="8">
        <v>110</v>
      </c>
      <c r="AG31" s="8">
        <f t="shared" si="1"/>
        <v>219.03679772204578</v>
      </c>
    </row>
    <row r="32" spans="1:33" s="8" customFormat="1" x14ac:dyDescent="0.2">
      <c r="A32" s="8" t="s">
        <v>306</v>
      </c>
      <c r="B32" s="8" t="s">
        <v>307</v>
      </c>
      <c r="C32" s="8">
        <v>15</v>
      </c>
      <c r="D32" s="8">
        <v>0</v>
      </c>
      <c r="E32" s="8">
        <v>266.67</v>
      </c>
      <c r="F32" s="8">
        <v>282.81</v>
      </c>
      <c r="G32" s="8">
        <v>4000</v>
      </c>
      <c r="H32" s="8">
        <v>0</v>
      </c>
      <c r="I32" s="8">
        <v>0</v>
      </c>
      <c r="J32" s="8">
        <v>4000</v>
      </c>
      <c r="K32" s="8">
        <v>0</v>
      </c>
      <c r="L32" s="8">
        <v>0</v>
      </c>
      <c r="M32" s="8">
        <v>0</v>
      </c>
      <c r="N32" s="8">
        <v>0</v>
      </c>
      <c r="O32" s="8">
        <v>313.87</v>
      </c>
      <c r="P32" s="8">
        <v>102.51</v>
      </c>
      <c r="Q32" s="9"/>
      <c r="R32" s="8">
        <v>0</v>
      </c>
      <c r="S32" s="8">
        <v>0</v>
      </c>
      <c r="T32" s="8">
        <v>0.02</v>
      </c>
      <c r="U32" s="8">
        <v>416.4</v>
      </c>
      <c r="V32" s="8">
        <f t="shared" si="0"/>
        <v>3583.6</v>
      </c>
      <c r="W32" s="8">
        <v>74.239999999999995</v>
      </c>
      <c r="X32" s="8">
        <v>133.63</v>
      </c>
      <c r="Y32" s="8">
        <v>337.62</v>
      </c>
      <c r="Z32" s="8">
        <v>274.83999999999997</v>
      </c>
      <c r="AA32" s="8">
        <v>80</v>
      </c>
      <c r="AB32" s="8">
        <v>33.79</v>
      </c>
      <c r="AC32" s="8">
        <v>545.49</v>
      </c>
      <c r="AD32" s="8">
        <v>212.11</v>
      </c>
      <c r="AE32" s="8">
        <v>232.42</v>
      </c>
      <c r="AF32" s="8">
        <v>110</v>
      </c>
      <c r="AG32" s="8">
        <f t="shared" si="1"/>
        <v>219.03679772204578</v>
      </c>
    </row>
    <row r="33" spans="1:33" s="8" customFormat="1" x14ac:dyDescent="0.2">
      <c r="A33" s="8" t="s">
        <v>147</v>
      </c>
      <c r="B33" s="8" t="s">
        <v>148</v>
      </c>
      <c r="C33" s="8">
        <v>15</v>
      </c>
      <c r="D33" s="8">
        <v>0</v>
      </c>
      <c r="E33" s="8">
        <v>333.33</v>
      </c>
      <c r="F33" s="8">
        <v>353.52</v>
      </c>
      <c r="G33" s="8">
        <v>5000</v>
      </c>
      <c r="H33" s="8">
        <v>0</v>
      </c>
      <c r="I33" s="8">
        <v>0</v>
      </c>
      <c r="J33" s="8">
        <v>5000</v>
      </c>
      <c r="K33" s="8">
        <v>0</v>
      </c>
      <c r="L33" s="8">
        <v>0</v>
      </c>
      <c r="M33" s="8">
        <v>0</v>
      </c>
      <c r="N33" s="8">
        <v>0</v>
      </c>
      <c r="O33" s="8">
        <v>461.64</v>
      </c>
      <c r="P33" s="8">
        <v>131.94999999999999</v>
      </c>
      <c r="Q33" s="9"/>
      <c r="R33" s="8">
        <v>0</v>
      </c>
      <c r="S33" s="8">
        <v>0</v>
      </c>
      <c r="T33" s="8">
        <v>0.01</v>
      </c>
      <c r="U33" s="8">
        <v>593.59999999999991</v>
      </c>
      <c r="V33" s="8">
        <f t="shared" si="0"/>
        <v>4406.3999999999996</v>
      </c>
      <c r="W33" s="8">
        <v>92.8</v>
      </c>
      <c r="X33" s="8">
        <v>167.04</v>
      </c>
      <c r="Y33" s="8">
        <v>367.85</v>
      </c>
      <c r="Z33" s="8">
        <v>296.05</v>
      </c>
      <c r="AA33" s="8">
        <v>100</v>
      </c>
      <c r="AB33" s="8">
        <v>42.24</v>
      </c>
      <c r="AC33" s="8">
        <v>627.69000000000005</v>
      </c>
      <c r="AD33" s="8">
        <v>265.14</v>
      </c>
      <c r="AE33" s="8">
        <v>243.03</v>
      </c>
      <c r="AF33" s="8">
        <v>110</v>
      </c>
      <c r="AG33" s="8">
        <f t="shared" si="1"/>
        <v>273.78983681962541</v>
      </c>
    </row>
    <row r="34" spans="1:33" s="8" customFormat="1" x14ac:dyDescent="0.2">
      <c r="A34" s="8" t="s">
        <v>196</v>
      </c>
      <c r="B34" s="8" t="s">
        <v>197</v>
      </c>
      <c r="C34" s="8">
        <v>15</v>
      </c>
      <c r="D34" s="8">
        <v>0</v>
      </c>
      <c r="E34" s="8">
        <v>266.67</v>
      </c>
      <c r="F34" s="8">
        <v>282.81</v>
      </c>
      <c r="G34" s="8">
        <v>4000</v>
      </c>
      <c r="H34" s="8">
        <v>0</v>
      </c>
      <c r="I34" s="8">
        <v>0</v>
      </c>
      <c r="J34" s="8">
        <v>4000</v>
      </c>
      <c r="K34" s="8">
        <v>0</v>
      </c>
      <c r="L34" s="8">
        <v>0</v>
      </c>
      <c r="M34" s="8">
        <v>0</v>
      </c>
      <c r="N34" s="8">
        <v>0</v>
      </c>
      <c r="O34" s="8">
        <v>313.87</v>
      </c>
      <c r="P34" s="8">
        <v>102.51</v>
      </c>
      <c r="Q34" s="9"/>
      <c r="R34" s="8">
        <v>0</v>
      </c>
      <c r="S34" s="8">
        <v>345.25</v>
      </c>
      <c r="T34" s="9">
        <v>-0.03</v>
      </c>
      <c r="U34" s="8">
        <v>761.6</v>
      </c>
      <c r="V34" s="8">
        <f t="shared" si="0"/>
        <v>3238.4</v>
      </c>
      <c r="W34" s="8">
        <v>74.239999999999995</v>
      </c>
      <c r="X34" s="8">
        <v>133.63</v>
      </c>
      <c r="Y34" s="8">
        <v>337.62</v>
      </c>
      <c r="Z34" s="8">
        <v>274.83999999999997</v>
      </c>
      <c r="AA34" s="8">
        <v>80</v>
      </c>
      <c r="AB34" s="8">
        <v>33.79</v>
      </c>
      <c r="AC34" s="8">
        <v>545.49</v>
      </c>
      <c r="AD34" s="8">
        <v>212.11</v>
      </c>
      <c r="AE34" s="8">
        <v>232.42</v>
      </c>
      <c r="AF34" s="8">
        <v>110</v>
      </c>
      <c r="AG34" s="8">
        <f t="shared" si="1"/>
        <v>219.03679772204578</v>
      </c>
    </row>
    <row r="35" spans="1:33" s="8" customFormat="1" x14ac:dyDescent="0.2">
      <c r="A35" s="8" t="s">
        <v>253</v>
      </c>
      <c r="B35" s="8" t="s">
        <v>254</v>
      </c>
      <c r="C35" s="8">
        <v>15</v>
      </c>
      <c r="D35" s="8">
        <v>0</v>
      </c>
      <c r="E35" s="8">
        <v>318.33</v>
      </c>
      <c r="F35" s="8">
        <v>337.61</v>
      </c>
      <c r="G35" s="8">
        <v>4775</v>
      </c>
      <c r="H35" s="8">
        <v>0</v>
      </c>
      <c r="I35" s="8">
        <v>0</v>
      </c>
      <c r="J35" s="8">
        <v>4775</v>
      </c>
      <c r="K35" s="8">
        <v>15</v>
      </c>
      <c r="L35" s="8">
        <v>1482.39</v>
      </c>
      <c r="M35" s="8">
        <v>0</v>
      </c>
      <c r="N35" s="8">
        <v>0</v>
      </c>
      <c r="O35" s="8">
        <v>424.67</v>
      </c>
      <c r="P35" s="8">
        <v>125.32</v>
      </c>
      <c r="Q35" s="9"/>
      <c r="R35" s="8">
        <v>0</v>
      </c>
      <c r="S35" s="8">
        <v>0</v>
      </c>
      <c r="T35" s="9">
        <v>-0.18</v>
      </c>
      <c r="U35" s="8">
        <v>2047.2</v>
      </c>
      <c r="V35" s="8">
        <f t="shared" si="0"/>
        <v>2727.8</v>
      </c>
      <c r="W35" s="8">
        <v>88.62</v>
      </c>
      <c r="X35" s="8">
        <v>159.52000000000001</v>
      </c>
      <c r="Y35" s="8">
        <v>361.04</v>
      </c>
      <c r="Z35" s="8">
        <v>291.27999999999997</v>
      </c>
      <c r="AA35" s="8">
        <v>95.5</v>
      </c>
      <c r="AB35" s="8">
        <v>40.340000000000003</v>
      </c>
      <c r="AC35" s="8">
        <v>609.17999999999995</v>
      </c>
      <c r="AD35" s="8">
        <v>253.21</v>
      </c>
      <c r="AE35" s="8">
        <v>240.64</v>
      </c>
      <c r="AF35" s="8">
        <v>110</v>
      </c>
      <c r="AG35" s="8">
        <f t="shared" si="1"/>
        <v>261.46917095608364</v>
      </c>
    </row>
    <row r="36" spans="1:33" s="8" customFormat="1" x14ac:dyDescent="0.2">
      <c r="A36" s="8" t="s">
        <v>124</v>
      </c>
      <c r="B36" s="8" t="s">
        <v>125</v>
      </c>
      <c r="C36" s="8">
        <v>15</v>
      </c>
      <c r="D36" s="8">
        <v>0</v>
      </c>
      <c r="E36" s="8">
        <v>250</v>
      </c>
      <c r="F36" s="8">
        <v>265.14</v>
      </c>
      <c r="G36" s="8">
        <v>3750</v>
      </c>
      <c r="H36" s="8">
        <v>0</v>
      </c>
      <c r="I36" s="8">
        <v>0</v>
      </c>
      <c r="J36" s="8">
        <v>3750</v>
      </c>
      <c r="K36" s="8">
        <v>15</v>
      </c>
      <c r="L36" s="8">
        <v>0</v>
      </c>
      <c r="M36" s="8">
        <v>1346.54</v>
      </c>
      <c r="N36" s="8">
        <v>0</v>
      </c>
      <c r="O36" s="8">
        <v>286.67</v>
      </c>
      <c r="P36" s="8">
        <v>95.15</v>
      </c>
      <c r="Q36" s="9"/>
      <c r="R36" s="8">
        <v>0</v>
      </c>
      <c r="S36" s="8">
        <v>0</v>
      </c>
      <c r="T36" s="8">
        <v>0.04</v>
      </c>
      <c r="U36" s="8">
        <v>1743.4</v>
      </c>
      <c r="V36" s="8">
        <f t="shared" si="0"/>
        <v>2006.6</v>
      </c>
      <c r="W36" s="8">
        <v>69.599999999999994</v>
      </c>
      <c r="X36" s="8">
        <v>125.28</v>
      </c>
      <c r="Y36" s="8">
        <v>330.07</v>
      </c>
      <c r="Z36" s="8">
        <v>269.54000000000002</v>
      </c>
      <c r="AA36" s="8">
        <v>75</v>
      </c>
      <c r="AB36" s="8">
        <v>31.68</v>
      </c>
      <c r="AC36" s="8">
        <v>524.95000000000005</v>
      </c>
      <c r="AD36" s="8">
        <v>198.85</v>
      </c>
      <c r="AE36" s="8">
        <v>229.77</v>
      </c>
      <c r="AF36" s="8">
        <v>110</v>
      </c>
      <c r="AG36" s="8">
        <f t="shared" si="1"/>
        <v>205.34443105902966</v>
      </c>
    </row>
    <row r="37" spans="1:33" s="8" customFormat="1" x14ac:dyDescent="0.2">
      <c r="A37" s="8" t="s">
        <v>183</v>
      </c>
      <c r="B37" s="8" t="s">
        <v>184</v>
      </c>
      <c r="C37" s="8">
        <v>15</v>
      </c>
      <c r="D37" s="8">
        <v>0</v>
      </c>
      <c r="E37" s="8">
        <v>283.33</v>
      </c>
      <c r="F37" s="8">
        <v>300.49</v>
      </c>
      <c r="G37" s="8">
        <v>4250</v>
      </c>
      <c r="H37" s="8">
        <v>0</v>
      </c>
      <c r="I37" s="8">
        <v>0</v>
      </c>
      <c r="J37" s="8">
        <v>4250</v>
      </c>
      <c r="K37" s="8">
        <v>0</v>
      </c>
      <c r="L37" s="8">
        <v>0</v>
      </c>
      <c r="M37" s="8">
        <v>0</v>
      </c>
      <c r="N37" s="8">
        <v>0</v>
      </c>
      <c r="O37" s="8">
        <v>341.07</v>
      </c>
      <c r="P37" s="8">
        <v>109.87</v>
      </c>
      <c r="Q37" s="9"/>
      <c r="R37" s="8">
        <v>0</v>
      </c>
      <c r="S37" s="8">
        <v>0</v>
      </c>
      <c r="T37" s="8">
        <v>0.06</v>
      </c>
      <c r="U37" s="8">
        <v>451</v>
      </c>
      <c r="V37" s="8">
        <f t="shared" si="0"/>
        <v>3799</v>
      </c>
      <c r="W37" s="8">
        <v>78.88</v>
      </c>
      <c r="X37" s="8">
        <v>141.97999999999999</v>
      </c>
      <c r="Y37" s="8">
        <v>345.18</v>
      </c>
      <c r="Z37" s="8">
        <v>280.14999999999998</v>
      </c>
      <c r="AA37" s="8">
        <v>85</v>
      </c>
      <c r="AB37" s="8">
        <v>35.9</v>
      </c>
      <c r="AC37" s="8">
        <v>566.04</v>
      </c>
      <c r="AD37" s="8">
        <v>225.37</v>
      </c>
      <c r="AE37" s="8">
        <v>235.07</v>
      </c>
      <c r="AF37" s="8">
        <v>110</v>
      </c>
      <c r="AG37" s="8">
        <f t="shared" si="1"/>
        <v>232.72095060781947</v>
      </c>
    </row>
    <row r="38" spans="1:33" s="8" customFormat="1" x14ac:dyDescent="0.2">
      <c r="A38" s="8" t="s">
        <v>144</v>
      </c>
      <c r="B38" s="8" t="s">
        <v>145</v>
      </c>
      <c r="C38" s="8">
        <v>14</v>
      </c>
      <c r="D38" s="8">
        <v>1</v>
      </c>
      <c r="E38" s="8">
        <v>266.67</v>
      </c>
      <c r="F38" s="8">
        <v>278.72000000000003</v>
      </c>
      <c r="G38" s="8">
        <v>3733.38</v>
      </c>
      <c r="H38" s="8">
        <v>266.67</v>
      </c>
      <c r="I38" s="8">
        <v>80</v>
      </c>
      <c r="J38" s="8">
        <v>4080.05</v>
      </c>
      <c r="K38" s="8">
        <v>0</v>
      </c>
      <c r="L38" s="8">
        <v>0</v>
      </c>
      <c r="M38" s="8">
        <v>0</v>
      </c>
      <c r="N38" s="8">
        <v>0</v>
      </c>
      <c r="O38" s="8">
        <v>313.87</v>
      </c>
      <c r="P38" s="8">
        <v>100.81</v>
      </c>
      <c r="R38" s="8">
        <v>0</v>
      </c>
      <c r="S38" s="8">
        <v>0</v>
      </c>
      <c r="T38" s="9">
        <v>-0.03</v>
      </c>
      <c r="U38" s="8">
        <v>414.65000000000003</v>
      </c>
      <c r="V38" s="8">
        <f t="shared" si="0"/>
        <v>3665.4</v>
      </c>
      <c r="W38" s="8">
        <v>73.17</v>
      </c>
      <c r="X38" s="8">
        <v>131.69999999999999</v>
      </c>
      <c r="Y38" s="8">
        <v>335.88</v>
      </c>
      <c r="Z38" s="8">
        <v>273.62</v>
      </c>
      <c r="AA38" s="8">
        <v>81.599999999999994</v>
      </c>
      <c r="AB38" s="8">
        <v>33.299999999999997</v>
      </c>
      <c r="AC38" s="8">
        <v>540.75</v>
      </c>
      <c r="AD38" s="8">
        <v>209.04</v>
      </c>
      <c r="AE38" s="8">
        <v>231.81</v>
      </c>
      <c r="AF38" s="8">
        <v>110</v>
      </c>
      <c r="AG38" s="8">
        <f t="shared" si="1"/>
        <v>219.03679772204578</v>
      </c>
    </row>
    <row r="39" spans="1:33" s="8" customFormat="1" x14ac:dyDescent="0.2">
      <c r="A39" s="8" t="s">
        <v>216</v>
      </c>
      <c r="B39" s="8" t="s">
        <v>217</v>
      </c>
      <c r="C39" s="8">
        <v>15</v>
      </c>
      <c r="D39" s="8">
        <v>0</v>
      </c>
      <c r="E39" s="8">
        <v>283.33</v>
      </c>
      <c r="F39" s="8">
        <v>300.49</v>
      </c>
      <c r="G39" s="8">
        <v>4250</v>
      </c>
      <c r="H39" s="8">
        <v>0</v>
      </c>
      <c r="I39" s="8">
        <v>0</v>
      </c>
      <c r="J39" s="8">
        <v>4250</v>
      </c>
      <c r="K39" s="8">
        <v>15</v>
      </c>
      <c r="L39" s="8">
        <v>0</v>
      </c>
      <c r="M39" s="8">
        <v>534.91999999999996</v>
      </c>
      <c r="N39" s="8">
        <v>0</v>
      </c>
      <c r="O39" s="8">
        <v>341.07</v>
      </c>
      <c r="P39" s="8">
        <v>109.87</v>
      </c>
      <c r="Q39" s="9"/>
      <c r="R39" s="8">
        <v>0</v>
      </c>
      <c r="S39" s="8">
        <v>594</v>
      </c>
      <c r="T39" s="8">
        <v>-0.06</v>
      </c>
      <c r="U39" s="8">
        <v>1594.8000000000002</v>
      </c>
      <c r="V39" s="8">
        <f t="shared" si="0"/>
        <v>2655.2</v>
      </c>
      <c r="W39" s="8">
        <v>78.88</v>
      </c>
      <c r="X39" s="8">
        <v>141.97999999999999</v>
      </c>
      <c r="Y39" s="8">
        <v>345.18</v>
      </c>
      <c r="Z39" s="8">
        <v>280.14999999999998</v>
      </c>
      <c r="AA39" s="8">
        <v>85</v>
      </c>
      <c r="AB39" s="8">
        <v>35.9</v>
      </c>
      <c r="AC39" s="8">
        <v>566.04</v>
      </c>
      <c r="AD39" s="8">
        <v>225.37</v>
      </c>
      <c r="AE39" s="8">
        <v>235.07</v>
      </c>
      <c r="AF39" s="8">
        <v>110</v>
      </c>
      <c r="AG39" s="8">
        <f t="shared" si="1"/>
        <v>232.72095060781947</v>
      </c>
    </row>
    <row r="40" spans="1:33" s="8" customFormat="1" x14ac:dyDescent="0.2">
      <c r="A40" s="8" t="s">
        <v>316</v>
      </c>
      <c r="B40" s="8" t="s">
        <v>317</v>
      </c>
      <c r="C40" s="8">
        <v>15</v>
      </c>
      <c r="D40" s="8">
        <v>0</v>
      </c>
      <c r="E40" s="8">
        <v>266.67</v>
      </c>
      <c r="F40" s="8">
        <v>282.81</v>
      </c>
      <c r="G40" s="8">
        <v>4000.05</v>
      </c>
      <c r="H40" s="8">
        <v>0</v>
      </c>
      <c r="I40" s="8">
        <v>0</v>
      </c>
      <c r="J40" s="8">
        <v>4000.05</v>
      </c>
      <c r="K40" s="8">
        <v>0</v>
      </c>
      <c r="L40" s="8">
        <v>0</v>
      </c>
      <c r="M40" s="8">
        <v>0</v>
      </c>
      <c r="N40" s="8">
        <v>0</v>
      </c>
      <c r="O40" s="8">
        <v>313.87</v>
      </c>
      <c r="P40" s="8">
        <v>102.51</v>
      </c>
      <c r="Q40" s="9"/>
      <c r="R40" s="8">
        <v>0</v>
      </c>
      <c r="S40" s="8">
        <v>0</v>
      </c>
      <c r="T40" s="8">
        <v>7.0000000000000007E-2</v>
      </c>
      <c r="U40" s="8">
        <v>416.45</v>
      </c>
      <c r="V40" s="8">
        <f t="shared" si="0"/>
        <v>3583.6000000000004</v>
      </c>
      <c r="W40" s="8">
        <v>74.239999999999995</v>
      </c>
      <c r="X40" s="8">
        <v>133.63</v>
      </c>
      <c r="Y40" s="8">
        <v>337.62</v>
      </c>
      <c r="Z40" s="8">
        <v>274.83999999999997</v>
      </c>
      <c r="AA40" s="8">
        <v>80</v>
      </c>
      <c r="AB40" s="8">
        <v>33.79</v>
      </c>
      <c r="AC40" s="8">
        <v>545.49</v>
      </c>
      <c r="AD40" s="8">
        <v>212.11</v>
      </c>
      <c r="AE40" s="8">
        <v>232.42</v>
      </c>
      <c r="AF40" s="8">
        <v>110</v>
      </c>
      <c r="AG40" s="8">
        <f t="shared" si="1"/>
        <v>219.03679772204578</v>
      </c>
    </row>
    <row r="41" spans="1:33" s="8" customFormat="1" x14ac:dyDescent="0.2">
      <c r="A41" s="8" t="s">
        <v>340</v>
      </c>
      <c r="B41" s="8" t="s">
        <v>341</v>
      </c>
      <c r="C41" s="8">
        <v>15</v>
      </c>
      <c r="D41" s="8">
        <v>0</v>
      </c>
      <c r="E41" s="8">
        <v>266.67</v>
      </c>
      <c r="F41" s="8">
        <v>282.81</v>
      </c>
      <c r="G41" s="8">
        <v>4000.05</v>
      </c>
      <c r="H41" s="8">
        <v>0</v>
      </c>
      <c r="I41" s="8">
        <v>0</v>
      </c>
      <c r="J41" s="8">
        <v>4000.05</v>
      </c>
      <c r="K41" s="8">
        <v>15</v>
      </c>
      <c r="L41" s="8">
        <v>1793.34</v>
      </c>
      <c r="M41" s="8">
        <v>0</v>
      </c>
      <c r="N41" s="8">
        <v>0</v>
      </c>
      <c r="O41" s="8">
        <v>313.87</v>
      </c>
      <c r="P41" s="8">
        <v>102.51</v>
      </c>
      <c r="Q41" s="9"/>
      <c r="R41" s="8">
        <v>0</v>
      </c>
      <c r="S41" s="8">
        <v>0</v>
      </c>
      <c r="T41" s="8">
        <v>-7.0000000000000007E-2</v>
      </c>
      <c r="U41" s="8">
        <v>2224.65</v>
      </c>
      <c r="V41" s="8">
        <f t="shared" si="0"/>
        <v>1775.4</v>
      </c>
      <c r="W41" s="8">
        <v>74.239999999999995</v>
      </c>
      <c r="X41" s="8">
        <v>133.63</v>
      </c>
      <c r="Y41" s="8">
        <v>337.62</v>
      </c>
      <c r="Z41" s="8">
        <v>274.83999999999997</v>
      </c>
      <c r="AA41" s="8">
        <v>80</v>
      </c>
      <c r="AB41" s="8">
        <v>33.79</v>
      </c>
      <c r="AC41" s="8">
        <v>545.49</v>
      </c>
      <c r="AD41" s="8">
        <v>212.11</v>
      </c>
      <c r="AE41" s="8">
        <v>232.42</v>
      </c>
      <c r="AF41" s="8">
        <v>110</v>
      </c>
      <c r="AG41" s="8">
        <f t="shared" si="1"/>
        <v>219.03679772204578</v>
      </c>
    </row>
    <row r="42" spans="1:33" s="8" customFormat="1" x14ac:dyDescent="0.2">
      <c r="A42" s="8" t="s">
        <v>244</v>
      </c>
      <c r="B42" s="8" t="s">
        <v>245</v>
      </c>
      <c r="C42" s="8">
        <v>15</v>
      </c>
      <c r="D42" s="8">
        <v>0</v>
      </c>
      <c r="E42" s="8">
        <v>466.67</v>
      </c>
      <c r="F42" s="8">
        <v>494.92</v>
      </c>
      <c r="G42" s="8">
        <v>7000.05</v>
      </c>
      <c r="H42" s="8">
        <v>0</v>
      </c>
      <c r="I42" s="8">
        <v>0</v>
      </c>
      <c r="J42" s="8">
        <v>7000.05</v>
      </c>
      <c r="K42" s="8">
        <v>0</v>
      </c>
      <c r="L42" s="8">
        <v>0</v>
      </c>
      <c r="M42" s="8">
        <v>0</v>
      </c>
      <c r="N42" s="8">
        <v>0</v>
      </c>
      <c r="O42" s="8">
        <v>856.99</v>
      </c>
      <c r="P42" s="8">
        <v>190.81</v>
      </c>
      <c r="R42" s="8">
        <v>0</v>
      </c>
      <c r="S42" s="8">
        <v>0</v>
      </c>
      <c r="T42" s="9">
        <v>-0.15</v>
      </c>
      <c r="U42" s="8">
        <v>1047.6499999999999</v>
      </c>
      <c r="V42" s="8">
        <f t="shared" ref="V42:V73" si="2">+J42-U42</f>
        <v>5952.4000000000005</v>
      </c>
      <c r="W42" s="8">
        <v>129.91999999999999</v>
      </c>
      <c r="X42" s="8">
        <v>233.85</v>
      </c>
      <c r="Y42" s="8">
        <v>428.3</v>
      </c>
      <c r="Z42" s="8">
        <v>338.48</v>
      </c>
      <c r="AA42" s="8">
        <v>140</v>
      </c>
      <c r="AB42" s="8">
        <v>59.14</v>
      </c>
      <c r="AC42" s="8">
        <v>792.07</v>
      </c>
      <c r="AD42" s="8">
        <v>371.19</v>
      </c>
      <c r="AE42" s="8">
        <v>264.24</v>
      </c>
      <c r="AF42" s="8">
        <v>110</v>
      </c>
      <c r="AG42" s="8">
        <f t="shared" si="1"/>
        <v>383.3123425692695</v>
      </c>
    </row>
    <row r="43" spans="1:33" s="8" customFormat="1" x14ac:dyDescent="0.2">
      <c r="A43" s="8" t="s">
        <v>113</v>
      </c>
      <c r="B43" s="8" t="s">
        <v>114</v>
      </c>
      <c r="C43" s="8">
        <v>15</v>
      </c>
      <c r="D43" s="8">
        <v>0</v>
      </c>
      <c r="E43" s="8">
        <v>266.67</v>
      </c>
      <c r="F43" s="8">
        <v>282.81</v>
      </c>
      <c r="G43" s="8">
        <v>4000.05</v>
      </c>
      <c r="H43" s="8">
        <v>0</v>
      </c>
      <c r="I43" s="8">
        <v>0</v>
      </c>
      <c r="J43" s="8">
        <v>4000.05</v>
      </c>
      <c r="K43" s="8">
        <v>0</v>
      </c>
      <c r="L43" s="8">
        <v>0</v>
      </c>
      <c r="M43" s="8">
        <v>0</v>
      </c>
      <c r="N43" s="8">
        <v>0</v>
      </c>
      <c r="O43" s="8">
        <v>313.87</v>
      </c>
      <c r="P43" s="8">
        <v>102.51</v>
      </c>
      <c r="R43" s="8">
        <v>0</v>
      </c>
      <c r="S43" s="8">
        <v>202.5</v>
      </c>
      <c r="T43" s="8">
        <v>0.17</v>
      </c>
      <c r="U43" s="8">
        <v>619.04999999999995</v>
      </c>
      <c r="V43" s="8">
        <f t="shared" si="2"/>
        <v>3381</v>
      </c>
      <c r="W43" s="8">
        <v>74.239999999999995</v>
      </c>
      <c r="X43" s="8">
        <v>133.63</v>
      </c>
      <c r="Y43" s="8">
        <v>337.62</v>
      </c>
      <c r="Z43" s="8">
        <v>274.83999999999997</v>
      </c>
      <c r="AA43" s="8">
        <v>80</v>
      </c>
      <c r="AB43" s="8">
        <v>33.79</v>
      </c>
      <c r="AC43" s="8">
        <v>545.49</v>
      </c>
      <c r="AD43" s="8">
        <v>212.11</v>
      </c>
      <c r="AE43" s="8">
        <v>232.42</v>
      </c>
      <c r="AF43" s="8">
        <v>110</v>
      </c>
      <c r="AG43" s="8">
        <f t="shared" si="1"/>
        <v>219.03679772204578</v>
      </c>
    </row>
    <row r="44" spans="1:33" s="8" customFormat="1" x14ac:dyDescent="0.2">
      <c r="A44" s="8" t="s">
        <v>334</v>
      </c>
      <c r="B44" s="8" t="s">
        <v>335</v>
      </c>
      <c r="C44" s="8">
        <v>15</v>
      </c>
      <c r="D44" s="8">
        <v>0</v>
      </c>
      <c r="E44" s="8">
        <v>266.67</v>
      </c>
      <c r="F44" s="8">
        <v>282.81</v>
      </c>
      <c r="G44" s="8">
        <v>4000.05</v>
      </c>
      <c r="H44" s="8">
        <v>0</v>
      </c>
      <c r="I44" s="8">
        <v>0</v>
      </c>
      <c r="J44" s="8">
        <v>4000.05</v>
      </c>
      <c r="K44" s="8">
        <v>0</v>
      </c>
      <c r="L44" s="8">
        <v>0</v>
      </c>
      <c r="M44" s="8">
        <v>0</v>
      </c>
      <c r="N44" s="8">
        <v>0</v>
      </c>
      <c r="O44" s="8">
        <v>313.87</v>
      </c>
      <c r="P44" s="8">
        <v>102.51</v>
      </c>
      <c r="R44" s="8">
        <v>0</v>
      </c>
      <c r="S44" s="8">
        <v>0</v>
      </c>
      <c r="T44" s="9">
        <v>-0.13</v>
      </c>
      <c r="U44" s="8">
        <v>416.25</v>
      </c>
      <c r="V44" s="8">
        <f t="shared" si="2"/>
        <v>3583.8</v>
      </c>
      <c r="W44" s="8">
        <v>74.239999999999995</v>
      </c>
      <c r="X44" s="8">
        <v>133.63</v>
      </c>
      <c r="Y44" s="8">
        <v>337.62</v>
      </c>
      <c r="Z44" s="8">
        <v>274.83999999999997</v>
      </c>
      <c r="AA44" s="8">
        <v>80</v>
      </c>
      <c r="AB44" s="8">
        <v>33.79</v>
      </c>
      <c r="AC44" s="8">
        <v>545.49</v>
      </c>
      <c r="AD44" s="8">
        <v>212.11</v>
      </c>
      <c r="AE44" s="8">
        <v>232.42</v>
      </c>
      <c r="AF44" s="8">
        <v>110</v>
      </c>
      <c r="AG44" s="8">
        <f t="shared" si="1"/>
        <v>219.03679772204578</v>
      </c>
    </row>
    <row r="45" spans="1:33" s="8" customFormat="1" x14ac:dyDescent="0.2">
      <c r="A45" s="8" t="s">
        <v>175</v>
      </c>
      <c r="B45" s="8" t="s">
        <v>176</v>
      </c>
      <c r="C45" s="8">
        <v>14</v>
      </c>
      <c r="D45" s="8">
        <v>1</v>
      </c>
      <c r="E45" s="8">
        <v>200</v>
      </c>
      <c r="F45" s="8">
        <v>212.11</v>
      </c>
      <c r="G45" s="8">
        <v>2800</v>
      </c>
      <c r="H45" s="8">
        <v>200</v>
      </c>
      <c r="I45" s="8">
        <v>60</v>
      </c>
      <c r="J45" s="8">
        <v>3060</v>
      </c>
      <c r="K45" s="8">
        <v>0</v>
      </c>
      <c r="L45" s="8">
        <v>0</v>
      </c>
      <c r="M45" s="8">
        <v>0</v>
      </c>
      <c r="N45" s="8">
        <v>0</v>
      </c>
      <c r="O45" s="8">
        <v>59.69</v>
      </c>
      <c r="P45" s="8">
        <v>75.56</v>
      </c>
      <c r="R45" s="8">
        <v>0</v>
      </c>
      <c r="S45" s="8">
        <v>0</v>
      </c>
      <c r="T45" s="9">
        <v>-0.05</v>
      </c>
      <c r="U45" s="8">
        <v>135.19999999999999</v>
      </c>
      <c r="V45" s="8">
        <f t="shared" si="2"/>
        <v>2924.8</v>
      </c>
      <c r="W45" s="8">
        <v>55.68</v>
      </c>
      <c r="X45" s="8">
        <v>100.22</v>
      </c>
      <c r="Y45" s="8">
        <v>314.22000000000003</v>
      </c>
      <c r="Z45" s="8">
        <v>253.63</v>
      </c>
      <c r="AA45" s="8">
        <v>61.2</v>
      </c>
      <c r="AB45" s="8">
        <v>25.34</v>
      </c>
      <c r="AC45" s="8">
        <v>470.12</v>
      </c>
      <c r="AD45" s="8">
        <v>159.08000000000001</v>
      </c>
      <c r="AE45" s="8">
        <v>221.82</v>
      </c>
      <c r="AF45" s="8">
        <v>110</v>
      </c>
      <c r="AG45" s="8">
        <f t="shared" si="1"/>
        <v>164.27554484722373</v>
      </c>
    </row>
    <row r="46" spans="1:33" s="8" customFormat="1" x14ac:dyDescent="0.2">
      <c r="A46" s="8" t="s">
        <v>280</v>
      </c>
      <c r="B46" s="8" t="s">
        <v>281</v>
      </c>
      <c r="C46" s="8">
        <v>14</v>
      </c>
      <c r="D46" s="8">
        <v>1</v>
      </c>
      <c r="E46" s="8">
        <v>266.67</v>
      </c>
      <c r="F46" s="8">
        <v>282.81</v>
      </c>
      <c r="G46" s="8">
        <v>3733.38</v>
      </c>
      <c r="H46" s="8">
        <v>266.67</v>
      </c>
      <c r="I46" s="8">
        <v>80</v>
      </c>
      <c r="J46" s="8">
        <v>4080.05</v>
      </c>
      <c r="K46" s="8">
        <v>0</v>
      </c>
      <c r="L46" s="8">
        <v>0</v>
      </c>
      <c r="M46" s="8">
        <v>0</v>
      </c>
      <c r="N46" s="8">
        <v>0</v>
      </c>
      <c r="O46" s="8">
        <v>313.87</v>
      </c>
      <c r="P46" s="8">
        <v>102.51</v>
      </c>
      <c r="R46" s="8">
        <v>0</v>
      </c>
      <c r="S46" s="8">
        <v>0</v>
      </c>
      <c r="T46" s="8">
        <v>7.0000000000000007E-2</v>
      </c>
      <c r="U46" s="8">
        <v>416.45</v>
      </c>
      <c r="V46" s="8">
        <f t="shared" si="2"/>
        <v>3663.6000000000004</v>
      </c>
      <c r="W46" s="8">
        <v>74.239999999999995</v>
      </c>
      <c r="X46" s="8">
        <v>133.63</v>
      </c>
      <c r="Y46" s="8">
        <v>337.62</v>
      </c>
      <c r="Z46" s="8">
        <v>274.83999999999997</v>
      </c>
      <c r="AA46" s="8">
        <v>81.599999999999994</v>
      </c>
      <c r="AB46" s="8">
        <v>33.79</v>
      </c>
      <c r="AC46" s="8">
        <v>545.49</v>
      </c>
      <c r="AD46" s="8">
        <v>212.11</v>
      </c>
      <c r="AE46" s="8">
        <v>232.42</v>
      </c>
      <c r="AF46" s="8">
        <v>110</v>
      </c>
      <c r="AG46" s="8">
        <f t="shared" si="1"/>
        <v>219.03679772204578</v>
      </c>
    </row>
    <row r="47" spans="1:33" s="8" customFormat="1" x14ac:dyDescent="0.2">
      <c r="A47" s="8" t="s">
        <v>206</v>
      </c>
      <c r="B47" s="8" t="s">
        <v>207</v>
      </c>
      <c r="C47" s="8">
        <v>15</v>
      </c>
      <c r="D47" s="8">
        <v>0</v>
      </c>
      <c r="E47" s="8">
        <v>266.67</v>
      </c>
      <c r="F47" s="8">
        <v>278.72000000000003</v>
      </c>
      <c r="G47" s="8">
        <v>4000.05</v>
      </c>
      <c r="H47" s="8">
        <v>0</v>
      </c>
      <c r="I47" s="8">
        <v>0</v>
      </c>
      <c r="J47" s="8">
        <v>4000.05</v>
      </c>
      <c r="K47" s="8">
        <v>0</v>
      </c>
      <c r="L47" s="8">
        <v>0</v>
      </c>
      <c r="M47" s="8">
        <v>0</v>
      </c>
      <c r="N47" s="8">
        <v>0</v>
      </c>
      <c r="O47" s="8">
        <v>313.87</v>
      </c>
      <c r="P47" s="8">
        <v>100.81</v>
      </c>
      <c r="R47" s="8">
        <v>0</v>
      </c>
      <c r="S47" s="8">
        <v>0</v>
      </c>
      <c r="T47" s="9">
        <v>-0.03</v>
      </c>
      <c r="U47" s="8">
        <v>414.65000000000003</v>
      </c>
      <c r="V47" s="8">
        <f t="shared" si="2"/>
        <v>3585.4</v>
      </c>
      <c r="W47" s="8">
        <v>73.17</v>
      </c>
      <c r="X47" s="8">
        <v>131.69999999999999</v>
      </c>
      <c r="Y47" s="8">
        <v>335.88</v>
      </c>
      <c r="Z47" s="8">
        <v>273.62</v>
      </c>
      <c r="AA47" s="8">
        <v>80</v>
      </c>
      <c r="AB47" s="8">
        <v>33.299999999999997</v>
      </c>
      <c r="AC47" s="8">
        <v>540.75</v>
      </c>
      <c r="AD47" s="8">
        <v>209.04</v>
      </c>
      <c r="AE47" s="8">
        <v>231.81</v>
      </c>
      <c r="AF47" s="8">
        <v>110</v>
      </c>
      <c r="AG47" s="8">
        <f t="shared" si="1"/>
        <v>219.03679772204578</v>
      </c>
    </row>
    <row r="48" spans="1:33" s="8" customFormat="1" x14ac:dyDescent="0.2">
      <c r="A48" s="8" t="s">
        <v>319</v>
      </c>
      <c r="B48" s="8" t="s">
        <v>320</v>
      </c>
      <c r="C48" s="8">
        <v>15</v>
      </c>
      <c r="D48" s="8">
        <v>0</v>
      </c>
      <c r="E48" s="8">
        <v>266.67</v>
      </c>
      <c r="F48" s="8">
        <v>278.72000000000003</v>
      </c>
      <c r="G48" s="8">
        <v>4000.05</v>
      </c>
      <c r="H48" s="8">
        <v>0</v>
      </c>
      <c r="I48" s="8">
        <v>0</v>
      </c>
      <c r="J48" s="8">
        <v>4000.05</v>
      </c>
      <c r="K48" s="8">
        <v>0</v>
      </c>
      <c r="L48" s="8">
        <v>0</v>
      </c>
      <c r="M48" s="8">
        <v>0</v>
      </c>
      <c r="N48" s="8">
        <v>0</v>
      </c>
      <c r="O48" s="8">
        <v>313.87</v>
      </c>
      <c r="P48" s="8">
        <v>100.81</v>
      </c>
      <c r="R48" s="8">
        <v>0</v>
      </c>
      <c r="S48" s="8">
        <v>0</v>
      </c>
      <c r="T48" s="9">
        <v>-0.03</v>
      </c>
      <c r="U48" s="8">
        <v>414.65000000000003</v>
      </c>
      <c r="V48" s="8">
        <f t="shared" si="2"/>
        <v>3585.4</v>
      </c>
      <c r="W48" s="8">
        <v>73.17</v>
      </c>
      <c r="X48" s="8">
        <v>131.69999999999999</v>
      </c>
      <c r="Y48" s="8">
        <v>335.88</v>
      </c>
      <c r="Z48" s="8">
        <v>273.62</v>
      </c>
      <c r="AA48" s="8">
        <v>80</v>
      </c>
      <c r="AB48" s="8">
        <v>33.299999999999997</v>
      </c>
      <c r="AC48" s="8">
        <v>540.75</v>
      </c>
      <c r="AD48" s="8">
        <v>209.04</v>
      </c>
      <c r="AE48" s="8">
        <v>231.81</v>
      </c>
      <c r="AF48" s="8">
        <v>110</v>
      </c>
      <c r="AG48" s="8">
        <f t="shared" si="1"/>
        <v>219.03679772204578</v>
      </c>
    </row>
    <row r="49" spans="1:33" s="8" customFormat="1" x14ac:dyDescent="0.2">
      <c r="A49" s="8" t="s">
        <v>203</v>
      </c>
      <c r="B49" s="8" t="s">
        <v>204</v>
      </c>
      <c r="C49" s="8">
        <v>15</v>
      </c>
      <c r="D49" s="8">
        <v>0</v>
      </c>
      <c r="E49" s="8">
        <v>220.83</v>
      </c>
      <c r="F49" s="8">
        <v>234.2</v>
      </c>
      <c r="G49" s="8">
        <v>3312.45</v>
      </c>
      <c r="H49" s="8">
        <v>0</v>
      </c>
      <c r="I49" s="8">
        <v>0</v>
      </c>
      <c r="J49" s="8">
        <v>3312.45</v>
      </c>
      <c r="K49" s="8">
        <v>15</v>
      </c>
      <c r="L49" s="8">
        <v>1974.09</v>
      </c>
      <c r="M49" s="8">
        <v>0</v>
      </c>
      <c r="N49" s="8">
        <v>0</v>
      </c>
      <c r="O49" s="8">
        <v>113.96</v>
      </c>
      <c r="P49" s="8">
        <v>83.43</v>
      </c>
      <c r="R49" s="8">
        <v>0</v>
      </c>
      <c r="S49" s="8">
        <v>0</v>
      </c>
      <c r="T49" s="9">
        <v>-0.03</v>
      </c>
      <c r="U49" s="8">
        <v>2186.4499999999994</v>
      </c>
      <c r="V49" s="8">
        <f t="shared" si="2"/>
        <v>1126.0000000000005</v>
      </c>
      <c r="W49" s="8">
        <v>61.48</v>
      </c>
      <c r="X49" s="8">
        <v>110.66</v>
      </c>
      <c r="Y49" s="8">
        <v>320.02</v>
      </c>
      <c r="Z49" s="8">
        <v>260.26</v>
      </c>
      <c r="AA49" s="8">
        <v>66.25</v>
      </c>
      <c r="AB49" s="8">
        <v>27.98</v>
      </c>
      <c r="AC49" s="8">
        <v>492.16</v>
      </c>
      <c r="AD49" s="8">
        <v>175.65</v>
      </c>
      <c r="AE49" s="8">
        <v>225.13</v>
      </c>
      <c r="AF49" s="8">
        <v>110</v>
      </c>
      <c r="AG49" s="8">
        <f t="shared" si="1"/>
        <v>181.3848428430621</v>
      </c>
    </row>
    <row r="50" spans="1:33" s="8" customFormat="1" x14ac:dyDescent="0.2">
      <c r="A50" s="8" t="s">
        <v>270</v>
      </c>
      <c r="B50" s="8" t="s">
        <v>271</v>
      </c>
      <c r="C50" s="8">
        <v>15</v>
      </c>
      <c r="D50" s="8">
        <v>0</v>
      </c>
      <c r="E50" s="8">
        <v>150</v>
      </c>
      <c r="F50" s="8">
        <v>156.78</v>
      </c>
      <c r="G50" s="8">
        <v>2250</v>
      </c>
      <c r="H50" s="8">
        <v>0</v>
      </c>
      <c r="I50" s="8">
        <v>0</v>
      </c>
      <c r="J50" s="8">
        <v>2250</v>
      </c>
      <c r="K50" s="8">
        <v>15</v>
      </c>
      <c r="L50" s="8">
        <v>0</v>
      </c>
      <c r="M50" s="8">
        <v>746.83</v>
      </c>
      <c r="N50" s="9">
        <v>-43.57</v>
      </c>
      <c r="O50" s="8">
        <v>0</v>
      </c>
      <c r="P50" s="8">
        <v>55.86</v>
      </c>
      <c r="R50" s="8">
        <v>0</v>
      </c>
      <c r="S50" s="8">
        <v>0</v>
      </c>
      <c r="T50" s="8">
        <v>0.08</v>
      </c>
      <c r="U50" s="8">
        <v>774.2</v>
      </c>
      <c r="V50" s="8">
        <f t="shared" si="2"/>
        <v>1475.8</v>
      </c>
      <c r="W50" s="8">
        <v>41.15</v>
      </c>
      <c r="X50" s="8">
        <v>74.08</v>
      </c>
      <c r="Y50" s="8">
        <v>299.69</v>
      </c>
      <c r="Z50" s="8">
        <v>237.03</v>
      </c>
      <c r="AA50" s="8">
        <v>45</v>
      </c>
      <c r="AB50" s="8">
        <v>18.73</v>
      </c>
      <c r="AC50" s="8">
        <v>414.92</v>
      </c>
      <c r="AD50" s="8">
        <v>117.58</v>
      </c>
      <c r="AE50" s="8">
        <v>213.52</v>
      </c>
      <c r="AF50" s="8">
        <v>110</v>
      </c>
      <c r="AG50" s="8">
        <f t="shared" si="1"/>
        <v>123.2066586354178</v>
      </c>
    </row>
    <row r="51" spans="1:33" s="8" customFormat="1" x14ac:dyDescent="0.2">
      <c r="A51" s="8" t="s">
        <v>265</v>
      </c>
      <c r="B51" s="8" t="s">
        <v>266</v>
      </c>
      <c r="C51" s="8">
        <v>15</v>
      </c>
      <c r="D51" s="8">
        <v>0</v>
      </c>
      <c r="E51" s="8">
        <v>150</v>
      </c>
      <c r="F51" s="8">
        <v>156.78</v>
      </c>
      <c r="G51" s="8">
        <v>2250</v>
      </c>
      <c r="H51" s="8">
        <v>0</v>
      </c>
      <c r="I51" s="8">
        <v>0</v>
      </c>
      <c r="J51" s="8">
        <v>2250</v>
      </c>
      <c r="K51" s="8">
        <v>0</v>
      </c>
      <c r="L51" s="8">
        <v>0</v>
      </c>
      <c r="M51" s="8">
        <v>0</v>
      </c>
      <c r="N51" s="9">
        <v>-43.57</v>
      </c>
      <c r="O51" s="8">
        <v>0</v>
      </c>
      <c r="P51" s="8">
        <v>55.86</v>
      </c>
      <c r="R51" s="8">
        <v>0</v>
      </c>
      <c r="S51" s="8">
        <v>0</v>
      </c>
      <c r="T51" s="9">
        <v>-0.09</v>
      </c>
      <c r="U51" s="8">
        <v>12.2</v>
      </c>
      <c r="V51" s="8">
        <f t="shared" si="2"/>
        <v>2237.8000000000002</v>
      </c>
      <c r="W51" s="8">
        <v>41.15</v>
      </c>
      <c r="X51" s="8">
        <v>74.08</v>
      </c>
      <c r="Y51" s="8">
        <v>299.69</v>
      </c>
      <c r="Z51" s="8">
        <v>237.03</v>
      </c>
      <c r="AA51" s="8">
        <v>45</v>
      </c>
      <c r="AB51" s="8">
        <v>18.73</v>
      </c>
      <c r="AC51" s="8">
        <v>414.92</v>
      </c>
      <c r="AD51" s="8">
        <v>117.58</v>
      </c>
      <c r="AE51" s="8">
        <v>213.52</v>
      </c>
      <c r="AF51" s="8">
        <v>110</v>
      </c>
      <c r="AG51" s="8">
        <f t="shared" si="1"/>
        <v>123.2066586354178</v>
      </c>
    </row>
    <row r="52" spans="1:33" s="8" customFormat="1" x14ac:dyDescent="0.2">
      <c r="A52" s="8" t="s">
        <v>178</v>
      </c>
      <c r="B52" s="8" t="s">
        <v>179</v>
      </c>
      <c r="C52" s="8">
        <v>15</v>
      </c>
      <c r="D52" s="8">
        <v>0</v>
      </c>
      <c r="E52" s="8">
        <v>233.33</v>
      </c>
      <c r="F52" s="8">
        <v>243.88</v>
      </c>
      <c r="G52" s="8">
        <v>3499.95</v>
      </c>
      <c r="H52" s="8">
        <v>0</v>
      </c>
      <c r="I52" s="8">
        <v>0</v>
      </c>
      <c r="J52" s="8">
        <v>3499.95</v>
      </c>
      <c r="K52" s="8">
        <v>0</v>
      </c>
      <c r="L52" s="8">
        <v>0</v>
      </c>
      <c r="M52" s="8">
        <v>0</v>
      </c>
      <c r="N52" s="8">
        <v>0</v>
      </c>
      <c r="O52" s="8">
        <v>134.36000000000001</v>
      </c>
      <c r="P52" s="8">
        <v>86.88</v>
      </c>
      <c r="R52" s="8">
        <v>0</v>
      </c>
      <c r="S52" s="8">
        <v>0</v>
      </c>
      <c r="T52" s="8">
        <v>0.11</v>
      </c>
      <c r="U52" s="8">
        <v>221.35000000000002</v>
      </c>
      <c r="V52" s="8">
        <f t="shared" si="2"/>
        <v>3278.6</v>
      </c>
      <c r="W52" s="8">
        <v>64.02</v>
      </c>
      <c r="X52" s="8">
        <v>115.23</v>
      </c>
      <c r="Y52" s="8">
        <v>322.56</v>
      </c>
      <c r="Z52" s="8">
        <v>263.16000000000003</v>
      </c>
      <c r="AA52" s="8">
        <v>70</v>
      </c>
      <c r="AB52" s="8">
        <v>29.14</v>
      </c>
      <c r="AC52" s="8">
        <v>501.81</v>
      </c>
      <c r="AD52" s="8">
        <v>182.91</v>
      </c>
      <c r="AE52" s="8">
        <v>226.58</v>
      </c>
      <c r="AF52" s="8">
        <v>110</v>
      </c>
      <c r="AG52" s="8">
        <f t="shared" si="1"/>
        <v>191.65206439601357</v>
      </c>
    </row>
    <row r="53" spans="1:33" s="8" customFormat="1" x14ac:dyDescent="0.2">
      <c r="A53" s="8" t="s">
        <v>130</v>
      </c>
      <c r="B53" s="8" t="s">
        <v>131</v>
      </c>
      <c r="C53" s="8">
        <v>15</v>
      </c>
      <c r="D53" s="8">
        <v>0</v>
      </c>
      <c r="E53" s="8">
        <v>233.33</v>
      </c>
      <c r="F53" s="8">
        <v>243.88</v>
      </c>
      <c r="G53" s="8">
        <v>3499.95</v>
      </c>
      <c r="H53" s="8">
        <v>0</v>
      </c>
      <c r="I53" s="8">
        <v>0</v>
      </c>
      <c r="J53" s="8">
        <v>3499.95</v>
      </c>
      <c r="K53" s="8">
        <v>0</v>
      </c>
      <c r="L53" s="8">
        <v>0</v>
      </c>
      <c r="M53" s="8">
        <v>0</v>
      </c>
      <c r="N53" s="8">
        <v>0</v>
      </c>
      <c r="O53" s="8">
        <v>134.36000000000001</v>
      </c>
      <c r="P53" s="8">
        <v>86.88</v>
      </c>
      <c r="R53" s="8">
        <v>0</v>
      </c>
      <c r="S53" s="8">
        <v>0</v>
      </c>
      <c r="T53" s="9">
        <v>-0.09</v>
      </c>
      <c r="U53" s="8">
        <v>221.15</v>
      </c>
      <c r="V53" s="8">
        <f t="shared" si="2"/>
        <v>3278.7999999999997</v>
      </c>
      <c r="W53" s="8">
        <v>64.02</v>
      </c>
      <c r="X53" s="8">
        <v>115.23</v>
      </c>
      <c r="Y53" s="8">
        <v>322.56</v>
      </c>
      <c r="Z53" s="8">
        <v>263.16000000000003</v>
      </c>
      <c r="AA53" s="8">
        <v>70</v>
      </c>
      <c r="AB53" s="8">
        <v>29.14</v>
      </c>
      <c r="AC53" s="8">
        <v>501.81</v>
      </c>
      <c r="AD53" s="8">
        <v>182.91</v>
      </c>
      <c r="AE53" s="8">
        <v>226.58</v>
      </c>
      <c r="AF53" s="8">
        <v>110</v>
      </c>
      <c r="AG53" s="8">
        <f t="shared" si="1"/>
        <v>191.65206439601357</v>
      </c>
    </row>
    <row r="54" spans="1:33" s="8" customFormat="1" x14ac:dyDescent="0.2">
      <c r="A54" s="8" t="s">
        <v>247</v>
      </c>
      <c r="B54" s="8" t="s">
        <v>248</v>
      </c>
      <c r="C54" s="8">
        <v>15</v>
      </c>
      <c r="D54" s="8">
        <v>0</v>
      </c>
      <c r="E54" s="8">
        <v>312.87</v>
      </c>
      <c r="F54" s="8">
        <v>327.01</v>
      </c>
      <c r="G54" s="8">
        <v>4693.05</v>
      </c>
      <c r="H54" s="8">
        <v>0</v>
      </c>
      <c r="I54" s="8">
        <v>0</v>
      </c>
      <c r="J54" s="8">
        <v>4693.05</v>
      </c>
      <c r="K54" s="8">
        <v>15</v>
      </c>
      <c r="L54" s="8">
        <v>1825.28</v>
      </c>
      <c r="M54" s="8">
        <v>0</v>
      </c>
      <c r="N54" s="8">
        <v>0</v>
      </c>
      <c r="O54" s="8">
        <v>411.56</v>
      </c>
      <c r="P54" s="8">
        <v>120.9</v>
      </c>
      <c r="R54" s="8">
        <v>0</v>
      </c>
      <c r="S54" s="8">
        <v>0</v>
      </c>
      <c r="T54" s="9">
        <v>-0.09</v>
      </c>
      <c r="U54" s="8">
        <v>2372.65</v>
      </c>
      <c r="V54" s="8">
        <f t="shared" si="2"/>
        <v>2320.4</v>
      </c>
      <c r="W54" s="8">
        <v>85.84</v>
      </c>
      <c r="X54" s="8">
        <v>154.51</v>
      </c>
      <c r="Y54" s="8">
        <v>356.51</v>
      </c>
      <c r="Z54" s="8">
        <v>288.10000000000002</v>
      </c>
      <c r="AA54" s="8">
        <v>93.86</v>
      </c>
      <c r="AB54" s="8">
        <v>39.07</v>
      </c>
      <c r="AC54" s="8">
        <v>596.86</v>
      </c>
      <c r="AD54" s="8">
        <v>245.26</v>
      </c>
      <c r="AE54" s="8">
        <v>239.05</v>
      </c>
      <c r="AF54" s="8">
        <v>110</v>
      </c>
      <c r="AG54" s="8">
        <f t="shared" si="1"/>
        <v>256.98444858175446</v>
      </c>
    </row>
    <row r="55" spans="1:33" s="8" customFormat="1" x14ac:dyDescent="0.2">
      <c r="A55" s="8" t="s">
        <v>256</v>
      </c>
      <c r="B55" s="8" t="s">
        <v>257</v>
      </c>
      <c r="C55" s="8">
        <v>15</v>
      </c>
      <c r="D55" s="8">
        <v>0</v>
      </c>
      <c r="E55" s="8">
        <v>312.87</v>
      </c>
      <c r="F55" s="8">
        <v>327.01</v>
      </c>
      <c r="G55" s="8">
        <v>4693.05</v>
      </c>
      <c r="H55" s="8">
        <v>0</v>
      </c>
      <c r="I55" s="8">
        <v>0</v>
      </c>
      <c r="J55" s="8">
        <v>4693.05</v>
      </c>
      <c r="K55" s="8">
        <v>15</v>
      </c>
      <c r="L55" s="8">
        <v>2113.19</v>
      </c>
      <c r="M55" s="8">
        <v>0</v>
      </c>
      <c r="N55" s="8">
        <v>0</v>
      </c>
      <c r="O55" s="8">
        <v>411.56</v>
      </c>
      <c r="P55" s="8">
        <v>120.9</v>
      </c>
      <c r="R55" s="8">
        <v>0</v>
      </c>
      <c r="S55" s="8">
        <v>395.82</v>
      </c>
      <c r="T55" s="9">
        <v>-0.02</v>
      </c>
      <c r="U55" s="8">
        <v>3056.4500000000003</v>
      </c>
      <c r="V55" s="8">
        <f t="shared" si="2"/>
        <v>1636.6</v>
      </c>
      <c r="W55" s="8">
        <v>85.84</v>
      </c>
      <c r="X55" s="8">
        <v>154.51</v>
      </c>
      <c r="Y55" s="8">
        <v>356.51</v>
      </c>
      <c r="Z55" s="8">
        <v>288.10000000000002</v>
      </c>
      <c r="AA55" s="8">
        <v>93.86</v>
      </c>
      <c r="AB55" s="8">
        <v>39.07</v>
      </c>
      <c r="AC55" s="8">
        <v>596.86</v>
      </c>
      <c r="AD55" s="8">
        <v>245.26</v>
      </c>
      <c r="AE55" s="8">
        <v>239.05</v>
      </c>
      <c r="AF55" s="8">
        <v>110</v>
      </c>
      <c r="AG55" s="8">
        <f t="shared" si="1"/>
        <v>256.98444858175446</v>
      </c>
    </row>
    <row r="56" spans="1:33" s="8" customFormat="1" x14ac:dyDescent="0.2">
      <c r="A56" s="8" t="s">
        <v>329</v>
      </c>
      <c r="B56" s="8" t="s">
        <v>330</v>
      </c>
      <c r="C56" s="8">
        <v>15</v>
      </c>
      <c r="D56" s="8">
        <v>0</v>
      </c>
      <c r="E56" s="8">
        <v>238.84</v>
      </c>
      <c r="F56" s="8">
        <v>249.64</v>
      </c>
      <c r="G56" s="8">
        <v>3582.6</v>
      </c>
      <c r="H56" s="8">
        <v>0</v>
      </c>
      <c r="I56" s="8">
        <v>0</v>
      </c>
      <c r="J56" s="8">
        <v>3582.6</v>
      </c>
      <c r="K56" s="8">
        <v>0</v>
      </c>
      <c r="L56" s="8">
        <v>0</v>
      </c>
      <c r="M56" s="8">
        <v>0</v>
      </c>
      <c r="N56" s="8">
        <v>0</v>
      </c>
      <c r="O56" s="8">
        <v>161.08000000000001</v>
      </c>
      <c r="P56" s="8">
        <v>88.93</v>
      </c>
      <c r="R56" s="8">
        <v>0</v>
      </c>
      <c r="S56" s="8">
        <v>0</v>
      </c>
      <c r="T56" s="9">
        <v>-0.01</v>
      </c>
      <c r="U56" s="8">
        <v>250.00000000000003</v>
      </c>
      <c r="V56" s="8">
        <f t="shared" si="2"/>
        <v>3332.6</v>
      </c>
      <c r="W56" s="8">
        <v>65.53</v>
      </c>
      <c r="X56" s="8">
        <v>117.95</v>
      </c>
      <c r="Y56" s="8">
        <v>324.07</v>
      </c>
      <c r="Z56" s="8">
        <v>264.89</v>
      </c>
      <c r="AA56" s="8">
        <v>71.650000000000006</v>
      </c>
      <c r="AB56" s="8">
        <v>29.83</v>
      </c>
      <c r="AC56" s="8">
        <v>507.55</v>
      </c>
      <c r="AD56" s="8">
        <v>187.23</v>
      </c>
      <c r="AE56" s="8">
        <v>227.45</v>
      </c>
      <c r="AF56" s="8">
        <v>110</v>
      </c>
      <c r="AG56" s="8">
        <f t="shared" si="1"/>
        <v>196.17785565655458</v>
      </c>
    </row>
    <row r="57" spans="1:33" s="8" customFormat="1" x14ac:dyDescent="0.2">
      <c r="A57" s="8" t="s">
        <v>337</v>
      </c>
      <c r="B57" s="8" t="s">
        <v>338</v>
      </c>
      <c r="C57" s="8">
        <v>15</v>
      </c>
      <c r="D57" s="8">
        <v>0</v>
      </c>
      <c r="E57" s="8">
        <v>238.84</v>
      </c>
      <c r="F57" s="8">
        <v>249.64</v>
      </c>
      <c r="G57" s="8">
        <v>3582.6</v>
      </c>
      <c r="H57" s="8">
        <v>0</v>
      </c>
      <c r="I57" s="8">
        <v>0</v>
      </c>
      <c r="J57" s="8">
        <v>3582.6</v>
      </c>
      <c r="K57" s="8">
        <v>15</v>
      </c>
      <c r="L57" s="8">
        <v>1165.3699999999999</v>
      </c>
      <c r="M57" s="8">
        <v>0</v>
      </c>
      <c r="N57" s="8">
        <v>0</v>
      </c>
      <c r="O57" s="8">
        <v>161.08000000000001</v>
      </c>
      <c r="P57" s="8">
        <v>88.93</v>
      </c>
      <c r="R57" s="8">
        <v>0</v>
      </c>
      <c r="S57" s="8">
        <v>0</v>
      </c>
      <c r="T57" s="9">
        <v>-0.18</v>
      </c>
      <c r="U57" s="8">
        <v>1430.1999999999998</v>
      </c>
      <c r="V57" s="8">
        <f t="shared" si="2"/>
        <v>2152.4</v>
      </c>
      <c r="W57" s="8">
        <v>65.53</v>
      </c>
      <c r="X57" s="8">
        <v>117.95</v>
      </c>
      <c r="Y57" s="8">
        <v>324.07</v>
      </c>
      <c r="Z57" s="8">
        <v>264.89</v>
      </c>
      <c r="AA57" s="8">
        <v>71.650000000000006</v>
      </c>
      <c r="AB57" s="8">
        <v>29.83</v>
      </c>
      <c r="AC57" s="8">
        <v>507.55</v>
      </c>
      <c r="AD57" s="8">
        <v>187.23</v>
      </c>
      <c r="AE57" s="8">
        <v>227.45</v>
      </c>
      <c r="AF57" s="8">
        <v>110</v>
      </c>
      <c r="AG57" s="8">
        <f t="shared" si="1"/>
        <v>196.17785565655458</v>
      </c>
    </row>
    <row r="58" spans="1:33" s="8" customFormat="1" x14ac:dyDescent="0.2">
      <c r="A58" s="8" t="s">
        <v>326</v>
      </c>
      <c r="B58" s="8" t="s">
        <v>327</v>
      </c>
      <c r="C58" s="8">
        <v>15</v>
      </c>
      <c r="D58" s="8">
        <v>0</v>
      </c>
      <c r="E58" s="8">
        <v>238.84</v>
      </c>
      <c r="F58" s="8">
        <v>249.64</v>
      </c>
      <c r="G58" s="8">
        <v>3582.6</v>
      </c>
      <c r="H58" s="8">
        <v>0</v>
      </c>
      <c r="I58" s="8">
        <v>0</v>
      </c>
      <c r="J58" s="8">
        <v>3582.6</v>
      </c>
      <c r="K58" s="8">
        <v>15</v>
      </c>
      <c r="L58" s="8">
        <v>0</v>
      </c>
      <c r="M58" s="8">
        <v>1100.54</v>
      </c>
      <c r="N58" s="8">
        <v>0</v>
      </c>
      <c r="O58" s="8">
        <v>161.08000000000001</v>
      </c>
      <c r="P58" s="8">
        <v>88.93</v>
      </c>
      <c r="R58" s="8">
        <v>0</v>
      </c>
      <c r="S58" s="8">
        <v>426.6</v>
      </c>
      <c r="T58" s="8">
        <v>0.05</v>
      </c>
      <c r="U58" s="8">
        <v>1792.2</v>
      </c>
      <c r="V58" s="8">
        <f t="shared" si="2"/>
        <v>1790.3999999999999</v>
      </c>
      <c r="W58" s="8">
        <v>65.53</v>
      </c>
      <c r="X58" s="8">
        <v>117.95</v>
      </c>
      <c r="Y58" s="8">
        <v>324.07</v>
      </c>
      <c r="Z58" s="8">
        <v>264.89</v>
      </c>
      <c r="AA58" s="8">
        <v>71.650000000000006</v>
      </c>
      <c r="AB58" s="8">
        <v>29.83</v>
      </c>
      <c r="AC58" s="8">
        <v>507.55</v>
      </c>
      <c r="AD58" s="8">
        <v>187.23</v>
      </c>
      <c r="AE58" s="8">
        <v>227.45</v>
      </c>
      <c r="AF58" s="8">
        <v>110</v>
      </c>
      <c r="AG58" s="8">
        <f t="shared" si="1"/>
        <v>196.17785565655458</v>
      </c>
    </row>
    <row r="59" spans="1:33" s="8" customFormat="1" x14ac:dyDescent="0.2">
      <c r="A59" s="8" t="s">
        <v>136</v>
      </c>
      <c r="B59" s="8" t="s">
        <v>137</v>
      </c>
      <c r="C59" s="8">
        <v>15</v>
      </c>
      <c r="D59" s="8">
        <v>0</v>
      </c>
      <c r="E59" s="8">
        <v>238.84</v>
      </c>
      <c r="F59" s="8">
        <v>249.64</v>
      </c>
      <c r="G59" s="8">
        <v>3582.6</v>
      </c>
      <c r="H59" s="8">
        <v>0</v>
      </c>
      <c r="I59" s="8">
        <v>0</v>
      </c>
      <c r="J59" s="8">
        <v>3582.6</v>
      </c>
      <c r="K59" s="8">
        <v>0</v>
      </c>
      <c r="L59" s="8">
        <v>0</v>
      </c>
      <c r="M59" s="8">
        <v>0</v>
      </c>
      <c r="N59" s="8">
        <v>0</v>
      </c>
      <c r="O59" s="8">
        <v>161.08000000000001</v>
      </c>
      <c r="P59" s="8">
        <v>88.93</v>
      </c>
      <c r="R59" s="8">
        <v>0</v>
      </c>
      <c r="S59" s="8">
        <v>0</v>
      </c>
      <c r="T59" s="9">
        <v>-0.01</v>
      </c>
      <c r="U59" s="8">
        <v>250.00000000000003</v>
      </c>
      <c r="V59" s="8">
        <f t="shared" si="2"/>
        <v>3332.6</v>
      </c>
      <c r="W59" s="8">
        <v>65.53</v>
      </c>
      <c r="X59" s="8">
        <v>117.95</v>
      </c>
      <c r="Y59" s="8">
        <v>324.07</v>
      </c>
      <c r="Z59" s="8">
        <v>264.89</v>
      </c>
      <c r="AA59" s="8">
        <v>71.650000000000006</v>
      </c>
      <c r="AB59" s="8">
        <v>29.83</v>
      </c>
      <c r="AC59" s="8">
        <v>507.55</v>
      </c>
      <c r="AD59" s="8">
        <v>187.23</v>
      </c>
      <c r="AE59" s="8">
        <v>227.45</v>
      </c>
      <c r="AF59" s="8">
        <v>110</v>
      </c>
      <c r="AG59" s="8">
        <f t="shared" si="1"/>
        <v>196.17785565655458</v>
      </c>
    </row>
    <row r="60" spans="1:33" s="8" customFormat="1" x14ac:dyDescent="0.2">
      <c r="A60" s="8" t="s">
        <v>186</v>
      </c>
      <c r="B60" s="8" t="s">
        <v>187</v>
      </c>
      <c r="C60" s="8">
        <v>15</v>
      </c>
      <c r="D60" s="8">
        <v>0</v>
      </c>
      <c r="E60" s="8">
        <v>200</v>
      </c>
      <c r="F60" s="8">
        <v>212.11</v>
      </c>
      <c r="G60" s="8">
        <v>3000</v>
      </c>
      <c r="H60" s="8">
        <v>0</v>
      </c>
      <c r="I60" s="8">
        <v>0</v>
      </c>
      <c r="J60" s="8">
        <v>3000</v>
      </c>
      <c r="K60" s="8">
        <v>0</v>
      </c>
      <c r="L60" s="8">
        <v>0</v>
      </c>
      <c r="M60" s="8">
        <v>0</v>
      </c>
      <c r="N60" s="8">
        <v>0</v>
      </c>
      <c r="O60" s="8">
        <v>59.69</v>
      </c>
      <c r="P60" s="8">
        <v>75.56</v>
      </c>
      <c r="R60" s="8">
        <v>0</v>
      </c>
      <c r="S60" s="8">
        <v>385</v>
      </c>
      <c r="T60" s="9">
        <v>-0.05</v>
      </c>
      <c r="U60" s="8">
        <v>520.20000000000005</v>
      </c>
      <c r="V60" s="8">
        <f t="shared" si="2"/>
        <v>2479.8000000000002</v>
      </c>
      <c r="W60" s="8">
        <v>55.68</v>
      </c>
      <c r="X60" s="8">
        <v>100.22</v>
      </c>
      <c r="Y60" s="8">
        <v>314.22000000000003</v>
      </c>
      <c r="Z60" s="8">
        <v>253.63</v>
      </c>
      <c r="AA60" s="8">
        <v>60</v>
      </c>
      <c r="AB60" s="8">
        <v>25.34</v>
      </c>
      <c r="AC60" s="8">
        <v>470.12</v>
      </c>
      <c r="AD60" s="8">
        <v>159.08000000000001</v>
      </c>
      <c r="AE60" s="8">
        <v>221.82</v>
      </c>
      <c r="AF60" s="8">
        <v>110</v>
      </c>
      <c r="AG60" s="8">
        <f t="shared" si="1"/>
        <v>164.27554484722373</v>
      </c>
    </row>
    <row r="61" spans="1:33" s="8" customFormat="1" x14ac:dyDescent="0.2">
      <c r="A61" s="8" t="s">
        <v>159</v>
      </c>
      <c r="B61" s="8" t="s">
        <v>160</v>
      </c>
      <c r="C61" s="8">
        <v>15</v>
      </c>
      <c r="D61" s="8">
        <v>0</v>
      </c>
      <c r="E61" s="8">
        <v>238.84</v>
      </c>
      <c r="F61" s="8">
        <v>249.64</v>
      </c>
      <c r="G61" s="8">
        <v>3582.6</v>
      </c>
      <c r="H61" s="8">
        <v>0</v>
      </c>
      <c r="I61" s="8">
        <v>0</v>
      </c>
      <c r="J61" s="8">
        <v>3582.6</v>
      </c>
      <c r="K61" s="8">
        <v>15</v>
      </c>
      <c r="L61" s="8">
        <v>670.03</v>
      </c>
      <c r="M61" s="8">
        <v>0</v>
      </c>
      <c r="N61" s="8">
        <v>0</v>
      </c>
      <c r="O61" s="8">
        <v>161.08000000000001</v>
      </c>
      <c r="P61" s="8">
        <v>88.93</v>
      </c>
      <c r="R61" s="8">
        <v>0</v>
      </c>
      <c r="S61" s="8">
        <v>0</v>
      </c>
      <c r="T61" s="9">
        <v>-0.04</v>
      </c>
      <c r="U61" s="8">
        <v>935</v>
      </c>
      <c r="V61" s="8">
        <f t="shared" si="2"/>
        <v>2647.6</v>
      </c>
      <c r="W61" s="8">
        <v>65.53</v>
      </c>
      <c r="X61" s="8">
        <v>117.95</v>
      </c>
      <c r="Y61" s="8">
        <v>324.07</v>
      </c>
      <c r="Z61" s="8">
        <v>264.89</v>
      </c>
      <c r="AA61" s="8">
        <v>71.650000000000006</v>
      </c>
      <c r="AB61" s="8">
        <v>29.83</v>
      </c>
      <c r="AC61" s="8">
        <v>507.55</v>
      </c>
      <c r="AD61" s="8">
        <v>187.23</v>
      </c>
      <c r="AE61" s="8">
        <v>227.45</v>
      </c>
      <c r="AF61" s="8">
        <v>110</v>
      </c>
      <c r="AG61" s="8">
        <f t="shared" si="1"/>
        <v>196.17785565655458</v>
      </c>
    </row>
    <row r="62" spans="1:33" s="8" customFormat="1" x14ac:dyDescent="0.2">
      <c r="A62" s="8" t="s">
        <v>250</v>
      </c>
      <c r="B62" s="8" t="s">
        <v>251</v>
      </c>
      <c r="C62" s="8">
        <v>14</v>
      </c>
      <c r="D62" s="8">
        <v>1</v>
      </c>
      <c r="E62" s="8">
        <v>166.67</v>
      </c>
      <c r="F62" s="8">
        <v>174.2</v>
      </c>
      <c r="G62" s="8">
        <v>2333.38</v>
      </c>
      <c r="H62" s="8">
        <v>166.67</v>
      </c>
      <c r="I62" s="8">
        <v>50</v>
      </c>
      <c r="J62" s="8">
        <v>2550.0500000000002</v>
      </c>
      <c r="K62" s="8">
        <v>0</v>
      </c>
      <c r="L62" s="8">
        <v>0</v>
      </c>
      <c r="M62" s="8">
        <v>0</v>
      </c>
      <c r="N62" s="9">
        <v>-9.6199999999999992</v>
      </c>
      <c r="O62" s="8">
        <v>0</v>
      </c>
      <c r="P62" s="8">
        <v>62.06</v>
      </c>
      <c r="R62" s="8">
        <v>0</v>
      </c>
      <c r="S62" s="8">
        <v>0</v>
      </c>
      <c r="T62" s="8">
        <v>0.01</v>
      </c>
      <c r="U62" s="8">
        <v>52.45</v>
      </c>
      <c r="V62" s="8">
        <f t="shared" si="2"/>
        <v>2497.6000000000004</v>
      </c>
      <c r="W62" s="8">
        <v>45.73</v>
      </c>
      <c r="X62" s="8">
        <v>82.31</v>
      </c>
      <c r="Y62" s="8">
        <v>304.27</v>
      </c>
      <c r="Z62" s="8">
        <v>242.26</v>
      </c>
      <c r="AA62" s="8">
        <v>51</v>
      </c>
      <c r="AB62" s="8">
        <v>20.81</v>
      </c>
      <c r="AC62" s="8">
        <v>432.31</v>
      </c>
      <c r="AD62" s="8">
        <v>130.65</v>
      </c>
      <c r="AE62" s="8">
        <v>216.13</v>
      </c>
      <c r="AF62" s="8">
        <v>110</v>
      </c>
      <c r="AG62" s="8">
        <f t="shared" si="1"/>
        <v>136.89902529843388</v>
      </c>
    </row>
    <row r="63" spans="1:33" s="8" customFormat="1" x14ac:dyDescent="0.2">
      <c r="A63" s="8" t="s">
        <v>241</v>
      </c>
      <c r="B63" s="8" t="s">
        <v>242</v>
      </c>
      <c r="C63" s="8">
        <v>15</v>
      </c>
      <c r="D63" s="8">
        <v>0</v>
      </c>
      <c r="E63" s="8">
        <v>195.38</v>
      </c>
      <c r="F63" s="8">
        <v>204.21</v>
      </c>
      <c r="G63" s="8">
        <v>2930.7</v>
      </c>
      <c r="H63" s="8">
        <v>0</v>
      </c>
      <c r="I63" s="8">
        <v>0</v>
      </c>
      <c r="J63" s="8">
        <v>2930.7</v>
      </c>
      <c r="K63" s="8">
        <v>15</v>
      </c>
      <c r="L63" s="8">
        <v>859.27</v>
      </c>
      <c r="M63" s="8">
        <v>0</v>
      </c>
      <c r="N63" s="8">
        <v>0</v>
      </c>
      <c r="O63" s="8">
        <v>52.15</v>
      </c>
      <c r="P63" s="8">
        <v>72.75</v>
      </c>
      <c r="R63" s="8">
        <v>0</v>
      </c>
      <c r="S63" s="8">
        <v>0</v>
      </c>
      <c r="T63" s="9">
        <v>-7.0000000000000007E-2</v>
      </c>
      <c r="U63" s="8">
        <v>999.09999999999991</v>
      </c>
      <c r="V63" s="8">
        <f t="shared" si="2"/>
        <v>1931.6</v>
      </c>
      <c r="W63" s="8">
        <v>53.61</v>
      </c>
      <c r="X63" s="8">
        <v>96.49</v>
      </c>
      <c r="Y63" s="8">
        <v>312.14</v>
      </c>
      <c r="Z63" s="8">
        <v>251.26</v>
      </c>
      <c r="AA63" s="8">
        <v>58.61</v>
      </c>
      <c r="AB63" s="8">
        <v>24.4</v>
      </c>
      <c r="AC63" s="8">
        <v>462.24</v>
      </c>
      <c r="AD63" s="8">
        <v>153.16</v>
      </c>
      <c r="AE63" s="8">
        <v>220.63</v>
      </c>
      <c r="AF63" s="8">
        <v>110</v>
      </c>
      <c r="AG63" s="8">
        <f t="shared" si="1"/>
        <v>160.48077976125285</v>
      </c>
    </row>
    <row r="64" spans="1:33" s="8" customFormat="1" x14ac:dyDescent="0.2">
      <c r="A64" s="8" t="s">
        <v>303</v>
      </c>
      <c r="B64" s="8" t="s">
        <v>304</v>
      </c>
      <c r="C64" s="8">
        <v>15</v>
      </c>
      <c r="D64" s="8">
        <v>0</v>
      </c>
      <c r="E64" s="8">
        <v>195.38</v>
      </c>
      <c r="F64" s="8">
        <v>204.21</v>
      </c>
      <c r="G64" s="8">
        <v>2930.7</v>
      </c>
      <c r="H64" s="8">
        <v>0</v>
      </c>
      <c r="I64" s="8">
        <v>0</v>
      </c>
      <c r="J64" s="8">
        <v>2930.7</v>
      </c>
      <c r="K64" s="8">
        <v>15</v>
      </c>
      <c r="L64" s="8">
        <v>880.29</v>
      </c>
      <c r="M64" s="8">
        <v>0</v>
      </c>
      <c r="N64" s="8">
        <v>0</v>
      </c>
      <c r="O64" s="8">
        <v>52.15</v>
      </c>
      <c r="P64" s="8">
        <v>72.75</v>
      </c>
      <c r="R64" s="8">
        <v>0</v>
      </c>
      <c r="S64" s="8">
        <v>435.98</v>
      </c>
      <c r="T64" s="9">
        <v>-7.0000000000000007E-2</v>
      </c>
      <c r="U64" s="8">
        <v>1456.1000000000001</v>
      </c>
      <c r="V64" s="8">
        <f t="shared" si="2"/>
        <v>1474.5999999999997</v>
      </c>
      <c r="W64" s="8">
        <v>53.61</v>
      </c>
      <c r="X64" s="8">
        <v>96.49</v>
      </c>
      <c r="Y64" s="8">
        <v>312.14</v>
      </c>
      <c r="Z64" s="8">
        <v>251.26</v>
      </c>
      <c r="AA64" s="8">
        <v>58.61</v>
      </c>
      <c r="AB64" s="8">
        <v>24.4</v>
      </c>
      <c r="AC64" s="8">
        <v>462.24</v>
      </c>
      <c r="AD64" s="8">
        <v>153.16</v>
      </c>
      <c r="AE64" s="8">
        <v>220.63</v>
      </c>
      <c r="AF64" s="8">
        <v>110</v>
      </c>
      <c r="AG64" s="8">
        <f t="shared" si="1"/>
        <v>160.48077976125285</v>
      </c>
    </row>
    <row r="65" spans="1:33" s="8" customFormat="1" x14ac:dyDescent="0.2">
      <c r="A65" s="8" t="s">
        <v>259</v>
      </c>
      <c r="B65" s="8" t="s">
        <v>438</v>
      </c>
      <c r="C65" s="8">
        <v>15</v>
      </c>
      <c r="D65" s="8">
        <v>0</v>
      </c>
      <c r="E65" s="8">
        <v>166.67</v>
      </c>
      <c r="F65" s="8">
        <v>176.76</v>
      </c>
      <c r="G65" s="8">
        <v>2500.0500000000002</v>
      </c>
      <c r="H65" s="8">
        <v>0</v>
      </c>
      <c r="I65" s="8">
        <v>0</v>
      </c>
      <c r="J65" s="8">
        <v>2500.0500000000002</v>
      </c>
      <c r="K65" s="8">
        <v>0</v>
      </c>
      <c r="L65" s="8">
        <v>0</v>
      </c>
      <c r="M65" s="8">
        <v>0</v>
      </c>
      <c r="N65" s="9">
        <v>-9.6199999999999992</v>
      </c>
      <c r="O65" s="8">
        <v>0</v>
      </c>
      <c r="P65" s="8">
        <v>62.97</v>
      </c>
      <c r="R65" s="8">
        <v>0</v>
      </c>
      <c r="S65" s="8">
        <v>0</v>
      </c>
      <c r="T65" s="8">
        <v>0.1</v>
      </c>
      <c r="U65" s="8">
        <v>53.45</v>
      </c>
      <c r="V65" s="8">
        <f t="shared" si="2"/>
        <v>2446.6000000000004</v>
      </c>
      <c r="W65" s="8">
        <v>46.4</v>
      </c>
      <c r="X65" s="8">
        <v>83.52</v>
      </c>
      <c r="Y65" s="8">
        <v>304.94</v>
      </c>
      <c r="Z65" s="8">
        <v>243.03</v>
      </c>
      <c r="AA65" s="8">
        <v>50</v>
      </c>
      <c r="AB65" s="8">
        <v>21.12</v>
      </c>
      <c r="AC65" s="8">
        <v>434.86</v>
      </c>
      <c r="AD65" s="8">
        <v>132.57</v>
      </c>
      <c r="AE65" s="8">
        <v>216.51</v>
      </c>
      <c r="AF65" s="8">
        <v>110</v>
      </c>
      <c r="AG65" s="8">
        <f t="shared" si="1"/>
        <v>136.89902529843388</v>
      </c>
    </row>
    <row r="66" spans="1:33" s="8" customFormat="1" x14ac:dyDescent="0.2">
      <c r="A66" s="8" t="s">
        <v>133</v>
      </c>
      <c r="B66" s="8" t="s">
        <v>134</v>
      </c>
      <c r="C66" s="8">
        <v>15</v>
      </c>
      <c r="D66" s="8">
        <v>0</v>
      </c>
      <c r="E66" s="8">
        <v>166.67</v>
      </c>
      <c r="F66" s="8">
        <v>177.03</v>
      </c>
      <c r="G66" s="8">
        <v>2500.0500000000002</v>
      </c>
      <c r="H66" s="8">
        <v>0</v>
      </c>
      <c r="I66" s="8">
        <v>0</v>
      </c>
      <c r="J66" s="8">
        <v>2500.0500000000002</v>
      </c>
      <c r="K66" s="8">
        <v>0</v>
      </c>
      <c r="L66" s="8">
        <v>0</v>
      </c>
      <c r="M66" s="8">
        <v>0</v>
      </c>
      <c r="N66" s="9">
        <v>-9.6199999999999992</v>
      </c>
      <c r="O66" s="8">
        <v>0</v>
      </c>
      <c r="P66" s="8">
        <v>63.07</v>
      </c>
      <c r="R66" s="8">
        <v>0</v>
      </c>
      <c r="S66" s="8">
        <v>0</v>
      </c>
      <c r="T66" s="8" t="s">
        <v>445</v>
      </c>
      <c r="U66" s="8">
        <v>53.45</v>
      </c>
      <c r="V66" s="8">
        <f t="shared" si="2"/>
        <v>2446.6000000000004</v>
      </c>
      <c r="W66" s="8">
        <v>46.47</v>
      </c>
      <c r="X66" s="8">
        <v>83.65</v>
      </c>
      <c r="Y66" s="8">
        <v>305.01</v>
      </c>
      <c r="Z66" s="8">
        <v>243.11</v>
      </c>
      <c r="AA66" s="8">
        <v>50</v>
      </c>
      <c r="AB66" s="8">
        <v>21.15</v>
      </c>
      <c r="AC66" s="8">
        <v>435.13</v>
      </c>
      <c r="AD66" s="8">
        <v>132.77000000000001</v>
      </c>
      <c r="AE66" s="8">
        <v>216.55</v>
      </c>
      <c r="AF66" s="8">
        <v>110</v>
      </c>
      <c r="AG66" s="8">
        <f t="shared" si="1"/>
        <v>136.89902529843388</v>
      </c>
    </row>
    <row r="67" spans="1:33" s="8" customFormat="1" x14ac:dyDescent="0.2">
      <c r="A67" s="8" t="s">
        <v>199</v>
      </c>
      <c r="B67" s="8" t="s">
        <v>439</v>
      </c>
      <c r="C67" s="8">
        <v>15</v>
      </c>
      <c r="D67" s="8">
        <v>0</v>
      </c>
      <c r="E67" s="8">
        <v>200</v>
      </c>
      <c r="F67" s="8">
        <v>209.04</v>
      </c>
      <c r="G67" s="8">
        <v>3000</v>
      </c>
      <c r="H67" s="8">
        <v>0</v>
      </c>
      <c r="I67" s="8">
        <v>0</v>
      </c>
      <c r="J67" s="8">
        <v>3000</v>
      </c>
      <c r="K67" s="8">
        <v>0</v>
      </c>
      <c r="L67" s="8">
        <v>0</v>
      </c>
      <c r="M67" s="8">
        <v>0</v>
      </c>
      <c r="N67" s="8">
        <v>0</v>
      </c>
      <c r="O67" s="8">
        <v>59.69</v>
      </c>
      <c r="P67" s="8">
        <v>74.48</v>
      </c>
      <c r="R67" s="8">
        <v>0</v>
      </c>
      <c r="S67" s="8">
        <v>0</v>
      </c>
      <c r="T67" s="8">
        <v>0.03</v>
      </c>
      <c r="U67" s="8">
        <v>134.20000000000002</v>
      </c>
      <c r="V67" s="8">
        <f t="shared" si="2"/>
        <v>2865.8</v>
      </c>
      <c r="W67" s="8">
        <v>54.87</v>
      </c>
      <c r="X67" s="8">
        <v>98.77</v>
      </c>
      <c r="Y67" s="8">
        <v>313.41000000000003</v>
      </c>
      <c r="Z67" s="8">
        <v>252.71</v>
      </c>
      <c r="AA67" s="8">
        <v>60</v>
      </c>
      <c r="AB67" s="8">
        <v>24.98</v>
      </c>
      <c r="AC67" s="8">
        <v>467.05</v>
      </c>
      <c r="AD67" s="8">
        <v>156.78</v>
      </c>
      <c r="AE67" s="8">
        <v>221.36</v>
      </c>
      <c r="AF67" s="8">
        <v>110</v>
      </c>
      <c r="AG67" s="8">
        <f t="shared" si="1"/>
        <v>164.27554484722373</v>
      </c>
    </row>
    <row r="68" spans="1:33" s="8" customFormat="1" x14ac:dyDescent="0.2">
      <c r="A68" s="8" t="s">
        <v>219</v>
      </c>
      <c r="B68" s="8" t="s">
        <v>220</v>
      </c>
      <c r="C68" s="8">
        <v>15</v>
      </c>
      <c r="D68" s="8">
        <v>0</v>
      </c>
      <c r="E68" s="8">
        <v>166.67</v>
      </c>
      <c r="F68" s="8">
        <v>175.8</v>
      </c>
      <c r="G68" s="8">
        <v>2500.0500000000002</v>
      </c>
      <c r="H68" s="8">
        <v>0</v>
      </c>
      <c r="I68" s="8">
        <v>0</v>
      </c>
      <c r="J68" s="8">
        <v>2500.0500000000002</v>
      </c>
      <c r="K68" s="8">
        <v>0</v>
      </c>
      <c r="L68" s="8">
        <v>0</v>
      </c>
      <c r="M68" s="8">
        <v>0</v>
      </c>
      <c r="N68" s="9">
        <v>-9.6199999999999992</v>
      </c>
      <c r="O68" s="8">
        <v>0</v>
      </c>
      <c r="P68" s="8">
        <v>62.63</v>
      </c>
      <c r="R68" s="8">
        <v>0</v>
      </c>
      <c r="S68" s="8">
        <v>0</v>
      </c>
      <c r="T68" s="9">
        <v>-0.16</v>
      </c>
      <c r="U68" s="8">
        <v>52.850000000000009</v>
      </c>
      <c r="V68" s="8">
        <f t="shared" si="2"/>
        <v>2447.2000000000003</v>
      </c>
      <c r="W68" s="8">
        <v>46.15</v>
      </c>
      <c r="X68" s="8">
        <v>83.07</v>
      </c>
      <c r="Y68" s="8">
        <v>304.69</v>
      </c>
      <c r="Z68" s="8">
        <v>242.74</v>
      </c>
      <c r="AA68" s="8">
        <v>50</v>
      </c>
      <c r="AB68" s="8">
        <v>21.01</v>
      </c>
      <c r="AC68" s="8">
        <v>433.91</v>
      </c>
      <c r="AD68" s="8">
        <v>131.85</v>
      </c>
      <c r="AE68" s="8">
        <v>216.37</v>
      </c>
      <c r="AF68" s="8">
        <v>110</v>
      </c>
      <c r="AG68" s="8">
        <f t="shared" si="1"/>
        <v>136.89902529843388</v>
      </c>
    </row>
    <row r="69" spans="1:33" s="8" customFormat="1" x14ac:dyDescent="0.2">
      <c r="A69" s="8" t="s">
        <v>262</v>
      </c>
      <c r="B69" s="8" t="s">
        <v>263</v>
      </c>
      <c r="C69" s="8">
        <v>15</v>
      </c>
      <c r="D69" s="8">
        <v>0</v>
      </c>
      <c r="E69" s="8">
        <v>166.66</v>
      </c>
      <c r="F69" s="8">
        <v>174.19</v>
      </c>
      <c r="G69" s="8">
        <v>2499.9</v>
      </c>
      <c r="H69" s="8">
        <v>0</v>
      </c>
      <c r="I69" s="8">
        <v>0</v>
      </c>
      <c r="J69" s="8">
        <v>2499.9</v>
      </c>
      <c r="K69" s="8">
        <v>15</v>
      </c>
      <c r="L69" s="8">
        <v>398.9</v>
      </c>
      <c r="M69" s="8">
        <v>0</v>
      </c>
      <c r="N69" s="9">
        <v>-9.64</v>
      </c>
      <c r="O69" s="8">
        <v>0</v>
      </c>
      <c r="P69" s="8">
        <v>62.06</v>
      </c>
      <c r="R69" s="8">
        <v>0</v>
      </c>
      <c r="S69" s="8">
        <v>0</v>
      </c>
      <c r="T69" s="9">
        <v>-0.02</v>
      </c>
      <c r="U69" s="8">
        <v>466.3</v>
      </c>
      <c r="V69" s="8">
        <f t="shared" si="2"/>
        <v>2033.6000000000001</v>
      </c>
      <c r="W69" s="8">
        <v>45.73</v>
      </c>
      <c r="X69" s="8">
        <v>82.31</v>
      </c>
      <c r="Y69" s="8">
        <v>304.27</v>
      </c>
      <c r="Z69" s="8">
        <v>242.26</v>
      </c>
      <c r="AA69" s="8">
        <v>50</v>
      </c>
      <c r="AB69" s="8">
        <v>20.81</v>
      </c>
      <c r="AC69" s="8">
        <v>432.31</v>
      </c>
      <c r="AD69" s="8">
        <v>130.65</v>
      </c>
      <c r="AE69" s="8">
        <v>216.13</v>
      </c>
      <c r="AF69" s="8">
        <v>110</v>
      </c>
      <c r="AG69" s="8">
        <f t="shared" si="1"/>
        <v>136.89081152119152</v>
      </c>
    </row>
    <row r="70" spans="1:33" s="8" customFormat="1" x14ac:dyDescent="0.2">
      <c r="A70" s="8" t="s">
        <v>228</v>
      </c>
      <c r="B70" s="8" t="s">
        <v>229</v>
      </c>
      <c r="C70" s="8">
        <v>15</v>
      </c>
      <c r="D70" s="8">
        <v>0</v>
      </c>
      <c r="E70" s="8">
        <v>256.67</v>
      </c>
      <c r="F70" s="8">
        <v>272.20999999999998</v>
      </c>
      <c r="G70" s="8">
        <v>3850.05</v>
      </c>
      <c r="H70" s="8">
        <v>0</v>
      </c>
      <c r="I70" s="8">
        <v>0</v>
      </c>
      <c r="J70" s="8">
        <v>3850.05</v>
      </c>
      <c r="K70" s="8">
        <v>0</v>
      </c>
      <c r="L70" s="8">
        <v>0</v>
      </c>
      <c r="M70" s="8">
        <v>0</v>
      </c>
      <c r="N70" s="8">
        <v>0</v>
      </c>
      <c r="O70" s="8">
        <v>297.55</v>
      </c>
      <c r="P70" s="8">
        <v>98.1</v>
      </c>
      <c r="R70" s="8">
        <v>0</v>
      </c>
      <c r="S70" s="8">
        <v>0</v>
      </c>
      <c r="T70" s="8" t="s">
        <v>445</v>
      </c>
      <c r="U70" s="8">
        <v>395.65</v>
      </c>
      <c r="V70" s="8">
        <f t="shared" si="2"/>
        <v>3454.4</v>
      </c>
      <c r="W70" s="8">
        <v>71.459999999999994</v>
      </c>
      <c r="X70" s="8">
        <v>128.62</v>
      </c>
      <c r="Y70" s="8">
        <v>333.08</v>
      </c>
      <c r="Z70" s="8">
        <v>271.66000000000003</v>
      </c>
      <c r="AA70" s="8">
        <v>77</v>
      </c>
      <c r="AB70" s="8">
        <v>32.53</v>
      </c>
      <c r="AC70" s="8">
        <v>533.16</v>
      </c>
      <c r="AD70" s="8">
        <v>204.16</v>
      </c>
      <c r="AE70" s="8">
        <v>230.83</v>
      </c>
      <c r="AF70" s="8">
        <v>110</v>
      </c>
      <c r="AG70" s="8">
        <f t="shared" si="1"/>
        <v>210.8230204796846</v>
      </c>
    </row>
    <row r="71" spans="1:33" s="8" customFormat="1" x14ac:dyDescent="0.2">
      <c r="A71" s="8" t="s">
        <v>299</v>
      </c>
      <c r="B71" s="8" t="s">
        <v>300</v>
      </c>
      <c r="C71" s="8">
        <v>15</v>
      </c>
      <c r="D71" s="8">
        <v>0</v>
      </c>
      <c r="E71" s="8">
        <v>166.67</v>
      </c>
      <c r="F71" s="8">
        <v>174.2</v>
      </c>
      <c r="G71" s="8">
        <v>2500.0500000000002</v>
      </c>
      <c r="H71" s="8">
        <v>0</v>
      </c>
      <c r="I71" s="8">
        <v>0</v>
      </c>
      <c r="J71" s="8">
        <v>2500.0500000000002</v>
      </c>
      <c r="K71" s="8">
        <v>0</v>
      </c>
      <c r="L71" s="8">
        <v>0</v>
      </c>
      <c r="M71" s="8">
        <v>0</v>
      </c>
      <c r="N71" s="9">
        <v>-9.6199999999999992</v>
      </c>
      <c r="O71" s="8">
        <v>0</v>
      </c>
      <c r="P71" s="8">
        <v>62.06</v>
      </c>
      <c r="R71" s="8">
        <v>0</v>
      </c>
      <c r="S71" s="8">
        <v>0</v>
      </c>
      <c r="T71" s="8">
        <v>0.01</v>
      </c>
      <c r="U71" s="8">
        <v>52.45</v>
      </c>
      <c r="V71" s="8">
        <f t="shared" si="2"/>
        <v>2447.6000000000004</v>
      </c>
      <c r="W71" s="8">
        <v>45.73</v>
      </c>
      <c r="X71" s="8">
        <v>82.31</v>
      </c>
      <c r="Y71" s="8">
        <v>304.27</v>
      </c>
      <c r="Z71" s="8">
        <v>242.26</v>
      </c>
      <c r="AA71" s="8">
        <v>50</v>
      </c>
      <c r="AB71" s="8">
        <v>20.82</v>
      </c>
      <c r="AC71" s="8">
        <v>432.31</v>
      </c>
      <c r="AD71" s="8">
        <v>130.65</v>
      </c>
      <c r="AE71" s="8">
        <v>216.13</v>
      </c>
      <c r="AF71" s="8">
        <v>110</v>
      </c>
      <c r="AG71" s="8">
        <f t="shared" si="1"/>
        <v>136.89902529843388</v>
      </c>
    </row>
    <row r="72" spans="1:33" s="8" customFormat="1" x14ac:dyDescent="0.2">
      <c r="A72" s="8" t="s">
        <v>313</v>
      </c>
      <c r="B72" s="8" t="s">
        <v>314</v>
      </c>
      <c r="C72" s="8">
        <v>15</v>
      </c>
      <c r="D72" s="8">
        <v>0</v>
      </c>
      <c r="E72" s="8">
        <v>233.33</v>
      </c>
      <c r="F72" s="8">
        <v>243.88</v>
      </c>
      <c r="G72" s="8">
        <v>3499.95</v>
      </c>
      <c r="H72" s="8">
        <v>0</v>
      </c>
      <c r="I72" s="8">
        <v>0</v>
      </c>
      <c r="J72" s="8">
        <v>3499.95</v>
      </c>
      <c r="K72" s="8">
        <v>0</v>
      </c>
      <c r="L72" s="8">
        <v>0</v>
      </c>
      <c r="M72" s="8">
        <v>0</v>
      </c>
      <c r="N72" s="8">
        <v>0</v>
      </c>
      <c r="O72" s="8">
        <v>134.36000000000001</v>
      </c>
      <c r="P72" s="8">
        <v>86.88</v>
      </c>
      <c r="R72" s="8">
        <v>0</v>
      </c>
      <c r="S72" s="8">
        <v>0</v>
      </c>
      <c r="T72" s="9">
        <v>-0.09</v>
      </c>
      <c r="U72" s="8">
        <v>221.15</v>
      </c>
      <c r="V72" s="8">
        <f t="shared" si="2"/>
        <v>3278.7999999999997</v>
      </c>
      <c r="W72" s="8">
        <v>64.02</v>
      </c>
      <c r="X72" s="8">
        <v>115.23</v>
      </c>
      <c r="Y72" s="8">
        <v>322.56</v>
      </c>
      <c r="Z72" s="8">
        <v>263.16000000000003</v>
      </c>
      <c r="AA72" s="8">
        <v>70</v>
      </c>
      <c r="AB72" s="8">
        <v>29.14</v>
      </c>
      <c r="AC72" s="8">
        <v>501.81</v>
      </c>
      <c r="AD72" s="8">
        <v>182.91</v>
      </c>
      <c r="AE72" s="8">
        <v>226.58</v>
      </c>
      <c r="AF72" s="8">
        <v>110</v>
      </c>
      <c r="AG72" s="8">
        <f t="shared" si="1"/>
        <v>191.65206439601357</v>
      </c>
    </row>
    <row r="73" spans="1:33" s="8" customFormat="1" x14ac:dyDescent="0.2">
      <c r="A73" s="8" t="s">
        <v>213</v>
      </c>
      <c r="B73" s="8" t="s">
        <v>214</v>
      </c>
      <c r="C73" s="8">
        <v>15</v>
      </c>
      <c r="D73" s="8">
        <v>0</v>
      </c>
      <c r="E73" s="8">
        <v>233.33</v>
      </c>
      <c r="F73" s="8">
        <v>247.46</v>
      </c>
      <c r="G73" s="8">
        <v>3499.95</v>
      </c>
      <c r="H73" s="8">
        <v>0</v>
      </c>
      <c r="I73" s="8">
        <v>0</v>
      </c>
      <c r="J73" s="8">
        <v>3499.95</v>
      </c>
      <c r="K73" s="8">
        <v>15</v>
      </c>
      <c r="L73" s="8">
        <v>1401.51</v>
      </c>
      <c r="M73" s="8">
        <v>0</v>
      </c>
      <c r="N73" s="8">
        <v>0</v>
      </c>
      <c r="O73" s="8">
        <v>134.36000000000001</v>
      </c>
      <c r="P73" s="8">
        <v>88.16</v>
      </c>
      <c r="R73" s="8">
        <v>0</v>
      </c>
      <c r="S73" s="8">
        <v>0</v>
      </c>
      <c r="T73" s="8">
        <v>0.12</v>
      </c>
      <c r="U73" s="8">
        <v>1639.1499999999999</v>
      </c>
      <c r="V73" s="8">
        <f t="shared" si="2"/>
        <v>1860.8</v>
      </c>
      <c r="W73" s="8">
        <v>64.959999999999994</v>
      </c>
      <c r="X73" s="8">
        <v>116.92</v>
      </c>
      <c r="Y73" s="8">
        <v>323.5</v>
      </c>
      <c r="Z73" s="8">
        <v>264.24</v>
      </c>
      <c r="AA73" s="8">
        <v>70</v>
      </c>
      <c r="AB73" s="8">
        <v>29.57</v>
      </c>
      <c r="AC73" s="8">
        <v>505.38</v>
      </c>
      <c r="AD73" s="8">
        <v>185.6</v>
      </c>
      <c r="AE73" s="8">
        <v>227.12</v>
      </c>
      <c r="AF73" s="8">
        <v>110</v>
      </c>
      <c r="AG73" s="8">
        <f t="shared" si="1"/>
        <v>191.65206439601357</v>
      </c>
    </row>
    <row r="74" spans="1:33" s="8" customFormat="1" x14ac:dyDescent="0.2">
      <c r="A74" s="8" t="s">
        <v>293</v>
      </c>
      <c r="B74" s="8" t="s">
        <v>294</v>
      </c>
      <c r="C74" s="8">
        <v>15</v>
      </c>
      <c r="D74" s="8">
        <v>0</v>
      </c>
      <c r="E74" s="8">
        <v>210</v>
      </c>
      <c r="F74" s="8">
        <v>222.72</v>
      </c>
      <c r="G74" s="8">
        <v>3150</v>
      </c>
      <c r="H74" s="8">
        <v>0</v>
      </c>
      <c r="I74" s="8">
        <v>0</v>
      </c>
      <c r="J74" s="8">
        <v>3150</v>
      </c>
      <c r="K74" s="8">
        <v>0</v>
      </c>
      <c r="L74" s="8">
        <v>0</v>
      </c>
      <c r="M74" s="8">
        <v>0</v>
      </c>
      <c r="N74" s="8">
        <v>0</v>
      </c>
      <c r="O74" s="8">
        <v>96.29</v>
      </c>
      <c r="P74" s="8">
        <v>79.34</v>
      </c>
      <c r="R74" s="8">
        <v>0</v>
      </c>
      <c r="S74" s="8">
        <v>0</v>
      </c>
      <c r="T74" s="8">
        <v>0.17</v>
      </c>
      <c r="U74" s="8">
        <v>175.79999999999998</v>
      </c>
      <c r="V74" s="8">
        <f t="shared" ref="V74:V91" si="3">+J74-U74</f>
        <v>2974.2</v>
      </c>
      <c r="W74" s="8">
        <v>58.46</v>
      </c>
      <c r="X74" s="8">
        <v>105.24</v>
      </c>
      <c r="Y74" s="8">
        <v>317.01</v>
      </c>
      <c r="Z74" s="8">
        <v>256.82</v>
      </c>
      <c r="AA74" s="8">
        <v>63</v>
      </c>
      <c r="AB74" s="8">
        <v>26.61</v>
      </c>
      <c r="AC74" s="8">
        <v>480.71</v>
      </c>
      <c r="AD74" s="8">
        <v>167.04</v>
      </c>
      <c r="AE74" s="8">
        <v>223.41</v>
      </c>
      <c r="AF74" s="8">
        <v>110</v>
      </c>
      <c r="AG74" s="8">
        <f t="shared" si="1"/>
        <v>172.48932208958493</v>
      </c>
    </row>
    <row r="75" spans="1:33" s="8" customFormat="1" x14ac:dyDescent="0.2">
      <c r="A75" s="8" t="s">
        <v>222</v>
      </c>
      <c r="B75" s="8" t="s">
        <v>223</v>
      </c>
      <c r="C75" s="8">
        <v>15</v>
      </c>
      <c r="D75" s="8">
        <v>0</v>
      </c>
      <c r="E75" s="8">
        <v>210</v>
      </c>
      <c r="F75" s="8">
        <v>222.72</v>
      </c>
      <c r="G75" s="8">
        <v>3150</v>
      </c>
      <c r="H75" s="8">
        <v>0</v>
      </c>
      <c r="I75" s="8">
        <v>0</v>
      </c>
      <c r="J75" s="8">
        <v>3150</v>
      </c>
      <c r="K75" s="8">
        <v>15</v>
      </c>
      <c r="L75" s="8">
        <v>0</v>
      </c>
      <c r="M75" s="8">
        <v>303.54000000000002</v>
      </c>
      <c r="N75" s="8">
        <v>0</v>
      </c>
      <c r="O75" s="8">
        <v>96.29</v>
      </c>
      <c r="P75" s="8">
        <v>79.34</v>
      </c>
      <c r="R75" s="8">
        <v>0</v>
      </c>
      <c r="S75" s="8">
        <v>0</v>
      </c>
      <c r="T75" s="8">
        <v>0.03</v>
      </c>
      <c r="U75" s="8">
        <v>494.20000000000005</v>
      </c>
      <c r="V75" s="8">
        <f t="shared" si="3"/>
        <v>2655.8</v>
      </c>
      <c r="W75" s="8">
        <v>58.46</v>
      </c>
      <c r="X75" s="8">
        <v>105.24</v>
      </c>
      <c r="Y75" s="8">
        <v>317.01</v>
      </c>
      <c r="Z75" s="8">
        <v>256.82</v>
      </c>
      <c r="AA75" s="8">
        <v>63</v>
      </c>
      <c r="AB75" s="8">
        <v>26.61</v>
      </c>
      <c r="AC75" s="8">
        <v>480.71</v>
      </c>
      <c r="AD75" s="8">
        <v>167.04</v>
      </c>
      <c r="AE75" s="8">
        <v>223.41</v>
      </c>
      <c r="AF75" s="8">
        <v>110</v>
      </c>
      <c r="AG75" s="8">
        <f t="shared" ref="AG75:AG91" si="4">((20/365.24)*15)*E75</f>
        <v>172.48932208958493</v>
      </c>
    </row>
    <row r="76" spans="1:33" s="8" customFormat="1" x14ac:dyDescent="0.2">
      <c r="A76" s="8" t="s">
        <v>101</v>
      </c>
      <c r="B76" s="8" t="s">
        <v>102</v>
      </c>
      <c r="C76" s="8">
        <v>15</v>
      </c>
      <c r="D76" s="8">
        <v>0</v>
      </c>
      <c r="E76" s="8">
        <v>210</v>
      </c>
      <c r="F76" s="8">
        <v>222.72</v>
      </c>
      <c r="G76" s="8">
        <v>3150</v>
      </c>
      <c r="H76" s="8">
        <v>0</v>
      </c>
      <c r="I76" s="8">
        <v>0</v>
      </c>
      <c r="J76" s="8">
        <v>3150</v>
      </c>
      <c r="K76" s="8">
        <v>0</v>
      </c>
      <c r="L76" s="8">
        <v>0</v>
      </c>
      <c r="M76" s="8">
        <v>0</v>
      </c>
      <c r="N76" s="8">
        <v>0</v>
      </c>
      <c r="O76" s="8">
        <v>96.29</v>
      </c>
      <c r="P76" s="8">
        <v>79.34</v>
      </c>
      <c r="R76" s="8">
        <v>0</v>
      </c>
      <c r="S76" s="8">
        <v>0</v>
      </c>
      <c r="T76" s="9">
        <v>-0.03</v>
      </c>
      <c r="U76" s="8">
        <v>175.6</v>
      </c>
      <c r="V76" s="8">
        <f t="shared" si="3"/>
        <v>2974.4</v>
      </c>
      <c r="W76" s="8">
        <v>58.46</v>
      </c>
      <c r="X76" s="8">
        <v>105.24</v>
      </c>
      <c r="Y76" s="8">
        <v>317.01</v>
      </c>
      <c r="Z76" s="8">
        <v>256.82</v>
      </c>
      <c r="AA76" s="8">
        <v>63</v>
      </c>
      <c r="AB76" s="8">
        <v>26.61</v>
      </c>
      <c r="AC76" s="8">
        <v>480.71</v>
      </c>
      <c r="AD76" s="8">
        <v>167.04</v>
      </c>
      <c r="AE76" s="8">
        <v>223.41</v>
      </c>
      <c r="AF76" s="8">
        <v>110</v>
      </c>
      <c r="AG76" s="8">
        <f t="shared" si="4"/>
        <v>172.48932208958493</v>
      </c>
    </row>
    <row r="77" spans="1:33" s="8" customFormat="1" x14ac:dyDescent="0.2">
      <c r="A77" s="8" t="s">
        <v>120</v>
      </c>
      <c r="B77" s="8" t="s">
        <v>121</v>
      </c>
      <c r="C77" s="8">
        <v>15</v>
      </c>
      <c r="D77" s="8">
        <v>0</v>
      </c>
      <c r="E77" s="8">
        <v>210</v>
      </c>
      <c r="F77" s="8">
        <v>222.72</v>
      </c>
      <c r="G77" s="8">
        <v>3150</v>
      </c>
      <c r="H77" s="8">
        <v>0</v>
      </c>
      <c r="I77" s="8">
        <v>0</v>
      </c>
      <c r="J77" s="8">
        <v>3150</v>
      </c>
      <c r="K77" s="8">
        <v>15</v>
      </c>
      <c r="L77" s="8">
        <v>0</v>
      </c>
      <c r="M77" s="8">
        <v>942.33</v>
      </c>
      <c r="N77" s="8">
        <v>0</v>
      </c>
      <c r="O77" s="8">
        <v>96.29</v>
      </c>
      <c r="P77" s="8">
        <v>79.34</v>
      </c>
      <c r="R77" s="8">
        <v>0</v>
      </c>
      <c r="S77" s="8">
        <v>0</v>
      </c>
      <c r="T77" s="8">
        <v>0.04</v>
      </c>
      <c r="U77" s="8">
        <v>1133</v>
      </c>
      <c r="V77" s="8">
        <f t="shared" si="3"/>
        <v>2017</v>
      </c>
      <c r="W77" s="8">
        <v>58.46</v>
      </c>
      <c r="X77" s="8">
        <v>105.24</v>
      </c>
      <c r="Y77" s="8">
        <v>317.01</v>
      </c>
      <c r="Z77" s="8">
        <v>256.82</v>
      </c>
      <c r="AA77" s="8">
        <v>63</v>
      </c>
      <c r="AB77" s="8">
        <v>26.61</v>
      </c>
      <c r="AC77" s="8">
        <v>480.71</v>
      </c>
      <c r="AD77" s="8">
        <v>167.04</v>
      </c>
      <c r="AE77" s="8">
        <v>223.41</v>
      </c>
      <c r="AF77" s="8">
        <v>110</v>
      </c>
      <c r="AG77" s="8">
        <f t="shared" si="4"/>
        <v>172.48932208958493</v>
      </c>
    </row>
    <row r="78" spans="1:33" s="8" customFormat="1" x14ac:dyDescent="0.2">
      <c r="A78" s="8" t="s">
        <v>166</v>
      </c>
      <c r="B78" s="8" t="s">
        <v>167</v>
      </c>
      <c r="C78" s="8">
        <v>15</v>
      </c>
      <c r="D78" s="8">
        <v>0</v>
      </c>
      <c r="E78" s="8">
        <v>200</v>
      </c>
      <c r="F78" s="8">
        <v>209.04</v>
      </c>
      <c r="G78" s="8">
        <v>3000</v>
      </c>
      <c r="H78" s="8">
        <v>0</v>
      </c>
      <c r="I78" s="8">
        <v>0</v>
      </c>
      <c r="J78" s="8">
        <v>3000</v>
      </c>
      <c r="K78" s="8">
        <v>15</v>
      </c>
      <c r="L78" s="8">
        <v>0</v>
      </c>
      <c r="M78" s="8">
        <v>1575.59</v>
      </c>
      <c r="N78" s="8">
        <v>0</v>
      </c>
      <c r="O78" s="8">
        <v>59.69</v>
      </c>
      <c r="P78" s="8">
        <v>74.48</v>
      </c>
      <c r="R78" s="8">
        <v>0</v>
      </c>
      <c r="S78" s="8">
        <v>0</v>
      </c>
      <c r="T78" s="8">
        <v>0.04</v>
      </c>
      <c r="U78" s="8">
        <v>1724.8</v>
      </c>
      <c r="V78" s="8">
        <f t="shared" si="3"/>
        <v>1275.2</v>
      </c>
      <c r="W78" s="8">
        <v>54.87</v>
      </c>
      <c r="X78" s="8">
        <v>98.77</v>
      </c>
      <c r="Y78" s="8">
        <v>313.41000000000003</v>
      </c>
      <c r="Z78" s="8">
        <v>252.71</v>
      </c>
      <c r="AA78" s="8">
        <v>60</v>
      </c>
      <c r="AB78" s="8">
        <v>24.98</v>
      </c>
      <c r="AC78" s="8">
        <v>467.05</v>
      </c>
      <c r="AD78" s="8">
        <v>156.78</v>
      </c>
      <c r="AE78" s="8">
        <v>221.36</v>
      </c>
      <c r="AF78" s="8">
        <v>110</v>
      </c>
      <c r="AG78" s="8">
        <f t="shared" si="4"/>
        <v>164.27554484722373</v>
      </c>
    </row>
    <row r="79" spans="1:33" s="8" customFormat="1" x14ac:dyDescent="0.2">
      <c r="A79" s="8" t="s">
        <v>190</v>
      </c>
      <c r="B79" s="8" t="s">
        <v>191</v>
      </c>
      <c r="C79" s="8">
        <v>15</v>
      </c>
      <c r="D79" s="8">
        <v>0</v>
      </c>
      <c r="E79" s="8">
        <v>200</v>
      </c>
      <c r="F79" s="8">
        <v>209.04</v>
      </c>
      <c r="G79" s="8">
        <v>3000</v>
      </c>
      <c r="H79" s="8">
        <v>0</v>
      </c>
      <c r="I79" s="8">
        <v>0</v>
      </c>
      <c r="J79" s="8">
        <v>3000</v>
      </c>
      <c r="K79" s="8">
        <v>0</v>
      </c>
      <c r="L79" s="8">
        <v>0</v>
      </c>
      <c r="M79" s="8">
        <v>0</v>
      </c>
      <c r="N79" s="8">
        <v>0</v>
      </c>
      <c r="O79" s="8">
        <v>59.69</v>
      </c>
      <c r="P79" s="8">
        <v>74.48</v>
      </c>
      <c r="R79" s="8">
        <v>0</v>
      </c>
      <c r="S79" s="8">
        <v>0</v>
      </c>
      <c r="T79" s="8">
        <v>0.03</v>
      </c>
      <c r="U79" s="8">
        <v>134.20000000000002</v>
      </c>
      <c r="V79" s="8">
        <f t="shared" si="3"/>
        <v>2865.8</v>
      </c>
      <c r="W79" s="8">
        <v>54.87</v>
      </c>
      <c r="X79" s="8">
        <v>98.77</v>
      </c>
      <c r="Y79" s="8">
        <v>313.41000000000003</v>
      </c>
      <c r="Z79" s="8">
        <v>252.71</v>
      </c>
      <c r="AA79" s="8">
        <v>60</v>
      </c>
      <c r="AB79" s="8">
        <v>24.98</v>
      </c>
      <c r="AC79" s="8">
        <v>467.05</v>
      </c>
      <c r="AD79" s="8">
        <v>156.78</v>
      </c>
      <c r="AE79" s="8">
        <v>221.36</v>
      </c>
      <c r="AF79" s="8">
        <v>110</v>
      </c>
      <c r="AG79" s="8">
        <f t="shared" si="4"/>
        <v>164.27554484722373</v>
      </c>
    </row>
    <row r="80" spans="1:33" s="8" customFormat="1" x14ac:dyDescent="0.2">
      <c r="A80" s="8" t="s">
        <v>104</v>
      </c>
      <c r="B80" s="8" t="s">
        <v>105</v>
      </c>
      <c r="C80" s="8">
        <v>15</v>
      </c>
      <c r="D80" s="8">
        <v>0</v>
      </c>
      <c r="E80" s="8">
        <v>200</v>
      </c>
      <c r="F80" s="8">
        <v>212.11</v>
      </c>
      <c r="G80" s="8">
        <v>3000</v>
      </c>
      <c r="H80" s="8">
        <v>0</v>
      </c>
      <c r="I80" s="8">
        <v>0</v>
      </c>
      <c r="J80" s="8">
        <v>3000</v>
      </c>
      <c r="K80" s="8">
        <v>15</v>
      </c>
      <c r="L80" s="8">
        <v>0</v>
      </c>
      <c r="M80" s="8">
        <v>466.28</v>
      </c>
      <c r="N80" s="8">
        <v>0</v>
      </c>
      <c r="O80" s="8">
        <v>59.69</v>
      </c>
      <c r="P80" s="8">
        <v>75.56</v>
      </c>
      <c r="R80" s="8">
        <v>0</v>
      </c>
      <c r="S80" s="8">
        <v>0</v>
      </c>
      <c r="T80" s="8">
        <v>7.0000000000000007E-2</v>
      </c>
      <c r="U80" s="8">
        <v>616.6</v>
      </c>
      <c r="V80" s="8">
        <f t="shared" si="3"/>
        <v>2383.4</v>
      </c>
      <c r="W80" s="8">
        <v>55.68</v>
      </c>
      <c r="X80" s="8">
        <v>100.22</v>
      </c>
      <c r="Y80" s="8">
        <v>314.22000000000003</v>
      </c>
      <c r="Z80" s="8">
        <v>253.63</v>
      </c>
      <c r="AA80" s="8">
        <v>60</v>
      </c>
      <c r="AB80" s="8">
        <v>25.34</v>
      </c>
      <c r="AC80" s="8">
        <v>470.12</v>
      </c>
      <c r="AD80" s="8">
        <v>159.08000000000001</v>
      </c>
      <c r="AE80" s="8">
        <v>221.82</v>
      </c>
      <c r="AF80" s="8">
        <v>110</v>
      </c>
      <c r="AG80" s="8">
        <f t="shared" si="4"/>
        <v>164.27554484722373</v>
      </c>
    </row>
    <row r="81" spans="1:33" s="8" customFormat="1" x14ac:dyDescent="0.2">
      <c r="A81" s="8" t="s">
        <v>210</v>
      </c>
      <c r="B81" s="8" t="s">
        <v>211</v>
      </c>
      <c r="C81" s="8">
        <v>15</v>
      </c>
      <c r="D81" s="8">
        <v>0</v>
      </c>
      <c r="E81" s="8">
        <v>116.67</v>
      </c>
      <c r="F81" s="8">
        <v>123.73</v>
      </c>
      <c r="G81" s="8">
        <v>1750.05</v>
      </c>
      <c r="H81" s="8">
        <v>0</v>
      </c>
      <c r="I81" s="8">
        <v>0</v>
      </c>
      <c r="J81" s="8">
        <v>1750.05</v>
      </c>
      <c r="K81" s="8">
        <v>15</v>
      </c>
      <c r="L81" s="8">
        <v>0</v>
      </c>
      <c r="M81" s="8">
        <v>836.5</v>
      </c>
      <c r="N81" s="9">
        <v>-89.5</v>
      </c>
      <c r="O81" s="8">
        <v>0</v>
      </c>
      <c r="P81" s="8">
        <v>44.08</v>
      </c>
      <c r="R81" s="8">
        <v>0</v>
      </c>
      <c r="S81" s="8">
        <v>0</v>
      </c>
      <c r="T81" s="9">
        <v>-0.03</v>
      </c>
      <c r="U81" s="8">
        <v>806.05000000000007</v>
      </c>
      <c r="V81" s="8">
        <f t="shared" si="3"/>
        <v>943.99999999999989</v>
      </c>
      <c r="W81" s="8">
        <v>32.479999999999997</v>
      </c>
      <c r="X81" s="8">
        <v>58.46</v>
      </c>
      <c r="Y81" s="8">
        <v>291.02</v>
      </c>
      <c r="Z81" s="8">
        <v>227.12</v>
      </c>
      <c r="AA81" s="8">
        <v>35</v>
      </c>
      <c r="AB81" s="8">
        <v>14.78</v>
      </c>
      <c r="AC81" s="8">
        <v>381.96</v>
      </c>
      <c r="AD81" s="8">
        <v>92.8</v>
      </c>
      <c r="AE81" s="8">
        <v>208.56</v>
      </c>
      <c r="AF81" s="8">
        <v>110</v>
      </c>
      <c r="AG81" s="8">
        <f t="shared" si="4"/>
        <v>95.830139086627966</v>
      </c>
    </row>
    <row r="82" spans="1:33" s="8" customFormat="1" x14ac:dyDescent="0.2">
      <c r="A82" s="8" t="s">
        <v>322</v>
      </c>
      <c r="B82" s="8" t="s">
        <v>323</v>
      </c>
      <c r="C82" s="8">
        <v>15</v>
      </c>
      <c r="D82" s="8">
        <v>0</v>
      </c>
      <c r="E82" s="8">
        <v>116.67</v>
      </c>
      <c r="F82" s="8">
        <v>123.73</v>
      </c>
      <c r="G82" s="8">
        <v>1750.05</v>
      </c>
      <c r="H82" s="8">
        <v>0</v>
      </c>
      <c r="I82" s="8">
        <v>0</v>
      </c>
      <c r="J82" s="8">
        <v>1750.05</v>
      </c>
      <c r="K82" s="8">
        <v>15</v>
      </c>
      <c r="L82" s="8">
        <v>721.52</v>
      </c>
      <c r="M82" s="8">
        <v>0</v>
      </c>
      <c r="N82" s="9">
        <v>-89.5</v>
      </c>
      <c r="O82" s="8">
        <v>0</v>
      </c>
      <c r="P82" s="8">
        <v>44.08</v>
      </c>
      <c r="R82" s="8">
        <v>0</v>
      </c>
      <c r="S82" s="8">
        <v>0</v>
      </c>
      <c r="T82" s="9">
        <v>-0.05</v>
      </c>
      <c r="U82" s="8">
        <v>691.05000000000007</v>
      </c>
      <c r="V82" s="8">
        <f t="shared" si="3"/>
        <v>1059</v>
      </c>
      <c r="W82" s="8">
        <v>32.479999999999997</v>
      </c>
      <c r="X82" s="8">
        <v>58.46</v>
      </c>
      <c r="Y82" s="8">
        <v>291.02</v>
      </c>
      <c r="Z82" s="8">
        <v>227.12</v>
      </c>
      <c r="AA82" s="8">
        <v>35</v>
      </c>
      <c r="AB82" s="8">
        <v>14.78</v>
      </c>
      <c r="AC82" s="8">
        <v>381.96</v>
      </c>
      <c r="AD82" s="8">
        <v>92.8</v>
      </c>
      <c r="AE82" s="8">
        <v>208.56</v>
      </c>
      <c r="AF82" s="8">
        <v>110</v>
      </c>
      <c r="AG82" s="8">
        <f t="shared" si="4"/>
        <v>95.830139086627966</v>
      </c>
    </row>
    <row r="83" spans="1:33" s="8" customFormat="1" x14ac:dyDescent="0.2">
      <c r="A83" s="8" t="s">
        <v>277</v>
      </c>
      <c r="B83" s="8" t="s">
        <v>278</v>
      </c>
      <c r="C83" s="8">
        <v>15</v>
      </c>
      <c r="D83" s="8">
        <v>0</v>
      </c>
      <c r="E83" s="8">
        <v>210</v>
      </c>
      <c r="F83" s="8">
        <v>222.72</v>
      </c>
      <c r="G83" s="8">
        <v>3150</v>
      </c>
      <c r="H83" s="8">
        <v>0</v>
      </c>
      <c r="I83" s="8">
        <v>0</v>
      </c>
      <c r="J83" s="8">
        <v>3150</v>
      </c>
      <c r="K83" s="8">
        <v>0</v>
      </c>
      <c r="L83" s="8">
        <v>0</v>
      </c>
      <c r="M83" s="8">
        <v>0</v>
      </c>
      <c r="N83" s="8">
        <v>0</v>
      </c>
      <c r="O83" s="8">
        <v>96.29</v>
      </c>
      <c r="P83" s="8">
        <v>79.34</v>
      </c>
      <c r="R83" s="8">
        <v>0</v>
      </c>
      <c r="S83" s="8">
        <v>0</v>
      </c>
      <c r="T83" s="8">
        <v>0.17</v>
      </c>
      <c r="U83" s="8">
        <v>175.79999999999998</v>
      </c>
      <c r="V83" s="8">
        <f t="shared" si="3"/>
        <v>2974.2</v>
      </c>
      <c r="W83" s="8">
        <v>58.46</v>
      </c>
      <c r="X83" s="8">
        <v>105.24</v>
      </c>
      <c r="Y83" s="8">
        <v>317.01</v>
      </c>
      <c r="Z83" s="8">
        <v>256.82</v>
      </c>
      <c r="AA83" s="8">
        <v>63</v>
      </c>
      <c r="AB83" s="8">
        <v>26.61</v>
      </c>
      <c r="AC83" s="8">
        <v>480.71</v>
      </c>
      <c r="AD83" s="8">
        <v>167.04</v>
      </c>
      <c r="AE83" s="8">
        <v>223.41</v>
      </c>
      <c r="AF83" s="8">
        <v>110</v>
      </c>
      <c r="AG83" s="8">
        <f t="shared" si="4"/>
        <v>172.48932208958493</v>
      </c>
    </row>
    <row r="84" spans="1:33" s="8" customFormat="1" x14ac:dyDescent="0.2">
      <c r="A84" s="8" t="s">
        <v>139</v>
      </c>
      <c r="B84" s="8" t="s">
        <v>140</v>
      </c>
      <c r="C84" s="8">
        <v>15</v>
      </c>
      <c r="D84" s="8">
        <v>0</v>
      </c>
      <c r="E84" s="8">
        <v>233.33</v>
      </c>
      <c r="F84" s="8">
        <v>247.46</v>
      </c>
      <c r="G84" s="8">
        <v>3499.95</v>
      </c>
      <c r="H84" s="8">
        <v>0</v>
      </c>
      <c r="I84" s="8">
        <v>0</v>
      </c>
      <c r="J84" s="8">
        <v>3499.95</v>
      </c>
      <c r="K84" s="8">
        <v>0</v>
      </c>
      <c r="L84" s="8">
        <v>0</v>
      </c>
      <c r="M84" s="8">
        <v>0</v>
      </c>
      <c r="N84" s="8">
        <v>0</v>
      </c>
      <c r="O84" s="8">
        <v>134.36000000000001</v>
      </c>
      <c r="P84" s="8">
        <v>88.16</v>
      </c>
      <c r="R84" s="8">
        <v>0</v>
      </c>
      <c r="S84" s="8">
        <v>0</v>
      </c>
      <c r="T84" s="8">
        <v>0.03</v>
      </c>
      <c r="U84" s="8">
        <v>222.55</v>
      </c>
      <c r="V84" s="8">
        <f t="shared" si="3"/>
        <v>3277.3999999999996</v>
      </c>
      <c r="W84" s="8">
        <v>64.959999999999994</v>
      </c>
      <c r="X84" s="8">
        <v>116.92</v>
      </c>
      <c r="Y84" s="8">
        <v>323.5</v>
      </c>
      <c r="Z84" s="8">
        <v>264.24</v>
      </c>
      <c r="AA84" s="8">
        <v>70</v>
      </c>
      <c r="AB84" s="8">
        <v>29.57</v>
      </c>
      <c r="AC84" s="8">
        <v>505.38</v>
      </c>
      <c r="AD84" s="8">
        <v>185.6</v>
      </c>
      <c r="AE84" s="8">
        <v>227.12</v>
      </c>
      <c r="AF84" s="8">
        <v>110</v>
      </c>
      <c r="AG84" s="8">
        <f t="shared" si="4"/>
        <v>191.65206439601357</v>
      </c>
    </row>
    <row r="85" spans="1:33" s="8" customFormat="1" x14ac:dyDescent="0.2">
      <c r="A85" s="8" t="s">
        <v>169</v>
      </c>
      <c r="B85" s="8" t="s">
        <v>170</v>
      </c>
      <c r="C85" s="8">
        <v>15</v>
      </c>
      <c r="D85" s="8">
        <v>0</v>
      </c>
      <c r="E85" s="8">
        <v>210</v>
      </c>
      <c r="F85" s="8">
        <v>219.49</v>
      </c>
      <c r="G85" s="8">
        <v>3150</v>
      </c>
      <c r="H85" s="8">
        <v>0</v>
      </c>
      <c r="I85" s="8">
        <v>0</v>
      </c>
      <c r="J85" s="8">
        <v>3150</v>
      </c>
      <c r="K85" s="8">
        <v>15</v>
      </c>
      <c r="L85" s="8">
        <v>1073.1400000000001</v>
      </c>
      <c r="M85" s="8">
        <v>0</v>
      </c>
      <c r="N85" s="8">
        <v>0</v>
      </c>
      <c r="O85" s="8">
        <v>96.29</v>
      </c>
      <c r="P85" s="8">
        <v>78.2</v>
      </c>
      <c r="R85" s="8">
        <v>0</v>
      </c>
      <c r="S85" s="8">
        <v>0</v>
      </c>
      <c r="T85" s="9">
        <v>-0.03</v>
      </c>
      <c r="U85" s="8">
        <v>1262.6000000000001</v>
      </c>
      <c r="V85" s="8">
        <f t="shared" si="3"/>
        <v>1887.3999999999999</v>
      </c>
      <c r="W85" s="8">
        <v>57.62</v>
      </c>
      <c r="X85" s="8">
        <v>103.71</v>
      </c>
      <c r="Y85" s="8">
        <v>316.16000000000003</v>
      </c>
      <c r="Z85" s="8">
        <v>255.85</v>
      </c>
      <c r="AA85" s="8">
        <v>63</v>
      </c>
      <c r="AB85" s="8">
        <v>26.23</v>
      </c>
      <c r="AC85" s="8">
        <v>477.49</v>
      </c>
      <c r="AD85" s="8">
        <v>164.62</v>
      </c>
      <c r="AE85" s="8">
        <v>222.92</v>
      </c>
      <c r="AF85" s="8">
        <v>110</v>
      </c>
      <c r="AG85" s="8">
        <f t="shared" si="4"/>
        <v>172.48932208958493</v>
      </c>
    </row>
    <row r="86" spans="1:33" s="8" customFormat="1" x14ac:dyDescent="0.2">
      <c r="A86" s="8" t="s">
        <v>94</v>
      </c>
      <c r="B86" s="8" t="s">
        <v>96</v>
      </c>
      <c r="C86" s="8">
        <v>15</v>
      </c>
      <c r="D86" s="8">
        <v>0</v>
      </c>
      <c r="E86" s="8">
        <v>200</v>
      </c>
      <c r="F86" s="8">
        <v>212.11</v>
      </c>
      <c r="G86" s="8">
        <v>3000</v>
      </c>
      <c r="H86" s="8">
        <v>0</v>
      </c>
      <c r="I86" s="8">
        <v>0</v>
      </c>
      <c r="J86" s="8">
        <v>3000</v>
      </c>
      <c r="K86" s="8">
        <v>0</v>
      </c>
      <c r="L86" s="8">
        <v>0</v>
      </c>
      <c r="M86" s="8">
        <v>0</v>
      </c>
      <c r="N86" s="8">
        <v>0</v>
      </c>
      <c r="O86" s="8">
        <v>59.69</v>
      </c>
      <c r="P86" s="8">
        <v>75.56</v>
      </c>
      <c r="R86" s="8">
        <v>0</v>
      </c>
      <c r="S86" s="8">
        <v>0</v>
      </c>
      <c r="T86" s="9">
        <v>-0.05</v>
      </c>
      <c r="U86" s="8">
        <v>135.19999999999999</v>
      </c>
      <c r="V86" s="8">
        <f t="shared" si="3"/>
        <v>2864.8</v>
      </c>
      <c r="W86" s="8">
        <v>55.68</v>
      </c>
      <c r="X86" s="8">
        <v>100.22</v>
      </c>
      <c r="Y86" s="8">
        <v>314.22000000000003</v>
      </c>
      <c r="Z86" s="8">
        <v>253.63</v>
      </c>
      <c r="AA86" s="8">
        <v>60</v>
      </c>
      <c r="AB86" s="8">
        <v>25.34</v>
      </c>
      <c r="AC86" s="8">
        <v>470.12</v>
      </c>
      <c r="AD86" s="8">
        <v>159.08000000000001</v>
      </c>
      <c r="AE86" s="8">
        <v>221.82</v>
      </c>
      <c r="AF86" s="8">
        <v>110</v>
      </c>
      <c r="AG86" s="8">
        <f t="shared" si="4"/>
        <v>164.27554484722373</v>
      </c>
    </row>
    <row r="87" spans="1:33" s="8" customFormat="1" x14ac:dyDescent="0.2">
      <c r="A87" s="8" t="s">
        <v>343</v>
      </c>
      <c r="B87" s="8" t="s">
        <v>344</v>
      </c>
      <c r="C87" s="8">
        <v>15</v>
      </c>
      <c r="D87" s="8">
        <v>0</v>
      </c>
      <c r="E87" s="8">
        <v>200</v>
      </c>
      <c r="F87" s="8">
        <v>212.11</v>
      </c>
      <c r="G87" s="8">
        <v>3000</v>
      </c>
      <c r="H87" s="8">
        <v>0</v>
      </c>
      <c r="I87" s="8">
        <v>0</v>
      </c>
      <c r="J87" s="8">
        <v>3000</v>
      </c>
      <c r="K87" s="8">
        <v>15</v>
      </c>
      <c r="L87" s="8">
        <v>604.79</v>
      </c>
      <c r="M87" s="8">
        <v>0</v>
      </c>
      <c r="N87" s="8">
        <v>0</v>
      </c>
      <c r="O87" s="8">
        <v>59.69</v>
      </c>
      <c r="P87" s="8">
        <v>75.56</v>
      </c>
      <c r="R87" s="8">
        <v>636.6</v>
      </c>
      <c r="S87" s="8">
        <v>0</v>
      </c>
      <c r="T87" s="9">
        <v>-0.04</v>
      </c>
      <c r="U87" s="8">
        <v>1391.6</v>
      </c>
      <c r="V87" s="8">
        <f t="shared" si="3"/>
        <v>1608.4</v>
      </c>
      <c r="W87" s="8">
        <v>55.68</v>
      </c>
      <c r="X87" s="8">
        <v>100.22</v>
      </c>
      <c r="Y87" s="8">
        <v>314.22000000000003</v>
      </c>
      <c r="Z87" s="8">
        <v>253.63</v>
      </c>
      <c r="AA87" s="8">
        <v>60</v>
      </c>
      <c r="AB87" s="8">
        <v>25.34</v>
      </c>
      <c r="AC87" s="8">
        <v>470.12</v>
      </c>
      <c r="AD87" s="8">
        <v>159.08000000000001</v>
      </c>
      <c r="AE87" s="8">
        <v>221.82</v>
      </c>
      <c r="AF87" s="8">
        <v>110</v>
      </c>
      <c r="AG87" s="8">
        <f t="shared" si="4"/>
        <v>164.27554484722373</v>
      </c>
    </row>
    <row r="88" spans="1:33" s="8" customFormat="1" x14ac:dyDescent="0.2">
      <c r="A88" s="8" t="s">
        <v>384</v>
      </c>
      <c r="B88" s="8" t="s">
        <v>350</v>
      </c>
      <c r="C88" s="8">
        <v>15</v>
      </c>
      <c r="D88" s="8">
        <v>0</v>
      </c>
      <c r="E88" s="8">
        <v>166.67</v>
      </c>
      <c r="F88" s="8">
        <v>176.76</v>
      </c>
      <c r="G88" s="8">
        <v>2500.0500000000002</v>
      </c>
      <c r="H88" s="8">
        <v>0</v>
      </c>
      <c r="I88" s="8">
        <v>0</v>
      </c>
      <c r="J88" s="8">
        <v>2500.0500000000002</v>
      </c>
      <c r="K88" s="8">
        <v>0</v>
      </c>
      <c r="L88" s="8">
        <v>0</v>
      </c>
      <c r="M88" s="8">
        <v>0</v>
      </c>
      <c r="N88" s="9">
        <v>-9.6199999999999992</v>
      </c>
      <c r="O88" s="8">
        <v>0</v>
      </c>
      <c r="P88" s="8">
        <v>62.97</v>
      </c>
      <c r="R88" s="8">
        <v>0</v>
      </c>
      <c r="S88" s="8">
        <v>0</v>
      </c>
      <c r="T88" s="8">
        <v>0.1</v>
      </c>
      <c r="U88" s="8">
        <v>53.45</v>
      </c>
      <c r="V88" s="8">
        <f t="shared" si="3"/>
        <v>2446.6000000000004</v>
      </c>
      <c r="W88" s="8">
        <v>46.4</v>
      </c>
      <c r="X88" s="8">
        <v>83.52</v>
      </c>
      <c r="Y88" s="8">
        <v>304.94</v>
      </c>
      <c r="Z88" s="8">
        <v>243.03</v>
      </c>
      <c r="AA88" s="8">
        <v>50</v>
      </c>
      <c r="AB88" s="8">
        <v>21.12</v>
      </c>
      <c r="AC88" s="8">
        <v>434.86</v>
      </c>
      <c r="AD88" s="8">
        <v>132.57</v>
      </c>
      <c r="AE88" s="8">
        <v>216.51</v>
      </c>
      <c r="AF88" s="8">
        <v>110</v>
      </c>
      <c r="AG88" s="8">
        <f t="shared" si="4"/>
        <v>136.89902529843388</v>
      </c>
    </row>
    <row r="89" spans="1:33" s="8" customFormat="1" x14ac:dyDescent="0.2">
      <c r="A89" s="8" t="s">
        <v>385</v>
      </c>
      <c r="B89" s="8" t="s">
        <v>352</v>
      </c>
      <c r="C89" s="8">
        <v>14</v>
      </c>
      <c r="D89" s="8">
        <v>0</v>
      </c>
      <c r="E89" s="8">
        <v>200</v>
      </c>
      <c r="F89" s="8">
        <v>209.04</v>
      </c>
      <c r="G89" s="8">
        <v>2800</v>
      </c>
      <c r="H89" s="8">
        <v>0</v>
      </c>
      <c r="I89" s="8">
        <v>0</v>
      </c>
      <c r="J89" s="8">
        <f>+G89</f>
        <v>2800</v>
      </c>
      <c r="K89" s="8">
        <v>0</v>
      </c>
      <c r="L89" s="8">
        <v>0</v>
      </c>
      <c r="M89" s="8">
        <v>0</v>
      </c>
      <c r="N89" s="8">
        <v>0</v>
      </c>
      <c r="O89" s="8">
        <v>37.93</v>
      </c>
      <c r="P89" s="8">
        <v>70.81</v>
      </c>
      <c r="R89" s="8">
        <v>0</v>
      </c>
      <c r="S89" s="8">
        <v>0</v>
      </c>
      <c r="T89" s="8">
        <v>0.06</v>
      </c>
      <c r="U89" s="8">
        <v>108.80000000000001</v>
      </c>
      <c r="V89" s="8">
        <f t="shared" si="3"/>
        <v>2691.2</v>
      </c>
      <c r="W89" s="8">
        <v>54.87</v>
      </c>
      <c r="X89" s="8">
        <v>98.77</v>
      </c>
      <c r="Y89" s="8">
        <v>313.41000000000003</v>
      </c>
      <c r="Z89" s="8">
        <v>252.71</v>
      </c>
      <c r="AA89" s="8">
        <v>60</v>
      </c>
      <c r="AB89" s="8">
        <v>24.98</v>
      </c>
      <c r="AC89" s="8">
        <v>467.05</v>
      </c>
      <c r="AD89" s="8">
        <v>156.78</v>
      </c>
      <c r="AE89" s="8">
        <v>221.36</v>
      </c>
      <c r="AF89" s="8">
        <v>110</v>
      </c>
      <c r="AG89" s="8">
        <f t="shared" si="4"/>
        <v>164.27554484722373</v>
      </c>
    </row>
    <row r="90" spans="1:33" s="8" customFormat="1" x14ac:dyDescent="0.2">
      <c r="A90" s="8" t="s">
        <v>440</v>
      </c>
      <c r="B90" s="8" t="s">
        <v>441</v>
      </c>
      <c r="C90" s="8">
        <v>3</v>
      </c>
      <c r="D90" s="8">
        <v>0</v>
      </c>
      <c r="E90" s="8">
        <v>210</v>
      </c>
      <c r="F90" s="8">
        <v>219.83</v>
      </c>
      <c r="G90" s="8">
        <v>630</v>
      </c>
      <c r="H90" s="8">
        <v>0</v>
      </c>
      <c r="I90" s="8">
        <v>0</v>
      </c>
      <c r="J90" s="8">
        <v>630</v>
      </c>
      <c r="K90" s="8">
        <v>0</v>
      </c>
      <c r="L90" s="8">
        <v>0</v>
      </c>
      <c r="M90" s="8">
        <v>0</v>
      </c>
      <c r="N90" s="9">
        <v>-173.3</v>
      </c>
      <c r="O90" s="8">
        <v>0</v>
      </c>
      <c r="P90" s="8">
        <v>15.66</v>
      </c>
      <c r="R90" s="8">
        <v>0</v>
      </c>
      <c r="S90" s="8">
        <v>0</v>
      </c>
      <c r="T90" s="8">
        <v>0.04</v>
      </c>
      <c r="U90" s="8">
        <v>-157.60000000000002</v>
      </c>
      <c r="V90" s="8">
        <f t="shared" si="3"/>
        <v>787.6</v>
      </c>
      <c r="W90" s="8">
        <v>11.54</v>
      </c>
      <c r="X90" s="8">
        <v>20.77</v>
      </c>
      <c r="Y90" s="8">
        <v>63.25</v>
      </c>
      <c r="Z90" s="8">
        <v>203.19</v>
      </c>
      <c r="AA90" s="8">
        <v>12.6</v>
      </c>
      <c r="AB90" s="8">
        <v>5.25</v>
      </c>
      <c r="AC90" s="8">
        <v>95.56</v>
      </c>
      <c r="AD90" s="8">
        <v>32.97</v>
      </c>
      <c r="AE90" s="8">
        <v>196.59</v>
      </c>
      <c r="AF90" s="8">
        <v>0</v>
      </c>
      <c r="AG90" s="8">
        <f t="shared" si="4"/>
        <v>172.48932208958493</v>
      </c>
    </row>
    <row r="91" spans="1:33" s="8" customFormat="1" x14ac:dyDescent="0.2">
      <c r="A91" s="8" t="s">
        <v>162</v>
      </c>
      <c r="B91" s="8" t="s">
        <v>163</v>
      </c>
      <c r="C91" s="8">
        <v>15</v>
      </c>
      <c r="D91" s="8">
        <v>0</v>
      </c>
      <c r="E91" s="8">
        <v>266.67</v>
      </c>
      <c r="F91" s="8">
        <v>282.81</v>
      </c>
      <c r="G91" s="8">
        <v>4000.05</v>
      </c>
      <c r="H91" s="8">
        <v>0</v>
      </c>
      <c r="I91" s="8">
        <v>0</v>
      </c>
      <c r="J91" s="8">
        <v>4000.05</v>
      </c>
      <c r="K91" s="8">
        <v>0</v>
      </c>
      <c r="L91" s="8">
        <v>0</v>
      </c>
      <c r="M91" s="8">
        <v>0</v>
      </c>
      <c r="N91" s="8">
        <v>0</v>
      </c>
      <c r="O91" s="8">
        <v>313.87</v>
      </c>
      <c r="P91" s="8">
        <v>102.51</v>
      </c>
      <c r="R91" s="8">
        <v>0</v>
      </c>
      <c r="S91" s="8">
        <v>0</v>
      </c>
      <c r="T91" s="9">
        <v>-0.13</v>
      </c>
      <c r="U91" s="8">
        <v>416.25</v>
      </c>
      <c r="V91" s="8">
        <f t="shared" si="3"/>
        <v>3583.8</v>
      </c>
      <c r="W91" s="8">
        <v>74.239999999999995</v>
      </c>
      <c r="X91" s="8">
        <v>133.63</v>
      </c>
      <c r="Y91" s="8">
        <v>337.62</v>
      </c>
      <c r="Z91" s="8">
        <v>274.83999999999997</v>
      </c>
      <c r="AA91" s="8">
        <v>80</v>
      </c>
      <c r="AB91" s="8">
        <v>33.79</v>
      </c>
      <c r="AC91" s="8">
        <v>545.49</v>
      </c>
      <c r="AD91" s="8">
        <v>212.11</v>
      </c>
      <c r="AE91" s="8">
        <v>232.42</v>
      </c>
      <c r="AF91" s="8">
        <v>110</v>
      </c>
      <c r="AG91" s="8">
        <f t="shared" si="4"/>
        <v>219.03679772204578</v>
      </c>
    </row>
    <row r="92" spans="1:33" s="11" customFormat="1" x14ac:dyDescent="0.2">
      <c r="C92" s="11" t="s">
        <v>75</v>
      </c>
      <c r="D92" s="11" t="s">
        <v>75</v>
      </c>
      <c r="E92" s="11" t="s">
        <v>75</v>
      </c>
      <c r="F92" s="11" t="s">
        <v>75</v>
      </c>
      <c r="G92" s="11" t="s">
        <v>75</v>
      </c>
      <c r="H92" s="11" t="s">
        <v>75</v>
      </c>
      <c r="I92" s="11" t="s">
        <v>75</v>
      </c>
      <c r="J92" s="11" t="s">
        <v>75</v>
      </c>
      <c r="K92" s="11" t="s">
        <v>75</v>
      </c>
      <c r="L92" s="11" t="s">
        <v>75</v>
      </c>
      <c r="M92" s="11" t="s">
        <v>75</v>
      </c>
      <c r="N92" s="11" t="s">
        <v>75</v>
      </c>
      <c r="O92" s="11" t="s">
        <v>75</v>
      </c>
      <c r="P92" s="11" t="s">
        <v>75</v>
      </c>
      <c r="Q92" s="11" t="s">
        <v>75</v>
      </c>
      <c r="R92" s="11" t="s">
        <v>75</v>
      </c>
      <c r="S92" s="11" t="s">
        <v>75</v>
      </c>
      <c r="T92" s="11" t="s">
        <v>75</v>
      </c>
      <c r="U92" s="11" t="s">
        <v>75</v>
      </c>
      <c r="V92" s="11" t="s">
        <v>75</v>
      </c>
      <c r="W92" s="11" t="s">
        <v>75</v>
      </c>
      <c r="X92" s="11" t="s">
        <v>75</v>
      </c>
      <c r="Y92" s="11" t="s">
        <v>75</v>
      </c>
      <c r="Z92" s="11" t="s">
        <v>75</v>
      </c>
      <c r="AA92" s="11" t="s">
        <v>75</v>
      </c>
      <c r="AB92" s="11" t="s">
        <v>75</v>
      </c>
      <c r="AC92" s="11" t="s">
        <v>75</v>
      </c>
      <c r="AD92" s="11" t="s">
        <v>75</v>
      </c>
      <c r="AE92" s="11" t="s">
        <v>75</v>
      </c>
      <c r="AF92" s="11" t="s">
        <v>75</v>
      </c>
      <c r="AG92" s="11" t="s">
        <v>75</v>
      </c>
    </row>
    <row r="93" spans="1:33" s="8" customFormat="1" x14ac:dyDescent="0.2">
      <c r="A93" s="10" t="s">
        <v>76</v>
      </c>
      <c r="B93" s="8" t="s">
        <v>77</v>
      </c>
      <c r="C93" s="12">
        <f t="shared" ref="C93:AF93" si="5">SUM(C10:C91)</f>
        <v>1212</v>
      </c>
      <c r="D93" s="12">
        <f t="shared" si="5"/>
        <v>5</v>
      </c>
      <c r="E93" s="12">
        <f t="shared" si="5"/>
        <v>19588.929999999997</v>
      </c>
      <c r="F93" s="12">
        <f t="shared" si="5"/>
        <v>20657.980000000007</v>
      </c>
      <c r="G93" s="12">
        <f t="shared" si="5"/>
        <v>290014.03999999998</v>
      </c>
      <c r="H93" s="12">
        <f t="shared" si="5"/>
        <v>1100.0100000000002</v>
      </c>
      <c r="I93" s="12">
        <f t="shared" si="5"/>
        <v>330</v>
      </c>
      <c r="J93" s="12">
        <f t="shared" si="5"/>
        <v>291444.04999999993</v>
      </c>
      <c r="K93" s="12">
        <f t="shared" si="5"/>
        <v>405</v>
      </c>
      <c r="L93" s="12">
        <f t="shared" si="5"/>
        <v>20086.79</v>
      </c>
      <c r="M93" s="12">
        <f t="shared" si="5"/>
        <v>8916.73</v>
      </c>
      <c r="N93" s="12">
        <f t="shared" si="5"/>
        <v>-556.15000000000009</v>
      </c>
      <c r="O93" s="12">
        <f t="shared" si="5"/>
        <v>16478.100000000013</v>
      </c>
      <c r="P93" s="12">
        <f t="shared" si="5"/>
        <v>7415.6300000000056</v>
      </c>
      <c r="Q93" s="12">
        <f t="shared" si="5"/>
        <v>0</v>
      </c>
      <c r="R93" s="12">
        <f t="shared" si="5"/>
        <v>1836.6</v>
      </c>
      <c r="S93" s="12">
        <f t="shared" si="5"/>
        <v>3501.6</v>
      </c>
      <c r="T93" s="12">
        <f t="shared" si="5"/>
        <v>-1.0500000000000003</v>
      </c>
      <c r="U93" s="12">
        <f t="shared" si="5"/>
        <v>58083.249999999993</v>
      </c>
      <c r="V93" s="12">
        <f>SUM(V10:V91)</f>
        <v>233360.79999999996</v>
      </c>
      <c r="W93" s="12">
        <f t="shared" si="5"/>
        <v>5376.5999999999995</v>
      </c>
      <c r="X93" s="12">
        <f t="shared" si="5"/>
        <v>9677.8299999999963</v>
      </c>
      <c r="Y93" s="12">
        <f t="shared" si="5"/>
        <v>26707.209999999995</v>
      </c>
      <c r="Z93" s="12">
        <f t="shared" si="5"/>
        <v>21724.589999999997</v>
      </c>
      <c r="AA93" s="12">
        <f t="shared" si="5"/>
        <v>5832.84</v>
      </c>
      <c r="AB93" s="12">
        <f t="shared" si="5"/>
        <v>2447.2500000000005</v>
      </c>
      <c r="AC93" s="12">
        <f t="shared" si="5"/>
        <v>41761.640000000014</v>
      </c>
      <c r="AD93" s="12">
        <f t="shared" si="5"/>
        <v>15361.62</v>
      </c>
      <c r="AE93" s="12">
        <f t="shared" si="5"/>
        <v>18652.359999999997</v>
      </c>
      <c r="AF93" s="12">
        <f t="shared" si="5"/>
        <v>8910</v>
      </c>
      <c r="AG93" s="12">
        <f>SUM(AG10:AG91)</f>
        <v>16089.910743620625</v>
      </c>
    </row>
    <row r="95" spans="1:33" x14ac:dyDescent="0.2">
      <c r="G95" s="1" t="s">
        <v>77</v>
      </c>
      <c r="H95" s="1" t="s">
        <v>77</v>
      </c>
      <c r="I95" s="1" t="s">
        <v>77</v>
      </c>
      <c r="J95" s="1" t="s">
        <v>77</v>
      </c>
      <c r="K95" s="1" t="s">
        <v>77</v>
      </c>
      <c r="L95" s="1" t="s">
        <v>77</v>
      </c>
      <c r="M95" s="1" t="s">
        <v>77</v>
      </c>
      <c r="N95" s="1" t="s">
        <v>77</v>
      </c>
      <c r="O95" s="1" t="s">
        <v>77</v>
      </c>
      <c r="P95" s="1" t="s">
        <v>77</v>
      </c>
      <c r="Q95" s="1" t="s">
        <v>77</v>
      </c>
      <c r="R95" s="1" t="s">
        <v>77</v>
      </c>
      <c r="S95" s="1" t="s">
        <v>77</v>
      </c>
      <c r="T95" s="1" t="s">
        <v>77</v>
      </c>
      <c r="U95" s="1" t="s">
        <v>77</v>
      </c>
      <c r="V95" s="1" t="s">
        <v>77</v>
      </c>
      <c r="W95" s="1" t="s">
        <v>77</v>
      </c>
      <c r="X95" s="1" t="s">
        <v>77</v>
      </c>
      <c r="Y95" s="1" t="s">
        <v>77</v>
      </c>
      <c r="Z95" s="1" t="s">
        <v>77</v>
      </c>
      <c r="AA95" s="1" t="s">
        <v>77</v>
      </c>
      <c r="AB95" s="1" t="s">
        <v>77</v>
      </c>
      <c r="AC95" s="1" t="s">
        <v>77</v>
      </c>
      <c r="AD95" s="1" t="s">
        <v>77</v>
      </c>
      <c r="AE95" s="1" t="s">
        <v>77</v>
      </c>
      <c r="AF95" s="1" t="s">
        <v>77</v>
      </c>
    </row>
    <row r="96" spans="1:33" ht="15.75" x14ac:dyDescent="0.25">
      <c r="A96" s="2" t="s">
        <v>77</v>
      </c>
      <c r="B96" s="1" t="s">
        <v>77</v>
      </c>
      <c r="G96" s="7"/>
      <c r="H96" s="7"/>
      <c r="I96" s="117" t="s">
        <v>421</v>
      </c>
      <c r="J96" s="11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4:10" ht="12.75" x14ac:dyDescent="0.2">
      <c r="I97" s="96" t="s">
        <v>410</v>
      </c>
      <c r="J97" s="97">
        <f>+V93</f>
        <v>233360.79999999996</v>
      </c>
    </row>
    <row r="98" spans="4:10" ht="12.75" x14ac:dyDescent="0.2">
      <c r="D98" s="8"/>
      <c r="G98" s="100"/>
      <c r="I98" s="96" t="s">
        <v>411</v>
      </c>
      <c r="J98" s="97">
        <f>+S93</f>
        <v>3501.6</v>
      </c>
    </row>
    <row r="99" spans="4:10" ht="12.75" x14ac:dyDescent="0.2">
      <c r="D99" s="8"/>
      <c r="G99" s="100"/>
      <c r="I99" s="96" t="s">
        <v>412</v>
      </c>
      <c r="J99" s="97">
        <f>+K93+L93+M93</f>
        <v>29408.52</v>
      </c>
    </row>
    <row r="100" spans="4:10" ht="12.75" x14ac:dyDescent="0.2">
      <c r="G100" s="100"/>
      <c r="I100" s="96" t="s">
        <v>413</v>
      </c>
      <c r="J100" s="97">
        <v>0</v>
      </c>
    </row>
    <row r="101" spans="4:10" ht="12.75" x14ac:dyDescent="0.2">
      <c r="G101" s="100"/>
      <c r="I101" s="96" t="s">
        <v>414</v>
      </c>
      <c r="J101" s="97">
        <f>SUM(J97:J100)</f>
        <v>266270.92</v>
      </c>
    </row>
    <row r="102" spans="4:10" ht="12.75" x14ac:dyDescent="0.2">
      <c r="G102" s="100"/>
      <c r="I102" s="96" t="s">
        <v>415</v>
      </c>
      <c r="J102" s="97">
        <f>+J101*2%</f>
        <v>5325.4183999999996</v>
      </c>
    </row>
    <row r="103" spans="4:10" ht="12.75" x14ac:dyDescent="0.2">
      <c r="G103" s="100"/>
      <c r="I103" s="96" t="s">
        <v>416</v>
      </c>
      <c r="J103" s="97">
        <f>+J101+J102</f>
        <v>271596.33840000001</v>
      </c>
    </row>
    <row r="104" spans="4:10" ht="12.75" x14ac:dyDescent="0.2">
      <c r="G104" s="100"/>
      <c r="I104" s="96" t="s">
        <v>417</v>
      </c>
      <c r="J104" s="97">
        <f>+P93+W93+X93+Y93+Z93+AB93+AD93+AE93</f>
        <v>107363.08999999998</v>
      </c>
    </row>
    <row r="105" spans="4:10" ht="12.75" x14ac:dyDescent="0.2">
      <c r="G105" s="100"/>
      <c r="I105" s="96" t="s">
        <v>418</v>
      </c>
      <c r="J105" s="97">
        <f>+J93*2%</f>
        <v>5828.8809999999985</v>
      </c>
    </row>
    <row r="106" spans="4:10" ht="12.75" x14ac:dyDescent="0.2">
      <c r="G106" s="100"/>
      <c r="I106" s="96" t="s">
        <v>419</v>
      </c>
      <c r="J106" s="97">
        <f>+J103+J104+J105</f>
        <v>384788.30939999997</v>
      </c>
    </row>
    <row r="107" spans="4:10" ht="12.75" x14ac:dyDescent="0.2">
      <c r="G107" s="100"/>
      <c r="I107" s="96" t="s">
        <v>31</v>
      </c>
      <c r="J107" s="97">
        <f>+J106*16%</f>
        <v>61566.129503999997</v>
      </c>
    </row>
    <row r="108" spans="4:10" ht="12.75" x14ac:dyDescent="0.2">
      <c r="G108" s="100"/>
      <c r="I108" s="96" t="s">
        <v>88</v>
      </c>
      <c r="J108" s="97">
        <f>+J106+J107</f>
        <v>446354.43890399998</v>
      </c>
    </row>
    <row r="109" spans="4:10" ht="12.75" x14ac:dyDescent="0.2">
      <c r="G109" s="100"/>
      <c r="I109" s="30"/>
      <c r="J109" s="30"/>
    </row>
    <row r="110" spans="4:10" ht="12.75" x14ac:dyDescent="0.2">
      <c r="G110" s="100"/>
      <c r="I110" s="118" t="s">
        <v>420</v>
      </c>
      <c r="J110" s="118"/>
    </row>
    <row r="111" spans="4:10" ht="15.75" x14ac:dyDescent="0.25">
      <c r="G111" s="100"/>
      <c r="I111" s="110" t="s">
        <v>421</v>
      </c>
      <c r="J111" s="110"/>
    </row>
    <row r="112" spans="4:10" ht="12.75" x14ac:dyDescent="0.2">
      <c r="G112" s="100"/>
      <c r="I112" s="96" t="s">
        <v>414</v>
      </c>
      <c r="J112" s="97">
        <f>+AG93</f>
        <v>16089.910743620625</v>
      </c>
    </row>
    <row r="113" spans="7:10" ht="12.75" x14ac:dyDescent="0.2">
      <c r="G113" s="100"/>
      <c r="I113" s="96" t="s">
        <v>415</v>
      </c>
      <c r="J113" s="97">
        <f>+J112*2%</f>
        <v>321.79821487241253</v>
      </c>
    </row>
    <row r="114" spans="7:10" ht="12.75" x14ac:dyDescent="0.2">
      <c r="G114" s="100"/>
      <c r="I114" s="96" t="s">
        <v>416</v>
      </c>
      <c r="J114" s="97">
        <f>+J112+J113</f>
        <v>16411.708958493036</v>
      </c>
    </row>
    <row r="115" spans="7:10" ht="12.75" x14ac:dyDescent="0.2">
      <c r="G115" s="100"/>
      <c r="I115" s="96" t="s">
        <v>418</v>
      </c>
      <c r="J115" s="97">
        <f>+J112*2%</f>
        <v>321.79821487241253</v>
      </c>
    </row>
    <row r="116" spans="7:10" ht="12.75" x14ac:dyDescent="0.2">
      <c r="G116" s="100"/>
      <c r="I116" s="96" t="s">
        <v>419</v>
      </c>
      <c r="J116" s="97">
        <f>+J114+J115</f>
        <v>16733.507173365448</v>
      </c>
    </row>
    <row r="117" spans="7:10" ht="12.75" x14ac:dyDescent="0.2">
      <c r="G117" s="100"/>
      <c r="I117" s="96" t="s">
        <v>31</v>
      </c>
      <c r="J117" s="97">
        <f>+J116*16%</f>
        <v>2677.3611477384716</v>
      </c>
    </row>
    <row r="118" spans="7:10" ht="12.75" x14ac:dyDescent="0.2">
      <c r="G118" s="100"/>
      <c r="I118" s="96" t="s">
        <v>88</v>
      </c>
      <c r="J118" s="97">
        <f>+J116+J117</f>
        <v>19410.868321103921</v>
      </c>
    </row>
    <row r="119" spans="7:10" x14ac:dyDescent="0.2">
      <c r="G119" s="100"/>
    </row>
    <row r="120" spans="7:10" x14ac:dyDescent="0.2">
      <c r="G120" s="100"/>
    </row>
    <row r="121" spans="7:10" x14ac:dyDescent="0.2">
      <c r="G121" s="100"/>
    </row>
    <row r="122" spans="7:10" x14ac:dyDescent="0.2">
      <c r="G122" s="100"/>
    </row>
    <row r="123" spans="7:10" x14ac:dyDescent="0.2">
      <c r="G123" s="100"/>
    </row>
    <row r="124" spans="7:10" x14ac:dyDescent="0.2">
      <c r="G124" s="100"/>
    </row>
    <row r="125" spans="7:10" x14ac:dyDescent="0.2">
      <c r="G125" s="100"/>
    </row>
    <row r="126" spans="7:10" x14ac:dyDescent="0.2">
      <c r="G126" s="100"/>
    </row>
    <row r="127" spans="7:10" x14ac:dyDescent="0.2">
      <c r="G127" s="100"/>
    </row>
    <row r="128" spans="7:10" x14ac:dyDescent="0.2">
      <c r="G128" s="100"/>
    </row>
    <row r="129" spans="7:7" x14ac:dyDescent="0.2">
      <c r="G129" s="100"/>
    </row>
    <row r="130" spans="7:7" x14ac:dyDescent="0.2">
      <c r="G130" s="100"/>
    </row>
    <row r="131" spans="7:7" x14ac:dyDescent="0.2">
      <c r="G131" s="100"/>
    </row>
    <row r="132" spans="7:7" x14ac:dyDescent="0.2">
      <c r="G132" s="100"/>
    </row>
    <row r="133" spans="7:7" x14ac:dyDescent="0.2">
      <c r="G133" s="100"/>
    </row>
    <row r="134" spans="7:7" x14ac:dyDescent="0.2">
      <c r="G134" s="100"/>
    </row>
    <row r="135" spans="7:7" x14ac:dyDescent="0.2">
      <c r="G135" s="100"/>
    </row>
    <row r="136" spans="7:7" x14ac:dyDescent="0.2">
      <c r="G136" s="100"/>
    </row>
    <row r="137" spans="7:7" x14ac:dyDescent="0.2">
      <c r="G137" s="100"/>
    </row>
    <row r="138" spans="7:7" x14ac:dyDescent="0.2">
      <c r="G138" s="100"/>
    </row>
    <row r="139" spans="7:7" x14ac:dyDescent="0.2">
      <c r="G139" s="100"/>
    </row>
    <row r="140" spans="7:7" x14ac:dyDescent="0.2">
      <c r="G140" s="100"/>
    </row>
    <row r="141" spans="7:7" x14ac:dyDescent="0.2">
      <c r="G141" s="100"/>
    </row>
    <row r="142" spans="7:7" x14ac:dyDescent="0.2">
      <c r="G142" s="100"/>
    </row>
    <row r="143" spans="7:7" x14ac:dyDescent="0.2">
      <c r="G143" s="100"/>
    </row>
    <row r="144" spans="7:7" x14ac:dyDescent="0.2">
      <c r="G144" s="100"/>
    </row>
    <row r="145" spans="7:7" x14ac:dyDescent="0.2">
      <c r="G145" s="100"/>
    </row>
    <row r="146" spans="7:7" x14ac:dyDescent="0.2">
      <c r="G146" s="100"/>
    </row>
    <row r="147" spans="7:7" x14ac:dyDescent="0.2">
      <c r="G147" s="100"/>
    </row>
    <row r="148" spans="7:7" x14ac:dyDescent="0.2">
      <c r="G148" s="100"/>
    </row>
    <row r="149" spans="7:7" x14ac:dyDescent="0.2">
      <c r="G149" s="100"/>
    </row>
    <row r="150" spans="7:7" x14ac:dyDescent="0.2">
      <c r="G150" s="100"/>
    </row>
    <row r="151" spans="7:7" x14ac:dyDescent="0.2">
      <c r="G151" s="100"/>
    </row>
    <row r="152" spans="7:7" x14ac:dyDescent="0.2">
      <c r="G152" s="100"/>
    </row>
    <row r="153" spans="7:7" x14ac:dyDescent="0.2">
      <c r="G153" s="100"/>
    </row>
    <row r="154" spans="7:7" x14ac:dyDescent="0.2">
      <c r="G154" s="100"/>
    </row>
    <row r="155" spans="7:7" x14ac:dyDescent="0.2">
      <c r="G155" s="100"/>
    </row>
    <row r="156" spans="7:7" x14ac:dyDescent="0.2">
      <c r="G156" s="100"/>
    </row>
    <row r="157" spans="7:7" x14ac:dyDescent="0.2">
      <c r="G157" s="100"/>
    </row>
    <row r="158" spans="7:7" x14ac:dyDescent="0.2">
      <c r="G158" s="100"/>
    </row>
    <row r="159" spans="7:7" x14ac:dyDescent="0.2">
      <c r="G159" s="100"/>
    </row>
    <row r="160" spans="7:7" x14ac:dyDescent="0.2">
      <c r="G160" s="100"/>
    </row>
    <row r="161" spans="7:7" x14ac:dyDescent="0.2">
      <c r="G161" s="100"/>
    </row>
    <row r="162" spans="7:7" x14ac:dyDescent="0.2">
      <c r="G162" s="100"/>
    </row>
    <row r="163" spans="7:7" x14ac:dyDescent="0.2">
      <c r="G163" s="100"/>
    </row>
    <row r="164" spans="7:7" x14ac:dyDescent="0.2">
      <c r="G164" s="100"/>
    </row>
    <row r="165" spans="7:7" x14ac:dyDescent="0.2">
      <c r="G165" s="100"/>
    </row>
    <row r="166" spans="7:7" x14ac:dyDescent="0.2">
      <c r="G166" s="100"/>
    </row>
    <row r="167" spans="7:7" x14ac:dyDescent="0.2">
      <c r="G167" s="100"/>
    </row>
    <row r="168" spans="7:7" x14ac:dyDescent="0.2">
      <c r="G168" s="100"/>
    </row>
    <row r="169" spans="7:7" x14ac:dyDescent="0.2">
      <c r="G169" s="100"/>
    </row>
    <row r="170" spans="7:7" x14ac:dyDescent="0.2">
      <c r="G170" s="100"/>
    </row>
    <row r="171" spans="7:7" x14ac:dyDescent="0.2">
      <c r="G171" s="100"/>
    </row>
    <row r="172" spans="7:7" x14ac:dyDescent="0.2">
      <c r="G172" s="100"/>
    </row>
    <row r="173" spans="7:7" x14ac:dyDescent="0.2">
      <c r="G173" s="100"/>
    </row>
    <row r="174" spans="7:7" x14ac:dyDescent="0.2">
      <c r="G174" s="100"/>
    </row>
    <row r="175" spans="7:7" x14ac:dyDescent="0.2">
      <c r="G175" s="100"/>
    </row>
    <row r="176" spans="7:7" x14ac:dyDescent="0.2">
      <c r="G176" s="100"/>
    </row>
    <row r="177" spans="7:7" x14ac:dyDescent="0.2">
      <c r="G177" s="100"/>
    </row>
    <row r="178" spans="7:7" x14ac:dyDescent="0.2">
      <c r="G178" s="100"/>
    </row>
    <row r="179" spans="7:7" x14ac:dyDescent="0.2">
      <c r="G179" s="100"/>
    </row>
  </sheetData>
  <mergeCells count="7">
    <mergeCell ref="I111:J111"/>
    <mergeCell ref="B1:F1"/>
    <mergeCell ref="B2:F2"/>
    <mergeCell ref="B3:F3"/>
    <mergeCell ref="B4:F4"/>
    <mergeCell ref="I96:J96"/>
    <mergeCell ref="I110:J110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6"/>
  <sheetViews>
    <sheetView showGridLines="0" zoomScale="90" zoomScaleNormal="90" zoomScaleSheetLayoutView="50" workbookViewId="0">
      <pane xSplit="3" ySplit="2" topLeftCell="E3" activePane="bottomRight" state="frozen"/>
      <selection activeCell="E31" sqref="E31"/>
      <selection pane="topRight" activeCell="E31" sqref="E31"/>
      <selection pane="bottomLeft" activeCell="E31" sqref="E31"/>
      <selection pane="bottomRight" activeCell="D49" sqref="D49"/>
    </sheetView>
  </sheetViews>
  <sheetFormatPr baseColWidth="10" defaultColWidth="11.42578125" defaultRowHeight="12.75" x14ac:dyDescent="0.2"/>
  <cols>
    <col min="1" max="1" width="10.85546875" style="18" hidden="1" customWidth="1"/>
    <col min="2" max="2" width="15.28515625" style="18" customWidth="1"/>
    <col min="3" max="3" width="36.5703125" style="18" customWidth="1"/>
    <col min="4" max="7" width="15" style="18" customWidth="1"/>
    <col min="8" max="8" width="17.140625" style="18" customWidth="1"/>
    <col min="9" max="9" width="3.7109375" style="19" customWidth="1"/>
    <col min="10" max="10" width="16" style="18" customWidth="1"/>
    <col min="11" max="13" width="15.85546875" style="18" customWidth="1"/>
    <col min="14" max="14" width="19.140625" style="18" customWidth="1"/>
    <col min="15" max="16384" width="11.42578125" style="18"/>
  </cols>
  <sheetData>
    <row r="1" spans="1:15" ht="18.75" x14ac:dyDescent="0.2">
      <c r="D1" s="119" t="s">
        <v>79</v>
      </c>
      <c r="E1" s="119"/>
      <c r="F1" s="119"/>
      <c r="G1" s="119"/>
      <c r="H1" s="119"/>
      <c r="J1" s="119" t="s">
        <v>80</v>
      </c>
      <c r="K1" s="119"/>
      <c r="L1" s="119"/>
      <c r="M1" s="119"/>
      <c r="N1" s="119"/>
    </row>
    <row r="2" spans="1:15" ht="26.25" thickBot="1" x14ac:dyDescent="0.25">
      <c r="A2" s="20" t="s">
        <v>81</v>
      </c>
      <c r="B2" s="20" t="s">
        <v>82</v>
      </c>
      <c r="C2" s="20" t="s">
        <v>83</v>
      </c>
      <c r="D2" s="20" t="s">
        <v>84</v>
      </c>
      <c r="E2" s="20" t="s">
        <v>85</v>
      </c>
      <c r="F2" s="20" t="s">
        <v>86</v>
      </c>
      <c r="G2" s="20" t="s">
        <v>87</v>
      </c>
      <c r="H2" s="21" t="s">
        <v>88</v>
      </c>
      <c r="I2" s="22"/>
      <c r="J2" s="23" t="s">
        <v>89</v>
      </c>
      <c r="K2" s="20" t="s">
        <v>90</v>
      </c>
      <c r="L2" s="20" t="s">
        <v>91</v>
      </c>
      <c r="M2" s="20" t="s">
        <v>92</v>
      </c>
      <c r="N2" s="20" t="s">
        <v>93</v>
      </c>
    </row>
    <row r="3" spans="1:15" ht="13.5" thickTop="1" x14ac:dyDescent="0.2">
      <c r="A3" s="26" t="s">
        <v>49</v>
      </c>
      <c r="B3" s="18" t="s">
        <v>110</v>
      </c>
      <c r="C3" s="18" t="s">
        <v>50</v>
      </c>
      <c r="D3" s="18">
        <v>1557.96</v>
      </c>
      <c r="E3" s="18">
        <v>420</v>
      </c>
      <c r="F3" s="18">
        <v>320</v>
      </c>
      <c r="G3" s="18">
        <f t="shared" ref="G3:G20" si="0">+N3</f>
        <v>91.499999999999972</v>
      </c>
      <c r="H3" s="18">
        <f t="shared" ref="H3:H34" si="1">SUM(D3:G3)</f>
        <v>2389.46</v>
      </c>
      <c r="J3" s="18">
        <f>VLOOKUP($C3,'CPD PITSS'!$B$10:$V$27,3,0)</f>
        <v>2</v>
      </c>
      <c r="K3" s="25">
        <v>10150</v>
      </c>
      <c r="L3" s="18">
        <f t="shared" ref="L3:L34" si="2">(((+K3/30)*J3)*30%)</f>
        <v>202.99999999999997</v>
      </c>
      <c r="M3" s="18">
        <f>VLOOKUP($C3,'CPD PITSS'!$B$10:$V$27,8,0)</f>
        <v>111.5</v>
      </c>
      <c r="N3" s="18">
        <f t="shared" ref="N3:N34" si="3">+L3-M3</f>
        <v>91.499999999999972</v>
      </c>
      <c r="O3" s="18" t="s">
        <v>111</v>
      </c>
    </row>
    <row r="4" spans="1:15" x14ac:dyDescent="0.2">
      <c r="A4" s="18" t="s">
        <v>59</v>
      </c>
      <c r="B4" s="18" t="s">
        <v>110</v>
      </c>
      <c r="C4" s="18" t="s">
        <v>60</v>
      </c>
      <c r="D4" s="18">
        <v>2104.9000000000005</v>
      </c>
      <c r="G4" s="18">
        <f t="shared" si="0"/>
        <v>281.66999999999996</v>
      </c>
      <c r="H4" s="18">
        <f t="shared" si="1"/>
        <v>2386.5700000000006</v>
      </c>
      <c r="J4" s="18">
        <v>4</v>
      </c>
      <c r="K4" s="25">
        <v>13000</v>
      </c>
      <c r="L4" s="18">
        <f t="shared" si="2"/>
        <v>520</v>
      </c>
      <c r="M4" s="18">
        <f>VLOOKUP($C4,'CPD PITSS'!$B$10:$V$27,8,0)</f>
        <v>238.33</v>
      </c>
      <c r="N4" s="18">
        <f t="shared" si="3"/>
        <v>281.66999999999996</v>
      </c>
      <c r="O4" s="18" t="s">
        <v>112</v>
      </c>
    </row>
    <row r="5" spans="1:15" x14ac:dyDescent="0.2">
      <c r="A5" s="18" t="s">
        <v>116</v>
      </c>
      <c r="B5" s="18" t="s">
        <v>110</v>
      </c>
      <c r="C5" s="27" t="s">
        <v>72</v>
      </c>
      <c r="D5" s="18">
        <v>16803.400000000001</v>
      </c>
      <c r="F5" s="24"/>
      <c r="G5" s="18">
        <f t="shared" si="0"/>
        <v>0</v>
      </c>
      <c r="H5" s="18">
        <f t="shared" si="1"/>
        <v>16803.400000000001</v>
      </c>
      <c r="J5" s="18">
        <f>VLOOKUP(C5,'CPD PITSS'!$B$10:$V$27,3,0)</f>
        <v>0</v>
      </c>
      <c r="K5" s="25">
        <v>40000</v>
      </c>
      <c r="L5" s="18">
        <f t="shared" si="2"/>
        <v>0</v>
      </c>
      <c r="M5" s="18">
        <f>VLOOKUP($C5,'CPD PITSS'!$B$10:$V$27,8,0)</f>
        <v>0</v>
      </c>
      <c r="N5" s="18">
        <f t="shared" si="3"/>
        <v>0</v>
      </c>
      <c r="O5" s="18" t="s">
        <v>117</v>
      </c>
    </row>
    <row r="6" spans="1:15" x14ac:dyDescent="0.2">
      <c r="A6" s="18" t="s">
        <v>53</v>
      </c>
      <c r="B6" s="18" t="s">
        <v>110</v>
      </c>
      <c r="C6" s="18" t="s">
        <v>54</v>
      </c>
      <c r="D6" s="18">
        <v>1558.0900000000001</v>
      </c>
      <c r="E6" s="18">
        <v>330</v>
      </c>
      <c r="F6" s="24">
        <v>320</v>
      </c>
      <c r="G6" s="18">
        <f t="shared" si="0"/>
        <v>0</v>
      </c>
      <c r="H6" s="18">
        <f t="shared" si="1"/>
        <v>2208.09</v>
      </c>
      <c r="J6" s="18">
        <f>VLOOKUP(C6,'CPD PITSS'!$B$10:$V$27,3,0)</f>
        <v>0</v>
      </c>
      <c r="K6" s="25">
        <v>10150</v>
      </c>
      <c r="L6" s="18">
        <f t="shared" si="2"/>
        <v>0</v>
      </c>
      <c r="M6" s="18">
        <f>VLOOKUP($C6,'CPD PITSS'!$B$10:$V$27,8,0)</f>
        <v>0</v>
      </c>
      <c r="N6" s="18">
        <f t="shared" si="3"/>
        <v>0</v>
      </c>
      <c r="O6" s="18" t="s">
        <v>118</v>
      </c>
    </row>
    <row r="7" spans="1:15" x14ac:dyDescent="0.2">
      <c r="A7" s="18" t="s">
        <v>69</v>
      </c>
      <c r="B7" s="18" t="s">
        <v>110</v>
      </c>
      <c r="C7" s="18" t="s">
        <v>70</v>
      </c>
      <c r="D7" s="18">
        <v>1608.1</v>
      </c>
      <c r="E7" s="24">
        <v>270</v>
      </c>
      <c r="F7" s="24"/>
      <c r="G7" s="18">
        <f t="shared" si="0"/>
        <v>0</v>
      </c>
      <c r="H7" s="18">
        <f t="shared" si="1"/>
        <v>1878.1</v>
      </c>
      <c r="J7" s="18">
        <f>VLOOKUP(C7,'CPD PITSS'!$B$10:$V$27,3,0)</f>
        <v>0</v>
      </c>
      <c r="K7" s="25">
        <v>10250</v>
      </c>
      <c r="L7" s="18">
        <f t="shared" si="2"/>
        <v>0</v>
      </c>
      <c r="M7" s="18">
        <f>VLOOKUP($C7,'CPD PITSS'!$B$10:$V$27,8,0)</f>
        <v>0</v>
      </c>
      <c r="N7" s="18">
        <f t="shared" si="3"/>
        <v>0</v>
      </c>
      <c r="O7" s="18" t="s">
        <v>119</v>
      </c>
    </row>
    <row r="8" spans="1:15" x14ac:dyDescent="0.2">
      <c r="A8" s="18" t="s">
        <v>55</v>
      </c>
      <c r="B8" s="18" t="s">
        <v>110</v>
      </c>
      <c r="C8" s="27" t="s">
        <v>56</v>
      </c>
      <c r="D8" s="18">
        <v>1891.1999999999998</v>
      </c>
      <c r="F8" s="24"/>
      <c r="G8" s="18">
        <f t="shared" si="0"/>
        <v>0</v>
      </c>
      <c r="H8" s="18">
        <f t="shared" si="1"/>
        <v>1891.1999999999998</v>
      </c>
      <c r="J8" s="18">
        <f>VLOOKUP(C8,'CPD PITSS'!$B$10:$V$27,3,0)</f>
        <v>0</v>
      </c>
      <c r="K8" s="25">
        <v>12000</v>
      </c>
      <c r="L8" s="18">
        <f t="shared" si="2"/>
        <v>0</v>
      </c>
      <c r="M8" s="18">
        <f>VLOOKUP($C8,'CPD PITSS'!$B$10:$V$27,8,0)</f>
        <v>0</v>
      </c>
      <c r="N8" s="18">
        <f t="shared" si="3"/>
        <v>0</v>
      </c>
      <c r="O8" s="18" t="s">
        <v>123</v>
      </c>
    </row>
    <row r="9" spans="1:15" x14ac:dyDescent="0.2">
      <c r="A9" s="18" t="s">
        <v>67</v>
      </c>
      <c r="B9" s="18" t="s">
        <v>110</v>
      </c>
      <c r="C9" s="18" t="s">
        <v>68</v>
      </c>
      <c r="D9" s="18">
        <v>1558.0000000000005</v>
      </c>
      <c r="E9" s="18">
        <v>270</v>
      </c>
      <c r="F9" s="24">
        <v>320</v>
      </c>
      <c r="G9" s="18">
        <f t="shared" si="0"/>
        <v>91.499999999999972</v>
      </c>
      <c r="H9" s="18">
        <f t="shared" si="1"/>
        <v>2239.5000000000005</v>
      </c>
      <c r="J9" s="18">
        <f>VLOOKUP(C9,'CPD PITSS'!$B$10:$V$27,3,0)</f>
        <v>2</v>
      </c>
      <c r="K9" s="25">
        <v>10150</v>
      </c>
      <c r="L9" s="18">
        <f t="shared" si="2"/>
        <v>202.99999999999997</v>
      </c>
      <c r="M9" s="18">
        <f>VLOOKUP($C9,'CPD PITSS'!$B$10:$V$27,8,0)</f>
        <v>111.5</v>
      </c>
      <c r="N9" s="18">
        <f t="shared" si="3"/>
        <v>91.499999999999972</v>
      </c>
      <c r="O9" s="18" t="s">
        <v>165</v>
      </c>
    </row>
    <row r="10" spans="1:15" x14ac:dyDescent="0.2">
      <c r="A10" s="18" t="s">
        <v>51</v>
      </c>
      <c r="B10" s="18" t="s">
        <v>110</v>
      </c>
      <c r="C10" s="18" t="s">
        <v>52</v>
      </c>
      <c r="D10" s="18">
        <v>2600.3700000000003</v>
      </c>
      <c r="E10" s="18">
        <v>150</v>
      </c>
      <c r="F10" s="24"/>
      <c r="G10" s="18">
        <f t="shared" si="0"/>
        <v>0</v>
      </c>
      <c r="H10" s="18">
        <f t="shared" si="1"/>
        <v>2750.3700000000003</v>
      </c>
      <c r="J10" s="18">
        <f>VLOOKUP(C10,'CPD PITSS'!$B$10:$V$27,3,0)</f>
        <v>0</v>
      </c>
      <c r="K10" s="25">
        <v>15000</v>
      </c>
      <c r="L10" s="18">
        <f t="shared" si="2"/>
        <v>0</v>
      </c>
      <c r="M10" s="18">
        <f>VLOOKUP($C10,'CPD PITSS'!$B$10:$V$27,8,0)</f>
        <v>0</v>
      </c>
      <c r="N10" s="18">
        <f t="shared" si="3"/>
        <v>0</v>
      </c>
      <c r="O10" s="18" t="s">
        <v>189</v>
      </c>
    </row>
    <row r="11" spans="1:15" s="24" customFormat="1" x14ac:dyDescent="0.2">
      <c r="A11" s="18" t="s">
        <v>39</v>
      </c>
      <c r="B11" s="18" t="s">
        <v>110</v>
      </c>
      <c r="C11" s="18" t="s">
        <v>40</v>
      </c>
      <c r="D11" s="18">
        <v>1475.4</v>
      </c>
      <c r="E11" s="18">
        <v>100</v>
      </c>
      <c r="G11" s="18">
        <f t="shared" si="0"/>
        <v>0</v>
      </c>
      <c r="H11" s="18">
        <f t="shared" si="1"/>
        <v>1575.4</v>
      </c>
      <c r="I11" s="19"/>
      <c r="J11" s="18">
        <f>VLOOKUP(C11,'CPD PITSS'!$B$10:$V$27,3,0)</f>
        <v>0</v>
      </c>
      <c r="K11" s="25">
        <v>8500</v>
      </c>
      <c r="L11" s="18">
        <f t="shared" si="2"/>
        <v>0</v>
      </c>
      <c r="M11" s="18">
        <f>VLOOKUP($C11,'CPD PITSS'!$B$10:$V$27,8,0)</f>
        <v>0</v>
      </c>
      <c r="N11" s="18">
        <f t="shared" si="3"/>
        <v>0</v>
      </c>
      <c r="O11" s="18" t="s">
        <v>202</v>
      </c>
    </row>
    <row r="12" spans="1:15" x14ac:dyDescent="0.2">
      <c r="A12" s="18" t="s">
        <v>61</v>
      </c>
      <c r="B12" s="18" t="s">
        <v>110</v>
      </c>
      <c r="C12" s="18" t="s">
        <v>62</v>
      </c>
      <c r="D12" s="18">
        <v>2600.1999999999998</v>
      </c>
      <c r="E12" s="18">
        <v>337.5</v>
      </c>
      <c r="F12" s="24"/>
      <c r="G12" s="18">
        <f t="shared" si="0"/>
        <v>0</v>
      </c>
      <c r="H12" s="18">
        <f t="shared" si="1"/>
        <v>2937.7</v>
      </c>
      <c r="J12" s="18">
        <f>VLOOKUP(C12,'CPD PITSS'!$B$10:$V$27,3,0)</f>
        <v>0</v>
      </c>
      <c r="K12" s="25">
        <v>15000</v>
      </c>
      <c r="L12" s="18">
        <f t="shared" si="2"/>
        <v>0</v>
      </c>
      <c r="M12" s="18">
        <f>VLOOKUP($C12,'CPD PITSS'!$B$10:$V$27,8,0)</f>
        <v>0</v>
      </c>
      <c r="N12" s="18">
        <f t="shared" si="3"/>
        <v>0</v>
      </c>
      <c r="O12" s="18" t="s">
        <v>209</v>
      </c>
    </row>
    <row r="13" spans="1:15" x14ac:dyDescent="0.2">
      <c r="A13" s="18" t="s">
        <v>57</v>
      </c>
      <c r="B13" s="18" t="s">
        <v>110</v>
      </c>
      <c r="C13" s="18" t="s">
        <v>58</v>
      </c>
      <c r="D13" s="18">
        <v>2751</v>
      </c>
      <c r="E13" s="18">
        <v>165</v>
      </c>
      <c r="F13" s="24"/>
      <c r="G13" s="18">
        <f t="shared" si="0"/>
        <v>0</v>
      </c>
      <c r="H13" s="18">
        <f t="shared" si="1"/>
        <v>2916</v>
      </c>
      <c r="J13" s="18">
        <f>VLOOKUP(C13,'CPD PITSS'!$B$10:$V$27,3,0)</f>
        <v>0</v>
      </c>
      <c r="K13" s="25">
        <v>15000</v>
      </c>
      <c r="L13" s="18">
        <f t="shared" si="2"/>
        <v>0</v>
      </c>
      <c r="M13" s="18">
        <f>VLOOKUP($C13,'CPD PITSS'!$B$10:$V$27,8,0)</f>
        <v>0</v>
      </c>
      <c r="N13" s="18">
        <f t="shared" si="3"/>
        <v>0</v>
      </c>
      <c r="O13" s="18" t="s">
        <v>234</v>
      </c>
    </row>
    <row r="14" spans="1:15" x14ac:dyDescent="0.2">
      <c r="A14" s="18" t="s">
        <v>43</v>
      </c>
      <c r="B14" s="18" t="s">
        <v>110</v>
      </c>
      <c r="C14" s="18" t="s">
        <v>44</v>
      </c>
      <c r="D14" s="18">
        <v>2464</v>
      </c>
      <c r="E14" s="18">
        <v>1000</v>
      </c>
      <c r="F14" s="24"/>
      <c r="G14" s="18">
        <f t="shared" si="0"/>
        <v>0</v>
      </c>
      <c r="H14" s="18">
        <f t="shared" si="1"/>
        <v>3464</v>
      </c>
      <c r="J14" s="18">
        <f>VLOOKUP(C14,'CPD PITSS'!$B$10:$V$27,3,0)</f>
        <v>0</v>
      </c>
      <c r="K14" s="25">
        <v>13000</v>
      </c>
      <c r="L14" s="18">
        <f t="shared" si="2"/>
        <v>0</v>
      </c>
      <c r="M14" s="18">
        <f>VLOOKUP($C14,'CPD PITSS'!$B$10:$V$27,8,0)</f>
        <v>0</v>
      </c>
      <c r="N14" s="18">
        <f t="shared" si="3"/>
        <v>0</v>
      </c>
      <c r="O14" s="18" t="s">
        <v>276</v>
      </c>
    </row>
    <row r="15" spans="1:15" x14ac:dyDescent="0.2">
      <c r="A15" s="18" t="s">
        <v>47</v>
      </c>
      <c r="B15" s="18" t="s">
        <v>110</v>
      </c>
      <c r="C15" s="18" t="s">
        <v>48</v>
      </c>
      <c r="D15" s="18">
        <v>2600.3999999999996</v>
      </c>
      <c r="E15" s="18">
        <v>337.5</v>
      </c>
      <c r="F15" s="24"/>
      <c r="G15" s="18">
        <f t="shared" si="0"/>
        <v>0</v>
      </c>
      <c r="H15" s="18">
        <f t="shared" si="1"/>
        <v>2937.8999999999996</v>
      </c>
      <c r="J15" s="18">
        <f>VLOOKUP(C15,'CPD PITSS'!$B$10:$V$27,3,0)</f>
        <v>0</v>
      </c>
      <c r="K15" s="25">
        <v>15000</v>
      </c>
      <c r="L15" s="18">
        <f t="shared" si="2"/>
        <v>0</v>
      </c>
      <c r="M15" s="18">
        <f>VLOOKUP($C15,'CPD PITSS'!$B$10:$V$27,8,0)</f>
        <v>0</v>
      </c>
      <c r="N15" s="18">
        <f t="shared" si="3"/>
        <v>0</v>
      </c>
      <c r="O15" s="18" t="s">
        <v>283</v>
      </c>
    </row>
    <row r="16" spans="1:15" x14ac:dyDescent="0.2">
      <c r="A16" s="18" t="s">
        <v>63</v>
      </c>
      <c r="B16" s="18" t="s">
        <v>110</v>
      </c>
      <c r="C16" s="18" t="s">
        <v>64</v>
      </c>
      <c r="D16" s="18">
        <v>1483.13</v>
      </c>
      <c r="E16" s="18">
        <v>20</v>
      </c>
      <c r="F16" s="24"/>
      <c r="G16" s="18">
        <f t="shared" si="0"/>
        <v>0</v>
      </c>
      <c r="H16" s="18">
        <f t="shared" si="1"/>
        <v>1503.13</v>
      </c>
      <c r="J16" s="18">
        <f>VLOOKUP(C16,'CPD PITSS'!$B$10:$V$27,3,0)</f>
        <v>0</v>
      </c>
      <c r="K16" s="25">
        <v>10000</v>
      </c>
      <c r="L16" s="18">
        <f t="shared" si="2"/>
        <v>0</v>
      </c>
      <c r="M16" s="18">
        <f>VLOOKUP($C16,'CPD PITSS'!$B$10:$V$27,8,0)</f>
        <v>0</v>
      </c>
      <c r="N16" s="18">
        <f t="shared" si="3"/>
        <v>0</v>
      </c>
      <c r="O16" s="18" t="s">
        <v>292</v>
      </c>
    </row>
    <row r="17" spans="1:15" x14ac:dyDescent="0.2">
      <c r="A17" s="18" t="s">
        <v>41</v>
      </c>
      <c r="B17" s="18" t="s">
        <v>110</v>
      </c>
      <c r="C17" s="18" t="s">
        <v>42</v>
      </c>
      <c r="D17" s="18">
        <v>1588.0000000000005</v>
      </c>
      <c r="E17" s="18">
        <v>400</v>
      </c>
      <c r="F17" s="24"/>
      <c r="G17" s="18">
        <f t="shared" si="0"/>
        <v>0</v>
      </c>
      <c r="H17" s="18">
        <f t="shared" si="1"/>
        <v>1988.0000000000005</v>
      </c>
      <c r="J17" s="18">
        <f>VLOOKUP(C17,'CPD PITSS'!$B$10:$V$27,3,0)</f>
        <v>0</v>
      </c>
      <c r="K17" s="25">
        <v>9000</v>
      </c>
      <c r="L17" s="18">
        <f t="shared" si="2"/>
        <v>0</v>
      </c>
      <c r="M17" s="18">
        <f>VLOOKUP($C17,'CPD PITSS'!$B$10:$V$27,8,0)</f>
        <v>0</v>
      </c>
      <c r="N17" s="18">
        <f t="shared" si="3"/>
        <v>0</v>
      </c>
      <c r="O17" s="18" t="s">
        <v>302</v>
      </c>
    </row>
    <row r="18" spans="1:15" x14ac:dyDescent="0.2">
      <c r="A18" s="18" t="s">
        <v>65</v>
      </c>
      <c r="B18" s="18" t="s">
        <v>110</v>
      </c>
      <c r="C18" s="18" t="s">
        <v>66</v>
      </c>
      <c r="D18" s="18">
        <v>12613.2</v>
      </c>
      <c r="F18" s="24"/>
      <c r="G18" s="18">
        <f t="shared" si="0"/>
        <v>281.75</v>
      </c>
      <c r="H18" s="18">
        <f t="shared" si="1"/>
        <v>12894.95</v>
      </c>
      <c r="J18" s="18">
        <f>VLOOKUP(C18,'CPD PITSS'!$B$10:$V$27,3,0)</f>
        <v>1</v>
      </c>
      <c r="K18" s="25">
        <v>60000</v>
      </c>
      <c r="L18" s="18">
        <f t="shared" si="2"/>
        <v>600</v>
      </c>
      <c r="M18" s="18">
        <f>VLOOKUP($C18,'CPD PITSS'!$B$10:$V$27,8,0)</f>
        <v>318.25</v>
      </c>
      <c r="N18" s="18">
        <f t="shared" si="3"/>
        <v>281.75</v>
      </c>
      <c r="O18" s="18" t="s">
        <v>312</v>
      </c>
    </row>
    <row r="19" spans="1:15" x14ac:dyDescent="0.2">
      <c r="A19" s="18" t="s">
        <v>73</v>
      </c>
      <c r="B19" s="18" t="s">
        <v>110</v>
      </c>
      <c r="C19" s="18" t="s">
        <v>74</v>
      </c>
      <c r="D19" s="18">
        <v>2464</v>
      </c>
      <c r="E19" s="18">
        <v>1000</v>
      </c>
      <c r="F19" s="24"/>
      <c r="G19" s="18">
        <f t="shared" si="0"/>
        <v>0</v>
      </c>
      <c r="H19" s="18">
        <f t="shared" si="1"/>
        <v>3464</v>
      </c>
      <c r="J19" s="18">
        <f>VLOOKUP(C19,'CPD PITSS'!$B$10:$V$27,3,0)</f>
        <v>0</v>
      </c>
      <c r="K19" s="25">
        <v>13000</v>
      </c>
      <c r="L19" s="18">
        <f t="shared" si="2"/>
        <v>0</v>
      </c>
      <c r="M19" s="18">
        <f>VLOOKUP($C19,'CPD PITSS'!$B$10:$V$27,8,0)</f>
        <v>0</v>
      </c>
      <c r="N19" s="18">
        <f t="shared" si="3"/>
        <v>0</v>
      </c>
      <c r="O19" s="18" t="s">
        <v>325</v>
      </c>
    </row>
    <row r="20" spans="1:15" x14ac:dyDescent="0.2">
      <c r="A20" s="18" t="s">
        <v>45</v>
      </c>
      <c r="B20" s="18" t="s">
        <v>110</v>
      </c>
      <c r="C20" s="18" t="s">
        <v>46</v>
      </c>
      <c r="D20" s="18">
        <v>4175.9999999999991</v>
      </c>
      <c r="E20" s="18">
        <v>750</v>
      </c>
      <c r="F20" s="24"/>
      <c r="G20" s="18">
        <f t="shared" si="0"/>
        <v>0</v>
      </c>
      <c r="H20" s="18">
        <f t="shared" si="1"/>
        <v>4925.9999999999991</v>
      </c>
      <c r="J20" s="18">
        <f>VLOOKUP(C20,'CPD PITSS'!$B$10:$V$27,3,0)</f>
        <v>0</v>
      </c>
      <c r="K20" s="25">
        <v>18500</v>
      </c>
      <c r="L20" s="18">
        <f t="shared" si="2"/>
        <v>0</v>
      </c>
      <c r="M20" s="18">
        <f>VLOOKUP($C20,'CPD PITSS'!$B$10:$V$27,8,0)</f>
        <v>0</v>
      </c>
      <c r="N20" s="18">
        <f t="shared" si="3"/>
        <v>0</v>
      </c>
      <c r="O20" s="18" t="s">
        <v>346</v>
      </c>
    </row>
    <row r="21" spans="1:15" x14ac:dyDescent="0.2">
      <c r="A21" s="18" t="s">
        <v>94</v>
      </c>
      <c r="B21" s="18" t="s">
        <v>95</v>
      </c>
      <c r="C21" s="18" t="s">
        <v>96</v>
      </c>
      <c r="D21" s="18">
        <v>135.19999999999982</v>
      </c>
      <c r="F21" s="24"/>
      <c r="H21" s="18">
        <f>SUM(D21:G21)</f>
        <v>135.19999999999982</v>
      </c>
      <c r="J21" s="18">
        <f>VLOOKUP(C21,'IP PITSS'!$B$10:$V$91,3,0)</f>
        <v>0</v>
      </c>
      <c r="K21" s="25">
        <v>6000</v>
      </c>
      <c r="L21" s="18">
        <f t="shared" si="2"/>
        <v>0</v>
      </c>
      <c r="M21" s="18">
        <f>VLOOKUP(C21,'IP PITSS'!$B$10:$I$91,8,0)</f>
        <v>0</v>
      </c>
      <c r="N21" s="18">
        <f t="shared" si="3"/>
        <v>0</v>
      </c>
      <c r="O21" s="18" t="s">
        <v>97</v>
      </c>
    </row>
    <row r="22" spans="1:15" x14ac:dyDescent="0.2">
      <c r="A22" s="18" t="s">
        <v>98</v>
      </c>
      <c r="B22" s="18" t="s">
        <v>95</v>
      </c>
      <c r="C22" s="18" t="s">
        <v>99</v>
      </c>
      <c r="D22" s="18">
        <v>135.14000000000033</v>
      </c>
      <c r="E22" s="18">
        <v>455</v>
      </c>
      <c r="F22" s="24"/>
      <c r="G22" s="18">
        <f t="shared" ref="G22:G53" si="4">+N22</f>
        <v>0</v>
      </c>
      <c r="H22" s="18">
        <f t="shared" si="1"/>
        <v>590.14000000000033</v>
      </c>
      <c r="J22" s="18">
        <f>VLOOKUP(C22,'IP PITSS'!$B$10:$V$91,3,0)</f>
        <v>0</v>
      </c>
      <c r="K22" s="25">
        <v>6000</v>
      </c>
      <c r="L22" s="18">
        <f t="shared" si="2"/>
        <v>0</v>
      </c>
      <c r="M22" s="18">
        <f>VLOOKUP(C22,'IP PITSS'!$B$10:$I$91,8,0)</f>
        <v>0</v>
      </c>
      <c r="N22" s="18">
        <f t="shared" si="3"/>
        <v>0</v>
      </c>
      <c r="O22" s="18" t="s">
        <v>100</v>
      </c>
    </row>
    <row r="23" spans="1:15" x14ac:dyDescent="0.2">
      <c r="A23" s="18" t="s">
        <v>101</v>
      </c>
      <c r="B23" s="18" t="s">
        <v>95</v>
      </c>
      <c r="C23" s="18" t="s">
        <v>102</v>
      </c>
      <c r="D23" s="18">
        <v>175.59999999999991</v>
      </c>
      <c r="E23" s="24">
        <v>1068.75</v>
      </c>
      <c r="F23" s="24"/>
      <c r="G23" s="18">
        <f t="shared" si="4"/>
        <v>0</v>
      </c>
      <c r="H23" s="18">
        <f t="shared" si="1"/>
        <v>1244.3499999999999</v>
      </c>
      <c r="J23" s="18">
        <f>VLOOKUP(C23,'IP PITSS'!$B$10:$V$91,3,0)</f>
        <v>0</v>
      </c>
      <c r="K23" s="25">
        <v>6300</v>
      </c>
      <c r="L23" s="18">
        <f t="shared" si="2"/>
        <v>0</v>
      </c>
      <c r="M23" s="18">
        <f>VLOOKUP(C23,'IP PITSS'!$B$10:$I$91,8,0)</f>
        <v>0</v>
      </c>
      <c r="N23" s="18">
        <f t="shared" si="3"/>
        <v>0</v>
      </c>
      <c r="O23" s="18" t="s">
        <v>103</v>
      </c>
    </row>
    <row r="24" spans="1:15" x14ac:dyDescent="0.2">
      <c r="A24" s="18" t="s">
        <v>104</v>
      </c>
      <c r="B24" s="18" t="s">
        <v>95</v>
      </c>
      <c r="C24" s="18" t="s">
        <v>105</v>
      </c>
      <c r="D24" s="18">
        <v>3135.3199999999997</v>
      </c>
      <c r="E24" s="18">
        <v>750</v>
      </c>
      <c r="F24" s="24"/>
      <c r="G24" s="18">
        <f t="shared" si="4"/>
        <v>0</v>
      </c>
      <c r="H24" s="18">
        <f t="shared" si="1"/>
        <v>3885.3199999999997</v>
      </c>
      <c r="J24" s="18">
        <f>VLOOKUP(C24,'IP PITSS'!$B$10:$V$91,3,0)</f>
        <v>0</v>
      </c>
      <c r="K24" s="25">
        <v>12000</v>
      </c>
      <c r="L24" s="18">
        <f t="shared" si="2"/>
        <v>0</v>
      </c>
      <c r="M24" s="18">
        <f>VLOOKUP(C24,'IP PITSS'!$B$10:$I$91,8,0)</f>
        <v>0</v>
      </c>
      <c r="N24" s="18">
        <f t="shared" si="3"/>
        <v>0</v>
      </c>
      <c r="O24" s="18" t="s">
        <v>106</v>
      </c>
    </row>
    <row r="25" spans="1:15" x14ac:dyDescent="0.2">
      <c r="A25" s="18" t="s">
        <v>107</v>
      </c>
      <c r="B25" s="18" t="s">
        <v>95</v>
      </c>
      <c r="C25" s="18" t="s">
        <v>108</v>
      </c>
      <c r="D25" s="18">
        <v>255.19999999999982</v>
      </c>
      <c r="E25" s="18">
        <v>455</v>
      </c>
      <c r="F25" s="24"/>
      <c r="G25" s="18">
        <f t="shared" si="4"/>
        <v>0</v>
      </c>
      <c r="H25" s="18">
        <f t="shared" si="1"/>
        <v>710.19999999999982</v>
      </c>
      <c r="J25" s="18">
        <f>VLOOKUP(C25,'IP PITSS'!$B$10:$V$91,3,0)</f>
        <v>1</v>
      </c>
      <c r="K25" s="25">
        <v>6000</v>
      </c>
      <c r="L25" s="18">
        <f t="shared" si="2"/>
        <v>60</v>
      </c>
      <c r="M25" s="18">
        <f>VLOOKUP(C25,'IP PITSS'!$B$10:$I$91,8,0)</f>
        <v>60</v>
      </c>
      <c r="N25" s="18">
        <f t="shared" si="3"/>
        <v>0</v>
      </c>
      <c r="O25" s="18" t="s">
        <v>109</v>
      </c>
    </row>
    <row r="26" spans="1:15" x14ac:dyDescent="0.2">
      <c r="A26" s="18" t="s">
        <v>113</v>
      </c>
      <c r="B26" s="18" t="s">
        <v>95</v>
      </c>
      <c r="C26" s="18" t="s">
        <v>114</v>
      </c>
      <c r="D26" s="18">
        <v>416.5</v>
      </c>
      <c r="E26" s="18">
        <v>480</v>
      </c>
      <c r="F26" s="24"/>
      <c r="G26" s="18">
        <f t="shared" si="4"/>
        <v>0</v>
      </c>
      <c r="H26" s="18">
        <f t="shared" si="1"/>
        <v>896.5</v>
      </c>
      <c r="J26" s="18">
        <f>VLOOKUP(C26,'IP PITSS'!$B$10:$V$91,3,0)</f>
        <v>0</v>
      </c>
      <c r="K26" s="25">
        <v>8000</v>
      </c>
      <c r="L26" s="18">
        <f t="shared" si="2"/>
        <v>0</v>
      </c>
      <c r="M26" s="18">
        <f>VLOOKUP(C26,'IP PITSS'!$B$10:$I$91,8,0)</f>
        <v>0</v>
      </c>
      <c r="N26" s="18">
        <f t="shared" si="3"/>
        <v>0</v>
      </c>
      <c r="O26" s="18" t="s">
        <v>115</v>
      </c>
    </row>
    <row r="27" spans="1:15" x14ac:dyDescent="0.2">
      <c r="A27" s="18" t="s">
        <v>120</v>
      </c>
      <c r="B27" s="18" t="s">
        <v>95</v>
      </c>
      <c r="C27" s="18" t="s">
        <v>121</v>
      </c>
      <c r="D27" s="18">
        <v>175.67000000000007</v>
      </c>
      <c r="E27" s="24">
        <v>675</v>
      </c>
      <c r="F27" s="24"/>
      <c r="G27" s="18">
        <f t="shared" si="4"/>
        <v>0</v>
      </c>
      <c r="H27" s="18">
        <f t="shared" si="1"/>
        <v>850.67000000000007</v>
      </c>
      <c r="J27" s="18">
        <f>VLOOKUP(C27,'IP PITSS'!$B$10:$V$91,3,0)</f>
        <v>0</v>
      </c>
      <c r="K27" s="25">
        <v>6300</v>
      </c>
      <c r="L27" s="18">
        <f t="shared" si="2"/>
        <v>0</v>
      </c>
      <c r="M27" s="18">
        <f>VLOOKUP(C27,'IP PITSS'!$B$10:$I$91,8,0)</f>
        <v>0</v>
      </c>
      <c r="N27" s="18">
        <f t="shared" si="3"/>
        <v>0</v>
      </c>
      <c r="O27" s="18" t="s">
        <v>122</v>
      </c>
    </row>
    <row r="28" spans="1:15" x14ac:dyDescent="0.2">
      <c r="A28" s="18" t="s">
        <v>124</v>
      </c>
      <c r="B28" s="18" t="s">
        <v>95</v>
      </c>
      <c r="C28" s="18" t="s">
        <v>125</v>
      </c>
      <c r="D28" s="18">
        <v>384.85500000000002</v>
      </c>
      <c r="E28" s="18">
        <v>135</v>
      </c>
      <c r="F28" s="24"/>
      <c r="G28" s="18">
        <f t="shared" si="4"/>
        <v>0</v>
      </c>
      <c r="H28" s="18">
        <f t="shared" si="1"/>
        <v>519.85500000000002</v>
      </c>
      <c r="J28" s="18">
        <f>VLOOKUP(C28,'IP PITSS'!$B$10:$V$91,3,0)</f>
        <v>0</v>
      </c>
      <c r="K28" s="25">
        <v>7505.99</v>
      </c>
      <c r="L28" s="18">
        <f t="shared" si="2"/>
        <v>0</v>
      </c>
      <c r="M28" s="18">
        <f>VLOOKUP(C28,'IP PITSS'!$B$10:$I$91,8,0)</f>
        <v>0</v>
      </c>
      <c r="N28" s="18">
        <f t="shared" si="3"/>
        <v>0</v>
      </c>
      <c r="O28" s="18" t="s">
        <v>126</v>
      </c>
    </row>
    <row r="29" spans="1:15" x14ac:dyDescent="0.2">
      <c r="A29" s="24" t="s">
        <v>127</v>
      </c>
      <c r="B29" s="18" t="s">
        <v>95</v>
      </c>
      <c r="C29" s="24" t="s">
        <v>128</v>
      </c>
      <c r="D29" s="18">
        <v>135.19999999999982</v>
      </c>
      <c r="E29" s="18">
        <v>450</v>
      </c>
      <c r="F29" s="24"/>
      <c r="G29" s="18">
        <f t="shared" si="4"/>
        <v>0</v>
      </c>
      <c r="H29" s="18">
        <f t="shared" si="1"/>
        <v>585.19999999999982</v>
      </c>
      <c r="J29" s="18">
        <f>VLOOKUP(C29,'IP PITSS'!$B$10:$V$91,3,0)</f>
        <v>0</v>
      </c>
      <c r="K29" s="25">
        <v>6000</v>
      </c>
      <c r="L29" s="18">
        <f t="shared" si="2"/>
        <v>0</v>
      </c>
      <c r="M29" s="18">
        <f>VLOOKUP(C29,'IP PITSS'!$B$10:$I$91,8,0)</f>
        <v>0</v>
      </c>
      <c r="N29" s="18">
        <f t="shared" si="3"/>
        <v>0</v>
      </c>
      <c r="O29" s="18" t="s">
        <v>129</v>
      </c>
    </row>
    <row r="30" spans="1:15" s="24" customFormat="1" x14ac:dyDescent="0.2">
      <c r="A30" s="18" t="s">
        <v>130</v>
      </c>
      <c r="B30" s="18" t="s">
        <v>95</v>
      </c>
      <c r="C30" s="18" t="s">
        <v>131</v>
      </c>
      <c r="D30" s="18">
        <v>4001.2000000000007</v>
      </c>
      <c r="E30" s="18">
        <v>437.5</v>
      </c>
      <c r="F30" s="24">
        <v>840</v>
      </c>
      <c r="G30" s="18">
        <f t="shared" si="4"/>
        <v>0</v>
      </c>
      <c r="H30" s="18">
        <f t="shared" si="1"/>
        <v>5278.7000000000007</v>
      </c>
      <c r="I30" s="19"/>
      <c r="J30" s="18">
        <f>VLOOKUP(C30,'IP PITSS'!$B$10:$V$91,3,0)</f>
        <v>0</v>
      </c>
      <c r="K30" s="25">
        <v>14000</v>
      </c>
      <c r="L30" s="18">
        <f t="shared" si="2"/>
        <v>0</v>
      </c>
      <c r="M30" s="18">
        <f>VLOOKUP(C30,'IP PITSS'!$B$10:$I$91,8,0)</f>
        <v>0</v>
      </c>
      <c r="N30" s="18">
        <f t="shared" si="3"/>
        <v>0</v>
      </c>
      <c r="O30" s="18" t="s">
        <v>132</v>
      </c>
    </row>
    <row r="31" spans="1:15" x14ac:dyDescent="0.2">
      <c r="A31" s="18" t="s">
        <v>133</v>
      </c>
      <c r="B31" s="18" t="s">
        <v>95</v>
      </c>
      <c r="C31" s="18" t="s">
        <v>134</v>
      </c>
      <c r="D31" s="18">
        <v>2553.3999999999996</v>
      </c>
      <c r="E31" s="18">
        <v>400</v>
      </c>
      <c r="F31" s="24"/>
      <c r="G31" s="18">
        <f t="shared" si="4"/>
        <v>0</v>
      </c>
      <c r="H31" s="18">
        <f t="shared" si="1"/>
        <v>2953.3999999999996</v>
      </c>
      <c r="J31" s="18">
        <f>VLOOKUP(C31,'IP PITSS'!$B$10:$V$91,3,0)</f>
        <v>0</v>
      </c>
      <c r="K31" s="25">
        <v>10000</v>
      </c>
      <c r="L31" s="18">
        <f t="shared" si="2"/>
        <v>0</v>
      </c>
      <c r="M31" s="18">
        <f>VLOOKUP(C31,'IP PITSS'!$B$10:$I$91,8,0)</f>
        <v>0</v>
      </c>
      <c r="N31" s="18">
        <f t="shared" si="3"/>
        <v>0</v>
      </c>
      <c r="O31" s="18" t="s">
        <v>135</v>
      </c>
    </row>
    <row r="32" spans="1:15" x14ac:dyDescent="0.2">
      <c r="A32" s="18" t="s">
        <v>136</v>
      </c>
      <c r="B32" s="18" t="s">
        <v>95</v>
      </c>
      <c r="C32" s="18" t="s">
        <v>137</v>
      </c>
      <c r="D32" s="18">
        <v>2667.3999999999996</v>
      </c>
      <c r="E32" s="18">
        <v>750</v>
      </c>
      <c r="F32" s="24">
        <v>400</v>
      </c>
      <c r="G32" s="18">
        <f t="shared" si="4"/>
        <v>0</v>
      </c>
      <c r="H32" s="18">
        <f t="shared" si="1"/>
        <v>3817.3999999999996</v>
      </c>
      <c r="J32" s="18">
        <f>VLOOKUP(C32,'IP PITSS'!$B$10:$V$91,3,0)</f>
        <v>0</v>
      </c>
      <c r="K32" s="25">
        <v>12000</v>
      </c>
      <c r="L32" s="18">
        <f t="shared" si="2"/>
        <v>0</v>
      </c>
      <c r="M32" s="18">
        <f>VLOOKUP(C32,'IP PITSS'!$B$10:$I$91,8,0)</f>
        <v>0</v>
      </c>
      <c r="N32" s="18">
        <f t="shared" si="3"/>
        <v>0</v>
      </c>
      <c r="O32" s="18" t="s">
        <v>138</v>
      </c>
    </row>
    <row r="33" spans="1:15" x14ac:dyDescent="0.2">
      <c r="A33" s="18" t="s">
        <v>139</v>
      </c>
      <c r="B33" s="18" t="s">
        <v>95</v>
      </c>
      <c r="C33" s="18" t="s">
        <v>140</v>
      </c>
      <c r="D33" s="18">
        <v>222.60000000000036</v>
      </c>
      <c r="E33" s="18">
        <v>250</v>
      </c>
      <c r="F33" s="24"/>
      <c r="G33" s="18">
        <f t="shared" si="4"/>
        <v>0</v>
      </c>
      <c r="H33" s="18">
        <f t="shared" si="1"/>
        <v>472.60000000000036</v>
      </c>
      <c r="J33" s="18">
        <f>VLOOKUP(C33,'IP PITSS'!$B$10:$V$91,3,0)</f>
        <v>0</v>
      </c>
      <c r="K33" s="25">
        <v>7000</v>
      </c>
      <c r="L33" s="18">
        <f t="shared" si="2"/>
        <v>0</v>
      </c>
      <c r="M33" s="18">
        <f>VLOOKUP(C33,'IP PITSS'!$B$10:$I$91,8,0)</f>
        <v>0</v>
      </c>
      <c r="N33" s="18">
        <f t="shared" si="3"/>
        <v>0</v>
      </c>
      <c r="O33" s="18" t="s">
        <v>141</v>
      </c>
    </row>
    <row r="34" spans="1:15" x14ac:dyDescent="0.2">
      <c r="A34" s="18" t="s">
        <v>73</v>
      </c>
      <c r="B34" s="18" t="s">
        <v>95</v>
      </c>
      <c r="C34" s="18" t="s">
        <v>142</v>
      </c>
      <c r="D34" s="18">
        <v>1047.7999999999993</v>
      </c>
      <c r="E34" s="18">
        <v>687.5</v>
      </c>
      <c r="F34" s="24"/>
      <c r="G34" s="18">
        <f t="shared" si="4"/>
        <v>0</v>
      </c>
      <c r="H34" s="18">
        <f t="shared" si="1"/>
        <v>1735.2999999999993</v>
      </c>
      <c r="J34" s="18">
        <f>VLOOKUP(C34,'IP PITSS'!$B$10:$V$91,3,0)</f>
        <v>0</v>
      </c>
      <c r="K34" s="25">
        <v>14000</v>
      </c>
      <c r="L34" s="18">
        <f t="shared" si="2"/>
        <v>0</v>
      </c>
      <c r="M34" s="18">
        <f>VLOOKUP(C34,'IP PITSS'!$B$10:$I$91,8,0)</f>
        <v>0</v>
      </c>
      <c r="N34" s="18">
        <f t="shared" si="3"/>
        <v>0</v>
      </c>
      <c r="O34" s="18" t="s">
        <v>143</v>
      </c>
    </row>
    <row r="35" spans="1:15" x14ac:dyDescent="0.2">
      <c r="A35" s="18" t="s">
        <v>144</v>
      </c>
      <c r="B35" s="18" t="s">
        <v>95</v>
      </c>
      <c r="C35" s="18" t="s">
        <v>145</v>
      </c>
      <c r="D35" s="18">
        <v>334.60000000000036</v>
      </c>
      <c r="E35" s="18">
        <v>450</v>
      </c>
      <c r="F35" s="24"/>
      <c r="G35" s="18">
        <f t="shared" si="4"/>
        <v>0</v>
      </c>
      <c r="H35" s="18">
        <f t="shared" ref="H35:H66" si="5">SUM(D35:G35)</f>
        <v>784.60000000000036</v>
      </c>
      <c r="J35" s="18">
        <f>VLOOKUP(C35,'IP PITSS'!$B$10:$V$91,3,0)</f>
        <v>1</v>
      </c>
      <c r="K35" s="25">
        <v>8000</v>
      </c>
      <c r="L35" s="18">
        <f t="shared" ref="L35:L66" si="6">(((+K35/30)*J35)*30%)</f>
        <v>80</v>
      </c>
      <c r="M35" s="18">
        <f>VLOOKUP(C35,'IP PITSS'!$B$10:$I$91,8,0)</f>
        <v>80</v>
      </c>
      <c r="N35" s="18">
        <f t="shared" ref="N35:N66" si="7">+L35-M35</f>
        <v>0</v>
      </c>
      <c r="O35" s="18" t="s">
        <v>146</v>
      </c>
    </row>
    <row r="36" spans="1:15" x14ac:dyDescent="0.2">
      <c r="A36" s="18" t="s">
        <v>147</v>
      </c>
      <c r="B36" s="18" t="s">
        <v>95</v>
      </c>
      <c r="C36" s="18" t="s">
        <v>148</v>
      </c>
      <c r="D36" s="18">
        <v>593.60000000000036</v>
      </c>
      <c r="E36" s="18">
        <v>110</v>
      </c>
      <c r="F36" s="24"/>
      <c r="G36" s="18">
        <f t="shared" si="4"/>
        <v>0</v>
      </c>
      <c r="H36" s="18">
        <f t="shared" si="5"/>
        <v>703.60000000000036</v>
      </c>
      <c r="J36" s="18">
        <f>VLOOKUP(C36,'IP PITSS'!$B$10:$V$91,3,0)</f>
        <v>0</v>
      </c>
      <c r="K36" s="25">
        <v>10000</v>
      </c>
      <c r="L36" s="18">
        <f t="shared" si="6"/>
        <v>0</v>
      </c>
      <c r="M36" s="18">
        <f>VLOOKUP(C36,'IP PITSS'!$B$10:$I$91,8,0)</f>
        <v>0</v>
      </c>
      <c r="N36" s="18">
        <f t="shared" si="7"/>
        <v>0</v>
      </c>
      <c r="O36" s="18" t="s">
        <v>149</v>
      </c>
    </row>
    <row r="37" spans="1:15" s="107" customFormat="1" x14ac:dyDescent="0.2">
      <c r="A37" s="107" t="s">
        <v>150</v>
      </c>
      <c r="B37" s="107" t="s">
        <v>95</v>
      </c>
      <c r="C37" s="107" t="s">
        <v>151</v>
      </c>
      <c r="D37" s="107">
        <v>0</v>
      </c>
      <c r="G37" s="107">
        <f t="shared" si="4"/>
        <v>0</v>
      </c>
      <c r="H37" s="107">
        <f t="shared" si="5"/>
        <v>0</v>
      </c>
      <c r="I37" s="108"/>
      <c r="J37" s="107">
        <v>0</v>
      </c>
      <c r="K37" s="109">
        <v>6300</v>
      </c>
      <c r="L37" s="107">
        <f t="shared" si="6"/>
        <v>0</v>
      </c>
      <c r="M37" s="101">
        <v>0</v>
      </c>
      <c r="N37" s="107">
        <f t="shared" si="7"/>
        <v>0</v>
      </c>
      <c r="O37" s="107" t="s">
        <v>152</v>
      </c>
    </row>
    <row r="38" spans="1:15" x14ac:dyDescent="0.2">
      <c r="A38" s="18" t="s">
        <v>153</v>
      </c>
      <c r="B38" s="18" t="s">
        <v>95</v>
      </c>
      <c r="C38" s="18" t="s">
        <v>154</v>
      </c>
      <c r="D38" s="18">
        <v>554.19999999999982</v>
      </c>
      <c r="E38" s="18">
        <v>225</v>
      </c>
      <c r="F38" s="24"/>
      <c r="G38" s="18">
        <f t="shared" si="4"/>
        <v>0</v>
      </c>
      <c r="H38" s="18">
        <f t="shared" si="5"/>
        <v>779.19999999999982</v>
      </c>
      <c r="J38" s="18">
        <f>VLOOKUP(C38,'IP PITSS'!$B$10:$V$91,3,0)</f>
        <v>0</v>
      </c>
      <c r="K38" s="25">
        <v>6000</v>
      </c>
      <c r="L38" s="18">
        <f t="shared" si="6"/>
        <v>0</v>
      </c>
      <c r="M38" s="18">
        <f>VLOOKUP(C38,'IP PITSS'!$B$10:$I$91,8,0)</f>
        <v>0</v>
      </c>
      <c r="N38" s="18">
        <f t="shared" si="7"/>
        <v>0</v>
      </c>
      <c r="O38" s="18" t="s">
        <v>155</v>
      </c>
    </row>
    <row r="39" spans="1:15" x14ac:dyDescent="0.2">
      <c r="A39" s="18" t="s">
        <v>156</v>
      </c>
      <c r="B39" s="18" t="s">
        <v>95</v>
      </c>
      <c r="C39" s="18" t="s">
        <v>157</v>
      </c>
      <c r="D39" s="18">
        <v>52.349999999999909</v>
      </c>
      <c r="E39" s="18">
        <v>250</v>
      </c>
      <c r="F39" s="24"/>
      <c r="G39" s="18">
        <f t="shared" si="4"/>
        <v>0</v>
      </c>
      <c r="H39" s="18">
        <f t="shared" si="5"/>
        <v>302.34999999999991</v>
      </c>
      <c r="J39" s="18">
        <f>VLOOKUP(C39,'IP PITSS'!$B$10:$V$91,3,0)</f>
        <v>0</v>
      </c>
      <c r="K39" s="25">
        <v>5000</v>
      </c>
      <c r="L39" s="18">
        <f t="shared" si="6"/>
        <v>0</v>
      </c>
      <c r="M39" s="18">
        <f>VLOOKUP(C39,'IP PITSS'!$B$10:$I$91,8,0)</f>
        <v>0</v>
      </c>
      <c r="N39" s="18">
        <f t="shared" si="7"/>
        <v>0</v>
      </c>
      <c r="O39" s="18" t="s">
        <v>158</v>
      </c>
    </row>
    <row r="40" spans="1:15" x14ac:dyDescent="0.2">
      <c r="A40" s="18" t="s">
        <v>159</v>
      </c>
      <c r="B40" s="18" t="s">
        <v>95</v>
      </c>
      <c r="C40" s="18" t="s">
        <v>160</v>
      </c>
      <c r="D40" s="18">
        <v>1667.37</v>
      </c>
      <c r="E40" s="18">
        <v>465</v>
      </c>
      <c r="F40" s="24"/>
      <c r="G40" s="18">
        <f t="shared" si="4"/>
        <v>0</v>
      </c>
      <c r="H40" s="18">
        <f t="shared" si="5"/>
        <v>2132.37</v>
      </c>
      <c r="J40" s="18">
        <f>VLOOKUP(C40,'IP PITSS'!$B$10:$V$91,3,0)</f>
        <v>0</v>
      </c>
      <c r="K40" s="25">
        <v>10000</v>
      </c>
      <c r="L40" s="18">
        <f t="shared" si="6"/>
        <v>0</v>
      </c>
      <c r="M40" s="18">
        <f>VLOOKUP(C40,'IP PITSS'!$B$10:$I$91,8,0)</f>
        <v>0</v>
      </c>
      <c r="N40" s="18">
        <f t="shared" si="7"/>
        <v>0</v>
      </c>
      <c r="O40" s="18" t="s">
        <v>161</v>
      </c>
    </row>
    <row r="41" spans="1:15" x14ac:dyDescent="0.2">
      <c r="A41" s="18" t="s">
        <v>162</v>
      </c>
      <c r="B41" s="18" t="s">
        <v>95</v>
      </c>
      <c r="C41" s="18" t="s">
        <v>163</v>
      </c>
      <c r="D41" s="18">
        <v>416.19999999999982</v>
      </c>
      <c r="E41" s="18">
        <v>480</v>
      </c>
      <c r="F41" s="24"/>
      <c r="G41" s="18">
        <f t="shared" si="4"/>
        <v>0</v>
      </c>
      <c r="H41" s="18">
        <f t="shared" si="5"/>
        <v>896.19999999999982</v>
      </c>
      <c r="J41" s="18">
        <f>VLOOKUP(C41,'IP PITSS'!$B$10:$V$91,3,0)</f>
        <v>0</v>
      </c>
      <c r="K41" s="25">
        <v>8000</v>
      </c>
      <c r="L41" s="18">
        <f t="shared" si="6"/>
        <v>0</v>
      </c>
      <c r="M41" s="18">
        <f>VLOOKUP(C41,'IP PITSS'!$B$10:$I$91,8,0)</f>
        <v>0</v>
      </c>
      <c r="N41" s="18">
        <f t="shared" si="7"/>
        <v>0</v>
      </c>
      <c r="O41" s="18" t="s">
        <v>164</v>
      </c>
    </row>
    <row r="42" spans="1:15" x14ac:dyDescent="0.2">
      <c r="A42" s="18" t="s">
        <v>166</v>
      </c>
      <c r="B42" s="18" t="s">
        <v>95</v>
      </c>
      <c r="C42" s="18" t="s">
        <v>167</v>
      </c>
      <c r="D42" s="18">
        <v>134.21000000000004</v>
      </c>
      <c r="E42" s="24">
        <v>225</v>
      </c>
      <c r="F42" s="24"/>
      <c r="G42" s="18">
        <f t="shared" si="4"/>
        <v>0</v>
      </c>
      <c r="H42" s="18">
        <f t="shared" si="5"/>
        <v>359.21000000000004</v>
      </c>
      <c r="J42" s="18">
        <f>VLOOKUP(C42,'IP PITSS'!$B$10:$V$91,3,0)</f>
        <v>0</v>
      </c>
      <c r="K42" s="25">
        <v>6000</v>
      </c>
      <c r="L42" s="18">
        <f t="shared" si="6"/>
        <v>0</v>
      </c>
      <c r="M42" s="18">
        <f>VLOOKUP(C42,'IP PITSS'!$B$10:$I$91,8,0)</f>
        <v>0</v>
      </c>
      <c r="N42" s="18">
        <f t="shared" si="7"/>
        <v>0</v>
      </c>
      <c r="O42" s="18" t="s">
        <v>168</v>
      </c>
    </row>
    <row r="43" spans="1:15" x14ac:dyDescent="0.2">
      <c r="A43" s="18" t="s">
        <v>169</v>
      </c>
      <c r="B43" s="18" t="s">
        <v>95</v>
      </c>
      <c r="C43" s="18" t="s">
        <v>170</v>
      </c>
      <c r="D43" s="18">
        <v>174.46000000000004</v>
      </c>
      <c r="E43" s="18">
        <v>590.63</v>
      </c>
      <c r="F43" s="24"/>
      <c r="G43" s="18">
        <f t="shared" si="4"/>
        <v>0</v>
      </c>
      <c r="H43" s="18">
        <f t="shared" si="5"/>
        <v>765.09</v>
      </c>
      <c r="J43" s="18">
        <f>VLOOKUP(C43,'IP PITSS'!$B$10:$V$91,3,0)</f>
        <v>0</v>
      </c>
      <c r="K43" s="25">
        <v>6300</v>
      </c>
      <c r="L43" s="18">
        <f t="shared" si="6"/>
        <v>0</v>
      </c>
      <c r="M43" s="18">
        <f>VLOOKUP(C43,'IP PITSS'!$B$10:$I$91,8,0)</f>
        <v>0</v>
      </c>
      <c r="N43" s="18">
        <f t="shared" si="7"/>
        <v>0</v>
      </c>
      <c r="O43" s="18" t="s">
        <v>171</v>
      </c>
    </row>
    <row r="44" spans="1:15" x14ac:dyDescent="0.2">
      <c r="A44" s="18" t="s">
        <v>172</v>
      </c>
      <c r="B44" s="18" t="s">
        <v>95</v>
      </c>
      <c r="C44" s="18" t="s">
        <v>173</v>
      </c>
      <c r="D44" s="18">
        <v>1416.1999999999998</v>
      </c>
      <c r="E44" s="18">
        <v>718.75</v>
      </c>
      <c r="F44" s="24"/>
      <c r="G44" s="18">
        <f t="shared" si="4"/>
        <v>0</v>
      </c>
      <c r="H44" s="18">
        <f t="shared" si="5"/>
        <v>2134.9499999999998</v>
      </c>
      <c r="J44" s="18">
        <f>VLOOKUP(C44,'IP PITSS'!$B$10:$V$91,3,0)</f>
        <v>0</v>
      </c>
      <c r="K44" s="25">
        <v>10000</v>
      </c>
      <c r="L44" s="18">
        <f t="shared" si="6"/>
        <v>0</v>
      </c>
      <c r="M44" s="18">
        <f>VLOOKUP(C44,'IP PITSS'!$B$10:$I$91,8,0)</f>
        <v>0</v>
      </c>
      <c r="N44" s="18">
        <f t="shared" si="7"/>
        <v>0</v>
      </c>
      <c r="O44" s="18" t="s">
        <v>174</v>
      </c>
    </row>
    <row r="45" spans="1:15" x14ac:dyDescent="0.2">
      <c r="A45" s="18" t="s">
        <v>175</v>
      </c>
      <c r="B45" s="18" t="s">
        <v>95</v>
      </c>
      <c r="C45" s="18" t="s">
        <v>176</v>
      </c>
      <c r="D45" s="18">
        <v>135.19999999999982</v>
      </c>
      <c r="E45" s="18">
        <v>455</v>
      </c>
      <c r="F45" s="24"/>
      <c r="G45" s="18">
        <f t="shared" si="4"/>
        <v>0</v>
      </c>
      <c r="H45" s="18">
        <f t="shared" si="5"/>
        <v>590.19999999999982</v>
      </c>
      <c r="J45" s="18">
        <f>VLOOKUP(C45,'IP PITSS'!$B$10:$V$91,3,0)</f>
        <v>1</v>
      </c>
      <c r="K45" s="25">
        <v>6000</v>
      </c>
      <c r="L45" s="18">
        <f t="shared" si="6"/>
        <v>60</v>
      </c>
      <c r="M45" s="18">
        <f>VLOOKUP(C45,'IP PITSS'!$B$10:$I$91,8,0)</f>
        <v>60</v>
      </c>
      <c r="N45" s="18">
        <f t="shared" si="7"/>
        <v>0</v>
      </c>
      <c r="O45" s="18" t="s">
        <v>177</v>
      </c>
    </row>
    <row r="46" spans="1:15" x14ac:dyDescent="0.2">
      <c r="A46" s="18" t="s">
        <v>178</v>
      </c>
      <c r="B46" s="18" t="s">
        <v>95</v>
      </c>
      <c r="C46" s="18" t="s">
        <v>179</v>
      </c>
      <c r="D46" s="18">
        <v>3721.4</v>
      </c>
      <c r="E46" s="18">
        <v>375</v>
      </c>
      <c r="F46" s="24"/>
      <c r="G46" s="18">
        <f t="shared" si="4"/>
        <v>0</v>
      </c>
      <c r="H46" s="18">
        <f t="shared" si="5"/>
        <v>4096.3999999999996</v>
      </c>
      <c r="J46" s="18">
        <f>VLOOKUP(C46,'IP PITSS'!$B$10:$V$91,3,0)</f>
        <v>0</v>
      </c>
      <c r="K46" s="25">
        <v>14000</v>
      </c>
      <c r="L46" s="18">
        <f t="shared" si="6"/>
        <v>0</v>
      </c>
      <c r="M46" s="18">
        <f>VLOOKUP(C46,'IP PITSS'!$B$10:$I$91,8,0)</f>
        <v>0</v>
      </c>
      <c r="N46" s="18">
        <f t="shared" si="7"/>
        <v>0</v>
      </c>
      <c r="O46" s="18" t="s">
        <v>180</v>
      </c>
    </row>
    <row r="47" spans="1:15" s="24" customFormat="1" x14ac:dyDescent="0.2">
      <c r="A47" s="18" t="s">
        <v>38</v>
      </c>
      <c r="B47" s="18" t="s">
        <v>95</v>
      </c>
      <c r="C47" s="18" t="s">
        <v>181</v>
      </c>
      <c r="D47" s="18">
        <v>416.19999999999982</v>
      </c>
      <c r="E47" s="28">
        <v>130</v>
      </c>
      <c r="G47" s="18">
        <f t="shared" si="4"/>
        <v>0</v>
      </c>
      <c r="H47" s="18">
        <f t="shared" si="5"/>
        <v>546.19999999999982</v>
      </c>
      <c r="I47" s="19"/>
      <c r="J47" s="18">
        <f>VLOOKUP(C47,'IP PITSS'!$B$10:$V$91,3,0)</f>
        <v>0</v>
      </c>
      <c r="K47" s="25">
        <v>8000</v>
      </c>
      <c r="L47" s="18">
        <f t="shared" si="6"/>
        <v>0</v>
      </c>
      <c r="M47" s="18">
        <f>VLOOKUP(C47,'IP PITSS'!$B$10:$I$91,8,0)</f>
        <v>0</v>
      </c>
      <c r="N47" s="18">
        <f t="shared" si="7"/>
        <v>0</v>
      </c>
      <c r="O47" s="18" t="s">
        <v>182</v>
      </c>
    </row>
    <row r="48" spans="1:15" x14ac:dyDescent="0.2">
      <c r="A48" s="18" t="s">
        <v>183</v>
      </c>
      <c r="B48" s="18" t="s">
        <v>95</v>
      </c>
      <c r="C48" s="18" t="s">
        <v>184</v>
      </c>
      <c r="D48" s="18">
        <v>451.00500000000011</v>
      </c>
      <c r="E48" s="18">
        <v>412</v>
      </c>
      <c r="F48" s="24"/>
      <c r="G48" s="18">
        <f t="shared" si="4"/>
        <v>0</v>
      </c>
      <c r="H48" s="18">
        <f t="shared" si="5"/>
        <v>863.00500000000011</v>
      </c>
      <c r="J48" s="18">
        <f>VLOOKUP(C48,'IP PITSS'!$B$10:$V$91,3,0)</f>
        <v>0</v>
      </c>
      <c r="K48" s="25">
        <v>8500.01</v>
      </c>
      <c r="L48" s="18">
        <f t="shared" si="6"/>
        <v>0</v>
      </c>
      <c r="M48" s="18">
        <f>VLOOKUP(C48,'IP PITSS'!$B$10:$I$91,8,0)</f>
        <v>0</v>
      </c>
      <c r="N48" s="18">
        <f t="shared" si="7"/>
        <v>0</v>
      </c>
      <c r="O48" s="18" t="s">
        <v>185</v>
      </c>
    </row>
    <row r="49" spans="1:15" x14ac:dyDescent="0.2">
      <c r="A49" s="18" t="s">
        <v>186</v>
      </c>
      <c r="B49" s="18" t="s">
        <v>95</v>
      </c>
      <c r="C49" s="18" t="s">
        <v>187</v>
      </c>
      <c r="D49" s="18">
        <v>3135.2</v>
      </c>
      <c r="E49" s="18">
        <v>225</v>
      </c>
      <c r="F49" s="24"/>
      <c r="G49" s="18">
        <f t="shared" si="4"/>
        <v>0</v>
      </c>
      <c r="H49" s="18">
        <f t="shared" si="5"/>
        <v>3360.2</v>
      </c>
      <c r="J49" s="18">
        <f>VLOOKUP(C49,'IP PITSS'!$B$10:$V$91,3,0)</f>
        <v>0</v>
      </c>
      <c r="K49" s="25">
        <v>12000</v>
      </c>
      <c r="L49" s="18">
        <f t="shared" si="6"/>
        <v>0</v>
      </c>
      <c r="M49" s="18">
        <f>VLOOKUP(C49,'IP PITSS'!$B$10:$I$91,8,0)</f>
        <v>0</v>
      </c>
      <c r="N49" s="18">
        <f t="shared" si="7"/>
        <v>0</v>
      </c>
      <c r="O49" s="18" t="s">
        <v>188</v>
      </c>
    </row>
    <row r="50" spans="1:15" x14ac:dyDescent="0.2">
      <c r="A50" s="18" t="s">
        <v>190</v>
      </c>
      <c r="B50" s="18" t="s">
        <v>95</v>
      </c>
      <c r="C50" s="18" t="s">
        <v>191</v>
      </c>
      <c r="D50" s="18">
        <v>134.19999999999982</v>
      </c>
      <c r="E50" s="18">
        <v>130</v>
      </c>
      <c r="F50" s="24"/>
      <c r="G50" s="18">
        <f t="shared" si="4"/>
        <v>0</v>
      </c>
      <c r="H50" s="18">
        <f t="shared" si="5"/>
        <v>264.19999999999982</v>
      </c>
      <c r="J50" s="18">
        <f>VLOOKUP(C50,'IP PITSS'!$B$10:$V$91,3,0)</f>
        <v>0</v>
      </c>
      <c r="K50" s="25">
        <v>6000</v>
      </c>
      <c r="L50" s="18">
        <f t="shared" si="6"/>
        <v>0</v>
      </c>
      <c r="M50" s="18">
        <f>VLOOKUP(C50,'IP PITSS'!$B$10:$I$91,8,0)</f>
        <v>0</v>
      </c>
      <c r="N50" s="18">
        <f t="shared" si="7"/>
        <v>0</v>
      </c>
      <c r="O50" s="18" t="s">
        <v>192</v>
      </c>
    </row>
    <row r="51" spans="1:15" x14ac:dyDescent="0.2">
      <c r="A51" s="18" t="s">
        <v>193</v>
      </c>
      <c r="B51" s="18" t="s">
        <v>95</v>
      </c>
      <c r="C51" s="18" t="s">
        <v>194</v>
      </c>
      <c r="D51" s="18">
        <v>1367.3000000000002</v>
      </c>
      <c r="E51" s="18">
        <v>390.63</v>
      </c>
      <c r="F51" s="24"/>
      <c r="G51" s="18">
        <f t="shared" si="4"/>
        <v>0</v>
      </c>
      <c r="H51" s="18">
        <f t="shared" si="5"/>
        <v>1757.9300000000003</v>
      </c>
      <c r="J51" s="18">
        <f>VLOOKUP(C51,'IP PITSS'!$B$10:$V$91,3,0)</f>
        <v>0</v>
      </c>
      <c r="K51" s="29">
        <v>13125</v>
      </c>
      <c r="L51" s="18">
        <f t="shared" si="6"/>
        <v>0</v>
      </c>
      <c r="M51" s="18">
        <f>VLOOKUP(C51,'IP PITSS'!$B$10:$I$91,8,0)</f>
        <v>0</v>
      </c>
      <c r="N51" s="18">
        <f t="shared" si="7"/>
        <v>0</v>
      </c>
      <c r="O51" s="18" t="s">
        <v>195</v>
      </c>
    </row>
    <row r="52" spans="1:15" x14ac:dyDescent="0.2">
      <c r="A52" s="18" t="s">
        <v>196</v>
      </c>
      <c r="B52" s="18" t="s">
        <v>95</v>
      </c>
      <c r="C52" s="18" t="s">
        <v>197</v>
      </c>
      <c r="D52" s="18">
        <v>416.34999999999991</v>
      </c>
      <c r="E52" s="18">
        <v>275</v>
      </c>
      <c r="F52" s="24"/>
      <c r="G52" s="18">
        <f t="shared" si="4"/>
        <v>0</v>
      </c>
      <c r="H52" s="18">
        <f t="shared" si="5"/>
        <v>691.34999999999991</v>
      </c>
      <c r="J52" s="18">
        <f>VLOOKUP(C52,'IP PITSS'!$B$10:$V$91,3,0)</f>
        <v>0</v>
      </c>
      <c r="K52" s="25">
        <v>8000</v>
      </c>
      <c r="L52" s="18">
        <f t="shared" si="6"/>
        <v>0</v>
      </c>
      <c r="M52" s="18">
        <f>VLOOKUP(C52,'IP PITSS'!$B$10:$I$91,8,0)</f>
        <v>0</v>
      </c>
      <c r="N52" s="18">
        <f t="shared" si="7"/>
        <v>0</v>
      </c>
      <c r="O52" s="18" t="s">
        <v>198</v>
      </c>
    </row>
    <row r="53" spans="1:15" x14ac:dyDescent="0.2">
      <c r="A53" s="18" t="s">
        <v>199</v>
      </c>
      <c r="B53" s="18" t="s">
        <v>95</v>
      </c>
      <c r="C53" s="24" t="s">
        <v>200</v>
      </c>
      <c r="D53" s="18">
        <v>284.19999999999982</v>
      </c>
      <c r="E53" s="18">
        <v>281.25</v>
      </c>
      <c r="F53" s="24"/>
      <c r="G53" s="18">
        <f t="shared" si="4"/>
        <v>0</v>
      </c>
      <c r="H53" s="18">
        <f t="shared" si="5"/>
        <v>565.44999999999982</v>
      </c>
      <c r="J53" s="18">
        <f>'IP PITSS'!$D$67</f>
        <v>0</v>
      </c>
      <c r="K53" s="25">
        <v>6300</v>
      </c>
      <c r="L53" s="18">
        <f t="shared" si="6"/>
        <v>0</v>
      </c>
      <c r="M53" s="18">
        <v>0</v>
      </c>
      <c r="N53" s="18">
        <f t="shared" si="7"/>
        <v>0</v>
      </c>
      <c r="O53" s="18" t="s">
        <v>201</v>
      </c>
    </row>
    <row r="54" spans="1:15" x14ac:dyDescent="0.2">
      <c r="A54" s="18" t="s">
        <v>203</v>
      </c>
      <c r="B54" s="18" t="s">
        <v>95</v>
      </c>
      <c r="C54" s="18" t="s">
        <v>204</v>
      </c>
      <c r="D54" s="18">
        <v>2884.91</v>
      </c>
      <c r="E54" s="18">
        <v>225</v>
      </c>
      <c r="F54" s="24"/>
      <c r="G54" s="18">
        <f t="shared" ref="G54:G76" si="8">+N54</f>
        <v>0</v>
      </c>
      <c r="H54" s="18">
        <f t="shared" si="5"/>
        <v>3109.91</v>
      </c>
      <c r="J54" s="18">
        <f>VLOOKUP(C54,'IP PITSS'!$B$10:$V$91,3,0)</f>
        <v>0</v>
      </c>
      <c r="K54" s="25">
        <v>12000</v>
      </c>
      <c r="L54" s="18">
        <f t="shared" si="6"/>
        <v>0</v>
      </c>
      <c r="M54" s="18">
        <f>VLOOKUP(C54,'IP PITSS'!$B$10:$I$91,8,0)</f>
        <v>0</v>
      </c>
      <c r="N54" s="18">
        <f t="shared" si="7"/>
        <v>0</v>
      </c>
      <c r="O54" s="18" t="s">
        <v>205</v>
      </c>
    </row>
    <row r="55" spans="1:15" x14ac:dyDescent="0.2">
      <c r="A55" s="18" t="s">
        <v>206</v>
      </c>
      <c r="B55" s="18" t="s">
        <v>95</v>
      </c>
      <c r="C55" s="18" t="s">
        <v>207</v>
      </c>
      <c r="D55" s="18">
        <v>414.59999999999991</v>
      </c>
      <c r="E55" s="18">
        <v>120</v>
      </c>
      <c r="F55" s="24"/>
      <c r="G55" s="18">
        <f t="shared" si="8"/>
        <v>0</v>
      </c>
      <c r="H55" s="18">
        <f t="shared" si="5"/>
        <v>534.59999999999991</v>
      </c>
      <c r="J55" s="18">
        <f>VLOOKUP(C55,'IP PITSS'!$B$10:$V$91,3,0)</f>
        <v>0</v>
      </c>
      <c r="K55" s="25">
        <v>8000</v>
      </c>
      <c r="L55" s="18">
        <f t="shared" si="6"/>
        <v>0</v>
      </c>
      <c r="M55" s="18">
        <f>VLOOKUP(C55,'IP PITSS'!$B$10:$I$91,8,0)</f>
        <v>0</v>
      </c>
      <c r="N55" s="18">
        <f t="shared" si="7"/>
        <v>0</v>
      </c>
      <c r="O55" s="18" t="s">
        <v>208</v>
      </c>
    </row>
    <row r="56" spans="1:15" s="24" customFormat="1" x14ac:dyDescent="0.2">
      <c r="A56" s="18" t="s">
        <v>210</v>
      </c>
      <c r="B56" s="18" t="s">
        <v>95</v>
      </c>
      <c r="C56" s="18" t="s">
        <v>211</v>
      </c>
      <c r="D56" s="18">
        <v>1704.5</v>
      </c>
      <c r="E56" s="18">
        <v>125</v>
      </c>
      <c r="G56" s="18">
        <f t="shared" si="8"/>
        <v>0</v>
      </c>
      <c r="H56" s="18">
        <f t="shared" si="5"/>
        <v>1829.5</v>
      </c>
      <c r="I56" s="19"/>
      <c r="J56" s="18">
        <f>VLOOKUP(C56,'IP PITSS'!$B$10:$V$91,3,0)</f>
        <v>0</v>
      </c>
      <c r="K56" s="25">
        <v>7000</v>
      </c>
      <c r="L56" s="18">
        <f t="shared" si="6"/>
        <v>0</v>
      </c>
      <c r="M56" s="18">
        <f>VLOOKUP(C56,'IP PITSS'!$B$10:$I$91,8,0)</f>
        <v>0</v>
      </c>
      <c r="N56" s="18">
        <f t="shared" si="7"/>
        <v>0</v>
      </c>
      <c r="O56" s="18" t="s">
        <v>212</v>
      </c>
    </row>
    <row r="57" spans="1:15" x14ac:dyDescent="0.2">
      <c r="A57" s="30" t="s">
        <v>213</v>
      </c>
      <c r="B57" s="18" t="s">
        <v>95</v>
      </c>
      <c r="C57" s="30" t="s">
        <v>214</v>
      </c>
      <c r="D57" s="18">
        <v>222.6899999999996</v>
      </c>
      <c r="E57" s="24">
        <v>550</v>
      </c>
      <c r="F57" s="24">
        <v>400</v>
      </c>
      <c r="G57" s="18">
        <f t="shared" si="8"/>
        <v>0</v>
      </c>
      <c r="H57" s="18">
        <f t="shared" si="5"/>
        <v>1172.6899999999996</v>
      </c>
      <c r="J57" s="18">
        <f>VLOOKUP(C57,'IP PITSS'!$B$10:$V$91,3,0)</f>
        <v>0</v>
      </c>
      <c r="K57" s="25">
        <v>7000</v>
      </c>
      <c r="L57" s="18">
        <f t="shared" si="6"/>
        <v>0</v>
      </c>
      <c r="M57" s="18">
        <f>VLOOKUP(C57,'IP PITSS'!$B$10:$I$91,8,0)</f>
        <v>0</v>
      </c>
      <c r="N57" s="18">
        <f t="shared" si="7"/>
        <v>0</v>
      </c>
      <c r="O57" s="18" t="s">
        <v>215</v>
      </c>
    </row>
    <row r="58" spans="1:15" x14ac:dyDescent="0.2">
      <c r="A58" s="18" t="s">
        <v>216</v>
      </c>
      <c r="B58" s="18" t="s">
        <v>95</v>
      </c>
      <c r="C58" s="18" t="s">
        <v>217</v>
      </c>
      <c r="D58" s="18">
        <v>1450.88</v>
      </c>
      <c r="F58" s="24">
        <v>800</v>
      </c>
      <c r="G58" s="18">
        <f t="shared" si="8"/>
        <v>0</v>
      </c>
      <c r="H58" s="18">
        <f t="shared" si="5"/>
        <v>2250.88</v>
      </c>
      <c r="J58" s="18">
        <f>VLOOKUP(C58,'IP PITSS'!$B$10:$V$91,3,0)</f>
        <v>0</v>
      </c>
      <c r="K58" s="25">
        <v>8500.01</v>
      </c>
      <c r="L58" s="18">
        <f t="shared" si="6"/>
        <v>0</v>
      </c>
      <c r="M58" s="18">
        <f>VLOOKUP(C58,'IP PITSS'!$B$10:$I$91,8,0)</f>
        <v>0</v>
      </c>
      <c r="N58" s="18">
        <f t="shared" si="7"/>
        <v>0</v>
      </c>
      <c r="O58" s="18" t="s">
        <v>218</v>
      </c>
    </row>
    <row r="59" spans="1:15" x14ac:dyDescent="0.2">
      <c r="A59" s="18" t="s">
        <v>219</v>
      </c>
      <c r="B59" s="18" t="s">
        <v>95</v>
      </c>
      <c r="C59" s="18" t="s">
        <v>220</v>
      </c>
      <c r="D59" s="18">
        <v>52.799999999999727</v>
      </c>
      <c r="E59" s="18">
        <v>160</v>
      </c>
      <c r="F59" s="24"/>
      <c r="G59" s="18">
        <f t="shared" si="8"/>
        <v>0</v>
      </c>
      <c r="H59" s="18">
        <f t="shared" si="5"/>
        <v>212.79999999999973</v>
      </c>
      <c r="J59" s="18">
        <f>VLOOKUP(C59,'IP PITSS'!$B$10:$V$91,3,0)</f>
        <v>0</v>
      </c>
      <c r="K59" s="25">
        <v>5000</v>
      </c>
      <c r="L59" s="18">
        <f t="shared" si="6"/>
        <v>0</v>
      </c>
      <c r="M59" s="18">
        <f>VLOOKUP(C59,'IP PITSS'!$B$10:$I$91,8,0)</f>
        <v>0</v>
      </c>
      <c r="N59" s="18">
        <f t="shared" si="7"/>
        <v>0</v>
      </c>
      <c r="O59" s="18" t="s">
        <v>221</v>
      </c>
    </row>
    <row r="60" spans="1:15" x14ac:dyDescent="0.2">
      <c r="A60" s="30" t="s">
        <v>222</v>
      </c>
      <c r="B60" s="18" t="s">
        <v>95</v>
      </c>
      <c r="C60" s="30" t="s">
        <v>223</v>
      </c>
      <c r="D60" s="18">
        <v>175.65999999999985</v>
      </c>
      <c r="E60" s="24"/>
      <c r="F60" s="24"/>
      <c r="G60" s="18">
        <f t="shared" si="8"/>
        <v>0</v>
      </c>
      <c r="H60" s="18">
        <f t="shared" si="5"/>
        <v>175.65999999999985</v>
      </c>
      <c r="J60" s="18">
        <f>VLOOKUP(C60,'IP PITSS'!$B$10:$V$91,3,0)</f>
        <v>0</v>
      </c>
      <c r="K60" s="25">
        <v>6300</v>
      </c>
      <c r="L60" s="18">
        <f t="shared" si="6"/>
        <v>0</v>
      </c>
      <c r="M60" s="18">
        <f>VLOOKUP(C60,'IP PITSS'!$B$10:$I$91,8,0)</f>
        <v>0</v>
      </c>
      <c r="N60" s="18">
        <f t="shared" si="7"/>
        <v>0</v>
      </c>
      <c r="O60" s="18" t="s">
        <v>224</v>
      </c>
    </row>
    <row r="61" spans="1:15" x14ac:dyDescent="0.2">
      <c r="A61" s="24" t="s">
        <v>225</v>
      </c>
      <c r="B61" s="18" t="s">
        <v>95</v>
      </c>
      <c r="C61" s="24" t="s">
        <v>226</v>
      </c>
      <c r="D61" s="18">
        <v>1047.7999999999993</v>
      </c>
      <c r="E61" s="24">
        <v>562.5</v>
      </c>
      <c r="F61" s="24"/>
      <c r="G61" s="18">
        <f t="shared" si="8"/>
        <v>0</v>
      </c>
      <c r="H61" s="18">
        <f t="shared" si="5"/>
        <v>1610.2999999999993</v>
      </c>
      <c r="J61" s="18">
        <f>VLOOKUP(C61,'IP PITSS'!$B$10:$V$91,3,0)</f>
        <v>0</v>
      </c>
      <c r="K61" s="25">
        <v>14000</v>
      </c>
      <c r="L61" s="24">
        <f t="shared" si="6"/>
        <v>0</v>
      </c>
      <c r="M61" s="18">
        <f>VLOOKUP(C61,'IP PITSS'!$B$10:$I$91,8,0)</f>
        <v>0</v>
      </c>
      <c r="N61" s="18">
        <f t="shared" si="7"/>
        <v>0</v>
      </c>
      <c r="O61" s="18" t="s">
        <v>227</v>
      </c>
    </row>
    <row r="62" spans="1:15" x14ac:dyDescent="0.2">
      <c r="A62" s="18" t="s">
        <v>228</v>
      </c>
      <c r="B62" s="18" t="s">
        <v>95</v>
      </c>
      <c r="C62" s="24" t="s">
        <v>229</v>
      </c>
      <c r="D62" s="18">
        <v>6520.6</v>
      </c>
      <c r="E62" s="18">
        <v>1938</v>
      </c>
      <c r="F62" s="24"/>
      <c r="G62" s="18">
        <f t="shared" si="8"/>
        <v>0</v>
      </c>
      <c r="H62" s="18">
        <f t="shared" si="5"/>
        <v>8458.6</v>
      </c>
      <c r="J62" s="18">
        <f>VLOOKUP(C62,'IP PITSS'!$B$10:$V$91,3,0)</f>
        <v>0</v>
      </c>
      <c r="K62" s="25">
        <v>19950</v>
      </c>
      <c r="L62" s="18">
        <f t="shared" si="6"/>
        <v>0</v>
      </c>
      <c r="M62" s="18">
        <f>VLOOKUP(C62,'IP PITSS'!$B$10:$I$91,8,0)</f>
        <v>0</v>
      </c>
      <c r="N62" s="18">
        <f t="shared" si="7"/>
        <v>0</v>
      </c>
      <c r="O62" s="18" t="s">
        <v>230</v>
      </c>
    </row>
    <row r="63" spans="1:15" x14ac:dyDescent="0.2">
      <c r="A63" s="18" t="s">
        <v>231</v>
      </c>
      <c r="B63" s="18" t="s">
        <v>95</v>
      </c>
      <c r="C63" s="27" t="s">
        <v>232</v>
      </c>
      <c r="D63" s="18">
        <v>414.59999999999991</v>
      </c>
      <c r="E63" s="18">
        <v>165</v>
      </c>
      <c r="F63" s="24"/>
      <c r="G63" s="18">
        <f t="shared" si="8"/>
        <v>0</v>
      </c>
      <c r="H63" s="18">
        <f t="shared" si="5"/>
        <v>579.59999999999991</v>
      </c>
      <c r="J63" s="18">
        <f>VLOOKUP(C63,'IP PITSS'!$B$10:$V$91,3,0)</f>
        <v>0</v>
      </c>
      <c r="K63" s="25">
        <v>8000</v>
      </c>
      <c r="L63" s="18">
        <f t="shared" si="6"/>
        <v>0</v>
      </c>
      <c r="M63" s="18">
        <f>VLOOKUP(C63,'IP PITSS'!$B$10:$I$91,8,0)</f>
        <v>0</v>
      </c>
      <c r="N63" s="18">
        <f t="shared" si="7"/>
        <v>0</v>
      </c>
      <c r="O63" s="18" t="s">
        <v>233</v>
      </c>
    </row>
    <row r="64" spans="1:15" x14ac:dyDescent="0.2">
      <c r="A64" s="24" t="s">
        <v>235</v>
      </c>
      <c r="B64" s="18" t="s">
        <v>95</v>
      </c>
      <c r="C64" s="24" t="s">
        <v>236</v>
      </c>
      <c r="D64" s="18">
        <v>416.39999999999964</v>
      </c>
      <c r="E64" s="18">
        <v>120</v>
      </c>
      <c r="F64" s="24"/>
      <c r="G64" s="18">
        <f t="shared" si="8"/>
        <v>0</v>
      </c>
      <c r="H64" s="18">
        <f t="shared" si="5"/>
        <v>536.39999999999964</v>
      </c>
      <c r="J64" s="18">
        <f>VLOOKUP(C64,'IP PITSS'!$B$10:$V$91,3,0)</f>
        <v>0</v>
      </c>
      <c r="K64" s="25">
        <v>8000</v>
      </c>
      <c r="L64" s="18">
        <f t="shared" si="6"/>
        <v>0</v>
      </c>
      <c r="M64" s="18">
        <f>VLOOKUP(C64,'IP PITSS'!$B$10:$I$91,8,0)</f>
        <v>0</v>
      </c>
      <c r="N64" s="18">
        <f t="shared" si="7"/>
        <v>0</v>
      </c>
      <c r="O64" s="18" t="s">
        <v>237</v>
      </c>
    </row>
    <row r="65" spans="1:15" s="27" customFormat="1" x14ac:dyDescent="0.2">
      <c r="A65" s="18" t="s">
        <v>238</v>
      </c>
      <c r="B65" s="18" t="s">
        <v>95</v>
      </c>
      <c r="C65" s="18" t="s">
        <v>239</v>
      </c>
      <c r="D65" s="18">
        <v>416.19999999999982</v>
      </c>
      <c r="E65" s="18">
        <v>240</v>
      </c>
      <c r="F65" s="24"/>
      <c r="G65" s="18">
        <f t="shared" si="8"/>
        <v>0</v>
      </c>
      <c r="H65" s="18">
        <f t="shared" si="5"/>
        <v>656.19999999999982</v>
      </c>
      <c r="I65" s="19"/>
      <c r="J65" s="18">
        <f>VLOOKUP(C65,'IP PITSS'!$B$10:$V$91,3,0)</f>
        <v>0</v>
      </c>
      <c r="K65" s="25">
        <v>8000</v>
      </c>
      <c r="L65" s="18">
        <f t="shared" si="6"/>
        <v>0</v>
      </c>
      <c r="M65" s="18">
        <f>VLOOKUP(C65,'IP PITSS'!$B$10:$I$91,8,0)</f>
        <v>0</v>
      </c>
      <c r="N65" s="18">
        <f t="shared" si="7"/>
        <v>0</v>
      </c>
      <c r="O65" s="18" t="s">
        <v>240</v>
      </c>
    </row>
    <row r="66" spans="1:15" x14ac:dyDescent="0.2">
      <c r="A66" s="18" t="s">
        <v>241</v>
      </c>
      <c r="B66" s="18" t="s">
        <v>95</v>
      </c>
      <c r="C66" s="18" t="s">
        <v>242</v>
      </c>
      <c r="D66" s="18">
        <v>1694.13</v>
      </c>
      <c r="E66" s="18">
        <v>225</v>
      </c>
      <c r="F66" s="24"/>
      <c r="G66" s="18">
        <f t="shared" si="8"/>
        <v>0</v>
      </c>
      <c r="H66" s="18">
        <f t="shared" si="5"/>
        <v>1919.13</v>
      </c>
      <c r="J66" s="18">
        <f>VLOOKUP(C66,'IP PITSS'!$B$10:$V$91,3,0)</f>
        <v>0</v>
      </c>
      <c r="K66" s="25">
        <v>9000</v>
      </c>
      <c r="L66" s="18">
        <f t="shared" si="6"/>
        <v>0</v>
      </c>
      <c r="M66" s="18">
        <f>VLOOKUP(C66,'IP PITSS'!$B$10:$I$91,8,0)</f>
        <v>0</v>
      </c>
      <c r="N66" s="18">
        <f t="shared" si="7"/>
        <v>0</v>
      </c>
      <c r="O66" s="18" t="s">
        <v>243</v>
      </c>
    </row>
    <row r="67" spans="1:15" x14ac:dyDescent="0.2">
      <c r="A67" s="18" t="s">
        <v>244</v>
      </c>
      <c r="B67" s="18" t="s">
        <v>95</v>
      </c>
      <c r="C67" s="18" t="s">
        <v>245</v>
      </c>
      <c r="D67" s="18">
        <v>1047.5999999999995</v>
      </c>
      <c r="E67" s="31">
        <v>125</v>
      </c>
      <c r="F67" s="24"/>
      <c r="G67" s="18">
        <f t="shared" si="8"/>
        <v>0</v>
      </c>
      <c r="H67" s="18">
        <f t="shared" ref="H67:H74" si="9">SUM(D67:G67)</f>
        <v>1172.5999999999995</v>
      </c>
      <c r="J67" s="18">
        <f>VLOOKUP(C67,'IP PITSS'!$B$10:$V$91,3,0)</f>
        <v>0</v>
      </c>
      <c r="K67" s="25">
        <v>14000</v>
      </c>
      <c r="L67" s="18">
        <f t="shared" ref="L67:L81" si="10">(((+K67/30)*J67)*30%)</f>
        <v>0</v>
      </c>
      <c r="M67" s="18">
        <f>VLOOKUP(C67,'IP PITSS'!$B$10:$I$91,8,0)</f>
        <v>0</v>
      </c>
      <c r="N67" s="18">
        <f t="shared" ref="N67:N81" si="11">+L67-M67</f>
        <v>0</v>
      </c>
      <c r="O67" s="18" t="s">
        <v>246</v>
      </c>
    </row>
    <row r="68" spans="1:15" x14ac:dyDescent="0.2">
      <c r="A68" s="18" t="s">
        <v>247</v>
      </c>
      <c r="B68" s="18" t="s">
        <v>95</v>
      </c>
      <c r="C68" s="18" t="s">
        <v>248</v>
      </c>
      <c r="D68" s="18">
        <v>3339.3200000000006</v>
      </c>
      <c r="E68" s="18">
        <v>412.5</v>
      </c>
      <c r="F68" s="24">
        <v>1880</v>
      </c>
      <c r="G68" s="18">
        <f t="shared" si="8"/>
        <v>0</v>
      </c>
      <c r="H68" s="18">
        <f t="shared" si="9"/>
        <v>5631.8200000000006</v>
      </c>
      <c r="J68" s="18">
        <f>VLOOKUP(C68,'IP PITSS'!$B$10:$V$91,3,0)</f>
        <v>0</v>
      </c>
      <c r="K68" s="25">
        <v>15000</v>
      </c>
      <c r="L68" s="18">
        <f t="shared" si="10"/>
        <v>0</v>
      </c>
      <c r="M68" s="18">
        <f>VLOOKUP(C68,'IP PITSS'!$B$10:$I$91,8,0)</f>
        <v>0</v>
      </c>
      <c r="N68" s="18">
        <f t="shared" si="11"/>
        <v>0</v>
      </c>
      <c r="O68" s="18" t="s">
        <v>249</v>
      </c>
    </row>
    <row r="69" spans="1:15" x14ac:dyDescent="0.2">
      <c r="A69" s="18" t="s">
        <v>250</v>
      </c>
      <c r="B69" s="18" t="s">
        <v>95</v>
      </c>
      <c r="C69" s="18" t="s">
        <v>251</v>
      </c>
      <c r="D69" s="18">
        <v>2502.3999999999996</v>
      </c>
      <c r="E69" s="18">
        <v>160</v>
      </c>
      <c r="F69" s="24"/>
      <c r="G69" s="18">
        <f t="shared" si="8"/>
        <v>49.999999999999986</v>
      </c>
      <c r="H69" s="18">
        <f t="shared" si="9"/>
        <v>2712.3999999999996</v>
      </c>
      <c r="J69" s="18">
        <f>VLOOKUP(C69,'IP PITSS'!$B$10:$V$91,3,0)</f>
        <v>1</v>
      </c>
      <c r="K69" s="25">
        <v>10000</v>
      </c>
      <c r="L69" s="18">
        <f t="shared" si="10"/>
        <v>99.999999999999986</v>
      </c>
      <c r="M69" s="18">
        <f>VLOOKUP(C69,'IP PITSS'!$B$10:$I$91,8,0)</f>
        <v>50</v>
      </c>
      <c r="N69" s="18">
        <f t="shared" si="11"/>
        <v>49.999999999999986</v>
      </c>
      <c r="O69" s="18" t="s">
        <v>252</v>
      </c>
    </row>
    <row r="70" spans="1:15" x14ac:dyDescent="0.2">
      <c r="A70" s="18" t="s">
        <v>253</v>
      </c>
      <c r="B70" s="18" t="s">
        <v>95</v>
      </c>
      <c r="C70" s="18" t="s">
        <v>254</v>
      </c>
      <c r="D70" s="18">
        <v>549.8149999999996</v>
      </c>
      <c r="E70" s="18">
        <v>625</v>
      </c>
      <c r="F70" s="24"/>
      <c r="G70" s="18">
        <f t="shared" si="8"/>
        <v>0</v>
      </c>
      <c r="H70" s="18">
        <f t="shared" si="9"/>
        <v>1174.8149999999996</v>
      </c>
      <c r="J70" s="18">
        <f>VLOOKUP(C70,'IP PITSS'!$B$10:$V$91,3,0)</f>
        <v>0</v>
      </c>
      <c r="K70" s="25">
        <v>9550.01</v>
      </c>
      <c r="L70" s="18">
        <f t="shared" si="10"/>
        <v>0</v>
      </c>
      <c r="M70" s="18">
        <f>VLOOKUP(C70,'IP PITSS'!$B$10:$I$91,8,0)</f>
        <v>0</v>
      </c>
      <c r="N70" s="18">
        <f t="shared" si="11"/>
        <v>0</v>
      </c>
      <c r="O70" s="18" t="s">
        <v>255</v>
      </c>
    </row>
    <row r="71" spans="1:15" x14ac:dyDescent="0.2">
      <c r="A71" s="18" t="s">
        <v>256</v>
      </c>
      <c r="B71" s="18" t="s">
        <v>95</v>
      </c>
      <c r="C71" s="18" t="s">
        <v>257</v>
      </c>
      <c r="D71" s="18">
        <v>4339.3900000000003</v>
      </c>
      <c r="E71" s="18">
        <v>281.25</v>
      </c>
      <c r="F71" s="24">
        <v>1160</v>
      </c>
      <c r="G71" s="18">
        <f t="shared" si="8"/>
        <v>0</v>
      </c>
      <c r="H71" s="18">
        <f t="shared" si="9"/>
        <v>5780.64</v>
      </c>
      <c r="J71" s="18">
        <f>VLOOKUP(C71,'IP PITSS'!$B$10:$V$91,3,0)</f>
        <v>0</v>
      </c>
      <c r="K71" s="25">
        <v>17000</v>
      </c>
      <c r="L71" s="18">
        <f t="shared" si="10"/>
        <v>0</v>
      </c>
      <c r="M71" s="18">
        <f>VLOOKUP(C71,'IP PITSS'!$B$10:$I$91,8,0)</f>
        <v>0</v>
      </c>
      <c r="N71" s="18">
        <f t="shared" si="11"/>
        <v>0</v>
      </c>
      <c r="O71" s="18" t="s">
        <v>258</v>
      </c>
    </row>
    <row r="72" spans="1:15" x14ac:dyDescent="0.2">
      <c r="A72" s="18" t="s">
        <v>259</v>
      </c>
      <c r="B72" s="18" t="s">
        <v>95</v>
      </c>
      <c r="C72" s="24" t="s">
        <v>260</v>
      </c>
      <c r="D72" s="18">
        <v>3553.3999999999996</v>
      </c>
      <c r="E72" s="18">
        <v>500</v>
      </c>
      <c r="F72" s="24"/>
      <c r="G72" s="18">
        <f t="shared" si="8"/>
        <v>0</v>
      </c>
      <c r="H72" s="18">
        <f t="shared" si="9"/>
        <v>4053.3999999999996</v>
      </c>
      <c r="J72" s="18">
        <f>'IP PITSS'!$D$65</f>
        <v>0</v>
      </c>
      <c r="K72" s="25">
        <v>12000</v>
      </c>
      <c r="L72" s="18">
        <f t="shared" si="10"/>
        <v>0</v>
      </c>
      <c r="M72" s="18">
        <v>0</v>
      </c>
      <c r="N72" s="18">
        <f t="shared" si="11"/>
        <v>0</v>
      </c>
      <c r="O72" s="18" t="s">
        <v>261</v>
      </c>
    </row>
    <row r="73" spans="1:15" x14ac:dyDescent="0.2">
      <c r="A73" s="18" t="s">
        <v>262</v>
      </c>
      <c r="B73" s="18" t="s">
        <v>95</v>
      </c>
      <c r="C73" s="18" t="s">
        <v>263</v>
      </c>
      <c r="D73" s="18">
        <v>52.499999999999545</v>
      </c>
      <c r="E73" s="18">
        <v>310</v>
      </c>
      <c r="F73" s="24"/>
      <c r="G73" s="18">
        <f t="shared" si="8"/>
        <v>0</v>
      </c>
      <c r="H73" s="18">
        <f t="shared" si="9"/>
        <v>362.49999999999955</v>
      </c>
      <c r="J73" s="18">
        <f>VLOOKUP(C73,'IP PITSS'!$B$10:$V$91,3,0)</f>
        <v>0</v>
      </c>
      <c r="K73" s="25">
        <v>5000</v>
      </c>
      <c r="L73" s="18">
        <f t="shared" si="10"/>
        <v>0</v>
      </c>
      <c r="M73" s="18">
        <f>VLOOKUP(C73,'IP PITSS'!$B$10:$I$91,8,0)</f>
        <v>0</v>
      </c>
      <c r="N73" s="18">
        <f t="shared" si="11"/>
        <v>0</v>
      </c>
      <c r="O73" s="18" t="s">
        <v>264</v>
      </c>
    </row>
    <row r="74" spans="1:15" x14ac:dyDescent="0.2">
      <c r="A74" s="18" t="s">
        <v>265</v>
      </c>
      <c r="B74" s="18" t="s">
        <v>95</v>
      </c>
      <c r="C74" s="18" t="s">
        <v>266</v>
      </c>
      <c r="D74" s="18">
        <v>2262.1999999999998</v>
      </c>
      <c r="F74" s="24"/>
      <c r="G74" s="18">
        <f t="shared" si="8"/>
        <v>0</v>
      </c>
      <c r="H74" s="18">
        <f t="shared" si="9"/>
        <v>2262.1999999999998</v>
      </c>
      <c r="J74" s="18">
        <f>VLOOKUP(C74,'IP PITSS'!$B$10:$V$91,3,0)</f>
        <v>0</v>
      </c>
      <c r="K74" s="25">
        <v>9000</v>
      </c>
      <c r="L74" s="18">
        <f t="shared" si="10"/>
        <v>0</v>
      </c>
      <c r="M74" s="18">
        <f>VLOOKUP(C74,'IP PITSS'!$B$10:$I$91,8,0)</f>
        <v>0</v>
      </c>
      <c r="N74" s="18">
        <f t="shared" si="11"/>
        <v>0</v>
      </c>
      <c r="O74" s="18" t="s">
        <v>267</v>
      </c>
    </row>
    <row r="75" spans="1:15" x14ac:dyDescent="0.2">
      <c r="B75" s="18" t="s">
        <v>95</v>
      </c>
      <c r="C75" s="18" t="s">
        <v>268</v>
      </c>
      <c r="D75" s="18">
        <v>706.80000000000018</v>
      </c>
      <c r="E75" s="33">
        <v>500</v>
      </c>
      <c r="F75" s="33"/>
      <c r="G75" s="18">
        <f t="shared" si="8"/>
        <v>0</v>
      </c>
      <c r="H75" s="33">
        <f>+D75+E75+F75+G75</f>
        <v>1206.8000000000002</v>
      </c>
      <c r="I75" s="34"/>
      <c r="J75" s="18">
        <f>VLOOKUP(C75,'IP PITSS'!$B$10:$V$91,3,0)</f>
        <v>0</v>
      </c>
      <c r="K75" s="35">
        <v>8800</v>
      </c>
      <c r="L75" s="32">
        <f t="shared" si="10"/>
        <v>0</v>
      </c>
      <c r="M75" s="18">
        <f>VLOOKUP(C75,'IP PITSS'!$B$10:$I$91,8,0)</f>
        <v>0</v>
      </c>
      <c r="N75" s="32">
        <f t="shared" si="11"/>
        <v>0</v>
      </c>
      <c r="O75" s="18" t="s">
        <v>269</v>
      </c>
    </row>
    <row r="76" spans="1:15" x14ac:dyDescent="0.2">
      <c r="A76" s="18" t="s">
        <v>270</v>
      </c>
      <c r="B76" s="18" t="s">
        <v>95</v>
      </c>
      <c r="C76" s="18" t="s">
        <v>271</v>
      </c>
      <c r="D76" s="18">
        <v>2262.37</v>
      </c>
      <c r="E76" s="18">
        <v>300</v>
      </c>
      <c r="F76" s="24"/>
      <c r="G76" s="18">
        <f t="shared" si="8"/>
        <v>0</v>
      </c>
      <c r="H76" s="18">
        <f t="shared" ref="H76:H102" si="12">SUM(D76:G76)</f>
        <v>2562.37</v>
      </c>
      <c r="J76" s="18">
        <f>VLOOKUP(C76,'IP PITSS'!$B$10:$V$91,3,0)</f>
        <v>0</v>
      </c>
      <c r="K76" s="25">
        <v>9000</v>
      </c>
      <c r="L76" s="18">
        <f t="shared" si="10"/>
        <v>0</v>
      </c>
      <c r="M76" s="18">
        <f>VLOOKUP(C76,'IP PITSS'!$B$10:$I$91,8,0)</f>
        <v>0</v>
      </c>
      <c r="N76" s="18">
        <f t="shared" si="11"/>
        <v>0</v>
      </c>
      <c r="O76" s="18" t="s">
        <v>272</v>
      </c>
    </row>
    <row r="77" spans="1:15" x14ac:dyDescent="0.2">
      <c r="A77" s="18" t="s">
        <v>273</v>
      </c>
      <c r="B77" s="18" t="s">
        <v>95</v>
      </c>
      <c r="C77" s="27" t="s">
        <v>274</v>
      </c>
      <c r="D77" s="18">
        <v>414.59999999999991</v>
      </c>
      <c r="E77" s="18">
        <v>225</v>
      </c>
      <c r="F77" s="24"/>
      <c r="G77" s="18">
        <v>0</v>
      </c>
      <c r="H77" s="18">
        <f t="shared" si="12"/>
        <v>639.59999999999991</v>
      </c>
      <c r="J77" s="18">
        <f>VLOOKUP(C77,'IP PITSS'!$B$10:$V$91,3,0)</f>
        <v>0</v>
      </c>
      <c r="K77" s="25">
        <v>8000</v>
      </c>
      <c r="L77" s="18">
        <f t="shared" si="10"/>
        <v>0</v>
      </c>
      <c r="M77" s="18">
        <f>VLOOKUP(C77,'IP PITSS'!$B$10:$I$91,8,0)</f>
        <v>0</v>
      </c>
      <c r="N77" s="18">
        <f t="shared" si="11"/>
        <v>0</v>
      </c>
      <c r="O77" s="18" t="s">
        <v>275</v>
      </c>
    </row>
    <row r="78" spans="1:15" x14ac:dyDescent="0.2">
      <c r="A78" s="18" t="s">
        <v>277</v>
      </c>
      <c r="B78" s="18" t="s">
        <v>95</v>
      </c>
      <c r="C78" s="18" t="s">
        <v>278</v>
      </c>
      <c r="D78" s="18">
        <v>175.80000000000018</v>
      </c>
      <c r="E78" s="18">
        <v>843.75</v>
      </c>
      <c r="F78" s="24"/>
      <c r="G78" s="18">
        <f t="shared" ref="G78:G102" si="13">+N78</f>
        <v>0</v>
      </c>
      <c r="H78" s="18">
        <f t="shared" si="12"/>
        <v>1019.5500000000002</v>
      </c>
      <c r="J78" s="18">
        <f>VLOOKUP(C78,'IP PITSS'!$B$10:$V$91,3,0)</f>
        <v>0</v>
      </c>
      <c r="K78" s="25">
        <v>6300</v>
      </c>
      <c r="L78" s="18">
        <f t="shared" si="10"/>
        <v>0</v>
      </c>
      <c r="M78" s="18">
        <f>VLOOKUP(C78,'IP PITSS'!$B$10:$I$91,8,0)</f>
        <v>0</v>
      </c>
      <c r="N78" s="18">
        <f t="shared" si="11"/>
        <v>0</v>
      </c>
      <c r="O78" s="18" t="s">
        <v>279</v>
      </c>
    </row>
    <row r="79" spans="1:15" x14ac:dyDescent="0.2">
      <c r="A79" s="18" t="s">
        <v>280</v>
      </c>
      <c r="B79" s="18" t="s">
        <v>95</v>
      </c>
      <c r="C79" s="18" t="s">
        <v>281</v>
      </c>
      <c r="D79" s="18">
        <v>336.39999999999964</v>
      </c>
      <c r="E79" s="18">
        <v>1500</v>
      </c>
      <c r="F79" s="24"/>
      <c r="G79" s="18">
        <f t="shared" si="13"/>
        <v>0</v>
      </c>
      <c r="H79" s="18">
        <f t="shared" si="12"/>
        <v>1836.3999999999996</v>
      </c>
      <c r="J79" s="18">
        <f>VLOOKUP(C79,'IP PITSS'!$B$10:$V$91,3,0)</f>
        <v>1</v>
      </c>
      <c r="K79" s="25">
        <v>8000</v>
      </c>
      <c r="L79" s="18">
        <f t="shared" si="10"/>
        <v>80</v>
      </c>
      <c r="M79" s="18">
        <f>VLOOKUP(C79,'IP PITSS'!$B$10:$I$91,8,0)</f>
        <v>80</v>
      </c>
      <c r="N79" s="18">
        <f t="shared" si="11"/>
        <v>0</v>
      </c>
      <c r="O79" s="18" t="s">
        <v>282</v>
      </c>
    </row>
    <row r="80" spans="1:15" x14ac:dyDescent="0.2">
      <c r="A80" s="18" t="s">
        <v>284</v>
      </c>
      <c r="B80" s="18" t="s">
        <v>95</v>
      </c>
      <c r="C80" s="18" t="s">
        <v>285</v>
      </c>
      <c r="D80" s="18">
        <v>414.63999999999987</v>
      </c>
      <c r="E80" s="18">
        <v>200</v>
      </c>
      <c r="F80" s="24"/>
      <c r="G80" s="18">
        <f t="shared" si="13"/>
        <v>0</v>
      </c>
      <c r="H80" s="18">
        <f t="shared" si="12"/>
        <v>614.63999999999987</v>
      </c>
      <c r="J80" s="18">
        <f>VLOOKUP(C80,'IP PITSS'!$B$10:$V$91,3,0)</f>
        <v>0</v>
      </c>
      <c r="K80" s="25">
        <v>8000</v>
      </c>
      <c r="L80" s="18">
        <f t="shared" si="10"/>
        <v>0</v>
      </c>
      <c r="M80" s="18">
        <f>VLOOKUP(C80,'IP PITSS'!$B$10:$I$91,8,0)</f>
        <v>0</v>
      </c>
      <c r="N80" s="18">
        <f t="shared" si="11"/>
        <v>0</v>
      </c>
      <c r="O80" s="18" t="s">
        <v>286</v>
      </c>
    </row>
    <row r="81" spans="1:15" x14ac:dyDescent="0.2">
      <c r="A81" s="18" t="s">
        <v>287</v>
      </c>
      <c r="B81" s="18" t="s">
        <v>95</v>
      </c>
      <c r="C81" s="18" t="s">
        <v>288</v>
      </c>
      <c r="D81" s="18">
        <v>593.60000000000036</v>
      </c>
      <c r="E81" s="18">
        <v>90</v>
      </c>
      <c r="F81" s="24">
        <v>1440</v>
      </c>
      <c r="G81" s="18">
        <f t="shared" si="13"/>
        <v>0</v>
      </c>
      <c r="H81" s="18">
        <f t="shared" si="12"/>
        <v>2123.6000000000004</v>
      </c>
      <c r="J81" s="18">
        <f>VLOOKUP(C81,'IP PITSS'!$B$10:$V$91,3,0)</f>
        <v>0</v>
      </c>
      <c r="K81" s="25">
        <v>10000</v>
      </c>
      <c r="L81" s="18">
        <f t="shared" si="10"/>
        <v>0</v>
      </c>
      <c r="M81" s="18">
        <f>VLOOKUP(C81,'IP PITSS'!$B$10:$I$91,8,0)</f>
        <v>0</v>
      </c>
      <c r="N81" s="18">
        <f t="shared" si="11"/>
        <v>0</v>
      </c>
      <c r="O81" s="18" t="s">
        <v>289</v>
      </c>
    </row>
    <row r="82" spans="1:15" x14ac:dyDescent="0.2">
      <c r="B82" s="18" t="s">
        <v>95</v>
      </c>
      <c r="C82" s="18" t="s">
        <v>290</v>
      </c>
      <c r="D82" s="18">
        <v>392.29000000000042</v>
      </c>
      <c r="E82" s="18">
        <v>2642.92</v>
      </c>
      <c r="F82" s="24"/>
      <c r="G82" s="18">
        <f t="shared" si="13"/>
        <v>0</v>
      </c>
      <c r="H82" s="18">
        <f t="shared" si="12"/>
        <v>3035.2100000000005</v>
      </c>
      <c r="J82" s="18">
        <f>VLOOKUP(C82,'IP PITSS'!$B$10:$V$91,3,0)</f>
        <v>0</v>
      </c>
      <c r="K82" s="25">
        <v>5000</v>
      </c>
      <c r="M82" s="18">
        <f>VLOOKUP(C82,'IP PITSS'!$B$10:$I$91,8,0)</f>
        <v>0</v>
      </c>
      <c r="O82" s="18" t="s">
        <v>291</v>
      </c>
    </row>
    <row r="83" spans="1:15" x14ac:dyDescent="0.2">
      <c r="A83" s="30" t="s">
        <v>293</v>
      </c>
      <c r="B83" s="18" t="s">
        <v>95</v>
      </c>
      <c r="C83" s="30" t="s">
        <v>294</v>
      </c>
      <c r="D83" s="18">
        <v>175.80000000000018</v>
      </c>
      <c r="E83" s="24">
        <v>900</v>
      </c>
      <c r="F83" s="24"/>
      <c r="G83" s="18">
        <f t="shared" si="13"/>
        <v>0</v>
      </c>
      <c r="H83" s="18">
        <f t="shared" si="12"/>
        <v>1075.8000000000002</v>
      </c>
      <c r="J83" s="18">
        <f>VLOOKUP(C83,'IP PITSS'!$B$10:$V$91,3,0)</f>
        <v>0</v>
      </c>
      <c r="K83" s="25">
        <v>6300</v>
      </c>
      <c r="L83" s="18">
        <f t="shared" ref="L83:L101" si="14">(((+K83/30)*J83)*30%)</f>
        <v>0</v>
      </c>
      <c r="M83" s="18">
        <f>VLOOKUP(C83,'IP PITSS'!$B$10:$I$91,8,0)</f>
        <v>0</v>
      </c>
      <c r="N83" s="18">
        <f t="shared" ref="N83:N101" si="15">+L83-M83</f>
        <v>0</v>
      </c>
      <c r="O83" s="18" t="s">
        <v>295</v>
      </c>
    </row>
    <row r="84" spans="1:15" x14ac:dyDescent="0.2">
      <c r="A84" s="18" t="s">
        <v>296</v>
      </c>
      <c r="B84" s="18" t="s">
        <v>95</v>
      </c>
      <c r="C84" s="18" t="s">
        <v>297</v>
      </c>
      <c r="D84" s="18">
        <v>416.39999999999964</v>
      </c>
      <c r="E84" s="18">
        <v>330</v>
      </c>
      <c r="F84" s="24"/>
      <c r="G84" s="18">
        <f t="shared" si="13"/>
        <v>0</v>
      </c>
      <c r="H84" s="18">
        <f t="shared" si="12"/>
        <v>746.39999999999964</v>
      </c>
      <c r="J84" s="18">
        <f>VLOOKUP(C84,'IP PITSS'!$B$10:$V$91,3,0)</f>
        <v>0</v>
      </c>
      <c r="K84" s="25">
        <v>8000</v>
      </c>
      <c r="L84" s="18">
        <f t="shared" si="14"/>
        <v>0</v>
      </c>
      <c r="M84" s="18">
        <f>VLOOKUP(C84,'IP PITSS'!$B$10:$I$91,8,0)</f>
        <v>0</v>
      </c>
      <c r="N84" s="18">
        <f t="shared" si="15"/>
        <v>0</v>
      </c>
      <c r="O84" s="18" t="s">
        <v>298</v>
      </c>
    </row>
    <row r="85" spans="1:15" x14ac:dyDescent="0.2">
      <c r="A85" s="30" t="s">
        <v>299</v>
      </c>
      <c r="B85" s="18" t="s">
        <v>95</v>
      </c>
      <c r="C85" s="36" t="s">
        <v>300</v>
      </c>
      <c r="D85" s="18">
        <v>52.399999999999636</v>
      </c>
      <c r="E85" s="24">
        <v>70</v>
      </c>
      <c r="F85" s="24"/>
      <c r="G85" s="18">
        <f t="shared" si="13"/>
        <v>0</v>
      </c>
      <c r="H85" s="18">
        <f t="shared" si="12"/>
        <v>122.39999999999964</v>
      </c>
      <c r="J85" s="18">
        <f>VLOOKUP(C85,'IP PITSS'!$B$10:$V$91,3,0)</f>
        <v>0</v>
      </c>
      <c r="K85" s="25">
        <v>5000</v>
      </c>
      <c r="L85" s="18">
        <f t="shared" si="14"/>
        <v>0</v>
      </c>
      <c r="M85" s="18">
        <f>VLOOKUP(C85,'IP PITSS'!$B$10:$I$91,8,0)</f>
        <v>0</v>
      </c>
      <c r="N85" s="18">
        <f t="shared" si="15"/>
        <v>0</v>
      </c>
      <c r="O85" s="18" t="s">
        <v>301</v>
      </c>
    </row>
    <row r="86" spans="1:15" x14ac:dyDescent="0.2">
      <c r="A86" s="18" t="s">
        <v>303</v>
      </c>
      <c r="B86" s="18" t="s">
        <v>95</v>
      </c>
      <c r="C86" s="18" t="s">
        <v>304</v>
      </c>
      <c r="D86" s="18">
        <v>2838.88</v>
      </c>
      <c r="E86" s="18">
        <v>110</v>
      </c>
      <c r="F86" s="24"/>
      <c r="G86" s="18">
        <f t="shared" si="13"/>
        <v>0</v>
      </c>
      <c r="H86" s="18">
        <f t="shared" si="12"/>
        <v>2948.88</v>
      </c>
      <c r="J86" s="18">
        <f>VLOOKUP(C86,'IP PITSS'!$B$10:$V$91,3,0)</f>
        <v>0</v>
      </c>
      <c r="K86" s="25">
        <v>10000</v>
      </c>
      <c r="L86" s="18">
        <f t="shared" si="14"/>
        <v>0</v>
      </c>
      <c r="M86" s="18">
        <f>VLOOKUP(C86,'IP PITSS'!$B$10:$I$91,8,0)</f>
        <v>0</v>
      </c>
      <c r="N86" s="18">
        <f t="shared" si="15"/>
        <v>0</v>
      </c>
      <c r="O86" s="18" t="s">
        <v>305</v>
      </c>
    </row>
    <row r="87" spans="1:15" x14ac:dyDescent="0.2">
      <c r="A87" s="18" t="s">
        <v>306</v>
      </c>
      <c r="B87" s="18" t="s">
        <v>95</v>
      </c>
      <c r="C87" s="18" t="s">
        <v>307</v>
      </c>
      <c r="D87" s="18">
        <v>416.40000000000009</v>
      </c>
      <c r="E87" s="18">
        <v>60</v>
      </c>
      <c r="F87" s="24"/>
      <c r="G87" s="18">
        <f t="shared" si="13"/>
        <v>0</v>
      </c>
      <c r="H87" s="18">
        <f t="shared" si="12"/>
        <v>476.40000000000009</v>
      </c>
      <c r="J87" s="18">
        <f>VLOOKUP(C87,'IP PITSS'!$B$10:$V$91,3,0)</f>
        <v>0</v>
      </c>
      <c r="K87" s="25">
        <v>8000</v>
      </c>
      <c r="L87" s="18">
        <f t="shared" si="14"/>
        <v>0</v>
      </c>
      <c r="M87" s="18">
        <f>VLOOKUP(C87,'IP PITSS'!$B$10:$I$91,8,0)</f>
        <v>0</v>
      </c>
      <c r="N87" s="18">
        <f t="shared" si="15"/>
        <v>0</v>
      </c>
      <c r="O87" s="18" t="s">
        <v>308</v>
      </c>
    </row>
    <row r="88" spans="1:15" x14ac:dyDescent="0.2">
      <c r="A88" s="18" t="s">
        <v>309</v>
      </c>
      <c r="B88" s="18" t="s">
        <v>95</v>
      </c>
      <c r="C88" s="18" t="s">
        <v>310</v>
      </c>
      <c r="D88" s="18">
        <v>222.60000000000036</v>
      </c>
      <c r="E88" s="24">
        <v>75</v>
      </c>
      <c r="F88" s="24"/>
      <c r="G88" s="18">
        <f t="shared" si="13"/>
        <v>0</v>
      </c>
      <c r="H88" s="18">
        <f t="shared" si="12"/>
        <v>297.60000000000036</v>
      </c>
      <c r="J88" s="18">
        <f>VLOOKUP(C88,'IP PITSS'!$B$10:$V$91,3,0)</f>
        <v>0</v>
      </c>
      <c r="K88" s="25">
        <v>7000</v>
      </c>
      <c r="L88" s="18">
        <f t="shared" si="14"/>
        <v>0</v>
      </c>
      <c r="M88" s="18">
        <f>VLOOKUP(C88,'IP PITSS'!$B$10:$I$91,8,0)</f>
        <v>0</v>
      </c>
      <c r="N88" s="18">
        <f t="shared" si="15"/>
        <v>0</v>
      </c>
      <c r="O88" s="18" t="s">
        <v>311</v>
      </c>
    </row>
    <row r="89" spans="1:15" x14ac:dyDescent="0.2">
      <c r="A89" s="30" t="s">
        <v>313</v>
      </c>
      <c r="B89" s="18" t="s">
        <v>95</v>
      </c>
      <c r="C89" s="30" t="s">
        <v>314</v>
      </c>
      <c r="D89" s="18">
        <v>221.20000000000027</v>
      </c>
      <c r="E89" s="24"/>
      <c r="F89" s="24"/>
      <c r="G89" s="18">
        <f t="shared" si="13"/>
        <v>0</v>
      </c>
      <c r="H89" s="18">
        <f t="shared" si="12"/>
        <v>221.20000000000027</v>
      </c>
      <c r="J89" s="18">
        <f>VLOOKUP(C89,'IP PITSS'!$B$10:$V$91,3,0)</f>
        <v>0</v>
      </c>
      <c r="K89" s="25">
        <v>7000</v>
      </c>
      <c r="L89" s="18">
        <f t="shared" si="14"/>
        <v>0</v>
      </c>
      <c r="M89" s="18">
        <f>VLOOKUP(C89,'IP PITSS'!$B$10:$I$91,8,0)</f>
        <v>0</v>
      </c>
      <c r="N89" s="18">
        <f t="shared" si="15"/>
        <v>0</v>
      </c>
      <c r="O89" s="18" t="s">
        <v>315</v>
      </c>
    </row>
    <row r="90" spans="1:15" x14ac:dyDescent="0.2">
      <c r="A90" s="18" t="s">
        <v>316</v>
      </c>
      <c r="B90" s="18" t="s">
        <v>95</v>
      </c>
      <c r="C90" s="18" t="s">
        <v>317</v>
      </c>
      <c r="D90" s="18">
        <v>416.39999999999964</v>
      </c>
      <c r="E90" s="18">
        <v>180</v>
      </c>
      <c r="F90" s="24"/>
      <c r="G90" s="18">
        <f t="shared" si="13"/>
        <v>0</v>
      </c>
      <c r="H90" s="18">
        <f t="shared" si="12"/>
        <v>596.39999999999964</v>
      </c>
      <c r="J90" s="18">
        <f>VLOOKUP(C90,'IP PITSS'!$B$10:$V$91,3,0)</f>
        <v>0</v>
      </c>
      <c r="K90" s="25">
        <v>8000</v>
      </c>
      <c r="L90" s="18">
        <f t="shared" si="14"/>
        <v>0</v>
      </c>
      <c r="M90" s="18">
        <f>VLOOKUP(C90,'IP PITSS'!$B$10:$I$91,8,0)</f>
        <v>0</v>
      </c>
      <c r="N90" s="18">
        <f t="shared" si="15"/>
        <v>0</v>
      </c>
      <c r="O90" s="18" t="s">
        <v>318</v>
      </c>
    </row>
    <row r="91" spans="1:15" x14ac:dyDescent="0.2">
      <c r="A91" s="18" t="s">
        <v>319</v>
      </c>
      <c r="B91" s="18" t="s">
        <v>95</v>
      </c>
      <c r="C91" s="18" t="s">
        <v>320</v>
      </c>
      <c r="D91" s="18">
        <v>414.59999999999991</v>
      </c>
      <c r="E91" s="18">
        <v>480</v>
      </c>
      <c r="F91" s="24"/>
      <c r="G91" s="18">
        <f t="shared" si="13"/>
        <v>0</v>
      </c>
      <c r="H91" s="18">
        <f t="shared" si="12"/>
        <v>894.59999999999991</v>
      </c>
      <c r="J91" s="18">
        <f>VLOOKUP(C91,'IP PITSS'!$B$10:$V$91,3,0)</f>
        <v>0</v>
      </c>
      <c r="K91" s="25">
        <v>8000</v>
      </c>
      <c r="L91" s="18">
        <f t="shared" si="14"/>
        <v>0</v>
      </c>
      <c r="M91" s="18">
        <f>VLOOKUP(C91,'IP PITSS'!$B$10:$I$91,8,0)</f>
        <v>0</v>
      </c>
      <c r="N91" s="18">
        <f t="shared" si="15"/>
        <v>0</v>
      </c>
      <c r="O91" s="18" t="s">
        <v>321</v>
      </c>
    </row>
    <row r="92" spans="1:15" x14ac:dyDescent="0.2">
      <c r="A92" s="18" t="s">
        <v>322</v>
      </c>
      <c r="B92" s="18" t="s">
        <v>95</v>
      </c>
      <c r="C92" s="18" t="s">
        <v>323</v>
      </c>
      <c r="D92" s="18">
        <v>1704.48</v>
      </c>
      <c r="E92" s="18">
        <v>750</v>
      </c>
      <c r="F92" s="24"/>
      <c r="G92" s="18">
        <f t="shared" si="13"/>
        <v>0</v>
      </c>
      <c r="H92" s="18">
        <f t="shared" si="12"/>
        <v>2454.48</v>
      </c>
      <c r="J92" s="18">
        <f>VLOOKUP(C92,'IP PITSS'!$B$10:$V$91,3,0)</f>
        <v>0</v>
      </c>
      <c r="K92" s="25">
        <v>7000</v>
      </c>
      <c r="L92" s="18">
        <f t="shared" si="14"/>
        <v>0</v>
      </c>
      <c r="M92" s="18">
        <f>VLOOKUP(C92,'IP PITSS'!$B$10:$I$91,8,0)</f>
        <v>0</v>
      </c>
      <c r="N92" s="18">
        <f t="shared" si="15"/>
        <v>0</v>
      </c>
      <c r="O92" s="18" t="s">
        <v>324</v>
      </c>
    </row>
    <row r="93" spans="1:15" x14ac:dyDescent="0.2">
      <c r="A93" s="18" t="s">
        <v>326</v>
      </c>
      <c r="B93" s="18" t="s">
        <v>95</v>
      </c>
      <c r="C93" s="18" t="s">
        <v>327</v>
      </c>
      <c r="D93" s="18">
        <v>1667.4600000000005</v>
      </c>
      <c r="E93" s="18">
        <v>165</v>
      </c>
      <c r="F93" s="24">
        <v>320</v>
      </c>
      <c r="G93" s="18">
        <f t="shared" si="13"/>
        <v>0</v>
      </c>
      <c r="H93" s="18">
        <f t="shared" si="12"/>
        <v>2152.4600000000005</v>
      </c>
      <c r="J93" s="18">
        <f>VLOOKUP(C93,'IP PITSS'!$B$10:$V$91,3,0)</f>
        <v>0</v>
      </c>
      <c r="K93" s="25">
        <v>10000</v>
      </c>
      <c r="L93" s="18">
        <f t="shared" si="14"/>
        <v>0</v>
      </c>
      <c r="M93" s="18">
        <f>VLOOKUP(C93,'IP PITSS'!$B$10:$I$91,8,0)</f>
        <v>0</v>
      </c>
      <c r="N93" s="18">
        <f t="shared" si="15"/>
        <v>0</v>
      </c>
      <c r="O93" s="18" t="s">
        <v>328</v>
      </c>
    </row>
    <row r="94" spans="1:15" x14ac:dyDescent="0.2">
      <c r="A94" s="18" t="s">
        <v>329</v>
      </c>
      <c r="B94" s="18" t="s">
        <v>95</v>
      </c>
      <c r="C94" s="18" t="s">
        <v>330</v>
      </c>
      <c r="D94" s="18">
        <v>1917.3999999999996</v>
      </c>
      <c r="E94" s="18">
        <v>1200</v>
      </c>
      <c r="F94" s="24">
        <v>2000</v>
      </c>
      <c r="G94" s="18">
        <f t="shared" si="13"/>
        <v>0</v>
      </c>
      <c r="H94" s="18">
        <f t="shared" si="12"/>
        <v>5117.3999999999996</v>
      </c>
      <c r="J94" s="18">
        <f>VLOOKUP(C94,'IP PITSS'!$B$10:$V$91,3,0)</f>
        <v>0</v>
      </c>
      <c r="K94" s="25">
        <v>10500</v>
      </c>
      <c r="L94" s="18">
        <f t="shared" si="14"/>
        <v>0</v>
      </c>
      <c r="M94" s="18">
        <f>VLOOKUP(C94,'IP PITSS'!$B$10:$I$91,8,0)</f>
        <v>0</v>
      </c>
      <c r="N94" s="18">
        <f t="shared" si="15"/>
        <v>0</v>
      </c>
      <c r="O94" s="18" t="s">
        <v>331</v>
      </c>
    </row>
    <row r="95" spans="1:15" x14ac:dyDescent="0.2">
      <c r="A95" s="18" t="s">
        <v>37</v>
      </c>
      <c r="B95" s="18" t="s">
        <v>95</v>
      </c>
      <c r="C95" s="18" t="s">
        <v>332</v>
      </c>
      <c r="D95" s="18">
        <v>414.59999999999991</v>
      </c>
      <c r="E95" s="18">
        <v>225</v>
      </c>
      <c r="F95" s="24"/>
      <c r="G95" s="18">
        <f t="shared" si="13"/>
        <v>0</v>
      </c>
      <c r="H95" s="18">
        <f t="shared" si="12"/>
        <v>639.59999999999991</v>
      </c>
      <c r="J95" s="18">
        <f>VLOOKUP(C95,'IP PITSS'!$B$10:$V$91,3,0)</f>
        <v>0</v>
      </c>
      <c r="K95" s="25">
        <v>8000</v>
      </c>
      <c r="L95" s="18">
        <f t="shared" si="14"/>
        <v>0</v>
      </c>
      <c r="M95" s="18">
        <f>VLOOKUP(C95,'IP PITSS'!$B$10:$I$91,8,0)</f>
        <v>0</v>
      </c>
      <c r="N95" s="18">
        <f t="shared" si="15"/>
        <v>0</v>
      </c>
      <c r="O95" s="18" t="s">
        <v>333</v>
      </c>
    </row>
    <row r="96" spans="1:15" x14ac:dyDescent="0.2">
      <c r="A96" s="18" t="s">
        <v>334</v>
      </c>
      <c r="B96" s="18" t="s">
        <v>95</v>
      </c>
      <c r="C96" s="18" t="s">
        <v>335</v>
      </c>
      <c r="D96" s="18">
        <v>416.19999999999982</v>
      </c>
      <c r="E96" s="18">
        <v>510</v>
      </c>
      <c r="F96" s="24"/>
      <c r="G96" s="18">
        <f t="shared" si="13"/>
        <v>0</v>
      </c>
      <c r="H96" s="18">
        <f t="shared" si="12"/>
        <v>926.19999999999982</v>
      </c>
      <c r="J96" s="18">
        <f>VLOOKUP(C96,'IP PITSS'!$B$10:$V$91,3,0)</f>
        <v>0</v>
      </c>
      <c r="K96" s="25">
        <v>8000</v>
      </c>
      <c r="L96" s="18">
        <f t="shared" si="14"/>
        <v>0</v>
      </c>
      <c r="M96" s="18">
        <f>VLOOKUP(C96,'IP PITSS'!$B$10:$I$91,8,0)</f>
        <v>0</v>
      </c>
      <c r="N96" s="18">
        <f t="shared" si="15"/>
        <v>0</v>
      </c>
      <c r="O96" s="18" t="s">
        <v>336</v>
      </c>
    </row>
    <row r="97" spans="1:15" x14ac:dyDescent="0.2">
      <c r="A97" s="18" t="s">
        <v>337</v>
      </c>
      <c r="B97" s="18" t="s">
        <v>95</v>
      </c>
      <c r="C97" s="18" t="s">
        <v>338</v>
      </c>
      <c r="D97" s="18">
        <v>2667.23</v>
      </c>
      <c r="F97" s="24">
        <v>760</v>
      </c>
      <c r="G97" s="18">
        <f t="shared" si="13"/>
        <v>0</v>
      </c>
      <c r="H97" s="18">
        <f t="shared" si="12"/>
        <v>3427.23</v>
      </c>
      <c r="J97" s="18">
        <f>VLOOKUP(C97,'IP PITSS'!$B$10:$V$91,3,0)</f>
        <v>0</v>
      </c>
      <c r="K97" s="25">
        <v>12000</v>
      </c>
      <c r="L97" s="18">
        <f t="shared" si="14"/>
        <v>0</v>
      </c>
      <c r="M97" s="18">
        <f>VLOOKUP(C97,'IP PITSS'!$B$10:$I$91,8,0)</f>
        <v>0</v>
      </c>
      <c r="N97" s="18">
        <f t="shared" si="15"/>
        <v>0</v>
      </c>
      <c r="O97" s="18" t="s">
        <v>339</v>
      </c>
    </row>
    <row r="98" spans="1:15" ht="14.25" customHeight="1" x14ac:dyDescent="0.2">
      <c r="A98" s="18" t="s">
        <v>340</v>
      </c>
      <c r="B98" s="18" t="s">
        <v>95</v>
      </c>
      <c r="C98" s="18" t="s">
        <v>341</v>
      </c>
      <c r="D98" s="18">
        <v>656.26000000000022</v>
      </c>
      <c r="E98" s="18">
        <v>270</v>
      </c>
      <c r="F98" s="24"/>
      <c r="G98" s="18">
        <f t="shared" si="13"/>
        <v>0</v>
      </c>
      <c r="H98" s="18">
        <f t="shared" si="12"/>
        <v>926.26000000000022</v>
      </c>
      <c r="J98" s="18">
        <f>VLOOKUP(C98,'IP PITSS'!$B$10:$V$91,3,0)</f>
        <v>0</v>
      </c>
      <c r="K98" s="25">
        <v>8000</v>
      </c>
      <c r="L98" s="18">
        <f t="shared" si="14"/>
        <v>0</v>
      </c>
      <c r="M98" s="18">
        <f>VLOOKUP(C98,'IP PITSS'!$B$10:$I$91,8,0)</f>
        <v>0</v>
      </c>
      <c r="N98" s="18">
        <f t="shared" si="15"/>
        <v>0</v>
      </c>
      <c r="O98" s="18" t="s">
        <v>342</v>
      </c>
    </row>
    <row r="99" spans="1:15" ht="14.25" customHeight="1" x14ac:dyDescent="0.2">
      <c r="A99" s="18" t="s">
        <v>343</v>
      </c>
      <c r="B99" s="18" t="s">
        <v>95</v>
      </c>
      <c r="C99" s="18" t="s">
        <v>344</v>
      </c>
      <c r="D99" s="18">
        <v>135.21000000000004</v>
      </c>
      <c r="F99" s="24"/>
      <c r="G99" s="18">
        <f t="shared" si="13"/>
        <v>0</v>
      </c>
      <c r="H99" s="18">
        <f t="shared" si="12"/>
        <v>135.21000000000004</v>
      </c>
      <c r="J99" s="18">
        <f>VLOOKUP(C99,'IP PITSS'!$B$10:$V$91,3,0)</f>
        <v>0</v>
      </c>
      <c r="K99" s="25">
        <v>6000</v>
      </c>
      <c r="L99" s="18">
        <f t="shared" si="14"/>
        <v>0</v>
      </c>
      <c r="M99" s="18">
        <f>VLOOKUP(C99,'IP PITSS'!$B$10:$I$91,8,0)</f>
        <v>0</v>
      </c>
      <c r="N99" s="18">
        <f t="shared" si="15"/>
        <v>0</v>
      </c>
      <c r="O99" s="18" t="s">
        <v>345</v>
      </c>
    </row>
    <row r="100" spans="1:15" ht="14.25" customHeight="1" x14ac:dyDescent="0.2">
      <c r="A100" s="18" t="s">
        <v>347</v>
      </c>
      <c r="B100" s="18" t="s">
        <v>95</v>
      </c>
      <c r="C100" s="18" t="s">
        <v>348</v>
      </c>
      <c r="D100" s="18">
        <v>1135.19</v>
      </c>
      <c r="F100" s="24"/>
      <c r="G100" s="18">
        <f t="shared" si="13"/>
        <v>0</v>
      </c>
      <c r="H100" s="18">
        <f t="shared" si="12"/>
        <v>1135.19</v>
      </c>
      <c r="J100" s="18">
        <f>VLOOKUP(C100,'IP PITSS'!$B$10:$V$91,3,0)</f>
        <v>0</v>
      </c>
      <c r="K100" s="25">
        <v>8000</v>
      </c>
      <c r="L100" s="18">
        <f t="shared" si="14"/>
        <v>0</v>
      </c>
      <c r="M100" s="18">
        <f>VLOOKUP(C100,'IP PITSS'!$B$10:$I$91,8,0)</f>
        <v>0</v>
      </c>
      <c r="N100" s="18">
        <f t="shared" si="15"/>
        <v>0</v>
      </c>
      <c r="O100" s="18" t="s">
        <v>349</v>
      </c>
    </row>
    <row r="101" spans="1:15" ht="14.25" customHeight="1" x14ac:dyDescent="0.2">
      <c r="B101" s="18" t="s">
        <v>95</v>
      </c>
      <c r="C101" s="18" t="s">
        <v>350</v>
      </c>
      <c r="D101" s="18">
        <v>53.399999999999636</v>
      </c>
      <c r="F101" s="24"/>
      <c r="G101" s="18">
        <f t="shared" si="13"/>
        <v>0</v>
      </c>
      <c r="H101" s="18">
        <f t="shared" si="12"/>
        <v>53.399999999999636</v>
      </c>
      <c r="J101" s="18">
        <f>VLOOKUP(C101,'IP PITSS'!$B$10:$V$91,3,0)</f>
        <v>0</v>
      </c>
      <c r="K101" s="25">
        <v>5000</v>
      </c>
      <c r="L101" s="18">
        <f t="shared" si="14"/>
        <v>0</v>
      </c>
      <c r="M101" s="18">
        <f>VLOOKUP(C101,'IP PITSS'!$B$10:$I$91,8,0)</f>
        <v>0</v>
      </c>
      <c r="N101" s="18">
        <f t="shared" si="15"/>
        <v>0</v>
      </c>
      <c r="O101" s="18" t="s">
        <v>351</v>
      </c>
    </row>
    <row r="102" spans="1:15" ht="14.25" customHeight="1" x14ac:dyDescent="0.25">
      <c r="B102" s="37" t="s">
        <v>95</v>
      </c>
      <c r="C102" s="38" t="s">
        <v>352</v>
      </c>
      <c r="D102" s="18">
        <v>308.80000000000018</v>
      </c>
      <c r="E102" s="18">
        <v>325</v>
      </c>
      <c r="F102" s="24"/>
      <c r="G102" s="18">
        <f t="shared" si="13"/>
        <v>0</v>
      </c>
      <c r="H102" s="18">
        <f t="shared" si="12"/>
        <v>633.80000000000018</v>
      </c>
      <c r="J102" s="18">
        <f>VLOOKUP(C102,'IP PITSS'!$B$10:$V$91,3,0)</f>
        <v>0</v>
      </c>
      <c r="K102" s="25"/>
      <c r="M102" s="18">
        <f>VLOOKUP(C102,'IP PITSS'!$B$10:$I$91,8,0)</f>
        <v>0</v>
      </c>
      <c r="O102" s="18" t="s">
        <v>353</v>
      </c>
    </row>
    <row r="103" spans="1:15" ht="14.25" customHeight="1" x14ac:dyDescent="0.25">
      <c r="B103" s="37" t="s">
        <v>95</v>
      </c>
      <c r="C103" s="38" t="s">
        <v>441</v>
      </c>
      <c r="F103" s="24"/>
      <c r="G103" s="18">
        <f t="shared" ref="G103" si="16">+N103</f>
        <v>0</v>
      </c>
      <c r="H103" s="18">
        <f t="shared" ref="H103" si="17">SUM(D103:G103)</f>
        <v>0</v>
      </c>
      <c r="J103" s="18">
        <f>VLOOKUP(C103,'IP PITSS'!$B$10:$V$91,3,0)</f>
        <v>0</v>
      </c>
      <c r="K103" s="25"/>
      <c r="M103" s="18">
        <f>VLOOKUP(C103,'IP PITSS'!$B$10:$I$91,8,0)</f>
        <v>0</v>
      </c>
    </row>
    <row r="104" spans="1:15" ht="13.5" customHeight="1" x14ac:dyDescent="0.2">
      <c r="D104" s="28">
        <f>SUBTOTAL(9,D3:D102)</f>
        <v>151352.48500000004</v>
      </c>
      <c r="E104" s="28">
        <f t="shared" ref="E104:G104" si="18">SUBTOTAL(9,E3:E102)</f>
        <v>37527.93</v>
      </c>
      <c r="F104" s="28">
        <f t="shared" si="18"/>
        <v>10960</v>
      </c>
      <c r="G104" s="28">
        <f t="shared" si="18"/>
        <v>796.42</v>
      </c>
      <c r="H104" s="28">
        <f>SUBTOTAL(9,H3:H102)</f>
        <v>200636.83500000002</v>
      </c>
      <c r="J104" s="28">
        <f t="shared" ref="J104" si="19">SUBTOTAL(9,J3:J102)</f>
        <v>14</v>
      </c>
      <c r="K104" s="28">
        <f t="shared" ref="K104" si="20">SUBTOTAL(9,K3:K102)</f>
        <v>1001531.02</v>
      </c>
      <c r="L104" s="28">
        <f t="shared" ref="L104" si="21">SUBTOTAL(9,L3:L102)</f>
        <v>1906</v>
      </c>
      <c r="M104" s="28">
        <f t="shared" ref="M104" si="22">SUBTOTAL(9,M3:M102)</f>
        <v>1109.58</v>
      </c>
      <c r="N104" s="28">
        <f t="shared" ref="N104" si="23">SUBTOTAL(9,N3:N102)</f>
        <v>796.42</v>
      </c>
    </row>
    <row r="105" spans="1:15" ht="13.5" customHeight="1" x14ac:dyDescent="0.2">
      <c r="D105" s="28"/>
      <c r="E105" s="28"/>
      <c r="F105" s="28"/>
      <c r="G105" s="28"/>
      <c r="H105" s="28"/>
      <c r="J105" s="28"/>
      <c r="K105" s="28"/>
      <c r="L105" s="28"/>
      <c r="M105" s="28"/>
      <c r="N105" s="28"/>
    </row>
    <row r="106" spans="1:15" x14ac:dyDescent="0.2">
      <c r="B106" s="39"/>
      <c r="D106" s="40"/>
      <c r="E106" s="40"/>
      <c r="G106" s="99" t="s">
        <v>426</v>
      </c>
      <c r="H106" s="41">
        <f>+H104</f>
        <v>200636.83500000002</v>
      </c>
    </row>
    <row r="107" spans="1:15" x14ac:dyDescent="0.2">
      <c r="A107" s="39"/>
      <c r="B107" s="39"/>
      <c r="C107" s="39"/>
      <c r="G107" s="98" t="s">
        <v>422</v>
      </c>
      <c r="H107" s="42">
        <v>0</v>
      </c>
    </row>
    <row r="108" spans="1:15" x14ac:dyDescent="0.2">
      <c r="A108" s="39"/>
      <c r="C108" s="39"/>
      <c r="G108" s="98" t="s">
        <v>406</v>
      </c>
      <c r="H108" s="41">
        <f>+H106+H107</f>
        <v>200636.83500000002</v>
      </c>
    </row>
    <row r="109" spans="1:15" x14ac:dyDescent="0.2">
      <c r="A109" s="39"/>
      <c r="B109" s="39"/>
      <c r="C109" s="39"/>
      <c r="G109" s="98" t="s">
        <v>86</v>
      </c>
      <c r="H109" s="41">
        <f>+H108*2%</f>
        <v>4012.7367000000004</v>
      </c>
    </row>
    <row r="110" spans="1:15" x14ac:dyDescent="0.2">
      <c r="A110" s="39"/>
      <c r="B110" s="39"/>
      <c r="C110" s="39"/>
      <c r="D110" s="18">
        <v>0</v>
      </c>
      <c r="G110" s="98" t="s">
        <v>423</v>
      </c>
      <c r="H110" s="41">
        <f>+H108+H109</f>
        <v>204649.57170000003</v>
      </c>
    </row>
    <row r="111" spans="1:15" x14ac:dyDescent="0.2">
      <c r="B111" s="39"/>
      <c r="G111" s="98"/>
      <c r="H111" s="42"/>
    </row>
    <row r="112" spans="1:15" x14ac:dyDescent="0.2">
      <c r="B112" s="39"/>
      <c r="G112" s="98"/>
      <c r="H112" s="42"/>
    </row>
    <row r="113" spans="7:8" x14ac:dyDescent="0.2">
      <c r="G113" s="98" t="s">
        <v>424</v>
      </c>
      <c r="H113" s="41">
        <f>+H110</f>
        <v>204649.57170000003</v>
      </c>
    </row>
    <row r="114" spans="7:8" x14ac:dyDescent="0.2">
      <c r="G114" s="98" t="s">
        <v>31</v>
      </c>
      <c r="H114" s="42">
        <f>+H113*16%</f>
        <v>32743.931472000004</v>
      </c>
    </row>
    <row r="115" spans="7:8" x14ac:dyDescent="0.2">
      <c r="G115" s="98" t="s">
        <v>425</v>
      </c>
      <c r="H115" s="41">
        <f>+H113+H114</f>
        <v>237393.50317200003</v>
      </c>
    </row>
    <row r="116" spans="7:8" ht="15.75" customHeight="1" x14ac:dyDescent="0.2"/>
  </sheetData>
  <autoFilter ref="A2:N110"/>
  <sortState ref="A3:Q102">
    <sortCondition ref="B3:B102"/>
  </sortState>
  <mergeCells count="2">
    <mergeCell ref="D1:H1"/>
    <mergeCell ref="J1:N1"/>
  </mergeCells>
  <pageMargins left="0.7" right="0.7" top="0.75" bottom="0.75" header="0.3" footer="0.3"/>
  <pageSetup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J107"/>
  <sheetViews>
    <sheetView showGridLines="0" zoomScale="90" zoomScaleNormal="90" workbookViewId="0">
      <pane xSplit="3" ySplit="2" topLeftCell="D90" activePane="bottomRight" state="frozen"/>
      <selection activeCell="E31" sqref="E31"/>
      <selection pane="topRight" activeCell="E31" sqref="E31"/>
      <selection pane="bottomLeft" activeCell="E31" sqref="E31"/>
      <selection pane="bottomRight" activeCell="C101" sqref="C101"/>
    </sheetView>
  </sheetViews>
  <sheetFormatPr baseColWidth="10" defaultColWidth="11.42578125" defaultRowHeight="12.75" x14ac:dyDescent="0.2"/>
  <cols>
    <col min="1" max="1" width="11.42578125" style="30"/>
    <col min="2" max="2" width="15.5703125" style="30" customWidth="1"/>
    <col min="3" max="3" width="46.28515625" style="76" customWidth="1"/>
    <col min="4" max="4" width="17.7109375" style="30" customWidth="1"/>
    <col min="5" max="5" width="4" style="43" customWidth="1"/>
    <col min="6" max="9" width="16.140625" style="30" customWidth="1"/>
    <col min="10" max="10" width="3.5703125" style="43" customWidth="1"/>
    <col min="11" max="11" width="19.5703125" style="30" customWidth="1"/>
    <col min="12" max="12" width="22.5703125" style="30" customWidth="1"/>
    <col min="13" max="13" width="19.5703125" style="30" customWidth="1"/>
    <col min="14" max="14" width="3.7109375" style="44" customWidth="1"/>
    <col min="15" max="19" width="13.28515625" style="30" customWidth="1"/>
    <col min="20" max="20" width="3.140625" style="44" customWidth="1"/>
    <col min="21" max="21" width="16.7109375" style="30" customWidth="1"/>
    <col min="22" max="22" width="13.85546875" style="36" customWidth="1"/>
    <col min="23" max="23" width="21" style="46" bestFit="1" customWidth="1"/>
    <col min="24" max="36" width="11.42578125" style="47" customWidth="1"/>
    <col min="37" max="244" width="11.42578125" style="47"/>
    <col min="245" max="16384" width="11.42578125" style="30"/>
  </cols>
  <sheetData>
    <row r="1" spans="1:244" s="45" customFormat="1" x14ac:dyDescent="0.2">
      <c r="A1" s="120"/>
      <c r="B1" s="120"/>
      <c r="C1" s="120"/>
      <c r="D1" s="120"/>
      <c r="E1" s="43"/>
      <c r="F1" s="120" t="s">
        <v>79</v>
      </c>
      <c r="G1" s="120"/>
      <c r="H1" s="120"/>
      <c r="I1" s="120"/>
      <c r="J1" s="43"/>
      <c r="K1" s="120"/>
      <c r="L1" s="120"/>
      <c r="M1" s="120"/>
      <c r="N1" s="44"/>
      <c r="O1" s="120"/>
      <c r="P1" s="120"/>
      <c r="Q1" s="120"/>
      <c r="R1" s="120"/>
      <c r="S1" s="120"/>
      <c r="T1" s="44"/>
      <c r="V1" s="36"/>
      <c r="W1" s="46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  <c r="BR1" s="47"/>
      <c r="BS1" s="47"/>
      <c r="BT1" s="47"/>
      <c r="BU1" s="47"/>
      <c r="BV1" s="47"/>
      <c r="BW1" s="47"/>
      <c r="BX1" s="47"/>
      <c r="BY1" s="47"/>
      <c r="BZ1" s="47"/>
      <c r="CA1" s="47"/>
      <c r="CB1" s="47"/>
      <c r="CC1" s="47"/>
      <c r="CD1" s="47"/>
      <c r="CE1" s="47"/>
      <c r="CF1" s="47"/>
      <c r="CG1" s="47"/>
      <c r="CH1" s="47"/>
      <c r="CI1" s="47"/>
      <c r="CJ1" s="47"/>
      <c r="CK1" s="47"/>
      <c r="CL1" s="47"/>
      <c r="CM1" s="47"/>
      <c r="CN1" s="47"/>
      <c r="CO1" s="47"/>
      <c r="CP1" s="47"/>
      <c r="CQ1" s="47"/>
      <c r="CR1" s="47"/>
      <c r="CS1" s="47"/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O1" s="47"/>
      <c r="DP1" s="47"/>
      <c r="DQ1" s="47"/>
      <c r="DR1" s="47"/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  <c r="EL1" s="47"/>
      <c r="EM1" s="47"/>
      <c r="EN1" s="47"/>
      <c r="EO1" s="47"/>
      <c r="EP1" s="47"/>
      <c r="EQ1" s="47"/>
      <c r="ER1" s="47"/>
      <c r="ES1" s="47"/>
      <c r="ET1" s="47"/>
      <c r="EU1" s="47"/>
      <c r="EV1" s="47"/>
      <c r="EW1" s="47"/>
      <c r="EX1" s="47"/>
      <c r="EY1" s="47"/>
      <c r="EZ1" s="47"/>
      <c r="FA1" s="47"/>
      <c r="FB1" s="47"/>
      <c r="FC1" s="47"/>
      <c r="FD1" s="47"/>
      <c r="FE1" s="47"/>
      <c r="FF1" s="47"/>
      <c r="FG1" s="47"/>
      <c r="FH1" s="47"/>
      <c r="FI1" s="47"/>
      <c r="FJ1" s="47"/>
      <c r="FK1" s="47"/>
      <c r="FL1" s="47"/>
      <c r="FM1" s="47"/>
      <c r="FN1" s="47"/>
      <c r="FO1" s="47"/>
      <c r="FP1" s="47"/>
      <c r="FQ1" s="47"/>
      <c r="FR1" s="47"/>
      <c r="FS1" s="47"/>
      <c r="FT1" s="47"/>
      <c r="FU1" s="47"/>
      <c r="FV1" s="47"/>
      <c r="FW1" s="47"/>
      <c r="FX1" s="47"/>
      <c r="FY1" s="47"/>
      <c r="FZ1" s="47"/>
      <c r="GA1" s="47"/>
      <c r="GB1" s="47"/>
      <c r="GC1" s="47"/>
      <c r="GD1" s="47"/>
      <c r="GE1" s="47"/>
      <c r="GF1" s="47"/>
      <c r="GG1" s="47"/>
      <c r="GH1" s="47"/>
      <c r="GI1" s="47"/>
      <c r="GJ1" s="47"/>
      <c r="GK1" s="47"/>
      <c r="GL1" s="47"/>
      <c r="GM1" s="47"/>
      <c r="GN1" s="47"/>
      <c r="GO1" s="47"/>
      <c r="GP1" s="47"/>
      <c r="GQ1" s="47"/>
      <c r="GR1" s="47"/>
      <c r="GS1" s="47"/>
      <c r="GT1" s="47"/>
      <c r="GU1" s="47"/>
      <c r="GV1" s="47"/>
      <c r="GW1" s="47"/>
      <c r="GX1" s="47"/>
      <c r="GY1" s="47"/>
      <c r="GZ1" s="47"/>
      <c r="HA1" s="47"/>
      <c r="HB1" s="47"/>
      <c r="HC1" s="47"/>
      <c r="HD1" s="47"/>
      <c r="HE1" s="47"/>
      <c r="HF1" s="47"/>
      <c r="HG1" s="47"/>
      <c r="HH1" s="47"/>
      <c r="HI1" s="47"/>
      <c r="HJ1" s="47"/>
      <c r="HK1" s="47"/>
      <c r="HL1" s="47"/>
      <c r="HM1" s="47"/>
      <c r="HN1" s="47"/>
      <c r="HO1" s="47"/>
      <c r="HP1" s="47"/>
      <c r="HQ1" s="47"/>
      <c r="HR1" s="47"/>
      <c r="HS1" s="47"/>
      <c r="HT1" s="47"/>
      <c r="HU1" s="47"/>
      <c r="HV1" s="47"/>
      <c r="HW1" s="47"/>
      <c r="HX1" s="47"/>
      <c r="HY1" s="47"/>
      <c r="HZ1" s="47"/>
      <c r="IA1" s="47"/>
      <c r="IB1" s="47"/>
      <c r="IC1" s="47"/>
      <c r="ID1" s="47"/>
      <c r="IE1" s="47"/>
      <c r="IF1" s="47"/>
      <c r="IG1" s="47"/>
      <c r="IH1" s="47"/>
      <c r="II1" s="47"/>
      <c r="IJ1" s="47"/>
    </row>
    <row r="2" spans="1:244" ht="39" thickBot="1" x14ac:dyDescent="0.25">
      <c r="A2" s="48" t="s">
        <v>81</v>
      </c>
      <c r="B2" s="48" t="s">
        <v>82</v>
      </c>
      <c r="C2" s="48" t="s">
        <v>83</v>
      </c>
      <c r="D2" s="48" t="s">
        <v>354</v>
      </c>
      <c r="E2" s="49"/>
      <c r="F2" s="50" t="s">
        <v>355</v>
      </c>
      <c r="G2" s="50" t="s">
        <v>85</v>
      </c>
      <c r="H2" s="50" t="s">
        <v>86</v>
      </c>
      <c r="I2" s="50" t="s">
        <v>356</v>
      </c>
      <c r="J2" s="49" t="s">
        <v>357</v>
      </c>
      <c r="K2" s="51" t="s">
        <v>358</v>
      </c>
      <c r="L2" s="48" t="s">
        <v>359</v>
      </c>
      <c r="M2" s="52" t="s">
        <v>360</v>
      </c>
      <c r="N2" s="53" t="s">
        <v>361</v>
      </c>
      <c r="O2" s="48" t="s">
        <v>362</v>
      </c>
      <c r="P2" s="48" t="s">
        <v>363</v>
      </c>
      <c r="Q2" s="48" t="s">
        <v>364</v>
      </c>
      <c r="R2" s="48" t="s">
        <v>365</v>
      </c>
      <c r="S2" s="48" t="s">
        <v>366</v>
      </c>
      <c r="T2" s="53" t="s">
        <v>367</v>
      </c>
      <c r="U2" s="54" t="s">
        <v>368</v>
      </c>
      <c r="V2" s="54" t="s">
        <v>369</v>
      </c>
      <c r="W2" s="55" t="s">
        <v>370</v>
      </c>
    </row>
    <row r="3" spans="1:244" s="47" customFormat="1" ht="13.5" thickTop="1" x14ac:dyDescent="0.2">
      <c r="A3" s="25" t="s">
        <v>39</v>
      </c>
      <c r="B3" s="25" t="s">
        <v>110</v>
      </c>
      <c r="C3" s="56" t="s">
        <v>40</v>
      </c>
      <c r="D3" s="25">
        <f>VLOOKUP(C3,'CPD PITSS'!B10:V27,21,0)</f>
        <v>2774.6</v>
      </c>
      <c r="E3" s="57"/>
      <c r="F3" s="47">
        <f>VLOOKUP($C3,'SIND PITS'!$C$3:$G$20,2,0)</f>
        <v>1475.4</v>
      </c>
      <c r="G3" s="47">
        <f>VLOOKUP($C3,'SIND PITS'!$C$3:$G$20,3,0)</f>
        <v>100</v>
      </c>
      <c r="H3" s="47">
        <f>VLOOKUP($C3,'SIND PITS'!$C$3:$G$20,4,0)</f>
        <v>0</v>
      </c>
      <c r="I3" s="47">
        <f>VLOOKUP($C3,'SIND PITS'!$C$3:$G$20,5,0)</f>
        <v>0</v>
      </c>
      <c r="J3" s="43"/>
      <c r="K3" s="47">
        <f>SUM(D3:I3)</f>
        <v>4350</v>
      </c>
      <c r="L3" s="47">
        <v>8500</v>
      </c>
      <c r="M3" s="47">
        <f>+L3/2</f>
        <v>4250</v>
      </c>
      <c r="N3" s="44"/>
      <c r="O3" s="47">
        <f>VLOOKUP($C3,'CPD PITSS'!$B$10:$V$27,8,0)</f>
        <v>0</v>
      </c>
      <c r="P3" s="47">
        <f>+G3+H3+I3</f>
        <v>100</v>
      </c>
      <c r="Q3" s="47">
        <f>(VLOOKUP($C3,'CPD PITSS'!$B$10:$V$27,13,0))+(VLOOKUP($C3,'CPD PITSS'!$B$10:$V$27,14,0))</f>
        <v>0</v>
      </c>
      <c r="S3" s="47">
        <v>0</v>
      </c>
      <c r="T3" s="44"/>
      <c r="U3" s="47">
        <f>+K3-O3-P3+Q3+R3+S3</f>
        <v>4250</v>
      </c>
      <c r="V3" s="36">
        <f t="shared" ref="V3:V66" si="0">+M3-U3</f>
        <v>0</v>
      </c>
      <c r="W3" s="36"/>
      <c r="X3" s="47" t="s">
        <v>202</v>
      </c>
    </row>
    <row r="4" spans="1:244" s="47" customFormat="1" x14ac:dyDescent="0.2">
      <c r="A4" s="25" t="s">
        <v>41</v>
      </c>
      <c r="B4" s="25" t="s">
        <v>110</v>
      </c>
      <c r="C4" s="56" t="s">
        <v>42</v>
      </c>
      <c r="D4" s="25">
        <f>VLOOKUP(C4,'CPD PITSS'!B11:V28,21,0)</f>
        <v>2912</v>
      </c>
      <c r="E4" s="57"/>
      <c r="F4" s="47">
        <f>VLOOKUP($C4,'SIND PITS'!$C$3:$G$20,2,0)</f>
        <v>1588.0000000000005</v>
      </c>
      <c r="G4" s="47">
        <f>VLOOKUP($C4,'SIND PITS'!$C$3:$G$20,3,0)</f>
        <v>400</v>
      </c>
      <c r="H4" s="47">
        <f>VLOOKUP($C4,'SIND PITS'!$C$3:$G$20,4,0)</f>
        <v>0</v>
      </c>
      <c r="I4" s="47">
        <f>VLOOKUP($C4,'SIND PITS'!$C$3:$G$20,5,0)</f>
        <v>0</v>
      </c>
      <c r="J4" s="43"/>
      <c r="K4" s="47">
        <f t="shared" ref="K4:K67" si="1">SUM(D4:I4)</f>
        <v>4900</v>
      </c>
      <c r="L4" s="47">
        <v>9000</v>
      </c>
      <c r="M4" s="47">
        <f t="shared" ref="M4:M68" si="2">+L4/2</f>
        <v>4500</v>
      </c>
      <c r="N4" s="44"/>
      <c r="O4" s="47">
        <f>VLOOKUP($C4,'CPD PITSS'!$B$10:$V$27,8,0)</f>
        <v>0</v>
      </c>
      <c r="P4" s="47">
        <f t="shared" ref="P4:P20" si="3">+G4+H4+I4</f>
        <v>400</v>
      </c>
      <c r="Q4" s="47">
        <f>(VLOOKUP($C4,'CPD PITSS'!$B$10:$V$27,13,0))+(VLOOKUP($C4,'CPD PITSS'!$B$10:$V$27,14,0))</f>
        <v>0</v>
      </c>
      <c r="S4" s="47">
        <v>0</v>
      </c>
      <c r="T4" s="44"/>
      <c r="U4" s="47">
        <f t="shared" ref="U4:U20" si="4">+K4-O4-P4+Q4+R4+S4</f>
        <v>4500</v>
      </c>
      <c r="V4" s="36">
        <f t="shared" si="0"/>
        <v>0</v>
      </c>
      <c r="W4" s="36"/>
      <c r="X4" s="47" t="s">
        <v>302</v>
      </c>
    </row>
    <row r="5" spans="1:244" s="47" customFormat="1" x14ac:dyDescent="0.2">
      <c r="A5" s="25" t="s">
        <v>43</v>
      </c>
      <c r="B5" s="25" t="s">
        <v>110</v>
      </c>
      <c r="C5" s="56" t="s">
        <v>44</v>
      </c>
      <c r="D5" s="25">
        <f>VLOOKUP(C5,'CPD PITSS'!B12:V29,21,0)</f>
        <v>4036</v>
      </c>
      <c r="E5" s="57"/>
      <c r="F5" s="47">
        <f>VLOOKUP($C5,'SIND PITS'!$C$3:$G$20,2,0)</f>
        <v>2464</v>
      </c>
      <c r="G5" s="47">
        <f>VLOOKUP($C5,'SIND PITS'!$C$3:$G$20,3,0)</f>
        <v>1000</v>
      </c>
      <c r="H5" s="47">
        <f>VLOOKUP($C5,'SIND PITS'!$C$3:$G$20,4,0)</f>
        <v>0</v>
      </c>
      <c r="I5" s="47">
        <f>VLOOKUP($C5,'SIND PITS'!$C$3:$G$20,5,0)</f>
        <v>0</v>
      </c>
      <c r="J5" s="43"/>
      <c r="K5" s="47">
        <f t="shared" si="1"/>
        <v>7500</v>
      </c>
      <c r="L5" s="47">
        <v>13000</v>
      </c>
      <c r="M5" s="47">
        <f t="shared" si="2"/>
        <v>6500</v>
      </c>
      <c r="N5" s="44"/>
      <c r="O5" s="47">
        <f>VLOOKUP($C5,'CPD PITSS'!$B$10:$V$27,8,0)</f>
        <v>0</v>
      </c>
      <c r="P5" s="47">
        <f t="shared" si="3"/>
        <v>1000</v>
      </c>
      <c r="Q5" s="47">
        <f>(VLOOKUP($C5,'CPD PITSS'!$B$10:$V$27,13,0))+(VLOOKUP($C5,'CPD PITSS'!$B$10:$V$27,14,0))</f>
        <v>0</v>
      </c>
      <c r="S5" s="47">
        <v>0</v>
      </c>
      <c r="T5" s="44"/>
      <c r="U5" s="47">
        <f t="shared" si="4"/>
        <v>6500</v>
      </c>
      <c r="V5" s="36">
        <f t="shared" si="0"/>
        <v>0</v>
      </c>
      <c r="W5" s="36"/>
      <c r="X5" s="47" t="s">
        <v>276</v>
      </c>
    </row>
    <row r="6" spans="1:244" s="47" customFormat="1" x14ac:dyDescent="0.2">
      <c r="A6" s="25" t="s">
        <v>45</v>
      </c>
      <c r="B6" s="25" t="s">
        <v>110</v>
      </c>
      <c r="C6" s="56" t="s">
        <v>46</v>
      </c>
      <c r="D6" s="25">
        <f>VLOOKUP(C6,'CPD PITSS'!B13:V30,21,0)</f>
        <v>5074</v>
      </c>
      <c r="E6" s="57"/>
      <c r="F6" s="47">
        <f>VLOOKUP($C6,'SIND PITS'!$C$3:$G$20,2,0)</f>
        <v>4175.9999999999991</v>
      </c>
      <c r="G6" s="47">
        <f>VLOOKUP($C6,'SIND PITS'!$C$3:$G$20,3,0)</f>
        <v>750</v>
      </c>
      <c r="H6" s="47">
        <f>VLOOKUP($C6,'SIND PITS'!$C$3:$G$20,4,0)</f>
        <v>0</v>
      </c>
      <c r="I6" s="47">
        <f>VLOOKUP($C6,'SIND PITS'!$C$3:$G$20,5,0)</f>
        <v>0</v>
      </c>
      <c r="J6" s="43"/>
      <c r="K6" s="47">
        <f t="shared" si="1"/>
        <v>10000</v>
      </c>
      <c r="L6" s="47">
        <v>18500</v>
      </c>
      <c r="M6" s="47">
        <f t="shared" si="2"/>
        <v>9250</v>
      </c>
      <c r="N6" s="44"/>
      <c r="O6" s="47">
        <f>VLOOKUP($C6,'CPD PITSS'!$B$10:$V$27,8,0)</f>
        <v>0</v>
      </c>
      <c r="P6" s="47">
        <f t="shared" si="3"/>
        <v>750</v>
      </c>
      <c r="Q6" s="47">
        <f>(VLOOKUP($C6,'CPD PITSS'!$B$10:$V$27,13,0))+(VLOOKUP($C6,'CPD PITSS'!$B$10:$V$27,14,0))</f>
        <v>0</v>
      </c>
      <c r="S6" s="47">
        <v>0</v>
      </c>
      <c r="T6" s="44"/>
      <c r="U6" s="47">
        <f t="shared" si="4"/>
        <v>9250</v>
      </c>
      <c r="V6" s="36">
        <f t="shared" si="0"/>
        <v>0</v>
      </c>
      <c r="W6" s="36"/>
      <c r="X6" s="47" t="s">
        <v>346</v>
      </c>
    </row>
    <row r="7" spans="1:244" s="47" customFormat="1" x14ac:dyDescent="0.2">
      <c r="A7" s="25" t="s">
        <v>47</v>
      </c>
      <c r="B7" s="25" t="s">
        <v>110</v>
      </c>
      <c r="C7" s="56" t="s">
        <v>48</v>
      </c>
      <c r="D7" s="25">
        <f>VLOOKUP(C7,'CPD PITSS'!B14:V31,21,0)</f>
        <v>4899.8</v>
      </c>
      <c r="E7" s="57"/>
      <c r="F7" s="47">
        <f>VLOOKUP($C7,'SIND PITS'!$C$3:$G$20,2,0)</f>
        <v>2600.3999999999996</v>
      </c>
      <c r="G7" s="47">
        <f>VLOOKUP($C7,'SIND PITS'!$C$3:$G$20,3,0)</f>
        <v>337.5</v>
      </c>
      <c r="H7" s="47">
        <f>VLOOKUP($C7,'SIND PITS'!$C$3:$G$20,4,0)</f>
        <v>0</v>
      </c>
      <c r="I7" s="47">
        <f>VLOOKUP($C7,'SIND PITS'!$C$3:$G$20,5,0)</f>
        <v>0</v>
      </c>
      <c r="J7" s="43"/>
      <c r="K7" s="47">
        <f t="shared" si="1"/>
        <v>7837.7</v>
      </c>
      <c r="L7" s="47">
        <v>15000</v>
      </c>
      <c r="M7" s="47">
        <f t="shared" si="2"/>
        <v>7500</v>
      </c>
      <c r="N7" s="44"/>
      <c r="O7" s="47">
        <f>VLOOKUP($C7,'CPD PITSS'!$B$10:$V$27,8,0)</f>
        <v>0</v>
      </c>
      <c r="P7" s="47">
        <f t="shared" si="3"/>
        <v>337.5</v>
      </c>
      <c r="Q7" s="47">
        <f>(VLOOKUP($C7,'CPD PITSS'!$B$10:$V$27,13,0))+(VLOOKUP($C7,'CPD PITSS'!$B$10:$V$27,14,0))</f>
        <v>0</v>
      </c>
      <c r="S7" s="47">
        <v>0</v>
      </c>
      <c r="T7" s="44"/>
      <c r="U7" s="47">
        <f t="shared" si="4"/>
        <v>7500.2</v>
      </c>
      <c r="V7" s="36">
        <f t="shared" si="0"/>
        <v>-0.1999999999998181</v>
      </c>
      <c r="W7" s="36"/>
      <c r="X7" s="47" t="s">
        <v>283</v>
      </c>
    </row>
    <row r="8" spans="1:244" s="47" customFormat="1" x14ac:dyDescent="0.2">
      <c r="A8" s="25" t="s">
        <v>49</v>
      </c>
      <c r="B8" s="25" t="s">
        <v>110</v>
      </c>
      <c r="C8" s="56" t="s">
        <v>50</v>
      </c>
      <c r="D8" s="25">
        <f>VLOOKUP(C8,'CPD PITSS'!B15:V32,21,0)</f>
        <v>2105.1999999999998</v>
      </c>
      <c r="E8" s="57"/>
      <c r="F8" s="47">
        <f>VLOOKUP($C8,'SIND PITS'!$C$3:$G$20,2,0)</f>
        <v>1557.96</v>
      </c>
      <c r="G8" s="47">
        <f>VLOOKUP($C8,'SIND PITS'!$C$3:$G$20,3,0)</f>
        <v>420</v>
      </c>
      <c r="H8" s="47">
        <f>VLOOKUP($C8,'SIND PITS'!$C$3:$G$20,4,0)</f>
        <v>320</v>
      </c>
      <c r="I8" s="47">
        <f>VLOOKUP($C8,'SIND PITS'!$C$3:$G$20,5,0)</f>
        <v>91.499999999999972</v>
      </c>
      <c r="J8" s="43"/>
      <c r="K8" s="47">
        <f t="shared" si="1"/>
        <v>4494.66</v>
      </c>
      <c r="L8" s="47">
        <v>10150</v>
      </c>
      <c r="M8" s="47">
        <f t="shared" si="2"/>
        <v>5075</v>
      </c>
      <c r="N8" s="44"/>
      <c r="O8" s="47">
        <f>VLOOKUP($C8,'CPD PITSS'!$B$10:$V$27,8,0)</f>
        <v>111.5</v>
      </c>
      <c r="P8" s="47">
        <f t="shared" si="3"/>
        <v>831.5</v>
      </c>
      <c r="Q8" s="47">
        <f>(VLOOKUP($C8,'CPD PITSS'!$B$10:$V$27,13,0))+(VLOOKUP($C8,'CPD PITSS'!$B$10:$V$27,14,0))</f>
        <v>1523.27</v>
      </c>
      <c r="S8" s="47">
        <v>0</v>
      </c>
      <c r="T8" s="44"/>
      <c r="U8" s="47">
        <f t="shared" si="4"/>
        <v>5074.93</v>
      </c>
      <c r="V8" s="36">
        <f t="shared" si="0"/>
        <v>6.9999999999708962E-2</v>
      </c>
      <c r="W8" s="36"/>
      <c r="X8" s="47" t="s">
        <v>111</v>
      </c>
    </row>
    <row r="9" spans="1:244" s="47" customFormat="1" x14ac:dyDescent="0.2">
      <c r="A9" s="25" t="s">
        <v>51</v>
      </c>
      <c r="B9" s="25" t="s">
        <v>110</v>
      </c>
      <c r="C9" s="56" t="s">
        <v>52</v>
      </c>
      <c r="D9" s="25">
        <f>VLOOKUP(C9,'CPD PITSS'!B16:V33,21,0)</f>
        <v>4724.2</v>
      </c>
      <c r="E9" s="57"/>
      <c r="F9" s="47">
        <f>VLOOKUP($C9,'SIND PITS'!$C$3:$G$20,2,0)</f>
        <v>2600.3700000000003</v>
      </c>
      <c r="G9" s="47">
        <f>VLOOKUP($C9,'SIND PITS'!$C$3:$G$20,3,0)</f>
        <v>150</v>
      </c>
      <c r="H9" s="47">
        <f>VLOOKUP($C9,'SIND PITS'!$C$3:$G$20,4,0)</f>
        <v>0</v>
      </c>
      <c r="I9" s="47">
        <f>VLOOKUP($C9,'SIND PITS'!$C$3:$G$20,5,0)</f>
        <v>0</v>
      </c>
      <c r="J9" s="43"/>
      <c r="K9" s="47">
        <f t="shared" si="1"/>
        <v>7474.57</v>
      </c>
      <c r="L9" s="47">
        <v>15000</v>
      </c>
      <c r="M9" s="47">
        <f t="shared" si="2"/>
        <v>7500</v>
      </c>
      <c r="N9" s="44"/>
      <c r="O9" s="47">
        <f>VLOOKUP($C9,'CPD PITSS'!$B$10:$V$27,8,0)</f>
        <v>0</v>
      </c>
      <c r="P9" s="47">
        <f t="shared" si="3"/>
        <v>150</v>
      </c>
      <c r="Q9" s="47">
        <f>(VLOOKUP($C9,'CPD PITSS'!$B$10:$V$27,13,0))+(VLOOKUP($C9,'CPD PITSS'!$B$10:$V$27,14,0))</f>
        <v>0</v>
      </c>
      <c r="S9" s="47">
        <f>+'CPD PITSS'!S16</f>
        <v>175.43</v>
      </c>
      <c r="T9" s="44"/>
      <c r="U9" s="47">
        <f t="shared" si="4"/>
        <v>7500</v>
      </c>
      <c r="V9" s="36">
        <f t="shared" si="0"/>
        <v>0</v>
      </c>
      <c r="W9" s="36"/>
      <c r="X9" s="47" t="s">
        <v>189</v>
      </c>
    </row>
    <row r="10" spans="1:244" s="47" customFormat="1" x14ac:dyDescent="0.2">
      <c r="A10" s="25" t="s">
        <v>53</v>
      </c>
      <c r="B10" s="25" t="s">
        <v>110</v>
      </c>
      <c r="C10" s="56" t="s">
        <v>54</v>
      </c>
      <c r="D10" s="25">
        <f>VLOOKUP(C10,'CPD PITSS'!B17:V34,21,0)</f>
        <v>1751.4</v>
      </c>
      <c r="E10" s="57"/>
      <c r="F10" s="47">
        <f>VLOOKUP($C10,'SIND PITS'!$C$3:$G$20,2,0)</f>
        <v>1558.0900000000001</v>
      </c>
      <c r="G10" s="47">
        <f>VLOOKUP($C10,'SIND PITS'!$C$3:$G$20,3,0)</f>
        <v>330</v>
      </c>
      <c r="H10" s="47">
        <f>VLOOKUP($C10,'SIND PITS'!$C$3:$G$20,4,0)</f>
        <v>320</v>
      </c>
      <c r="I10" s="47">
        <f>VLOOKUP($C10,'SIND PITS'!$C$3:$G$20,5,0)</f>
        <v>0</v>
      </c>
      <c r="J10" s="43"/>
      <c r="K10" s="47">
        <f t="shared" si="1"/>
        <v>3959.4900000000002</v>
      </c>
      <c r="L10" s="47">
        <v>10150</v>
      </c>
      <c r="M10" s="47">
        <f t="shared" si="2"/>
        <v>5075</v>
      </c>
      <c r="N10" s="44"/>
      <c r="O10" s="47">
        <f>VLOOKUP($C10,'CPD PITSS'!$B$10:$V$27,8,0)</f>
        <v>0</v>
      </c>
      <c r="P10" s="47">
        <f t="shared" si="3"/>
        <v>650</v>
      </c>
      <c r="Q10" s="47">
        <f>(VLOOKUP($C10,'CPD PITSS'!$B$10:$V$27,13,0))+(VLOOKUP($C10,'CPD PITSS'!$B$10:$V$27,14,0))</f>
        <v>1765.48</v>
      </c>
      <c r="S10" s="47">
        <v>0</v>
      </c>
      <c r="T10" s="44"/>
      <c r="U10" s="47">
        <f t="shared" si="4"/>
        <v>5074.97</v>
      </c>
      <c r="V10" s="36">
        <f t="shared" si="0"/>
        <v>2.9999999999745341E-2</v>
      </c>
      <c r="W10" s="36"/>
      <c r="X10" s="47" t="s">
        <v>118</v>
      </c>
    </row>
    <row r="11" spans="1:244" s="47" customFormat="1" x14ac:dyDescent="0.2">
      <c r="A11" s="25" t="s">
        <v>55</v>
      </c>
      <c r="B11" s="25" t="s">
        <v>110</v>
      </c>
      <c r="C11" s="56" t="s">
        <v>56</v>
      </c>
      <c r="D11" s="25">
        <f>VLOOKUP(C11,'CPD PITSS'!B18:V35,21,0)</f>
        <v>3083</v>
      </c>
      <c r="E11" s="57"/>
      <c r="F11" s="47">
        <f>VLOOKUP($C11,'SIND PITS'!$C$3:$G$20,2,0)</f>
        <v>1891.1999999999998</v>
      </c>
      <c r="G11" s="47">
        <f>VLOOKUP($C11,'SIND PITS'!$C$3:$G$20,3,0)</f>
        <v>0</v>
      </c>
      <c r="H11" s="47">
        <f>VLOOKUP($C11,'SIND PITS'!$C$3:$G$20,4,0)</f>
        <v>0</v>
      </c>
      <c r="I11" s="47">
        <f>VLOOKUP($C11,'SIND PITS'!$C$3:$G$20,5,0)</f>
        <v>0</v>
      </c>
      <c r="J11" s="43"/>
      <c r="K11" s="47">
        <f t="shared" si="1"/>
        <v>4974.2</v>
      </c>
      <c r="L11" s="47">
        <v>12000</v>
      </c>
      <c r="M11" s="47">
        <f t="shared" si="2"/>
        <v>6000</v>
      </c>
      <c r="N11" s="44"/>
      <c r="O11" s="47">
        <f>VLOOKUP($C11,'CPD PITSS'!$B$10:$V$27,8,0)</f>
        <v>0</v>
      </c>
      <c r="P11" s="47">
        <f t="shared" si="3"/>
        <v>0</v>
      </c>
      <c r="Q11" s="47">
        <f>(VLOOKUP($C11,'CPD PITSS'!$B$10:$V$27,13,0))+(VLOOKUP($C11,'CPD PITSS'!$B$10:$V$27,14,0))</f>
        <v>1025.9000000000001</v>
      </c>
      <c r="S11" s="47">
        <v>0</v>
      </c>
      <c r="T11" s="44"/>
      <c r="U11" s="47">
        <f t="shared" si="4"/>
        <v>6000.1</v>
      </c>
      <c r="V11" s="36">
        <f t="shared" si="0"/>
        <v>-0.1000000000003638</v>
      </c>
      <c r="W11" s="36"/>
      <c r="X11" s="47" t="s">
        <v>123</v>
      </c>
    </row>
    <row r="12" spans="1:244" s="47" customFormat="1" x14ac:dyDescent="0.2">
      <c r="A12" s="37" t="s">
        <v>57</v>
      </c>
      <c r="B12" s="25" t="s">
        <v>110</v>
      </c>
      <c r="C12" s="58" t="s">
        <v>58</v>
      </c>
      <c r="D12" s="25">
        <f>VLOOKUP(C12,'CPD PITSS'!B19:V36,21,0)</f>
        <v>3129.8</v>
      </c>
      <c r="E12" s="57"/>
      <c r="F12" s="47">
        <f>VLOOKUP($C12,'SIND PITS'!$C$3:$G$20,2,0)</f>
        <v>2751</v>
      </c>
      <c r="G12" s="47">
        <f>VLOOKUP($C12,'SIND PITS'!$C$3:$G$20,3,0)</f>
        <v>165</v>
      </c>
      <c r="H12" s="47">
        <f>VLOOKUP($C12,'SIND PITS'!$C$3:$G$20,4,0)</f>
        <v>0</v>
      </c>
      <c r="I12" s="47">
        <f>VLOOKUP($C12,'SIND PITS'!$C$3:$G$20,5,0)</f>
        <v>0</v>
      </c>
      <c r="J12" s="43"/>
      <c r="K12" s="47">
        <f t="shared" si="1"/>
        <v>6045.8</v>
      </c>
      <c r="L12" s="36">
        <v>15000</v>
      </c>
      <c r="M12" s="47">
        <f t="shared" si="2"/>
        <v>7500</v>
      </c>
      <c r="N12" s="44"/>
      <c r="O12" s="47">
        <f>VLOOKUP($C12,'CPD PITSS'!$B$10:$V$27,8,0)</f>
        <v>0</v>
      </c>
      <c r="P12" s="47">
        <f t="shared" si="3"/>
        <v>165</v>
      </c>
      <c r="Q12" s="47">
        <f>(VLOOKUP($C12,'CPD PITSS'!$B$10:$V$27,13,0))+(VLOOKUP($C12,'CPD PITSS'!$B$10:$V$27,14,0))</f>
        <v>1619.18</v>
      </c>
      <c r="S12" s="47">
        <v>0</v>
      </c>
      <c r="T12" s="44"/>
      <c r="U12" s="47">
        <f t="shared" si="4"/>
        <v>7499.9800000000005</v>
      </c>
      <c r="V12" s="36">
        <f t="shared" si="0"/>
        <v>1.9999999999527063E-2</v>
      </c>
      <c r="W12" s="36"/>
      <c r="X12" s="47" t="s">
        <v>234</v>
      </c>
    </row>
    <row r="13" spans="1:244" s="36" customFormat="1" x14ac:dyDescent="0.2">
      <c r="A13" s="25" t="s">
        <v>59</v>
      </c>
      <c r="B13" s="25" t="s">
        <v>110</v>
      </c>
      <c r="C13" s="56" t="s">
        <v>60</v>
      </c>
      <c r="D13" s="25">
        <f>VLOOKUP(C13,'CPD PITSS'!B20:V37,21,0)</f>
        <v>2993</v>
      </c>
      <c r="E13" s="57"/>
      <c r="F13" s="47">
        <f>VLOOKUP($C13,'SIND PITS'!$C$3:$G$20,2,0)</f>
        <v>2104.9000000000005</v>
      </c>
      <c r="G13" s="47">
        <f>VLOOKUP($C13,'SIND PITS'!$C$3:$G$20,3,0)</f>
        <v>0</v>
      </c>
      <c r="H13" s="47">
        <f>VLOOKUP($C13,'SIND PITS'!$C$3:$G$20,4,0)</f>
        <v>0</v>
      </c>
      <c r="I13" s="47">
        <f>VLOOKUP($C13,'SIND PITS'!$C$3:$G$20,5,0)</f>
        <v>281.66999999999996</v>
      </c>
      <c r="J13" s="43"/>
      <c r="K13" s="47">
        <f t="shared" si="1"/>
        <v>5379.5700000000006</v>
      </c>
      <c r="L13" s="47">
        <v>13000</v>
      </c>
      <c r="M13" s="47">
        <f t="shared" si="2"/>
        <v>6500</v>
      </c>
      <c r="N13" s="44"/>
      <c r="O13" s="47">
        <f>VLOOKUP($C13,'CPD PITSS'!$B$10:$V$27,8,0)</f>
        <v>238.33</v>
      </c>
      <c r="P13" s="47">
        <f t="shared" si="3"/>
        <v>281.66999999999996</v>
      </c>
      <c r="Q13" s="47">
        <f>(VLOOKUP($C13,'CPD PITSS'!$B$10:$V$27,13,0))+(VLOOKUP($C13,'CPD PITSS'!$B$10:$V$27,14,0))</f>
        <v>1387</v>
      </c>
      <c r="R13" s="47"/>
      <c r="S13" s="47">
        <f>+'CPD PITSS'!S20</f>
        <v>255.4</v>
      </c>
      <c r="T13" s="44"/>
      <c r="U13" s="47">
        <f t="shared" si="4"/>
        <v>6501.97</v>
      </c>
      <c r="V13" s="36">
        <f t="shared" si="0"/>
        <v>-1.9700000000002547</v>
      </c>
      <c r="X13" s="47" t="s">
        <v>112</v>
      </c>
    </row>
    <row r="14" spans="1:244" s="47" customFormat="1" x14ac:dyDescent="0.2">
      <c r="A14" s="25" t="s">
        <v>61</v>
      </c>
      <c r="B14" s="25" t="s">
        <v>110</v>
      </c>
      <c r="C14" s="58" t="s">
        <v>62</v>
      </c>
      <c r="D14" s="25">
        <f>VLOOKUP(C14,'CPD PITSS'!B21:V38,21,0)</f>
        <v>4899.6000000000004</v>
      </c>
      <c r="E14" s="59"/>
      <c r="F14" s="47">
        <f>VLOOKUP($C14,'SIND PITS'!$C$3:$G$20,2,0)</f>
        <v>2600.1999999999998</v>
      </c>
      <c r="G14" s="47">
        <f>VLOOKUP($C14,'SIND PITS'!$C$3:$G$20,3,0)</f>
        <v>337.5</v>
      </c>
      <c r="H14" s="47">
        <f>VLOOKUP($C14,'SIND PITS'!$C$3:$G$20,4,0)</f>
        <v>0</v>
      </c>
      <c r="I14" s="47">
        <f>VLOOKUP($C14,'SIND PITS'!$C$3:$G$20,5,0)</f>
        <v>0</v>
      </c>
      <c r="J14" s="43"/>
      <c r="K14" s="47">
        <f t="shared" si="1"/>
        <v>7837.3</v>
      </c>
      <c r="L14" s="47">
        <v>15000</v>
      </c>
      <c r="M14" s="47">
        <f t="shared" si="2"/>
        <v>7500</v>
      </c>
      <c r="N14" s="44"/>
      <c r="O14" s="47">
        <f>VLOOKUP($C14,'CPD PITSS'!$B$10:$V$27,8,0)</f>
        <v>0</v>
      </c>
      <c r="P14" s="47">
        <f t="shared" si="3"/>
        <v>337.5</v>
      </c>
      <c r="Q14" s="47">
        <f>(VLOOKUP($C14,'CPD PITSS'!$B$10:$V$27,13,0))+(VLOOKUP($C14,'CPD PITSS'!$B$10:$V$27,14,0))</f>
        <v>0</v>
      </c>
      <c r="S14" s="47">
        <v>0</v>
      </c>
      <c r="T14" s="44"/>
      <c r="U14" s="47">
        <f t="shared" si="4"/>
        <v>7499.8</v>
      </c>
      <c r="V14" s="36">
        <f t="shared" si="0"/>
        <v>0.1999999999998181</v>
      </c>
      <c r="W14" s="36"/>
      <c r="X14" s="47" t="s">
        <v>209</v>
      </c>
    </row>
    <row r="15" spans="1:244" s="47" customFormat="1" x14ac:dyDescent="0.2">
      <c r="A15" s="25" t="s">
        <v>63</v>
      </c>
      <c r="B15" s="25" t="s">
        <v>110</v>
      </c>
      <c r="C15" s="56" t="s">
        <v>64</v>
      </c>
      <c r="D15" s="25">
        <f>VLOOKUP(C15,'CPD PITSS'!B22:V39,21,0)</f>
        <v>1421.8</v>
      </c>
      <c r="E15" s="59"/>
      <c r="F15" s="47">
        <f>VLOOKUP($C15,'SIND PITS'!$C$3:$G$20,2,0)</f>
        <v>1483.13</v>
      </c>
      <c r="G15" s="47">
        <f>VLOOKUP($C15,'SIND PITS'!$C$3:$G$20,3,0)</f>
        <v>20</v>
      </c>
      <c r="H15" s="47">
        <f>VLOOKUP($C15,'SIND PITS'!$C$3:$G$20,4,0)</f>
        <v>0</v>
      </c>
      <c r="I15" s="47">
        <f>VLOOKUP($C15,'SIND PITS'!$C$3:$G$20,5,0)</f>
        <v>0</v>
      </c>
      <c r="J15" s="43"/>
      <c r="K15" s="47">
        <f t="shared" si="1"/>
        <v>2924.9300000000003</v>
      </c>
      <c r="L15" s="47">
        <v>10000</v>
      </c>
      <c r="M15" s="47">
        <f t="shared" si="2"/>
        <v>5000</v>
      </c>
      <c r="N15" s="44"/>
      <c r="O15" s="47">
        <f>VLOOKUP($C15,'CPD PITSS'!$B$10:$V$27,8,0)</f>
        <v>0</v>
      </c>
      <c r="P15" s="47">
        <f t="shared" si="3"/>
        <v>20</v>
      </c>
      <c r="Q15" s="47">
        <f>(VLOOKUP($C15,'CPD PITSS'!$B$10:$V$27,13,0))+(VLOOKUP($C15,'CPD PITSS'!$B$10:$V$27,14,0))</f>
        <v>2095.0300000000002</v>
      </c>
      <c r="S15" s="47">
        <v>0</v>
      </c>
      <c r="T15" s="44"/>
      <c r="U15" s="47">
        <f t="shared" si="4"/>
        <v>4999.9600000000009</v>
      </c>
      <c r="V15" s="36">
        <f t="shared" si="0"/>
        <v>3.9999999999054126E-2</v>
      </c>
      <c r="W15" s="36"/>
      <c r="X15" s="47" t="s">
        <v>292</v>
      </c>
    </row>
    <row r="16" spans="1:244" s="47" customFormat="1" x14ac:dyDescent="0.2">
      <c r="A16" s="25" t="s">
        <v>65</v>
      </c>
      <c r="B16" s="25" t="s">
        <v>110</v>
      </c>
      <c r="C16" s="56" t="s">
        <v>66</v>
      </c>
      <c r="D16" s="25">
        <f>VLOOKUP(C16,'CPD PITSS'!B23:V40,21,0)</f>
        <v>17705</v>
      </c>
      <c r="E16" s="59"/>
      <c r="F16" s="47">
        <f>VLOOKUP($C16,'SIND PITS'!$C$3:$G$20,2,0)</f>
        <v>12613.2</v>
      </c>
      <c r="G16" s="47">
        <f>VLOOKUP($C16,'SIND PITS'!$C$3:$G$20,3,0)</f>
        <v>0</v>
      </c>
      <c r="H16" s="47">
        <f>VLOOKUP($C16,'SIND PITS'!$C$3:$G$20,4,0)</f>
        <v>0</v>
      </c>
      <c r="I16" s="47">
        <f>VLOOKUP($C16,'SIND PITS'!$C$3:$G$20,5,0)</f>
        <v>281.75</v>
      </c>
      <c r="J16" s="43"/>
      <c r="K16" s="47">
        <f t="shared" si="1"/>
        <v>30599.95</v>
      </c>
      <c r="L16" s="47">
        <v>60000</v>
      </c>
      <c r="M16" s="47">
        <f t="shared" si="2"/>
        <v>30000</v>
      </c>
      <c r="N16" s="44"/>
      <c r="O16" s="47">
        <f>VLOOKUP($C16,'CPD PITSS'!$B$10:$V$27,8,0)</f>
        <v>318.25</v>
      </c>
      <c r="P16" s="47">
        <f t="shared" si="3"/>
        <v>281.75</v>
      </c>
      <c r="Q16" s="47">
        <f>(VLOOKUP($C16,'CPD PITSS'!$B$10:$V$27,13,0))+(VLOOKUP($C16,'CPD PITSS'!$B$10:$V$27,14,0))</f>
        <v>0</v>
      </c>
      <c r="S16" s="47">
        <v>0</v>
      </c>
      <c r="T16" s="44"/>
      <c r="U16" s="47">
        <f t="shared" si="4"/>
        <v>29999.95</v>
      </c>
      <c r="V16" s="36">
        <f t="shared" si="0"/>
        <v>4.9999999999272404E-2</v>
      </c>
      <c r="W16" s="36"/>
      <c r="X16" s="47" t="s">
        <v>312</v>
      </c>
    </row>
    <row r="17" spans="1:24" s="47" customFormat="1" x14ac:dyDescent="0.2">
      <c r="A17" s="25" t="s">
        <v>67</v>
      </c>
      <c r="B17" s="25" t="s">
        <v>110</v>
      </c>
      <c r="C17" s="56" t="s">
        <v>68</v>
      </c>
      <c r="D17" s="25">
        <f>VLOOKUP(C17,'CPD PITSS'!B24:V41,21,0)</f>
        <v>3628.4</v>
      </c>
      <c r="E17" s="59"/>
      <c r="F17" s="47">
        <f>VLOOKUP($C17,'SIND PITS'!$C$3:$G$20,2,0)</f>
        <v>1558.0000000000005</v>
      </c>
      <c r="G17" s="47">
        <f>VLOOKUP($C17,'SIND PITS'!$C$3:$G$20,3,0)</f>
        <v>270</v>
      </c>
      <c r="H17" s="47">
        <f>VLOOKUP($C17,'SIND PITS'!$C$3:$G$20,4,0)</f>
        <v>320</v>
      </c>
      <c r="I17" s="47">
        <f>VLOOKUP($C17,'SIND PITS'!$C$3:$G$20,5,0)</f>
        <v>91.499999999999972</v>
      </c>
      <c r="J17" s="43"/>
      <c r="K17" s="47">
        <f t="shared" si="1"/>
        <v>5867.9000000000005</v>
      </c>
      <c r="L17" s="47">
        <v>10150</v>
      </c>
      <c r="M17" s="47">
        <f t="shared" si="2"/>
        <v>5075</v>
      </c>
      <c r="N17" s="44"/>
      <c r="O17" s="47">
        <f>VLOOKUP($C17,'CPD PITSS'!$B$10:$V$27,8,0)</f>
        <v>111.5</v>
      </c>
      <c r="P17" s="47">
        <f t="shared" si="3"/>
        <v>681.5</v>
      </c>
      <c r="Q17" s="47">
        <f>(VLOOKUP($C17,'CPD PITSS'!$B$10:$V$27,13,0))+(VLOOKUP($C17,'CPD PITSS'!$B$10:$V$27,14,0))</f>
        <v>0</v>
      </c>
      <c r="S17" s="47">
        <v>0</v>
      </c>
      <c r="T17" s="44"/>
      <c r="U17" s="47">
        <f t="shared" si="4"/>
        <v>5074.9000000000005</v>
      </c>
      <c r="V17" s="36">
        <f t="shared" si="0"/>
        <v>9.9999999999454303E-2</v>
      </c>
      <c r="W17" s="36"/>
      <c r="X17" s="47" t="s">
        <v>165</v>
      </c>
    </row>
    <row r="18" spans="1:24" s="47" customFormat="1" x14ac:dyDescent="0.2">
      <c r="A18" s="25" t="s">
        <v>69</v>
      </c>
      <c r="B18" s="25" t="s">
        <v>110</v>
      </c>
      <c r="C18" s="56" t="s">
        <v>70</v>
      </c>
      <c r="D18" s="25">
        <f>VLOOKUP(C18,'CPD PITSS'!B25:V42,21,0)</f>
        <v>2058.8000000000002</v>
      </c>
      <c r="E18" s="59"/>
      <c r="F18" s="47">
        <f>VLOOKUP($C18,'SIND PITS'!$C$3:$G$20,2,0)</f>
        <v>1608.1</v>
      </c>
      <c r="G18" s="47">
        <f>VLOOKUP($C18,'SIND PITS'!$C$3:$G$20,3,0)</f>
        <v>270</v>
      </c>
      <c r="H18" s="47">
        <f>VLOOKUP($C18,'SIND PITS'!$C$3:$G$20,4,0)</f>
        <v>0</v>
      </c>
      <c r="I18" s="47">
        <f>VLOOKUP($C18,'SIND PITS'!$C$3:$G$20,5,0)</f>
        <v>0</v>
      </c>
      <c r="J18" s="43"/>
      <c r="K18" s="47">
        <f t="shared" si="1"/>
        <v>3936.9</v>
      </c>
      <c r="L18" s="47">
        <v>10250</v>
      </c>
      <c r="M18" s="47">
        <f t="shared" si="2"/>
        <v>5125</v>
      </c>
      <c r="N18" s="44"/>
      <c r="O18" s="47">
        <f>VLOOKUP($C18,'CPD PITSS'!$B$10:$V$27,8,0)</f>
        <v>0</v>
      </c>
      <c r="P18" s="47">
        <f t="shared" si="3"/>
        <v>270</v>
      </c>
      <c r="Q18" s="47">
        <f>(VLOOKUP($C18,'CPD PITSS'!$B$10:$V$27,13,0))+(VLOOKUP($C18,'CPD PITSS'!$B$10:$V$27,14,0))</f>
        <v>1458.16</v>
      </c>
      <c r="S18" s="47">
        <v>0</v>
      </c>
      <c r="T18" s="44"/>
      <c r="U18" s="47">
        <f t="shared" si="4"/>
        <v>5125.0600000000004</v>
      </c>
      <c r="V18" s="36">
        <f t="shared" si="0"/>
        <v>-6.0000000000400178E-2</v>
      </c>
      <c r="W18" s="36"/>
      <c r="X18" s="47" t="s">
        <v>119</v>
      </c>
    </row>
    <row r="19" spans="1:24" s="47" customFormat="1" x14ac:dyDescent="0.2">
      <c r="A19" s="24" t="s">
        <v>71</v>
      </c>
      <c r="B19" s="25" t="s">
        <v>110</v>
      </c>
      <c r="C19" s="24" t="s">
        <v>72</v>
      </c>
      <c r="D19" s="25">
        <f>VLOOKUP(C19,'CPD PITSS'!B26:V43,21,0)</f>
        <v>3196.8</v>
      </c>
      <c r="E19" s="59"/>
      <c r="F19" s="47">
        <f>VLOOKUP($C19,'SIND PITS'!$C$3:$G$20,2,0)</f>
        <v>16803.400000000001</v>
      </c>
      <c r="G19" s="47">
        <f>VLOOKUP($C19,'SIND PITS'!$C$3:$G$20,3,0)</f>
        <v>0</v>
      </c>
      <c r="H19" s="47">
        <f>VLOOKUP($C19,'SIND PITS'!$C$3:$G$20,4,0)</f>
        <v>0</v>
      </c>
      <c r="I19" s="47">
        <f>VLOOKUP($C19,'SIND PITS'!$C$3:$G$20,5,0)</f>
        <v>0</v>
      </c>
      <c r="J19" s="43"/>
      <c r="K19" s="47">
        <f t="shared" si="1"/>
        <v>20000.2</v>
      </c>
      <c r="L19" s="36">
        <v>40000</v>
      </c>
      <c r="M19" s="47">
        <f t="shared" si="2"/>
        <v>20000</v>
      </c>
      <c r="N19" s="44"/>
      <c r="O19" s="47">
        <f>VLOOKUP($C19,'CPD PITSS'!$B$10:$V$27,8,0)</f>
        <v>0</v>
      </c>
      <c r="P19" s="47">
        <f t="shared" si="3"/>
        <v>0</v>
      </c>
      <c r="Q19" s="47">
        <f>(VLOOKUP($C19,'CPD PITSS'!$B$10:$V$27,13,0))+(VLOOKUP($C19,'CPD PITSS'!$B$10:$V$27,14,0))</f>
        <v>0</v>
      </c>
      <c r="S19" s="47">
        <v>0</v>
      </c>
      <c r="T19" s="44"/>
      <c r="U19" s="47">
        <f t="shared" si="4"/>
        <v>20000.2</v>
      </c>
      <c r="V19" s="36">
        <f t="shared" si="0"/>
        <v>-0.2000000000007276</v>
      </c>
      <c r="W19" s="36"/>
      <c r="X19" s="47" t="s">
        <v>117</v>
      </c>
    </row>
    <row r="20" spans="1:24" s="47" customFormat="1" x14ac:dyDescent="0.2">
      <c r="A20" s="18" t="s">
        <v>73</v>
      </c>
      <c r="B20" s="25" t="s">
        <v>110</v>
      </c>
      <c r="C20" s="18" t="s">
        <v>74</v>
      </c>
      <c r="D20" s="25">
        <f>VLOOKUP(C20,'CPD PITSS'!B27:V44,21,0)</f>
        <v>4036</v>
      </c>
      <c r="E20" s="59"/>
      <c r="F20" s="47">
        <f>VLOOKUP($C20,'SIND PITS'!$C$3:$G$20,2,0)</f>
        <v>2464</v>
      </c>
      <c r="G20" s="47">
        <f>VLOOKUP($C20,'SIND PITS'!$C$3:$G$20,3,0)</f>
        <v>1000</v>
      </c>
      <c r="H20" s="47">
        <f>VLOOKUP($C20,'SIND PITS'!$C$3:$G$20,4,0)</f>
        <v>0</v>
      </c>
      <c r="I20" s="47">
        <f>VLOOKUP($C20,'SIND PITS'!$C$3:$G$20,5,0)</f>
        <v>0</v>
      </c>
      <c r="J20" s="43"/>
      <c r="K20" s="47">
        <f t="shared" si="1"/>
        <v>7500</v>
      </c>
      <c r="L20" s="47">
        <v>13000</v>
      </c>
      <c r="M20" s="47">
        <f t="shared" si="2"/>
        <v>6500</v>
      </c>
      <c r="N20" s="44"/>
      <c r="O20" s="47">
        <f>VLOOKUP($C20,'CPD PITSS'!$B$10:$V$27,8,0)</f>
        <v>0</v>
      </c>
      <c r="P20" s="47">
        <f t="shared" si="3"/>
        <v>1000</v>
      </c>
      <c r="Q20" s="47">
        <f>(VLOOKUP($C20,'CPD PITSS'!$B$10:$V$27,13,0))+(VLOOKUP($C20,'CPD PITSS'!$B$10:$V$27,14,0))</f>
        <v>0</v>
      </c>
      <c r="S20" s="47">
        <v>0</v>
      </c>
      <c r="T20" s="44"/>
      <c r="U20" s="47">
        <f t="shared" si="4"/>
        <v>6500</v>
      </c>
      <c r="V20" s="36">
        <f t="shared" si="0"/>
        <v>0</v>
      </c>
      <c r="W20" s="61"/>
      <c r="X20" s="47" t="s">
        <v>325</v>
      </c>
    </row>
    <row r="21" spans="1:24" s="36" customFormat="1" x14ac:dyDescent="0.2">
      <c r="A21" s="24" t="s">
        <v>37</v>
      </c>
      <c r="B21" s="37" t="s">
        <v>95</v>
      </c>
      <c r="C21" s="24" t="s">
        <v>332</v>
      </c>
      <c r="D21" s="37">
        <f>VLOOKUP(C21,'IP PITSS'!$B$10:$V$91,21,0)</f>
        <v>3585.4</v>
      </c>
      <c r="E21" s="62"/>
      <c r="F21" s="47">
        <f>VLOOKUP(C21,'SIND PITS'!$C$3:$D$100,2,0)</f>
        <v>414.59999999999991</v>
      </c>
      <c r="G21" s="47">
        <f>VLOOKUP(C21,'SIND PITS'!$C$3:$E$100,3,0)</f>
        <v>225</v>
      </c>
      <c r="H21" s="47">
        <f>VLOOKUP(C21,'SIND PITS'!$C$3:$F$100,4,0)</f>
        <v>0</v>
      </c>
      <c r="I21" s="47">
        <f>VLOOKUP(C21,'SIND PITS'!$C$3:$G$100,5,0)</f>
        <v>0</v>
      </c>
      <c r="J21" s="63"/>
      <c r="K21" s="36">
        <f t="shared" si="1"/>
        <v>4225</v>
      </c>
      <c r="L21" s="36">
        <v>8000</v>
      </c>
      <c r="M21" s="47">
        <f t="shared" si="2"/>
        <v>4000</v>
      </c>
      <c r="N21" s="44"/>
      <c r="O21" s="36">
        <f>VLOOKUP(C21,'[1]IP PITS'!$B$6:$I$87,8,0)</f>
        <v>0</v>
      </c>
      <c r="P21" s="36">
        <f t="shared" ref="P21:P67" si="5">+G21+H21+I21</f>
        <v>225</v>
      </c>
      <c r="Q21" s="36">
        <f>(VLOOKUP(C21,'IP PITSS'!$B$10:$M$91,10,0))+(VLOOKUP(C21,'IP PITSS'!$B$10:$M$91,11,0))+(VLOOKUP(C21,'IP PITSS'!$B$10:$M$91,12,0))</f>
        <v>0</v>
      </c>
      <c r="R21" s="36">
        <f>VLOOKUP(C21,'IP PITSS'!$B$10:$R$91,17,0)</f>
        <v>0</v>
      </c>
      <c r="S21" s="36">
        <f>VLOOKUP(C21,'IP PITSS'!$B$10:$S$91,18,0)</f>
        <v>0</v>
      </c>
      <c r="T21" s="44"/>
      <c r="U21" s="36">
        <f>+K21-O21-P21+Q21+R21+S21</f>
        <v>4000</v>
      </c>
      <c r="V21" s="36">
        <f t="shared" si="0"/>
        <v>0</v>
      </c>
      <c r="X21" s="47" t="s">
        <v>333</v>
      </c>
    </row>
    <row r="22" spans="1:24" s="47" customFormat="1" x14ac:dyDescent="0.2">
      <c r="A22" s="18" t="s">
        <v>273</v>
      </c>
      <c r="B22" s="37" t="s">
        <v>95</v>
      </c>
      <c r="C22" s="27" t="s">
        <v>274</v>
      </c>
      <c r="D22" s="37">
        <f>VLOOKUP(C22,'IP PITSS'!$B$10:$V$91,21,0)</f>
        <v>3585.4</v>
      </c>
      <c r="E22" s="59"/>
      <c r="F22" s="47">
        <f>VLOOKUP(C22,'SIND PITS'!$C$3:$D$100,2,0)</f>
        <v>414.59999999999991</v>
      </c>
      <c r="G22" s="47">
        <f>VLOOKUP(C22,'SIND PITS'!$C$3:$E$100,3,0)</f>
        <v>225</v>
      </c>
      <c r="H22" s="47">
        <f>VLOOKUP(C22,'SIND PITS'!$C$3:$F$100,4,0)</f>
        <v>0</v>
      </c>
      <c r="I22" s="47">
        <f>VLOOKUP(C22,'SIND PITS'!$C$3:$G$100,5,0)</f>
        <v>0</v>
      </c>
      <c r="J22" s="43"/>
      <c r="K22" s="47">
        <f t="shared" si="1"/>
        <v>4225</v>
      </c>
      <c r="L22" s="47">
        <v>8000</v>
      </c>
      <c r="M22" s="47">
        <f t="shared" si="2"/>
        <v>4000</v>
      </c>
      <c r="N22" s="44"/>
      <c r="O22" s="36">
        <f>VLOOKUP(C22,'[1]IP PITS'!$B$6:$I$87,8,0)</f>
        <v>0</v>
      </c>
      <c r="P22" s="47">
        <f t="shared" si="5"/>
        <v>225</v>
      </c>
      <c r="Q22" s="36">
        <f>(VLOOKUP(C22,'IP PITSS'!$B$10:$M$91,10,0))+(VLOOKUP(C22,'IP PITSS'!$B$10:$M$91,11,0))+(VLOOKUP(C22,'IP PITSS'!$B$10:$M$91,12,0))</f>
        <v>0</v>
      </c>
      <c r="R22" s="36">
        <f>VLOOKUP(C22,'IP PITSS'!$B$10:$R$91,17,0)</f>
        <v>0</v>
      </c>
      <c r="S22" s="36">
        <f>VLOOKUP(C22,'IP PITSS'!$B$10:$S$91,18,0)</f>
        <v>0</v>
      </c>
      <c r="T22" s="44"/>
      <c r="U22" s="47">
        <f t="shared" ref="U22:U85" si="6">+K22-O22-P22+Q22+R22+S22</f>
        <v>4000</v>
      </c>
      <c r="V22" s="36">
        <f t="shared" si="0"/>
        <v>0</v>
      </c>
      <c r="W22" s="36"/>
      <c r="X22" s="47" t="s">
        <v>275</v>
      </c>
    </row>
    <row r="23" spans="1:24" s="36" customFormat="1" x14ac:dyDescent="0.2">
      <c r="A23" s="27" t="s">
        <v>284</v>
      </c>
      <c r="B23" s="37" t="s">
        <v>95</v>
      </c>
      <c r="C23" s="27" t="s">
        <v>285</v>
      </c>
      <c r="D23" s="37">
        <f>VLOOKUP(C23,'IP PITSS'!$B$10:$V$91,21,0)</f>
        <v>2720.8</v>
      </c>
      <c r="E23" s="59"/>
      <c r="F23" s="47">
        <f>VLOOKUP(C23,'SIND PITS'!$C$3:$D$100,2,0)</f>
        <v>414.63999999999987</v>
      </c>
      <c r="G23" s="47">
        <f>VLOOKUP(C23,'SIND PITS'!$C$3:$E$100,3,0)</f>
        <v>200</v>
      </c>
      <c r="H23" s="47">
        <f>VLOOKUP(C23,'SIND PITS'!$C$3:$F$100,4,0)</f>
        <v>0</v>
      </c>
      <c r="I23" s="47">
        <f>VLOOKUP(C23,'SIND PITS'!$C$3:$G$100,5,0)</f>
        <v>0</v>
      </c>
      <c r="J23" s="43"/>
      <c r="K23" s="47">
        <f t="shared" si="1"/>
        <v>3335.44</v>
      </c>
      <c r="L23" s="47">
        <v>8000</v>
      </c>
      <c r="M23" s="47">
        <f t="shared" si="2"/>
        <v>4000</v>
      </c>
      <c r="N23" s="44"/>
      <c r="O23" s="36">
        <f>VLOOKUP(C23,'[1]IP PITS'!$B$6:$I$87,8,0)</f>
        <v>0</v>
      </c>
      <c r="P23" s="47">
        <f t="shared" si="5"/>
        <v>200</v>
      </c>
      <c r="Q23" s="36">
        <f>(VLOOKUP(C23,'IP PITSS'!$B$10:$M$91,10,0))+(VLOOKUP(C23,'IP PITSS'!$B$10:$M$91,11,0))+(VLOOKUP(C23,'IP PITSS'!$B$10:$M$91,12,0))</f>
        <v>864.56</v>
      </c>
      <c r="R23" s="36">
        <f>VLOOKUP(C23,'IP PITSS'!$B$10:$R$91,17,0)</f>
        <v>0</v>
      </c>
      <c r="S23" s="36">
        <f>VLOOKUP(C23,'IP PITSS'!$B$10:$S$91,18,0)</f>
        <v>0</v>
      </c>
      <c r="T23" s="44"/>
      <c r="U23" s="47">
        <f t="shared" si="6"/>
        <v>4000</v>
      </c>
      <c r="V23" s="36">
        <f t="shared" si="0"/>
        <v>0</v>
      </c>
      <c r="X23" s="47" t="s">
        <v>286</v>
      </c>
    </row>
    <row r="24" spans="1:24" s="47" customFormat="1" x14ac:dyDescent="0.2">
      <c r="A24" s="27" t="s">
        <v>193</v>
      </c>
      <c r="B24" s="37" t="s">
        <v>95</v>
      </c>
      <c r="C24" s="27" t="s">
        <v>194</v>
      </c>
      <c r="D24" s="37">
        <f>VLOOKUP(C24,'IP PITSS'!$B$10:$V$91,21,0)</f>
        <v>5195.2</v>
      </c>
      <c r="E24" s="59"/>
      <c r="F24" s="47">
        <f>VLOOKUP(C24,'SIND PITS'!$C$3:$D$100,2,0)</f>
        <v>1367.3000000000002</v>
      </c>
      <c r="G24" s="47">
        <f>VLOOKUP(C24,'SIND PITS'!$C$3:$E$100,3,0)</f>
        <v>390.63</v>
      </c>
      <c r="H24" s="47">
        <f>VLOOKUP(C24,'SIND PITS'!$C$3:$F$100,4,0)</f>
        <v>0</v>
      </c>
      <c r="I24" s="47">
        <f>VLOOKUP(C24,'SIND PITS'!$C$3:$G$100,5,0)</f>
        <v>0</v>
      </c>
      <c r="J24" s="43"/>
      <c r="K24" s="47">
        <f t="shared" si="1"/>
        <v>6953.13</v>
      </c>
      <c r="L24" s="64">
        <v>13125</v>
      </c>
      <c r="M24" s="47">
        <f t="shared" si="2"/>
        <v>6562.5</v>
      </c>
      <c r="N24" s="44"/>
      <c r="O24" s="36">
        <f>VLOOKUP(C24,'[1]IP PITS'!$B$6:$I$87,8,0)</f>
        <v>0</v>
      </c>
      <c r="P24" s="47">
        <f t="shared" si="5"/>
        <v>390.63</v>
      </c>
      <c r="Q24" s="36">
        <f>(VLOOKUP(C24,'IP PITSS'!$B$10:$M$91,10,0))+(VLOOKUP(C24,'IP PITSS'!$B$10:$M$91,11,0))+(VLOOKUP(C24,'IP PITSS'!$B$10:$M$91,12,0))</f>
        <v>0</v>
      </c>
      <c r="R24" s="36">
        <f>VLOOKUP(C24,'IP PITSS'!$B$10:$R$91,17,0)</f>
        <v>0</v>
      </c>
      <c r="S24" s="36">
        <f>VLOOKUP(C24,'IP PITSS'!$B$10:$S$91,18,0)</f>
        <v>0</v>
      </c>
      <c r="T24" s="44"/>
      <c r="U24" s="47">
        <f t="shared" si="6"/>
        <v>6562.5</v>
      </c>
      <c r="V24" s="36">
        <f t="shared" si="0"/>
        <v>0</v>
      </c>
      <c r="W24" s="36"/>
      <c r="X24" s="47" t="s">
        <v>195</v>
      </c>
    </row>
    <row r="25" spans="1:24" s="47" customFormat="1" x14ac:dyDescent="0.2">
      <c r="A25" s="27" t="s">
        <v>231</v>
      </c>
      <c r="B25" s="37" t="s">
        <v>95</v>
      </c>
      <c r="C25" s="27" t="s">
        <v>232</v>
      </c>
      <c r="D25" s="37">
        <f>VLOOKUP(C25,'IP PITSS'!$B$10:$V$91,21,0)</f>
        <v>3585.4</v>
      </c>
      <c r="E25" s="59"/>
      <c r="F25" s="47">
        <f>VLOOKUP(C25,'SIND PITS'!$C$3:$D$100,2,0)</f>
        <v>414.59999999999991</v>
      </c>
      <c r="G25" s="47">
        <f>VLOOKUP(C25,'SIND PITS'!$C$3:$E$100,3,0)</f>
        <v>165</v>
      </c>
      <c r="H25" s="47">
        <f>VLOOKUP(C25,'SIND PITS'!$C$3:$F$100,4,0)</f>
        <v>0</v>
      </c>
      <c r="I25" s="47">
        <f>VLOOKUP(C25,'SIND PITS'!$C$3:$G$100,5,0)</f>
        <v>0</v>
      </c>
      <c r="J25" s="43"/>
      <c r="K25" s="47">
        <f t="shared" si="1"/>
        <v>4165</v>
      </c>
      <c r="L25" s="47">
        <v>8000</v>
      </c>
      <c r="M25" s="47">
        <f t="shared" si="2"/>
        <v>4000</v>
      </c>
      <c r="N25" s="44"/>
      <c r="O25" s="36">
        <f>VLOOKUP(C25,'[1]IP PITS'!$B$6:$I$87,8,0)</f>
        <v>0</v>
      </c>
      <c r="P25" s="47">
        <f t="shared" si="5"/>
        <v>165</v>
      </c>
      <c r="Q25" s="36">
        <f>(VLOOKUP(C25,'IP PITSS'!$B$10:$M$91,10,0))+(VLOOKUP(C25,'IP PITSS'!$B$10:$M$91,11,0))+(VLOOKUP(C25,'IP PITSS'!$B$10:$M$91,12,0))</f>
        <v>0</v>
      </c>
      <c r="R25" s="36">
        <f>VLOOKUP(C25,'IP PITSS'!$B$10:$R$91,17,0)</f>
        <v>0</v>
      </c>
      <c r="S25" s="36">
        <f>VLOOKUP(C25,'IP PITSS'!$B$10:$S$91,18,0)</f>
        <v>0</v>
      </c>
      <c r="T25" s="44"/>
      <c r="U25" s="47">
        <f t="shared" si="6"/>
        <v>4000</v>
      </c>
      <c r="V25" s="36">
        <f t="shared" si="0"/>
        <v>0</v>
      </c>
      <c r="W25" s="36"/>
      <c r="X25" s="47" t="s">
        <v>233</v>
      </c>
    </row>
    <row r="26" spans="1:24" s="47" customFormat="1" x14ac:dyDescent="0.2">
      <c r="A26" s="24" t="s">
        <v>347</v>
      </c>
      <c r="B26" s="37" t="s">
        <v>95</v>
      </c>
      <c r="C26" s="24" t="s">
        <v>348</v>
      </c>
      <c r="D26" s="37">
        <f>VLOOKUP(C26,'IP PITSS'!$B$10:$V$91,21,0)</f>
        <v>1532</v>
      </c>
      <c r="E26" s="59"/>
      <c r="F26" s="47">
        <f>VLOOKUP(C26,'SIND PITS'!$C$3:$D$100,2,0)</f>
        <v>1135.19</v>
      </c>
      <c r="G26" s="47">
        <f>VLOOKUP(C26,'SIND PITS'!$C$3:$E$100,3,0)</f>
        <v>0</v>
      </c>
      <c r="H26" s="47">
        <f>VLOOKUP(C26,'SIND PITS'!$C$3:$F$100,4,0)</f>
        <v>0</v>
      </c>
      <c r="I26" s="47">
        <f>VLOOKUP(C26,'SIND PITS'!$C$3:$G$100,5,0)</f>
        <v>0</v>
      </c>
      <c r="J26" s="43"/>
      <c r="K26" s="47">
        <f t="shared" si="1"/>
        <v>2667.19</v>
      </c>
      <c r="L26" s="36">
        <v>8000</v>
      </c>
      <c r="M26" s="47">
        <f t="shared" si="2"/>
        <v>4000</v>
      </c>
      <c r="N26" s="44"/>
      <c r="O26" s="36">
        <f>VLOOKUP(C26,'[1]IP PITS'!$B$6:$I$87,8,0)</f>
        <v>0</v>
      </c>
      <c r="P26" s="47">
        <f t="shared" si="5"/>
        <v>0</v>
      </c>
      <c r="Q26" s="36">
        <f>(VLOOKUP(C26,'IP PITSS'!$B$10:$M$91,10,0))+(VLOOKUP(C26,'IP PITSS'!$B$10:$M$91,11,0))+(VLOOKUP(C26,'IP PITSS'!$B$10:$M$91,12,0))</f>
        <v>1332.81</v>
      </c>
      <c r="R26" s="36">
        <f>VLOOKUP(C26,'IP PITSS'!$B$10:$R$91,17,0)</f>
        <v>0</v>
      </c>
      <c r="S26" s="36">
        <f>VLOOKUP(C26,'IP PITSS'!$B$10:$S$91,18,0)</f>
        <v>0</v>
      </c>
      <c r="T26" s="44"/>
      <c r="U26" s="47">
        <f t="shared" si="6"/>
        <v>4000</v>
      </c>
      <c r="V26" s="36">
        <f t="shared" si="0"/>
        <v>0</v>
      </c>
      <c r="W26" s="36"/>
      <c r="X26" s="47" t="s">
        <v>349</v>
      </c>
    </row>
    <row r="27" spans="1:24" s="47" customFormat="1" x14ac:dyDescent="0.2">
      <c r="A27" s="27" t="s">
        <v>287</v>
      </c>
      <c r="B27" s="37" t="s">
        <v>95</v>
      </c>
      <c r="C27" s="27" t="s">
        <v>288</v>
      </c>
      <c r="D27" s="37">
        <f>VLOOKUP(C27,'IP PITSS'!$B$10:$V$91,21,0)</f>
        <v>4406.3999999999996</v>
      </c>
      <c r="E27" s="59"/>
      <c r="F27" s="47">
        <f>VLOOKUP(C27,'SIND PITS'!$C$3:$D$100,2,0)</f>
        <v>593.60000000000036</v>
      </c>
      <c r="G27" s="47">
        <f>VLOOKUP(C27,'SIND PITS'!$C$3:$E$100,3,0)</f>
        <v>90</v>
      </c>
      <c r="H27" s="47">
        <f>VLOOKUP(C27,'SIND PITS'!$C$3:$F$100,4,0)</f>
        <v>1440</v>
      </c>
      <c r="I27" s="47">
        <f>VLOOKUP(C27,'SIND PITS'!$C$3:$G$100,5,0)</f>
        <v>0</v>
      </c>
      <c r="J27" s="43"/>
      <c r="K27" s="47">
        <f t="shared" si="1"/>
        <v>6530</v>
      </c>
      <c r="L27" s="47">
        <v>10000</v>
      </c>
      <c r="M27" s="47">
        <f t="shared" si="2"/>
        <v>5000</v>
      </c>
      <c r="N27" s="44"/>
      <c r="O27" s="36">
        <f>VLOOKUP(C27,'[1]IP PITS'!$B$6:$I$87,8,0)</f>
        <v>0</v>
      </c>
      <c r="P27" s="47">
        <f t="shared" si="5"/>
        <v>1530</v>
      </c>
      <c r="Q27" s="36">
        <f>(VLOOKUP(C27,'IP PITSS'!$B$10:$M$91,10,0))+(VLOOKUP(C27,'IP PITSS'!$B$10:$M$91,11,0))+(VLOOKUP(C27,'IP PITSS'!$B$10:$M$91,12,0))</f>
        <v>0</v>
      </c>
      <c r="R27" s="36">
        <f>VLOOKUP(C27,'IP PITSS'!$B$10:$R$91,17,0)</f>
        <v>0</v>
      </c>
      <c r="S27" s="36">
        <f>VLOOKUP(C27,'IP PITSS'!$B$10:$S$91,18,0)</f>
        <v>0</v>
      </c>
      <c r="T27" s="44"/>
      <c r="U27" s="47">
        <f t="shared" si="6"/>
        <v>5000</v>
      </c>
      <c r="V27" s="36">
        <f t="shared" si="0"/>
        <v>0</v>
      </c>
      <c r="W27" s="36"/>
      <c r="X27" s="47" t="s">
        <v>289</v>
      </c>
    </row>
    <row r="28" spans="1:24" s="47" customFormat="1" x14ac:dyDescent="0.2">
      <c r="A28" s="27" t="s">
        <v>309</v>
      </c>
      <c r="B28" s="37" t="s">
        <v>95</v>
      </c>
      <c r="C28" s="27" t="s">
        <v>310</v>
      </c>
      <c r="D28" s="37">
        <f>VLOOKUP(C28,'IP PITSS'!$B$10:$V$91,21,0)</f>
        <v>3277.3999999999996</v>
      </c>
      <c r="E28" s="59"/>
      <c r="F28" s="47">
        <f>VLOOKUP(C28,'SIND PITS'!$C$3:$D$100,2,0)</f>
        <v>222.60000000000036</v>
      </c>
      <c r="G28" s="47">
        <f>VLOOKUP(C28,'SIND PITS'!$C$3:$E$100,3,0)</f>
        <v>75</v>
      </c>
      <c r="H28" s="47">
        <f>VLOOKUP(C28,'SIND PITS'!$C$3:$F$100,4,0)</f>
        <v>0</v>
      </c>
      <c r="I28" s="47">
        <f>VLOOKUP(C28,'SIND PITS'!$C$3:$G$100,5,0)</f>
        <v>0</v>
      </c>
      <c r="J28" s="43"/>
      <c r="K28" s="47">
        <f t="shared" si="1"/>
        <v>3575</v>
      </c>
      <c r="L28" s="47">
        <v>7000</v>
      </c>
      <c r="M28" s="47">
        <f t="shared" si="2"/>
        <v>3500</v>
      </c>
      <c r="N28" s="44"/>
      <c r="O28" s="36">
        <f>VLOOKUP(C28,'[1]IP PITS'!$B$6:$I$87,8,0)</f>
        <v>0</v>
      </c>
      <c r="P28" s="47">
        <f t="shared" si="5"/>
        <v>75</v>
      </c>
      <c r="Q28" s="36">
        <f>(VLOOKUP(C28,'IP PITSS'!$B$10:$M$91,10,0))+(VLOOKUP(C28,'IP PITSS'!$B$10:$M$91,11,0))+(VLOOKUP(C28,'IP PITSS'!$B$10:$M$91,12,0))</f>
        <v>0</v>
      </c>
      <c r="R28" s="36">
        <f>VLOOKUP(C28,'IP PITSS'!$B$10:$R$91,17,0)</f>
        <v>0</v>
      </c>
      <c r="S28" s="36">
        <f>VLOOKUP(C28,'IP PITSS'!$B$10:$S$91,18,0)</f>
        <v>0</v>
      </c>
      <c r="T28" s="44"/>
      <c r="U28" s="47">
        <f t="shared" si="6"/>
        <v>3500</v>
      </c>
      <c r="V28" s="36">
        <f t="shared" si="0"/>
        <v>0</v>
      </c>
      <c r="W28" s="36"/>
      <c r="X28" s="47" t="s">
        <v>311</v>
      </c>
    </row>
    <row r="29" spans="1:24" s="36" customFormat="1" x14ac:dyDescent="0.2">
      <c r="A29" s="24" t="s">
        <v>107</v>
      </c>
      <c r="B29" s="37" t="s">
        <v>95</v>
      </c>
      <c r="C29" s="24" t="s">
        <v>108</v>
      </c>
      <c r="D29" s="37">
        <f>VLOOKUP(C29,'IP PITSS'!$B$10:$V$91,21,0)</f>
        <v>2324.8000000000002</v>
      </c>
      <c r="E29" s="62"/>
      <c r="F29" s="47">
        <f>VLOOKUP(C29,'SIND PITS'!$C$3:$D$100,2,0)</f>
        <v>255.19999999999982</v>
      </c>
      <c r="G29" s="47">
        <f>VLOOKUP(C29,'SIND PITS'!$C$3:$E$100,3,0)</f>
        <v>455</v>
      </c>
      <c r="H29" s="47">
        <f>VLOOKUP(C29,'SIND PITS'!$C$3:$F$100,4,0)</f>
        <v>0</v>
      </c>
      <c r="I29" s="47">
        <f>VLOOKUP(C29,'SIND PITS'!$C$3:$G$100,5,0)</f>
        <v>0</v>
      </c>
      <c r="J29" s="63"/>
      <c r="K29" s="47">
        <f t="shared" si="1"/>
        <v>3035</v>
      </c>
      <c r="L29" s="36">
        <v>6000</v>
      </c>
      <c r="M29" s="47">
        <f t="shared" si="2"/>
        <v>3000</v>
      </c>
      <c r="N29" s="44"/>
      <c r="O29" s="36">
        <f>VLOOKUP(C29,'[1]IP PITS'!$B$6:$I$87,8,0)</f>
        <v>180</v>
      </c>
      <c r="P29" s="47">
        <f t="shared" si="5"/>
        <v>455</v>
      </c>
      <c r="Q29" s="36">
        <f>(VLOOKUP(C29,'IP PITSS'!$B$10:$M$91,10,0))+(VLOOKUP(C29,'IP PITSS'!$B$10:$M$91,11,0))+(VLOOKUP(C29,'IP PITSS'!$B$10:$M$91,12,0))</f>
        <v>0</v>
      </c>
      <c r="R29" s="36">
        <f>VLOOKUP(C29,'IP PITSS'!$B$10:$R$91,17,0)</f>
        <v>600</v>
      </c>
      <c r="S29" s="36">
        <f>VLOOKUP(C29,'IP PITSS'!$B$10:$S$91,18,0)</f>
        <v>0</v>
      </c>
      <c r="T29" s="44"/>
      <c r="U29" s="47">
        <f t="shared" si="6"/>
        <v>3000</v>
      </c>
      <c r="V29" s="36">
        <f t="shared" si="0"/>
        <v>0</v>
      </c>
      <c r="W29" s="46"/>
      <c r="X29" s="47" t="s">
        <v>109</v>
      </c>
    </row>
    <row r="30" spans="1:24" s="47" customFormat="1" x14ac:dyDescent="0.2">
      <c r="A30" s="27" t="s">
        <v>172</v>
      </c>
      <c r="B30" s="37" t="s">
        <v>95</v>
      </c>
      <c r="C30" s="27" t="s">
        <v>173</v>
      </c>
      <c r="D30" s="37">
        <f>VLOOKUP(C30,'IP PITSS'!$B$10:$V$91,21,0)</f>
        <v>3583.8</v>
      </c>
      <c r="E30" s="59"/>
      <c r="F30" s="47">
        <f>VLOOKUP(C30,'SIND PITS'!$C$3:$D$100,2,0)</f>
        <v>1416.1999999999998</v>
      </c>
      <c r="G30" s="47">
        <f>VLOOKUP(C30,'SIND PITS'!$C$3:$E$100,3,0)</f>
        <v>718.75</v>
      </c>
      <c r="H30" s="47">
        <f>VLOOKUP(C30,'SIND PITS'!$C$3:$F$100,4,0)</f>
        <v>0</v>
      </c>
      <c r="I30" s="47">
        <f>VLOOKUP(C30,'SIND PITS'!$C$3:$G$100,5,0)</f>
        <v>0</v>
      </c>
      <c r="J30" s="43"/>
      <c r="K30" s="47">
        <f t="shared" si="1"/>
        <v>5718.75</v>
      </c>
      <c r="L30" s="47">
        <v>10000</v>
      </c>
      <c r="M30" s="47">
        <f t="shared" si="2"/>
        <v>5000</v>
      </c>
      <c r="N30" s="44"/>
      <c r="O30" s="36">
        <f>VLOOKUP(C30,'[1]IP PITS'!$B$6:$I$87,8,0)</f>
        <v>0</v>
      </c>
      <c r="P30" s="47">
        <f t="shared" si="5"/>
        <v>718.75</v>
      </c>
      <c r="Q30" s="36">
        <f>(VLOOKUP(C30,'IP PITSS'!$B$10:$M$91,10,0))+(VLOOKUP(C30,'IP PITSS'!$B$10:$M$91,11,0))+(VLOOKUP(C30,'IP PITSS'!$B$10:$M$91,12,0))</f>
        <v>0</v>
      </c>
      <c r="R30" s="36">
        <f>VLOOKUP(C30,'IP PITSS'!$B$10:$R$91,17,0)</f>
        <v>0</v>
      </c>
      <c r="S30" s="36">
        <f>VLOOKUP(C30,'IP PITSS'!$B$10:$S$91,18,0)</f>
        <v>0</v>
      </c>
      <c r="T30" s="44"/>
      <c r="U30" s="47">
        <f t="shared" si="6"/>
        <v>5000</v>
      </c>
      <c r="V30" s="36">
        <f t="shared" si="0"/>
        <v>0</v>
      </c>
      <c r="W30" s="36"/>
      <c r="X30" s="47" t="s">
        <v>174</v>
      </c>
    </row>
    <row r="31" spans="1:24" s="47" customFormat="1" x14ac:dyDescent="0.2">
      <c r="A31" s="18" t="s">
        <v>156</v>
      </c>
      <c r="B31" s="37" t="s">
        <v>95</v>
      </c>
      <c r="C31" s="18" t="s">
        <v>157</v>
      </c>
      <c r="D31" s="37">
        <f>VLOOKUP(C31,'IP PITSS'!$B$10:$V$91,21,0)</f>
        <v>2172.2000000000003</v>
      </c>
      <c r="E31" s="59"/>
      <c r="F31" s="47">
        <f>VLOOKUP(C31,'SIND PITS'!$C$3:$D$100,2,0)</f>
        <v>52.349999999999909</v>
      </c>
      <c r="G31" s="47">
        <f>VLOOKUP(C31,'SIND PITS'!$C$3:$E$100,3,0)</f>
        <v>250</v>
      </c>
      <c r="H31" s="47">
        <f>VLOOKUP(C31,'SIND PITS'!$C$3:$F$100,4,0)</f>
        <v>0</v>
      </c>
      <c r="I31" s="47">
        <f>VLOOKUP(C31,'SIND PITS'!$C$3:$G$100,5,0)</f>
        <v>0</v>
      </c>
      <c r="J31" s="43"/>
      <c r="K31" s="47">
        <f t="shared" si="1"/>
        <v>2474.5500000000002</v>
      </c>
      <c r="L31" s="47">
        <v>5000</v>
      </c>
      <c r="M31" s="47">
        <f t="shared" si="2"/>
        <v>2500</v>
      </c>
      <c r="N31" s="44"/>
      <c r="O31" s="36">
        <f>VLOOKUP(C31,'[1]IP PITS'!$B$6:$I$87,8,0)</f>
        <v>0</v>
      </c>
      <c r="P31" s="47">
        <f t="shared" si="5"/>
        <v>250</v>
      </c>
      <c r="Q31" s="36">
        <f>(VLOOKUP(C31,'IP PITSS'!$B$10:$M$91,10,0))+(VLOOKUP(C31,'IP PITSS'!$B$10:$M$91,11,0))+(VLOOKUP(C31,'IP PITSS'!$B$10:$M$91,12,0))</f>
        <v>0</v>
      </c>
      <c r="R31" s="36">
        <f>VLOOKUP(C31,'IP PITSS'!$B$10:$R$91,17,0)</f>
        <v>0</v>
      </c>
      <c r="S31" s="36">
        <f>VLOOKUP(C31,'IP PITSS'!$B$10:$S$91,18,0)</f>
        <v>275.45</v>
      </c>
      <c r="T31" s="44"/>
      <c r="U31" s="47">
        <f t="shared" si="6"/>
        <v>2500</v>
      </c>
      <c r="V31" s="36">
        <f t="shared" si="0"/>
        <v>0</v>
      </c>
      <c r="W31" s="36"/>
      <c r="X31" s="47" t="s">
        <v>158</v>
      </c>
    </row>
    <row r="32" spans="1:24" s="47" customFormat="1" x14ac:dyDescent="0.2">
      <c r="A32" s="18" t="s">
        <v>371</v>
      </c>
      <c r="B32" s="25" t="s">
        <v>95</v>
      </c>
      <c r="C32" s="27" t="s">
        <v>268</v>
      </c>
      <c r="D32" s="37">
        <f>VLOOKUP(C32,'IP PITSS'!$B$10:$V$91,21,0)</f>
        <v>3693.2</v>
      </c>
      <c r="E32" s="59"/>
      <c r="F32" s="47">
        <f>VLOOKUP(C32,'SIND PITS'!$C$3:$D$100,2,0)</f>
        <v>706.80000000000018</v>
      </c>
      <c r="G32" s="47">
        <f>VLOOKUP(C32,'SIND PITS'!$C$3:$E$100,3,0)</f>
        <v>500</v>
      </c>
      <c r="H32" s="47">
        <f>VLOOKUP(C32,'SIND PITS'!$C$3:$F$100,4,0)</f>
        <v>0</v>
      </c>
      <c r="I32" s="47">
        <f>VLOOKUP(C32,'SIND PITS'!$C$3:$G$100,5,0)</f>
        <v>0</v>
      </c>
      <c r="J32" s="43"/>
      <c r="K32" s="47">
        <f t="shared" ref="K32" si="7">+D32+F32+G32+H32+I32</f>
        <v>4900</v>
      </c>
      <c r="L32" s="47">
        <v>8800</v>
      </c>
      <c r="M32" s="47">
        <f t="shared" si="2"/>
        <v>4400</v>
      </c>
      <c r="N32" s="43"/>
      <c r="O32" s="36">
        <f>VLOOKUP(C32,'[1]IP PITS'!$B$6:$I$87,8,0)</f>
        <v>0</v>
      </c>
      <c r="P32" s="47">
        <f t="shared" si="5"/>
        <v>500</v>
      </c>
      <c r="Q32" s="36">
        <f>(VLOOKUP(C32,'IP PITSS'!$B$10:$M$91,10,0))+(VLOOKUP(C32,'IP PITSS'!$B$10:$M$91,11,0))+(VLOOKUP(C32,'IP PITSS'!$B$10:$M$91,12,0))</f>
        <v>0</v>
      </c>
      <c r="R32" s="36">
        <f>VLOOKUP(C32,'IP PITSS'!$B$10:$R$91,17,0)</f>
        <v>0</v>
      </c>
      <c r="S32" s="36">
        <f>VLOOKUP(C32,'IP PITSS'!$B$10:$S$91,18,0)</f>
        <v>0</v>
      </c>
      <c r="T32" s="36" t="e">
        <f>VLOOKUP(C32,'[2]IP SEITON'!$B$6:$R$31,17,0)</f>
        <v>#N/A</v>
      </c>
      <c r="U32" s="47">
        <f t="shared" si="6"/>
        <v>4400</v>
      </c>
      <c r="V32" s="36">
        <f>+M32-U32</f>
        <v>0</v>
      </c>
      <c r="W32" s="36"/>
    </row>
    <row r="33" spans="1:24" s="47" customFormat="1" x14ac:dyDescent="0.2">
      <c r="A33" s="18" t="s">
        <v>296</v>
      </c>
      <c r="B33" s="37" t="s">
        <v>95</v>
      </c>
      <c r="C33" s="18" t="s">
        <v>297</v>
      </c>
      <c r="D33" s="37">
        <f>VLOOKUP(C33,'IP PITSS'!$B$10:$V$91,21,0)</f>
        <v>3583.6000000000004</v>
      </c>
      <c r="E33" s="59"/>
      <c r="F33" s="47">
        <f>VLOOKUP(C33,'SIND PITS'!$C$3:$D$100,2,0)</f>
        <v>416.39999999999964</v>
      </c>
      <c r="G33" s="47">
        <f>VLOOKUP(C33,'SIND PITS'!$C$3:$E$100,3,0)</f>
        <v>330</v>
      </c>
      <c r="H33" s="47">
        <f>VLOOKUP(C33,'SIND PITS'!$C$3:$F$100,4,0)</f>
        <v>0</v>
      </c>
      <c r="I33" s="47">
        <f>VLOOKUP(C33,'SIND PITS'!$C$3:$G$100,5,0)</f>
        <v>0</v>
      </c>
      <c r="J33" s="43"/>
      <c r="K33" s="47">
        <f t="shared" si="1"/>
        <v>4330</v>
      </c>
      <c r="L33" s="47">
        <v>8000</v>
      </c>
      <c r="M33" s="47">
        <f t="shared" si="2"/>
        <v>4000</v>
      </c>
      <c r="N33" s="44"/>
      <c r="O33" s="36">
        <f>VLOOKUP(C33,'[1]IP PITS'!$B$6:$I$87,8,0)</f>
        <v>0</v>
      </c>
      <c r="P33" s="47">
        <f t="shared" si="5"/>
        <v>330</v>
      </c>
      <c r="Q33" s="36">
        <f>(VLOOKUP(C33,'IP PITSS'!$B$10:$M$91,10,0))+(VLOOKUP(C33,'IP PITSS'!$B$10:$M$91,11,0))+(VLOOKUP(C33,'IP PITSS'!$B$10:$M$91,12,0))</f>
        <v>0</v>
      </c>
      <c r="R33" s="36">
        <f>VLOOKUP(C33,'IP PITSS'!$B$10:$R$91,17,0)</f>
        <v>0</v>
      </c>
      <c r="S33" s="36">
        <f>VLOOKUP(C33,'IP PITSS'!$B$10:$S$91,18,0)</f>
        <v>0</v>
      </c>
      <c r="T33" s="44"/>
      <c r="U33" s="47">
        <f t="shared" si="6"/>
        <v>4000</v>
      </c>
      <c r="V33" s="36">
        <f t="shared" si="0"/>
        <v>0</v>
      </c>
      <c r="W33" s="36"/>
      <c r="X33" s="47" t="s">
        <v>298</v>
      </c>
    </row>
    <row r="34" spans="1:24" s="47" customFormat="1" x14ac:dyDescent="0.2">
      <c r="A34" s="18" t="s">
        <v>238</v>
      </c>
      <c r="B34" s="37" t="s">
        <v>95</v>
      </c>
      <c r="C34" s="18" t="s">
        <v>239</v>
      </c>
      <c r="D34" s="37">
        <f>VLOOKUP(C34,'IP PITSS'!$B$10:$V$91,21,0)</f>
        <v>3583.8</v>
      </c>
      <c r="E34" s="59"/>
      <c r="F34" s="47">
        <f>VLOOKUP(C34,'SIND PITS'!$C$3:$D$100,2,0)</f>
        <v>416.19999999999982</v>
      </c>
      <c r="G34" s="47">
        <f>VLOOKUP(C34,'SIND PITS'!$C$3:$E$100,3,0)</f>
        <v>240</v>
      </c>
      <c r="H34" s="47">
        <f>VLOOKUP(C34,'SIND PITS'!$C$3:$F$100,4,0)</f>
        <v>0</v>
      </c>
      <c r="I34" s="47">
        <f>VLOOKUP(C34,'SIND PITS'!$C$3:$G$100,5,0)</f>
        <v>0</v>
      </c>
      <c r="J34" s="43"/>
      <c r="K34" s="47">
        <f t="shared" si="1"/>
        <v>4240</v>
      </c>
      <c r="L34" s="47">
        <v>8000</v>
      </c>
      <c r="M34" s="47">
        <f t="shared" si="2"/>
        <v>4000</v>
      </c>
      <c r="N34" s="44"/>
      <c r="O34" s="36">
        <f>VLOOKUP(C34,'[1]IP PITS'!$B$6:$I$87,8,0)</f>
        <v>0</v>
      </c>
      <c r="P34" s="47">
        <f t="shared" si="5"/>
        <v>240</v>
      </c>
      <c r="Q34" s="36">
        <f>(VLOOKUP(C34,'IP PITSS'!$B$10:$M$91,10,0))+(VLOOKUP(C34,'IP PITSS'!$B$10:$M$91,11,0))+(VLOOKUP(C34,'IP PITSS'!$B$10:$M$91,12,0))</f>
        <v>0</v>
      </c>
      <c r="R34" s="36">
        <f>VLOOKUP(C34,'IP PITSS'!$B$10:$R$91,17,0)</f>
        <v>0</v>
      </c>
      <c r="S34" s="36">
        <f>VLOOKUP(C34,'IP PITSS'!$B$10:$S$91,18,0)</f>
        <v>0</v>
      </c>
      <c r="T34" s="44"/>
      <c r="U34" s="47">
        <f t="shared" si="6"/>
        <v>4000</v>
      </c>
      <c r="V34" s="36">
        <f t="shared" si="0"/>
        <v>0</v>
      </c>
      <c r="W34" s="36"/>
      <c r="X34" s="47" t="s">
        <v>240</v>
      </c>
    </row>
    <row r="35" spans="1:24" s="47" customFormat="1" x14ac:dyDescent="0.2">
      <c r="A35" s="18" t="s">
        <v>98</v>
      </c>
      <c r="B35" s="37" t="s">
        <v>95</v>
      </c>
      <c r="C35" s="18" t="s">
        <v>99</v>
      </c>
      <c r="D35" s="37">
        <f>VLOOKUP(C35,'IP PITSS'!$B$10:$V$91,21,0)</f>
        <v>1186.1999999999998</v>
      </c>
      <c r="E35" s="59"/>
      <c r="F35" s="47">
        <f>VLOOKUP(C35,'SIND PITS'!$C$3:$D$100,2,0)</f>
        <v>135.14000000000033</v>
      </c>
      <c r="G35" s="47">
        <f>VLOOKUP(C35,'SIND PITS'!$C$3:$E$100,3,0)</f>
        <v>455</v>
      </c>
      <c r="H35" s="47">
        <f>VLOOKUP(C35,'SIND PITS'!$C$3:$F$100,4,0)</f>
        <v>0</v>
      </c>
      <c r="I35" s="47">
        <f>VLOOKUP(C35,'SIND PITS'!$C$3:$G$100,5,0)</f>
        <v>0</v>
      </c>
      <c r="J35" s="43"/>
      <c r="K35" s="47">
        <f t="shared" si="1"/>
        <v>1776.3400000000001</v>
      </c>
      <c r="L35" s="47">
        <v>6000</v>
      </c>
      <c r="M35" s="47">
        <f t="shared" si="2"/>
        <v>3000</v>
      </c>
      <c r="N35" s="44"/>
      <c r="O35" s="36">
        <f>VLOOKUP(C35,'[1]IP PITS'!$B$6:$I$87,8,0)</f>
        <v>0</v>
      </c>
      <c r="P35" s="47">
        <f t="shared" si="5"/>
        <v>455</v>
      </c>
      <c r="Q35" s="36">
        <f>(VLOOKUP(C35,'IP PITSS'!$B$10:$M$91,10,0))+(VLOOKUP(C35,'IP PITSS'!$B$10:$M$91,11,0))+(VLOOKUP(C35,'IP PITSS'!$B$10:$M$91,12,0))</f>
        <v>1078.6600000000001</v>
      </c>
      <c r="R35" s="36">
        <f>VLOOKUP(C35,'IP PITSS'!$B$10:$R$91,17,0)</f>
        <v>600</v>
      </c>
      <c r="S35" s="36">
        <f>VLOOKUP(C35,'IP PITSS'!$B$10:$S$91,18,0)</f>
        <v>0</v>
      </c>
      <c r="T35" s="44"/>
      <c r="U35" s="47">
        <f t="shared" si="6"/>
        <v>3000</v>
      </c>
      <c r="V35" s="36">
        <f t="shared" si="0"/>
        <v>0</v>
      </c>
      <c r="W35" s="46"/>
      <c r="X35" s="47" t="s">
        <v>100</v>
      </c>
    </row>
    <row r="36" spans="1:24" s="36" customFormat="1" x14ac:dyDescent="0.2">
      <c r="A36" s="18" t="s">
        <v>225</v>
      </c>
      <c r="B36" s="37" t="s">
        <v>95</v>
      </c>
      <c r="C36" s="18" t="s">
        <v>226</v>
      </c>
      <c r="D36" s="37">
        <f>VLOOKUP(C36,'IP PITSS'!$B$10:$V$91,21,0)</f>
        <v>5952.2000000000007</v>
      </c>
      <c r="E36" s="59"/>
      <c r="F36" s="47">
        <f>VLOOKUP(C36,'SIND PITS'!$C$3:$D$100,2,0)</f>
        <v>1047.7999999999993</v>
      </c>
      <c r="G36" s="47">
        <f>VLOOKUP(C36,'SIND PITS'!$C$3:$E$100,3,0)</f>
        <v>562.5</v>
      </c>
      <c r="H36" s="47">
        <f>VLOOKUP(C36,'SIND PITS'!$C$3:$F$100,4,0)</f>
        <v>0</v>
      </c>
      <c r="I36" s="47">
        <f>VLOOKUP(C36,'SIND PITS'!$C$3:$G$100,5,0)</f>
        <v>0</v>
      </c>
      <c r="J36" s="43"/>
      <c r="K36" s="47">
        <f t="shared" si="1"/>
        <v>7562.5</v>
      </c>
      <c r="L36" s="47">
        <v>14000</v>
      </c>
      <c r="M36" s="47">
        <f t="shared" si="2"/>
        <v>7000</v>
      </c>
      <c r="N36" s="44"/>
      <c r="O36" s="36">
        <f>VLOOKUP(C36,'[1]IP PITS'!$B$6:$I$87,8,0)</f>
        <v>0</v>
      </c>
      <c r="P36" s="47">
        <f t="shared" si="5"/>
        <v>562.5</v>
      </c>
      <c r="Q36" s="36">
        <f>(VLOOKUP(C36,'IP PITSS'!$B$10:$M$91,10,0))+(VLOOKUP(C36,'IP PITSS'!$B$10:$M$91,11,0))+(VLOOKUP(C36,'IP PITSS'!$B$10:$M$91,12,0))</f>
        <v>0</v>
      </c>
      <c r="R36" s="36">
        <f>VLOOKUP(C36,'IP PITSS'!$B$10:$R$91,17,0)</f>
        <v>0</v>
      </c>
      <c r="S36" s="36">
        <f>VLOOKUP(C36,'IP PITSS'!$B$10:$S$91,18,0)</f>
        <v>0</v>
      </c>
      <c r="T36" s="44"/>
      <c r="U36" s="47">
        <f t="shared" si="6"/>
        <v>7000</v>
      </c>
      <c r="V36" s="64">
        <f t="shared" si="0"/>
        <v>0</v>
      </c>
      <c r="W36" s="64" t="s">
        <v>372</v>
      </c>
      <c r="X36" s="47" t="s">
        <v>227</v>
      </c>
    </row>
    <row r="37" spans="1:24" s="47" customFormat="1" x14ac:dyDescent="0.2">
      <c r="A37" s="24" t="s">
        <v>73</v>
      </c>
      <c r="B37" s="37" t="s">
        <v>95</v>
      </c>
      <c r="C37" s="24" t="s">
        <v>142</v>
      </c>
      <c r="D37" s="37">
        <f>VLOOKUP(C37,'IP PITSS'!$B$10:$V$91,21,0)</f>
        <v>5952.2000000000007</v>
      </c>
      <c r="E37" s="59"/>
      <c r="F37" s="47">
        <f>VLOOKUP(C37,'SIND PITS'!$C$3:$D$100,2,0)</f>
        <v>1047.7999999999993</v>
      </c>
      <c r="G37" s="47">
        <f>VLOOKUP(C37,'SIND PITS'!$C$3:$E$100,3,0)</f>
        <v>687.5</v>
      </c>
      <c r="H37" s="47">
        <f>VLOOKUP(C37,'SIND PITS'!$C$3:$F$100,4,0)</f>
        <v>0</v>
      </c>
      <c r="I37" s="47">
        <f>VLOOKUP(C37,'SIND PITS'!$C$3:$G$100,5,0)</f>
        <v>0</v>
      </c>
      <c r="J37" s="43"/>
      <c r="K37" s="47">
        <f t="shared" si="1"/>
        <v>7687.5</v>
      </c>
      <c r="L37" s="36">
        <v>14000</v>
      </c>
      <c r="M37" s="47">
        <f t="shared" si="2"/>
        <v>7000</v>
      </c>
      <c r="N37" s="44"/>
      <c r="O37" s="36">
        <f>VLOOKUP(C37,'[1]IP PITS'!$B$6:$I$87,8,0)</f>
        <v>0</v>
      </c>
      <c r="P37" s="47">
        <f t="shared" si="5"/>
        <v>687.5</v>
      </c>
      <c r="Q37" s="36">
        <f>(VLOOKUP(C37,'IP PITSS'!$B$10:$M$91,10,0))+(VLOOKUP(C37,'IP PITSS'!$B$10:$M$91,11,0))+(VLOOKUP(C37,'IP PITSS'!$B$10:$M$91,12,0))</f>
        <v>0</v>
      </c>
      <c r="R37" s="36">
        <f>VLOOKUP(C37,'IP PITSS'!$B$10:$R$91,17,0)</f>
        <v>0</v>
      </c>
      <c r="S37" s="36">
        <f>VLOOKUP(C37,'IP PITSS'!$B$10:$S$91,18,0)</f>
        <v>0</v>
      </c>
      <c r="T37" s="44"/>
      <c r="U37" s="47">
        <f t="shared" si="6"/>
        <v>7000</v>
      </c>
      <c r="V37" s="36">
        <f t="shared" si="0"/>
        <v>0</v>
      </c>
      <c r="W37" s="36"/>
      <c r="X37" s="47" t="s">
        <v>143</v>
      </c>
    </row>
    <row r="38" spans="1:24" s="47" customFormat="1" x14ac:dyDescent="0.2">
      <c r="A38" s="24" t="s">
        <v>127</v>
      </c>
      <c r="B38" s="37" t="s">
        <v>95</v>
      </c>
      <c r="C38" s="24" t="s">
        <v>128</v>
      </c>
      <c r="D38" s="37">
        <f>VLOOKUP(C38,'IP PITSS'!$B$10:$V$91,21,0)</f>
        <v>2864.8</v>
      </c>
      <c r="E38" s="59"/>
      <c r="F38" s="47">
        <f>VLOOKUP(C38,'SIND PITS'!$C$3:$D$100,2,0)</f>
        <v>135.19999999999982</v>
      </c>
      <c r="G38" s="47">
        <f>VLOOKUP(C38,'SIND PITS'!$C$3:$E$100,3,0)</f>
        <v>450</v>
      </c>
      <c r="H38" s="47">
        <f>VLOOKUP(C38,'SIND PITS'!$C$3:$F$100,4,0)</f>
        <v>0</v>
      </c>
      <c r="I38" s="47">
        <f>VLOOKUP(C38,'SIND PITS'!$C$3:$G$100,5,0)</f>
        <v>0</v>
      </c>
      <c r="J38" s="43"/>
      <c r="K38" s="47">
        <f t="shared" si="1"/>
        <v>3450</v>
      </c>
      <c r="L38" s="36">
        <v>6000</v>
      </c>
      <c r="M38" s="47">
        <f t="shared" si="2"/>
        <v>3000</v>
      </c>
      <c r="N38" s="44"/>
      <c r="O38" s="36">
        <f>VLOOKUP(C38,'[1]IP PITS'!$B$6:$I$87,8,0)</f>
        <v>0</v>
      </c>
      <c r="P38" s="47">
        <f t="shared" si="5"/>
        <v>450</v>
      </c>
      <c r="Q38" s="36">
        <f>(VLOOKUP(C38,'IP PITSS'!$B$10:$M$91,10,0))+(VLOOKUP(C38,'IP PITSS'!$B$10:$M$91,11,0))+(VLOOKUP(C38,'IP PITSS'!$B$10:$M$91,12,0))</f>
        <v>0</v>
      </c>
      <c r="R38" s="36">
        <f>VLOOKUP(C38,'IP PITSS'!$B$10:$R$91,17,0)</f>
        <v>0</v>
      </c>
      <c r="S38" s="36">
        <f>VLOOKUP(C38,'IP PITSS'!$B$10:$S$91,18,0)</f>
        <v>0</v>
      </c>
      <c r="T38" s="44"/>
      <c r="U38" s="47">
        <f t="shared" si="6"/>
        <v>3000</v>
      </c>
      <c r="V38" s="36">
        <f t="shared" si="0"/>
        <v>0</v>
      </c>
      <c r="W38" s="36"/>
      <c r="X38" s="47" t="s">
        <v>129</v>
      </c>
    </row>
    <row r="39" spans="1:24" s="47" customFormat="1" x14ac:dyDescent="0.2">
      <c r="A39" s="24" t="s">
        <v>235</v>
      </c>
      <c r="B39" s="37" t="s">
        <v>95</v>
      </c>
      <c r="C39" s="24" t="s">
        <v>236</v>
      </c>
      <c r="D39" s="37">
        <f>VLOOKUP(C39,'IP PITSS'!$B$10:$V$91,21,0)</f>
        <v>3142.6000000000004</v>
      </c>
      <c r="E39" s="59"/>
      <c r="F39" s="47">
        <f>VLOOKUP(C39,'SIND PITS'!$C$3:$D$100,2,0)</f>
        <v>416.39999999999964</v>
      </c>
      <c r="G39" s="47">
        <f>VLOOKUP(C39,'SIND PITS'!$C$3:$E$100,3,0)</f>
        <v>120</v>
      </c>
      <c r="H39" s="47">
        <f>VLOOKUP(C39,'SIND PITS'!$C$3:$F$100,4,0)</f>
        <v>0</v>
      </c>
      <c r="I39" s="47">
        <f>VLOOKUP(C39,'SIND PITS'!$C$3:$G$100,5,0)</f>
        <v>0</v>
      </c>
      <c r="J39" s="43"/>
      <c r="K39" s="47">
        <f t="shared" si="1"/>
        <v>3679</v>
      </c>
      <c r="L39" s="36">
        <v>8000</v>
      </c>
      <c r="M39" s="47">
        <f t="shared" si="2"/>
        <v>4000</v>
      </c>
      <c r="N39" s="44"/>
      <c r="O39" s="36">
        <f>VLOOKUP(C39,'[1]IP PITS'!$B$6:$I$87,8,0)</f>
        <v>0</v>
      </c>
      <c r="P39" s="47">
        <f t="shared" si="5"/>
        <v>120</v>
      </c>
      <c r="Q39" s="36">
        <f>(VLOOKUP(C39,'IP PITSS'!$B$10:$M$91,10,0))+(VLOOKUP(C39,'IP PITSS'!$B$10:$M$91,11,0))+(VLOOKUP(C39,'IP PITSS'!$B$10:$M$91,12,0))</f>
        <v>0</v>
      </c>
      <c r="R39" s="36">
        <f>VLOOKUP(C39,'IP PITSS'!$B$10:$R$91,17,0)</f>
        <v>0</v>
      </c>
      <c r="S39" s="36">
        <f>VLOOKUP(C39,'IP PITSS'!$B$10:$S$91,18,0)</f>
        <v>441</v>
      </c>
      <c r="T39" s="44"/>
      <c r="U39" s="47">
        <f t="shared" si="6"/>
        <v>4000</v>
      </c>
      <c r="V39" s="36">
        <f t="shared" si="0"/>
        <v>0</v>
      </c>
      <c r="W39" s="36"/>
      <c r="X39" s="47" t="s">
        <v>237</v>
      </c>
    </row>
    <row r="40" spans="1:24" s="47" customFormat="1" x14ac:dyDescent="0.2">
      <c r="A40" s="18" t="s">
        <v>38</v>
      </c>
      <c r="B40" s="37" t="s">
        <v>95</v>
      </c>
      <c r="C40" s="18" t="s">
        <v>181</v>
      </c>
      <c r="D40" s="37">
        <f>VLOOKUP(C40,'IP PITSS'!$B$10:$V$91,21,0)</f>
        <v>3583.8</v>
      </c>
      <c r="E40" s="59"/>
      <c r="F40" s="47">
        <f>VLOOKUP(C40,'SIND PITS'!$C$3:$D$100,2,0)</f>
        <v>416.19999999999982</v>
      </c>
      <c r="G40" s="47">
        <f>VLOOKUP(C40,'SIND PITS'!$C$3:$E$100,3,0)</f>
        <v>130</v>
      </c>
      <c r="H40" s="47">
        <f>VLOOKUP(C40,'SIND PITS'!$C$3:$F$100,4,0)</f>
        <v>0</v>
      </c>
      <c r="I40" s="47">
        <f>VLOOKUP(C40,'SIND PITS'!$C$3:$G$100,5,0)</f>
        <v>0</v>
      </c>
      <c r="J40" s="43"/>
      <c r="K40" s="47">
        <f t="shared" si="1"/>
        <v>4130</v>
      </c>
      <c r="L40" s="47">
        <v>8000</v>
      </c>
      <c r="M40" s="47">
        <f t="shared" si="2"/>
        <v>4000</v>
      </c>
      <c r="N40" s="44"/>
      <c r="O40" s="36">
        <f>VLOOKUP(C40,'[1]IP PITS'!$B$6:$I$87,8,0)</f>
        <v>0</v>
      </c>
      <c r="P40" s="47">
        <f t="shared" si="5"/>
        <v>130</v>
      </c>
      <c r="Q40" s="36">
        <f>(VLOOKUP(C40,'IP PITSS'!$B$10:$M$91,10,0))+(VLOOKUP(C40,'IP PITSS'!$B$10:$M$91,11,0))+(VLOOKUP(C40,'IP PITSS'!$B$10:$M$91,12,0))</f>
        <v>0</v>
      </c>
      <c r="R40" s="36">
        <f>VLOOKUP(C40,'IP PITSS'!$B$10:$R$91,17,0)</f>
        <v>0</v>
      </c>
      <c r="S40" s="36">
        <f>VLOOKUP(C40,'IP PITSS'!$B$10:$S$91,18,0)</f>
        <v>0</v>
      </c>
      <c r="T40" s="44"/>
      <c r="U40" s="47">
        <f t="shared" si="6"/>
        <v>4000</v>
      </c>
      <c r="V40" s="36">
        <f t="shared" si="0"/>
        <v>0</v>
      </c>
      <c r="W40" s="36"/>
      <c r="X40" s="47" t="s">
        <v>182</v>
      </c>
    </row>
    <row r="41" spans="1:24" s="47" customFormat="1" x14ac:dyDescent="0.2">
      <c r="A41" s="18" t="s">
        <v>306</v>
      </c>
      <c r="B41" s="37" t="s">
        <v>95</v>
      </c>
      <c r="C41" s="18" t="s">
        <v>307</v>
      </c>
      <c r="D41" s="37">
        <f>VLOOKUP(C41,'IP PITSS'!$B$10:$V$91,21,0)</f>
        <v>3583.6</v>
      </c>
      <c r="E41" s="59"/>
      <c r="F41" s="47">
        <f>VLOOKUP(C41,'SIND PITS'!$C$3:$D$100,2,0)</f>
        <v>416.40000000000009</v>
      </c>
      <c r="G41" s="47">
        <f>VLOOKUP(C41,'SIND PITS'!$C$3:$E$100,3,0)</f>
        <v>60</v>
      </c>
      <c r="H41" s="47">
        <f>VLOOKUP(C41,'SIND PITS'!$C$3:$F$100,4,0)</f>
        <v>0</v>
      </c>
      <c r="I41" s="47">
        <f>VLOOKUP(C41,'SIND PITS'!$C$3:$G$100,5,0)</f>
        <v>0</v>
      </c>
      <c r="J41" s="43"/>
      <c r="K41" s="47">
        <f t="shared" si="1"/>
        <v>4060</v>
      </c>
      <c r="L41" s="47">
        <v>8000</v>
      </c>
      <c r="M41" s="47">
        <f t="shared" si="2"/>
        <v>4000</v>
      </c>
      <c r="N41" s="44"/>
      <c r="O41" s="36">
        <f>VLOOKUP(C41,'[1]IP PITS'!$B$6:$I$87,8,0)</f>
        <v>0</v>
      </c>
      <c r="P41" s="47">
        <f t="shared" si="5"/>
        <v>60</v>
      </c>
      <c r="Q41" s="36">
        <f>(VLOOKUP(C41,'IP PITSS'!$B$10:$M$91,10,0))+(VLOOKUP(C41,'IP PITSS'!$B$10:$M$91,11,0))+(VLOOKUP(C41,'IP PITSS'!$B$10:$M$91,12,0))</f>
        <v>0</v>
      </c>
      <c r="R41" s="36">
        <f>VLOOKUP(C41,'IP PITSS'!$B$10:$R$91,17,0)</f>
        <v>0</v>
      </c>
      <c r="S41" s="36">
        <f>VLOOKUP(C41,'IP PITSS'!$B$10:$S$91,18,0)</f>
        <v>0</v>
      </c>
      <c r="T41" s="44"/>
      <c r="U41" s="47">
        <f t="shared" si="6"/>
        <v>4000</v>
      </c>
      <c r="V41" s="36">
        <f t="shared" si="0"/>
        <v>0</v>
      </c>
      <c r="W41" s="65"/>
      <c r="X41" s="47" t="s">
        <v>308</v>
      </c>
    </row>
    <row r="42" spans="1:24" s="36" customFormat="1" x14ac:dyDescent="0.2">
      <c r="A42" s="18" t="s">
        <v>147</v>
      </c>
      <c r="B42" s="37" t="s">
        <v>95</v>
      </c>
      <c r="C42" s="18" t="s">
        <v>148</v>
      </c>
      <c r="D42" s="37">
        <f>VLOOKUP(C42,'IP PITSS'!$B$10:$V$91,21,0)</f>
        <v>4406.3999999999996</v>
      </c>
      <c r="E42" s="59"/>
      <c r="F42" s="47">
        <f>VLOOKUP(C42,'SIND PITS'!$C$3:$D$100,2,0)</f>
        <v>593.60000000000036</v>
      </c>
      <c r="G42" s="47">
        <f>VLOOKUP(C42,'SIND PITS'!$C$3:$E$100,3,0)</f>
        <v>110</v>
      </c>
      <c r="H42" s="47">
        <f>VLOOKUP(C42,'SIND PITS'!$C$3:$F$100,4,0)</f>
        <v>0</v>
      </c>
      <c r="I42" s="47">
        <f>VLOOKUP(C42,'SIND PITS'!$C$3:$G$100,5,0)</f>
        <v>0</v>
      </c>
      <c r="J42" s="43"/>
      <c r="K42" s="47">
        <f t="shared" si="1"/>
        <v>5110</v>
      </c>
      <c r="L42" s="47">
        <v>10000</v>
      </c>
      <c r="M42" s="47">
        <f t="shared" si="2"/>
        <v>5000</v>
      </c>
      <c r="N42" s="44"/>
      <c r="O42" s="36">
        <f>VLOOKUP(C42,'[1]IP PITS'!$B$6:$I$87,8,0)</f>
        <v>0</v>
      </c>
      <c r="P42" s="47">
        <f t="shared" si="5"/>
        <v>110</v>
      </c>
      <c r="Q42" s="36">
        <f>(VLOOKUP(C42,'IP PITSS'!$B$10:$M$91,10,0))+(VLOOKUP(C42,'IP PITSS'!$B$10:$M$91,11,0))+(VLOOKUP(C42,'IP PITSS'!$B$10:$M$91,12,0))</f>
        <v>0</v>
      </c>
      <c r="R42" s="36">
        <f>VLOOKUP(C42,'IP PITSS'!$B$10:$R$91,17,0)</f>
        <v>0</v>
      </c>
      <c r="S42" s="36">
        <f>VLOOKUP(C42,'IP PITSS'!$B$10:$S$91,18,0)</f>
        <v>0</v>
      </c>
      <c r="T42" s="44"/>
      <c r="U42" s="47">
        <f t="shared" si="6"/>
        <v>5000</v>
      </c>
      <c r="V42" s="36">
        <f t="shared" si="0"/>
        <v>0</v>
      </c>
      <c r="X42" s="47" t="s">
        <v>149</v>
      </c>
    </row>
    <row r="43" spans="1:24" s="47" customFormat="1" x14ac:dyDescent="0.2">
      <c r="A43" s="18" t="s">
        <v>196</v>
      </c>
      <c r="B43" s="37" t="s">
        <v>95</v>
      </c>
      <c r="C43" s="18" t="s">
        <v>197</v>
      </c>
      <c r="D43" s="37">
        <f>VLOOKUP(C43,'IP PITSS'!$B$10:$V$91,21,0)</f>
        <v>3238.4</v>
      </c>
      <c r="E43" s="59"/>
      <c r="F43" s="47">
        <f>VLOOKUP(C43,'SIND PITS'!$C$3:$D$100,2,0)</f>
        <v>416.34999999999991</v>
      </c>
      <c r="G43" s="47">
        <f>VLOOKUP(C43,'SIND PITS'!$C$3:$E$100,3,0)</f>
        <v>275</v>
      </c>
      <c r="H43" s="47">
        <f>VLOOKUP(C43,'SIND PITS'!$C$3:$F$100,4,0)</f>
        <v>0</v>
      </c>
      <c r="I43" s="47">
        <f>VLOOKUP(C43,'SIND PITS'!$C$3:$G$100,5,0)</f>
        <v>0</v>
      </c>
      <c r="J43" s="43"/>
      <c r="K43" s="47">
        <f t="shared" si="1"/>
        <v>3929.75</v>
      </c>
      <c r="L43" s="47">
        <v>8000</v>
      </c>
      <c r="M43" s="47">
        <f t="shared" si="2"/>
        <v>4000</v>
      </c>
      <c r="N43" s="44"/>
      <c r="O43" s="36">
        <f>VLOOKUP(C43,'[1]IP PITS'!$B$6:$I$87,8,0)</f>
        <v>0</v>
      </c>
      <c r="P43" s="47">
        <f t="shared" si="5"/>
        <v>275</v>
      </c>
      <c r="Q43" s="36">
        <f>(VLOOKUP(C43,'IP PITSS'!$B$10:$M$91,10,0))+(VLOOKUP(C43,'IP PITSS'!$B$10:$M$91,11,0))+(VLOOKUP(C43,'IP PITSS'!$B$10:$M$91,12,0))</f>
        <v>0</v>
      </c>
      <c r="R43" s="36">
        <f>VLOOKUP(C43,'IP PITSS'!$B$10:$R$91,17,0)</f>
        <v>0</v>
      </c>
      <c r="S43" s="36">
        <f>VLOOKUP(C43,'IP PITSS'!$B$10:$S$91,18,0)</f>
        <v>345.25</v>
      </c>
      <c r="T43" s="44"/>
      <c r="U43" s="47">
        <f t="shared" si="6"/>
        <v>4000</v>
      </c>
      <c r="V43" s="36">
        <f t="shared" si="0"/>
        <v>0</v>
      </c>
      <c r="W43" s="36"/>
      <c r="X43" s="47" t="s">
        <v>198</v>
      </c>
    </row>
    <row r="44" spans="1:24" s="47" customFormat="1" x14ac:dyDescent="0.2">
      <c r="A44" s="18" t="s">
        <v>253</v>
      </c>
      <c r="B44" s="37" t="s">
        <v>95</v>
      </c>
      <c r="C44" s="18" t="s">
        <v>254</v>
      </c>
      <c r="D44" s="37">
        <f>VLOOKUP(C44,'IP PITSS'!$B$10:$V$91,21,0)</f>
        <v>2727.8</v>
      </c>
      <c r="E44" s="59"/>
      <c r="F44" s="47">
        <f>VLOOKUP(C44,'SIND PITS'!$C$3:$D$100,2,0)</f>
        <v>549.8149999999996</v>
      </c>
      <c r="G44" s="47">
        <f>VLOOKUP(C44,'SIND PITS'!$C$3:$E$100,3,0)</f>
        <v>625</v>
      </c>
      <c r="H44" s="47">
        <f>VLOOKUP(C44,'SIND PITS'!$C$3:$F$100,4,0)</f>
        <v>0</v>
      </c>
      <c r="I44" s="47">
        <f>VLOOKUP(C44,'SIND PITS'!$C$3:$G$100,5,0)</f>
        <v>0</v>
      </c>
      <c r="J44" s="43"/>
      <c r="K44" s="47">
        <f t="shared" si="1"/>
        <v>3902.6149999999998</v>
      </c>
      <c r="L44" s="47">
        <v>9550.01</v>
      </c>
      <c r="M44" s="47">
        <f t="shared" si="2"/>
        <v>4775.0050000000001</v>
      </c>
      <c r="N44" s="44"/>
      <c r="O44" s="36">
        <f>VLOOKUP(C44,'[1]IP PITS'!$B$6:$I$87,8,0)</f>
        <v>0</v>
      </c>
      <c r="P44" s="47">
        <f t="shared" si="5"/>
        <v>625</v>
      </c>
      <c r="Q44" s="36">
        <f>(VLOOKUP(C44,'IP PITSS'!$B$10:$M$91,10,0))+(VLOOKUP(C44,'IP PITSS'!$B$10:$M$91,11,0))+(VLOOKUP(C44,'IP PITSS'!$B$10:$M$91,12,0))</f>
        <v>1497.39</v>
      </c>
      <c r="R44" s="36">
        <f>VLOOKUP(C44,'IP PITSS'!$B$10:$R$91,17,0)</f>
        <v>0</v>
      </c>
      <c r="S44" s="36">
        <f>VLOOKUP(C44,'IP PITSS'!$B$10:$S$91,18,0)</f>
        <v>0</v>
      </c>
      <c r="T44" s="44"/>
      <c r="U44" s="47">
        <f t="shared" si="6"/>
        <v>4775.0050000000001</v>
      </c>
      <c r="V44" s="36">
        <f t="shared" si="0"/>
        <v>0</v>
      </c>
      <c r="W44" s="36"/>
      <c r="X44" s="47" t="s">
        <v>255</v>
      </c>
    </row>
    <row r="45" spans="1:24" s="47" customFormat="1" x14ac:dyDescent="0.2">
      <c r="A45" s="18" t="s">
        <v>124</v>
      </c>
      <c r="B45" s="37" t="s">
        <v>95</v>
      </c>
      <c r="C45" s="18" t="s">
        <v>125</v>
      </c>
      <c r="D45" s="37">
        <f>VLOOKUP(C45,'IP PITSS'!$B$10:$V$91,21,0)</f>
        <v>2006.6</v>
      </c>
      <c r="E45" s="59"/>
      <c r="F45" s="47">
        <f>VLOOKUP(C45,'SIND PITS'!$C$3:$D$100,2,0)</f>
        <v>384.85500000000002</v>
      </c>
      <c r="G45" s="47">
        <f>VLOOKUP(C45,'SIND PITS'!$C$3:$E$100,3,0)</f>
        <v>135</v>
      </c>
      <c r="H45" s="47">
        <f>VLOOKUP(C45,'SIND PITS'!$C$3:$F$100,4,0)</f>
        <v>0</v>
      </c>
      <c r="I45" s="47">
        <f>VLOOKUP(C45,'SIND PITS'!$C$3:$G$100,5,0)</f>
        <v>0</v>
      </c>
      <c r="J45" s="43"/>
      <c r="K45" s="47">
        <f t="shared" si="1"/>
        <v>2526.4549999999999</v>
      </c>
      <c r="L45" s="47">
        <v>7505.99</v>
      </c>
      <c r="M45" s="47">
        <f t="shared" si="2"/>
        <v>3752.9949999999999</v>
      </c>
      <c r="N45" s="44"/>
      <c r="O45" s="36">
        <f>VLOOKUP(C45,'[1]IP PITS'!$B$6:$I$87,8,0)</f>
        <v>0</v>
      </c>
      <c r="P45" s="47">
        <f t="shared" si="5"/>
        <v>135</v>
      </c>
      <c r="Q45" s="36">
        <f>(VLOOKUP(C45,'IP PITSS'!$B$10:$M$91,10,0))+(VLOOKUP(C45,'IP PITSS'!$B$10:$M$91,11,0))+(VLOOKUP(C45,'IP PITSS'!$B$10:$M$91,12,0))</f>
        <v>1361.54</v>
      </c>
      <c r="R45" s="36">
        <f>VLOOKUP(C45,'IP PITSS'!$B$10:$R$91,17,0)</f>
        <v>0</v>
      </c>
      <c r="S45" s="36">
        <f>VLOOKUP(C45,'IP PITSS'!$B$10:$S$91,18,0)</f>
        <v>0</v>
      </c>
      <c r="T45" s="44"/>
      <c r="U45" s="47">
        <f t="shared" si="6"/>
        <v>3752.9949999999999</v>
      </c>
      <c r="V45" s="36">
        <f t="shared" si="0"/>
        <v>0</v>
      </c>
      <c r="W45" s="36"/>
      <c r="X45" s="47" t="s">
        <v>126</v>
      </c>
    </row>
    <row r="46" spans="1:24" s="47" customFormat="1" x14ac:dyDescent="0.2">
      <c r="A46" s="18" t="s">
        <v>183</v>
      </c>
      <c r="B46" s="37" t="s">
        <v>95</v>
      </c>
      <c r="C46" s="18" t="s">
        <v>184</v>
      </c>
      <c r="D46" s="37">
        <f>VLOOKUP(C46,'IP PITSS'!$B$10:$V$91,21,0)</f>
        <v>3799</v>
      </c>
      <c r="E46" s="59"/>
      <c r="F46" s="47">
        <f>VLOOKUP(C46,'SIND PITS'!$C$3:$D$100,2,0)</f>
        <v>451.00500000000011</v>
      </c>
      <c r="G46" s="47">
        <f>VLOOKUP(C46,'SIND PITS'!$C$3:$E$100,3,0)</f>
        <v>412</v>
      </c>
      <c r="H46" s="47">
        <f>VLOOKUP(C46,'SIND PITS'!$C$3:$F$100,4,0)</f>
        <v>0</v>
      </c>
      <c r="I46" s="47">
        <f>VLOOKUP(C46,'SIND PITS'!$C$3:$G$100,5,0)</f>
        <v>0</v>
      </c>
      <c r="J46" s="43"/>
      <c r="K46" s="47">
        <f t="shared" si="1"/>
        <v>4662.0050000000001</v>
      </c>
      <c r="L46" s="47">
        <v>8500.01</v>
      </c>
      <c r="M46" s="47">
        <f t="shared" si="2"/>
        <v>4250.0050000000001</v>
      </c>
      <c r="N46" s="44"/>
      <c r="O46" s="36">
        <f>VLOOKUP(C46,'[1]IP PITS'!$B$6:$I$87,8,0)</f>
        <v>0</v>
      </c>
      <c r="P46" s="47">
        <f t="shared" si="5"/>
        <v>412</v>
      </c>
      <c r="Q46" s="36">
        <f>(VLOOKUP(C46,'IP PITSS'!$B$10:$M$91,10,0))+(VLOOKUP(C46,'IP PITSS'!$B$10:$M$91,11,0))+(VLOOKUP(C46,'IP PITSS'!$B$10:$M$91,12,0))</f>
        <v>0</v>
      </c>
      <c r="R46" s="36">
        <f>VLOOKUP(C46,'IP PITSS'!$B$10:$R$91,17,0)</f>
        <v>0</v>
      </c>
      <c r="S46" s="36">
        <f>VLOOKUP(C46,'IP PITSS'!$B$10:$S$91,18,0)</f>
        <v>0</v>
      </c>
      <c r="T46" s="44"/>
      <c r="U46" s="47">
        <f t="shared" si="6"/>
        <v>4250.0050000000001</v>
      </c>
      <c r="V46" s="36">
        <f t="shared" si="0"/>
        <v>0</v>
      </c>
      <c r="W46" s="36"/>
      <c r="X46" s="47" t="s">
        <v>185</v>
      </c>
    </row>
    <row r="47" spans="1:24" s="36" customFormat="1" x14ac:dyDescent="0.2">
      <c r="A47" s="18" t="s">
        <v>144</v>
      </c>
      <c r="B47" s="37" t="s">
        <v>95</v>
      </c>
      <c r="C47" s="18" t="s">
        <v>145</v>
      </c>
      <c r="D47" s="37">
        <f>VLOOKUP(C47,'IP PITSS'!$B$10:$V$91,21,0)</f>
        <v>3665.4</v>
      </c>
      <c r="E47" s="59"/>
      <c r="F47" s="47">
        <f>VLOOKUP(C47,'SIND PITS'!$C$3:$D$100,2,0)</f>
        <v>334.60000000000036</v>
      </c>
      <c r="G47" s="47">
        <f>VLOOKUP(C47,'SIND PITS'!$C$3:$E$100,3,0)</f>
        <v>450</v>
      </c>
      <c r="H47" s="47">
        <f>VLOOKUP(C47,'SIND PITS'!$C$3:$F$100,4,0)</f>
        <v>0</v>
      </c>
      <c r="I47" s="47">
        <f>VLOOKUP(C47,'SIND PITS'!$C$3:$G$100,5,0)</f>
        <v>0</v>
      </c>
      <c r="J47" s="43"/>
      <c r="K47" s="47">
        <f t="shared" si="1"/>
        <v>4450</v>
      </c>
      <c r="L47" s="47">
        <v>8000</v>
      </c>
      <c r="M47" s="47">
        <f t="shared" si="2"/>
        <v>4000</v>
      </c>
      <c r="N47" s="44"/>
      <c r="O47" s="36">
        <f>VLOOKUP(C47,'[1]IP PITS'!$B$6:$I$87,8,0)</f>
        <v>0</v>
      </c>
      <c r="P47" s="47">
        <f t="shared" si="5"/>
        <v>450</v>
      </c>
      <c r="Q47" s="36">
        <f>(VLOOKUP(C47,'IP PITSS'!$B$10:$M$91,10,0))+(VLOOKUP(C47,'IP PITSS'!$B$10:$M$91,11,0))+(VLOOKUP(C47,'IP PITSS'!$B$10:$M$91,12,0))</f>
        <v>0</v>
      </c>
      <c r="R47" s="36">
        <f>VLOOKUP(C47,'IP PITSS'!$B$10:$R$91,17,0)</f>
        <v>0</v>
      </c>
      <c r="S47" s="36">
        <f>VLOOKUP(C47,'IP PITSS'!$B$10:$S$91,18,0)</f>
        <v>0</v>
      </c>
      <c r="T47" s="44"/>
      <c r="U47" s="47">
        <f t="shared" si="6"/>
        <v>4000</v>
      </c>
      <c r="V47" s="36">
        <f t="shared" si="0"/>
        <v>0</v>
      </c>
      <c r="W47" s="65"/>
      <c r="X47" s="47" t="s">
        <v>146</v>
      </c>
    </row>
    <row r="48" spans="1:24" s="47" customFormat="1" x14ac:dyDescent="0.2">
      <c r="A48" s="18" t="s">
        <v>216</v>
      </c>
      <c r="B48" s="37" t="s">
        <v>95</v>
      </c>
      <c r="C48" s="18" t="s">
        <v>217</v>
      </c>
      <c r="D48" s="37">
        <f>VLOOKUP(C48,'IP PITSS'!$B$10:$V$91,21,0)</f>
        <v>2655.2</v>
      </c>
      <c r="E48" s="59"/>
      <c r="F48" s="47">
        <f>VLOOKUP(C48,'SIND PITS'!$C$3:$D$100,2,0)</f>
        <v>1450.88</v>
      </c>
      <c r="G48" s="47">
        <f>VLOOKUP(C48,'SIND PITS'!$C$3:$E$100,3,0)</f>
        <v>0</v>
      </c>
      <c r="H48" s="47">
        <f>VLOOKUP(C48,'SIND PITS'!$C$3:$F$100,4,0)</f>
        <v>800</v>
      </c>
      <c r="I48" s="47">
        <f>VLOOKUP(C48,'SIND PITS'!$C$3:$G$100,5,0)</f>
        <v>0</v>
      </c>
      <c r="J48" s="43"/>
      <c r="K48" s="47">
        <f t="shared" si="1"/>
        <v>4906.08</v>
      </c>
      <c r="L48" s="47">
        <v>10500</v>
      </c>
      <c r="M48" s="47">
        <f t="shared" si="2"/>
        <v>5250</v>
      </c>
      <c r="N48" s="44"/>
      <c r="O48" s="36">
        <f>VLOOKUP(C48,'[1]IP PITS'!$B$6:$I$87,8,0)</f>
        <v>0</v>
      </c>
      <c r="P48" s="47">
        <f t="shared" si="5"/>
        <v>800</v>
      </c>
      <c r="Q48" s="36">
        <f>(VLOOKUP(C48,'IP PITSS'!$B$10:$M$91,10,0))+(VLOOKUP(C48,'IP PITSS'!$B$10:$M$91,11,0))+(VLOOKUP(C48,'IP PITSS'!$B$10:$M$91,12,0))</f>
        <v>549.91999999999996</v>
      </c>
      <c r="R48" s="36">
        <f>VLOOKUP(C48,'IP PITSS'!$B$10:$R$91,17,0)</f>
        <v>0</v>
      </c>
      <c r="S48" s="36">
        <f>VLOOKUP(C48,'IP PITSS'!$B$10:$S$91,18,0)</f>
        <v>594</v>
      </c>
      <c r="T48" s="44"/>
      <c r="U48" s="47">
        <f t="shared" si="6"/>
        <v>5250</v>
      </c>
      <c r="V48" s="36">
        <f t="shared" si="0"/>
        <v>0</v>
      </c>
      <c r="W48" s="36"/>
      <c r="X48" s="47" t="s">
        <v>218</v>
      </c>
    </row>
    <row r="49" spans="1:24" s="47" customFormat="1" x14ac:dyDescent="0.2">
      <c r="A49" s="18" t="s">
        <v>316</v>
      </c>
      <c r="B49" s="37" t="s">
        <v>95</v>
      </c>
      <c r="C49" s="18" t="s">
        <v>317</v>
      </c>
      <c r="D49" s="37">
        <f>VLOOKUP(C49,'IP PITSS'!$B$10:$V$91,21,0)</f>
        <v>3583.6000000000004</v>
      </c>
      <c r="E49" s="59"/>
      <c r="F49" s="47">
        <f>VLOOKUP(C49,'SIND PITS'!$C$3:$D$100,2,0)</f>
        <v>416.39999999999964</v>
      </c>
      <c r="G49" s="47">
        <f>VLOOKUP(C49,'SIND PITS'!$C$3:$E$100,3,0)</f>
        <v>180</v>
      </c>
      <c r="H49" s="47">
        <f>VLOOKUP(C49,'SIND PITS'!$C$3:$F$100,4,0)</f>
        <v>0</v>
      </c>
      <c r="I49" s="47">
        <f>VLOOKUP(C49,'SIND PITS'!$C$3:$G$100,5,0)</f>
        <v>0</v>
      </c>
      <c r="J49" s="43"/>
      <c r="K49" s="47">
        <f t="shared" si="1"/>
        <v>4180</v>
      </c>
      <c r="L49" s="47">
        <v>8000</v>
      </c>
      <c r="M49" s="47">
        <f t="shared" si="2"/>
        <v>4000</v>
      </c>
      <c r="N49" s="44"/>
      <c r="O49" s="36">
        <f>VLOOKUP(C49,'[1]IP PITS'!$B$6:$I$87,8,0)</f>
        <v>0</v>
      </c>
      <c r="P49" s="47">
        <f t="shared" si="5"/>
        <v>180</v>
      </c>
      <c r="Q49" s="36">
        <f>(VLOOKUP(C49,'IP PITSS'!$B$10:$M$91,10,0))+(VLOOKUP(C49,'IP PITSS'!$B$10:$M$91,11,0))+(VLOOKUP(C49,'IP PITSS'!$B$10:$M$91,12,0))</f>
        <v>0</v>
      </c>
      <c r="R49" s="36">
        <f>VLOOKUP(C49,'IP PITSS'!$B$10:$R$91,17,0)</f>
        <v>0</v>
      </c>
      <c r="S49" s="36">
        <f>VLOOKUP(C49,'IP PITSS'!$B$10:$S$91,18,0)</f>
        <v>0</v>
      </c>
      <c r="T49" s="44"/>
      <c r="U49" s="47">
        <f t="shared" si="6"/>
        <v>4000</v>
      </c>
      <c r="V49" s="36">
        <f t="shared" si="0"/>
        <v>0</v>
      </c>
      <c r="W49" s="36"/>
      <c r="X49" s="47" t="s">
        <v>318</v>
      </c>
    </row>
    <row r="50" spans="1:24" s="47" customFormat="1" x14ac:dyDescent="0.2">
      <c r="A50" s="18" t="s">
        <v>340</v>
      </c>
      <c r="B50" s="37" t="s">
        <v>95</v>
      </c>
      <c r="C50" s="18" t="s">
        <v>341</v>
      </c>
      <c r="D50" s="37">
        <f>VLOOKUP(C50,'IP PITSS'!$B$10:$V$91,21,0)</f>
        <v>1775.4</v>
      </c>
      <c r="E50" s="59"/>
      <c r="F50" s="47">
        <f>VLOOKUP(C50,'SIND PITS'!$C$3:$D$100,2,0)</f>
        <v>656.26000000000022</v>
      </c>
      <c r="G50" s="47">
        <f>VLOOKUP(C50,'SIND PITS'!$C$3:$E$100,3,0)</f>
        <v>270</v>
      </c>
      <c r="H50" s="47">
        <f>VLOOKUP(C50,'SIND PITS'!$C$3:$F$100,4,0)</f>
        <v>0</v>
      </c>
      <c r="I50" s="47">
        <f>VLOOKUP(C50,'SIND PITS'!$C$3:$G$100,5,0)</f>
        <v>0</v>
      </c>
      <c r="J50" s="43"/>
      <c r="K50" s="47">
        <f t="shared" si="1"/>
        <v>2701.6600000000003</v>
      </c>
      <c r="L50" s="47">
        <v>8000</v>
      </c>
      <c r="M50" s="47">
        <f t="shared" si="2"/>
        <v>4000</v>
      </c>
      <c r="N50" s="44"/>
      <c r="O50" s="36">
        <f>VLOOKUP(C50,'[1]IP PITS'!$B$6:$I$87,8,0)</f>
        <v>240</v>
      </c>
      <c r="P50" s="47">
        <f t="shared" si="5"/>
        <v>270</v>
      </c>
      <c r="Q50" s="36">
        <f>(VLOOKUP(C50,'IP PITSS'!$B$10:$M$91,10,0))+(VLOOKUP(C50,'IP PITSS'!$B$10:$M$91,11,0))+(VLOOKUP(C50,'IP PITSS'!$B$10:$M$91,12,0))</f>
        <v>1808.34</v>
      </c>
      <c r="R50" s="36">
        <f>VLOOKUP(C50,'IP PITSS'!$B$10:$R$91,17,0)</f>
        <v>0</v>
      </c>
      <c r="S50" s="36">
        <f>VLOOKUP(C50,'IP PITSS'!$B$10:$S$91,18,0)</f>
        <v>0</v>
      </c>
      <c r="T50" s="44"/>
      <c r="U50" s="47">
        <f t="shared" si="6"/>
        <v>4000</v>
      </c>
      <c r="V50" s="36">
        <f t="shared" si="0"/>
        <v>0</v>
      </c>
      <c r="W50" s="36"/>
      <c r="X50" s="47" t="s">
        <v>342</v>
      </c>
    </row>
    <row r="51" spans="1:24" s="36" customFormat="1" x14ac:dyDescent="0.2">
      <c r="A51" s="18" t="s">
        <v>244</v>
      </c>
      <c r="B51" s="37" t="s">
        <v>95</v>
      </c>
      <c r="C51" s="18" t="s">
        <v>245</v>
      </c>
      <c r="D51" s="37">
        <f>VLOOKUP(C51,'IP PITSS'!$B$10:$V$91,21,0)</f>
        <v>5952.4000000000005</v>
      </c>
      <c r="E51" s="59"/>
      <c r="F51" s="47">
        <f>VLOOKUP(C51,'SIND PITS'!$C$3:$D$100,2,0)</f>
        <v>1047.5999999999995</v>
      </c>
      <c r="G51" s="47">
        <f>VLOOKUP(C51,'SIND PITS'!$C$3:$E$100,3,0)</f>
        <v>125</v>
      </c>
      <c r="H51" s="47">
        <f>VLOOKUP(C51,'SIND PITS'!$C$3:$F$100,4,0)</f>
        <v>0</v>
      </c>
      <c r="I51" s="47">
        <f>VLOOKUP(C51,'SIND PITS'!$C$3:$G$100,5,0)</f>
        <v>0</v>
      </c>
      <c r="J51" s="43"/>
      <c r="K51" s="47">
        <f t="shared" si="1"/>
        <v>7125</v>
      </c>
      <c r="L51" s="47">
        <v>14000</v>
      </c>
      <c r="M51" s="47">
        <f t="shared" si="2"/>
        <v>7000</v>
      </c>
      <c r="N51" s="44"/>
      <c r="O51" s="36">
        <f>VLOOKUP(C51,'[1]IP PITS'!$B$6:$I$87,8,0)</f>
        <v>0</v>
      </c>
      <c r="P51" s="47">
        <f t="shared" si="5"/>
        <v>125</v>
      </c>
      <c r="Q51" s="36">
        <f>(VLOOKUP(C51,'IP PITSS'!$B$10:$M$91,10,0))+(VLOOKUP(C51,'IP PITSS'!$B$10:$M$91,11,0))+(VLOOKUP(C51,'IP PITSS'!$B$10:$M$91,12,0))</f>
        <v>0</v>
      </c>
      <c r="R51" s="36">
        <f>VLOOKUP(C51,'IP PITSS'!$B$10:$R$91,17,0)</f>
        <v>0</v>
      </c>
      <c r="S51" s="36">
        <f>VLOOKUP(C51,'IP PITSS'!$B$10:$S$91,18,0)</f>
        <v>0</v>
      </c>
      <c r="T51" s="44"/>
      <c r="U51" s="47">
        <f t="shared" si="6"/>
        <v>7000</v>
      </c>
      <c r="V51" s="36">
        <f t="shared" si="0"/>
        <v>0</v>
      </c>
      <c r="X51" s="47" t="s">
        <v>246</v>
      </c>
    </row>
    <row r="52" spans="1:24" s="47" customFormat="1" x14ac:dyDescent="0.2">
      <c r="A52" s="18" t="s">
        <v>113</v>
      </c>
      <c r="B52" s="37" t="s">
        <v>95</v>
      </c>
      <c r="C52" s="18" t="s">
        <v>114</v>
      </c>
      <c r="D52" s="37">
        <f>VLOOKUP(C52,'IP PITSS'!$B$10:$V$91,21,0)</f>
        <v>3381</v>
      </c>
      <c r="E52" s="59"/>
      <c r="F52" s="47">
        <f>VLOOKUP(C52,'SIND PITS'!$C$3:$D$100,2,0)</f>
        <v>416.5</v>
      </c>
      <c r="G52" s="47">
        <f>VLOOKUP(C52,'SIND PITS'!$C$3:$E$100,3,0)</f>
        <v>480</v>
      </c>
      <c r="H52" s="47">
        <f>VLOOKUP(C52,'SIND PITS'!$C$3:$F$100,4,0)</f>
        <v>0</v>
      </c>
      <c r="I52" s="47">
        <f>VLOOKUP(C52,'SIND PITS'!$C$3:$G$100,5,0)</f>
        <v>0</v>
      </c>
      <c r="J52" s="43"/>
      <c r="K52" s="47">
        <f t="shared" si="1"/>
        <v>4277.5</v>
      </c>
      <c r="L52" s="47">
        <v>8000</v>
      </c>
      <c r="M52" s="47">
        <f t="shared" si="2"/>
        <v>4000</v>
      </c>
      <c r="N52" s="44"/>
      <c r="O52" s="36">
        <f>VLOOKUP(C52,'[1]IP PITS'!$B$6:$I$87,8,0)</f>
        <v>0</v>
      </c>
      <c r="P52" s="47">
        <f t="shared" si="5"/>
        <v>480</v>
      </c>
      <c r="Q52" s="36">
        <f>(VLOOKUP(C52,'IP PITSS'!$B$10:$M$91,10,0))+(VLOOKUP(C52,'IP PITSS'!$B$10:$M$91,11,0))+(VLOOKUP(C52,'IP PITSS'!$B$10:$M$91,12,0))</f>
        <v>0</v>
      </c>
      <c r="R52" s="36">
        <f>VLOOKUP(C52,'IP PITSS'!$B$10:$R$91,17,0)</f>
        <v>0</v>
      </c>
      <c r="S52" s="36">
        <f>VLOOKUP(C52,'IP PITSS'!$B$10:$S$91,18,0)</f>
        <v>202.5</v>
      </c>
      <c r="T52" s="44"/>
      <c r="U52" s="47">
        <f t="shared" si="6"/>
        <v>4000</v>
      </c>
      <c r="V52" s="36">
        <f t="shared" si="0"/>
        <v>0</v>
      </c>
      <c r="W52" s="36"/>
      <c r="X52" s="47" t="s">
        <v>115</v>
      </c>
    </row>
    <row r="53" spans="1:24" s="47" customFormat="1" x14ac:dyDescent="0.2">
      <c r="A53" s="18" t="s">
        <v>334</v>
      </c>
      <c r="B53" s="37" t="s">
        <v>95</v>
      </c>
      <c r="C53" s="18" t="s">
        <v>335</v>
      </c>
      <c r="D53" s="37">
        <f>VLOOKUP(C53,'IP PITSS'!$B$10:$V$91,21,0)</f>
        <v>3583.8</v>
      </c>
      <c r="E53" s="59"/>
      <c r="F53" s="47">
        <f>VLOOKUP(C53,'SIND PITS'!$C$3:$D$100,2,0)</f>
        <v>416.19999999999982</v>
      </c>
      <c r="G53" s="47">
        <f>VLOOKUP(C53,'SIND PITS'!$C$3:$E$100,3,0)</f>
        <v>510</v>
      </c>
      <c r="H53" s="47">
        <f>VLOOKUP(C53,'SIND PITS'!$C$3:$F$100,4,0)</f>
        <v>0</v>
      </c>
      <c r="I53" s="47">
        <f>VLOOKUP(C53,'SIND PITS'!$C$3:$G$100,5,0)</f>
        <v>0</v>
      </c>
      <c r="J53" s="43"/>
      <c r="K53" s="47">
        <f t="shared" si="1"/>
        <v>4510</v>
      </c>
      <c r="L53" s="47">
        <v>8000</v>
      </c>
      <c r="M53" s="47">
        <f t="shared" si="2"/>
        <v>4000</v>
      </c>
      <c r="N53" s="44"/>
      <c r="O53" s="36">
        <f>VLOOKUP(C53,'[1]IP PITS'!$B$6:$I$87,8,0)</f>
        <v>0</v>
      </c>
      <c r="P53" s="47">
        <f t="shared" si="5"/>
        <v>510</v>
      </c>
      <c r="Q53" s="36">
        <f>(VLOOKUP(C53,'IP PITSS'!$B$10:$M$91,10,0))+(VLOOKUP(C53,'IP PITSS'!$B$10:$M$91,11,0))+(VLOOKUP(C53,'IP PITSS'!$B$10:$M$91,12,0))</f>
        <v>0</v>
      </c>
      <c r="R53" s="36">
        <f>VLOOKUP(C53,'IP PITSS'!$B$10:$R$91,17,0)</f>
        <v>0</v>
      </c>
      <c r="S53" s="36">
        <f>VLOOKUP(C53,'IP PITSS'!$B$10:$S$91,18,0)</f>
        <v>0</v>
      </c>
      <c r="T53" s="44"/>
      <c r="U53" s="47">
        <f t="shared" si="6"/>
        <v>4000</v>
      </c>
      <c r="V53" s="36">
        <f t="shared" si="0"/>
        <v>0</v>
      </c>
      <c r="W53" s="36"/>
      <c r="X53" s="47" t="s">
        <v>336</v>
      </c>
    </row>
    <row r="54" spans="1:24" s="47" customFormat="1" x14ac:dyDescent="0.2">
      <c r="A54" s="18" t="s">
        <v>175</v>
      </c>
      <c r="B54" s="37" t="s">
        <v>95</v>
      </c>
      <c r="C54" s="18" t="s">
        <v>176</v>
      </c>
      <c r="D54" s="37">
        <f>VLOOKUP(C54,'IP PITSS'!$B$10:$V$91,21,0)</f>
        <v>2924.8</v>
      </c>
      <c r="E54" s="59"/>
      <c r="F54" s="47">
        <f>VLOOKUP(C54,'SIND PITS'!$C$3:$D$100,2,0)</f>
        <v>135.19999999999982</v>
      </c>
      <c r="G54" s="47">
        <f>VLOOKUP(C54,'SIND PITS'!$C$3:$E$100,3,0)</f>
        <v>455</v>
      </c>
      <c r="H54" s="47">
        <f>VLOOKUP(C54,'SIND PITS'!$C$3:$F$100,4,0)</f>
        <v>0</v>
      </c>
      <c r="I54" s="47">
        <f>VLOOKUP(C54,'SIND PITS'!$C$3:$G$100,5,0)</f>
        <v>0</v>
      </c>
      <c r="J54" s="43"/>
      <c r="K54" s="47">
        <f t="shared" si="1"/>
        <v>3515</v>
      </c>
      <c r="L54" s="47">
        <v>6000</v>
      </c>
      <c r="M54" s="47">
        <f t="shared" si="2"/>
        <v>3000</v>
      </c>
      <c r="N54" s="44"/>
      <c r="O54" s="36">
        <f>VLOOKUP(C54,'[1]IP PITS'!$B$6:$I$87,8,0)</f>
        <v>60</v>
      </c>
      <c r="P54" s="47">
        <f t="shared" si="5"/>
        <v>455</v>
      </c>
      <c r="Q54" s="36">
        <f>(VLOOKUP(C54,'IP PITSS'!$B$10:$M$91,10,0))+(VLOOKUP(C54,'IP PITSS'!$B$10:$M$91,11,0))+(VLOOKUP(C54,'IP PITSS'!$B$10:$M$91,12,0))</f>
        <v>0</v>
      </c>
      <c r="R54" s="36">
        <f>VLOOKUP(C54,'IP PITSS'!$B$10:$R$91,17,0)</f>
        <v>0</v>
      </c>
      <c r="S54" s="36">
        <f>VLOOKUP(C54,'IP PITSS'!$B$10:$S$91,18,0)</f>
        <v>0</v>
      </c>
      <c r="T54" s="44"/>
      <c r="U54" s="47">
        <f t="shared" si="6"/>
        <v>3000</v>
      </c>
      <c r="V54" s="36">
        <f t="shared" si="0"/>
        <v>0</v>
      </c>
      <c r="W54" s="36"/>
      <c r="X54" s="47" t="s">
        <v>177</v>
      </c>
    </row>
    <row r="55" spans="1:24" s="47" customFormat="1" x14ac:dyDescent="0.2">
      <c r="A55" s="18" t="s">
        <v>280</v>
      </c>
      <c r="B55" s="37" t="s">
        <v>95</v>
      </c>
      <c r="C55" s="18" t="s">
        <v>281</v>
      </c>
      <c r="D55" s="37">
        <f>VLOOKUP(C55,'IP PITSS'!$B$10:$V$91,21,0)</f>
        <v>3663.6000000000004</v>
      </c>
      <c r="E55" s="59"/>
      <c r="F55" s="47">
        <f>VLOOKUP(C55,'SIND PITS'!$C$3:$D$100,2,0)</f>
        <v>336.39999999999964</v>
      </c>
      <c r="G55" s="47">
        <f>VLOOKUP(C55,'SIND PITS'!$C$3:$E$100,3,0)</f>
        <v>1500</v>
      </c>
      <c r="H55" s="47">
        <f>VLOOKUP(C55,'SIND PITS'!$C$3:$F$100,4,0)</f>
        <v>0</v>
      </c>
      <c r="I55" s="47">
        <f>VLOOKUP(C55,'SIND PITS'!$C$3:$G$100,5,0)</f>
        <v>0</v>
      </c>
      <c r="J55" s="43"/>
      <c r="K55" s="47">
        <f t="shared" si="1"/>
        <v>5500</v>
      </c>
      <c r="L55" s="47">
        <v>8000</v>
      </c>
      <c r="M55" s="47">
        <f t="shared" si="2"/>
        <v>4000</v>
      </c>
      <c r="N55" s="44"/>
      <c r="O55" s="36">
        <f>VLOOKUP(C55,'[1]IP PITS'!$B$6:$I$87,8,0)</f>
        <v>0</v>
      </c>
      <c r="P55" s="47">
        <f t="shared" si="5"/>
        <v>1500</v>
      </c>
      <c r="Q55" s="36">
        <f>(VLOOKUP(C55,'IP PITSS'!$B$10:$M$91,10,0))+(VLOOKUP(C55,'IP PITSS'!$B$10:$M$91,11,0))+(VLOOKUP(C55,'IP PITSS'!$B$10:$M$91,12,0))</f>
        <v>0</v>
      </c>
      <c r="R55" s="36">
        <f>VLOOKUP(C55,'IP PITSS'!$B$10:$R$91,17,0)</f>
        <v>0</v>
      </c>
      <c r="S55" s="36">
        <f>VLOOKUP(C55,'IP PITSS'!$B$10:$S$91,18,0)</f>
        <v>0</v>
      </c>
      <c r="T55" s="44"/>
      <c r="U55" s="47">
        <f>+K55-O55-P55+Q55+R55+S55</f>
        <v>4000</v>
      </c>
      <c r="V55" s="36">
        <f t="shared" si="0"/>
        <v>0</v>
      </c>
      <c r="W55" s="36"/>
      <c r="X55" s="47" t="s">
        <v>282</v>
      </c>
    </row>
    <row r="56" spans="1:24" s="47" customFormat="1" x14ac:dyDescent="0.2">
      <c r="A56" s="18" t="s">
        <v>206</v>
      </c>
      <c r="B56" s="37" t="s">
        <v>95</v>
      </c>
      <c r="C56" s="18" t="s">
        <v>207</v>
      </c>
      <c r="D56" s="37">
        <f>VLOOKUP(C56,'IP PITSS'!$B$10:$V$91,21,0)</f>
        <v>3585.4</v>
      </c>
      <c r="E56" s="59"/>
      <c r="F56" s="47">
        <f>VLOOKUP(C56,'SIND PITS'!$C$3:$D$100,2,0)</f>
        <v>414.59999999999991</v>
      </c>
      <c r="G56" s="47">
        <f>VLOOKUP(C56,'SIND PITS'!$C$3:$E$100,3,0)</f>
        <v>120</v>
      </c>
      <c r="H56" s="47">
        <f>VLOOKUP(C56,'SIND PITS'!$C$3:$F$100,4,0)</f>
        <v>0</v>
      </c>
      <c r="I56" s="47">
        <f>VLOOKUP(C56,'SIND PITS'!$C$3:$G$100,5,0)</f>
        <v>0</v>
      </c>
      <c r="J56" s="43"/>
      <c r="K56" s="47">
        <f t="shared" si="1"/>
        <v>4120</v>
      </c>
      <c r="L56" s="47">
        <v>8000</v>
      </c>
      <c r="M56" s="47">
        <f t="shared" si="2"/>
        <v>4000</v>
      </c>
      <c r="N56" s="44"/>
      <c r="O56" s="36">
        <f>VLOOKUP(C56,'[1]IP PITS'!$B$6:$I$87,8,0)</f>
        <v>0</v>
      </c>
      <c r="P56" s="47">
        <f t="shared" si="5"/>
        <v>120</v>
      </c>
      <c r="Q56" s="36">
        <f>(VLOOKUP(C56,'IP PITSS'!$B$10:$M$91,10,0))+(VLOOKUP(C56,'IP PITSS'!$B$10:$M$91,11,0))+(VLOOKUP(C56,'IP PITSS'!$B$10:$M$91,12,0))</f>
        <v>0</v>
      </c>
      <c r="R56" s="36">
        <f>VLOOKUP(C56,'IP PITSS'!$B$10:$R$91,17,0)</f>
        <v>0</v>
      </c>
      <c r="S56" s="36">
        <f>VLOOKUP(C56,'IP PITSS'!$B$10:$S$91,18,0)</f>
        <v>0</v>
      </c>
      <c r="T56" s="44"/>
      <c r="U56" s="47">
        <f t="shared" si="6"/>
        <v>4000</v>
      </c>
      <c r="V56" s="36">
        <f t="shared" si="0"/>
        <v>0</v>
      </c>
      <c r="W56" s="61"/>
      <c r="X56" s="47" t="s">
        <v>208</v>
      </c>
    </row>
    <row r="57" spans="1:24" s="47" customFormat="1" x14ac:dyDescent="0.2">
      <c r="A57" s="18" t="s">
        <v>319</v>
      </c>
      <c r="B57" s="37" t="s">
        <v>95</v>
      </c>
      <c r="C57" s="18" t="s">
        <v>320</v>
      </c>
      <c r="D57" s="37">
        <f>VLOOKUP(C57,'IP PITSS'!$B$10:$V$91,21,0)</f>
        <v>3585.4</v>
      </c>
      <c r="E57" s="59"/>
      <c r="F57" s="47">
        <f>VLOOKUP(C57,'SIND PITS'!$C$3:$D$100,2,0)</f>
        <v>414.59999999999991</v>
      </c>
      <c r="G57" s="47">
        <f>VLOOKUP(C57,'SIND PITS'!$C$3:$E$100,3,0)</f>
        <v>480</v>
      </c>
      <c r="H57" s="47">
        <f>VLOOKUP(C57,'SIND PITS'!$C$3:$F$100,4,0)</f>
        <v>0</v>
      </c>
      <c r="I57" s="47">
        <f>VLOOKUP(C57,'SIND PITS'!$C$3:$G$100,5,0)</f>
        <v>0</v>
      </c>
      <c r="J57" s="43"/>
      <c r="K57" s="47">
        <f t="shared" si="1"/>
        <v>4480</v>
      </c>
      <c r="L57" s="47">
        <v>8000</v>
      </c>
      <c r="M57" s="47">
        <f t="shared" si="2"/>
        <v>4000</v>
      </c>
      <c r="N57" s="44"/>
      <c r="O57" s="36">
        <f>VLOOKUP(C57,'[1]IP PITS'!$B$6:$I$87,8,0)</f>
        <v>0</v>
      </c>
      <c r="P57" s="47">
        <f t="shared" si="5"/>
        <v>480</v>
      </c>
      <c r="Q57" s="36">
        <f>(VLOOKUP(C57,'IP PITSS'!$B$10:$M$91,10,0))+(VLOOKUP(C57,'IP PITSS'!$B$10:$M$91,11,0))+(VLOOKUP(C57,'IP PITSS'!$B$10:$M$91,12,0))</f>
        <v>0</v>
      </c>
      <c r="R57" s="36">
        <f>VLOOKUP(C57,'IP PITSS'!$B$10:$R$91,17,0)</f>
        <v>0</v>
      </c>
      <c r="S57" s="36">
        <f>VLOOKUP(C57,'IP PITSS'!$B$10:$S$91,18,0)</f>
        <v>0</v>
      </c>
      <c r="T57" s="44"/>
      <c r="U57" s="47">
        <f t="shared" si="6"/>
        <v>4000</v>
      </c>
      <c r="V57" s="36">
        <f t="shared" si="0"/>
        <v>0</v>
      </c>
      <c r="W57" s="66"/>
      <c r="X57" s="47" t="s">
        <v>321</v>
      </c>
    </row>
    <row r="58" spans="1:24" s="47" customFormat="1" x14ac:dyDescent="0.2">
      <c r="A58" s="18" t="s">
        <v>162</v>
      </c>
      <c r="B58" s="37" t="s">
        <v>95</v>
      </c>
      <c r="C58" s="18" t="s">
        <v>163</v>
      </c>
      <c r="D58" s="37">
        <f>VLOOKUP(C58,'IP PITSS'!$B$10:$V$91,21,0)</f>
        <v>3583.8</v>
      </c>
      <c r="E58" s="59"/>
      <c r="F58" s="47">
        <f>VLOOKUP(C58,'SIND PITS'!$C$3:$D$100,2,0)</f>
        <v>416.19999999999982</v>
      </c>
      <c r="G58" s="47">
        <f>VLOOKUP(C58,'SIND PITS'!$C$3:$E$100,3,0)</f>
        <v>480</v>
      </c>
      <c r="H58" s="47">
        <f>VLOOKUP(C58,'SIND PITS'!$C$3:$F$100,4,0)</f>
        <v>0</v>
      </c>
      <c r="I58" s="47">
        <f>VLOOKUP(C58,'SIND PITS'!$C$3:$G$100,5,0)</f>
        <v>0</v>
      </c>
      <c r="J58" s="43"/>
      <c r="K58" s="47">
        <f t="shared" si="1"/>
        <v>4480</v>
      </c>
      <c r="L58" s="47">
        <v>8000</v>
      </c>
      <c r="M58" s="47">
        <f t="shared" si="2"/>
        <v>4000</v>
      </c>
      <c r="N58" s="44"/>
      <c r="O58" s="36">
        <f>VLOOKUP(C58,'[1]IP PITS'!$B$6:$I$87,8,0)</f>
        <v>0</v>
      </c>
      <c r="P58" s="47">
        <f t="shared" si="5"/>
        <v>480</v>
      </c>
      <c r="Q58" s="36">
        <f>(VLOOKUP(C58,'IP PITSS'!$B$10:$M$91,10,0))+(VLOOKUP(C58,'IP PITSS'!$B$10:$M$91,11,0))+(VLOOKUP(C58,'IP PITSS'!$B$10:$M$91,12,0))</f>
        <v>0</v>
      </c>
      <c r="R58" s="36">
        <f>VLOOKUP(C58,'IP PITSS'!$B$10:$R$91,17,0)</f>
        <v>0</v>
      </c>
      <c r="S58" s="36">
        <f>VLOOKUP(C58,'IP PITSS'!$B$10:$S$91,18,0)</f>
        <v>0</v>
      </c>
      <c r="T58" s="44"/>
      <c r="U58" s="47">
        <f t="shared" si="6"/>
        <v>4000</v>
      </c>
      <c r="V58" s="36">
        <f t="shared" si="0"/>
        <v>0</v>
      </c>
      <c r="W58" s="61"/>
      <c r="X58" s="47" t="s">
        <v>164</v>
      </c>
    </row>
    <row r="59" spans="1:24" s="47" customFormat="1" x14ac:dyDescent="0.2">
      <c r="A59" s="24" t="s">
        <v>373</v>
      </c>
      <c r="B59" s="37" t="s">
        <v>95</v>
      </c>
      <c r="C59" s="24" t="s">
        <v>266</v>
      </c>
      <c r="D59" s="37">
        <f>VLOOKUP(C59,'IP PITSS'!$B$10:$V$91,21,0)</f>
        <v>2237.8000000000002</v>
      </c>
      <c r="E59" s="59"/>
      <c r="F59" s="47">
        <f>VLOOKUP(C59,'SIND PITS'!$C$3:$D$100,2,0)</f>
        <v>2262.1999999999998</v>
      </c>
      <c r="G59" s="47">
        <f>VLOOKUP(C59,'SIND PITS'!$C$3:$E$100,3,0)</f>
        <v>0</v>
      </c>
      <c r="H59" s="47">
        <f>VLOOKUP(C59,'SIND PITS'!$C$3:$F$100,4,0)</f>
        <v>0</v>
      </c>
      <c r="I59" s="47">
        <f>VLOOKUP(C59,'SIND PITS'!$C$3:$G$100,5,0)</f>
        <v>0</v>
      </c>
      <c r="J59" s="43"/>
      <c r="K59" s="47">
        <f t="shared" si="1"/>
        <v>4500</v>
      </c>
      <c r="L59" s="36">
        <v>9000</v>
      </c>
      <c r="M59" s="47">
        <f t="shared" si="2"/>
        <v>4500</v>
      </c>
      <c r="N59" s="44"/>
      <c r="O59" s="36">
        <f>VLOOKUP(C59,'[1]IP PITS'!$B$6:$I$87,8,0)</f>
        <v>0</v>
      </c>
      <c r="P59" s="60">
        <f t="shared" si="5"/>
        <v>0</v>
      </c>
      <c r="Q59" s="36">
        <f>(VLOOKUP(C59,'IP PITSS'!$B$10:$M$91,10,0))+(VLOOKUP(C59,'IP PITSS'!$B$10:$M$91,11,0))+(VLOOKUP(C59,'IP PITSS'!$B$10:$M$91,12,0))</f>
        <v>0</v>
      </c>
      <c r="R59" s="36">
        <f>VLOOKUP(C59,'IP PITSS'!$B$10:$R$91,17,0)</f>
        <v>0</v>
      </c>
      <c r="S59" s="36">
        <f>VLOOKUP(C59,'IP PITSS'!$B$10:$S$91,18,0)</f>
        <v>0</v>
      </c>
      <c r="T59" s="44"/>
      <c r="U59" s="47">
        <f t="shared" si="6"/>
        <v>4500</v>
      </c>
      <c r="V59" s="36">
        <f t="shared" si="0"/>
        <v>0</v>
      </c>
      <c r="W59" s="36"/>
      <c r="X59" s="47" t="s">
        <v>267</v>
      </c>
    </row>
    <row r="60" spans="1:24" s="47" customFormat="1" x14ac:dyDescent="0.2">
      <c r="A60" s="27" t="s">
        <v>374</v>
      </c>
      <c r="B60" s="37" t="s">
        <v>95</v>
      </c>
      <c r="C60" s="27" t="s">
        <v>271</v>
      </c>
      <c r="D60" s="37">
        <f>VLOOKUP(C60,'IP PITSS'!$B$10:$V$91,21,0)</f>
        <v>1475.8</v>
      </c>
      <c r="E60" s="59"/>
      <c r="F60" s="47">
        <f>VLOOKUP(C60,'SIND PITS'!$C$3:$D$100,2,0)</f>
        <v>2262.37</v>
      </c>
      <c r="G60" s="47">
        <f>VLOOKUP(C60,'SIND PITS'!$C$3:$E$100,3,0)</f>
        <v>300</v>
      </c>
      <c r="H60" s="47">
        <f>VLOOKUP(C60,'SIND PITS'!$C$3:$F$100,4,0)</f>
        <v>0</v>
      </c>
      <c r="I60" s="47">
        <f>VLOOKUP(C60,'SIND PITS'!$C$3:$G$100,5,0)</f>
        <v>0</v>
      </c>
      <c r="J60" s="43"/>
      <c r="K60" s="47">
        <f t="shared" si="1"/>
        <v>4038.17</v>
      </c>
      <c r="L60" s="47">
        <v>9000</v>
      </c>
      <c r="M60" s="47">
        <f t="shared" si="2"/>
        <v>4500</v>
      </c>
      <c r="N60" s="44"/>
      <c r="O60" s="36">
        <f>VLOOKUP(C60,'[1]IP PITS'!$B$6:$I$87,8,0)</f>
        <v>0</v>
      </c>
      <c r="P60" s="47">
        <f t="shared" si="5"/>
        <v>300</v>
      </c>
      <c r="Q60" s="36">
        <f>(VLOOKUP(C60,'IP PITSS'!$B$10:$M$91,10,0))+(VLOOKUP(C60,'IP PITSS'!$B$10:$M$91,11,0))+(VLOOKUP(C60,'IP PITSS'!$B$10:$M$91,12,0))</f>
        <v>761.83</v>
      </c>
      <c r="R60" s="36">
        <f>VLOOKUP(C60,'IP PITSS'!$B$10:$R$91,17,0)</f>
        <v>0</v>
      </c>
      <c r="S60" s="36">
        <f>VLOOKUP(C60,'IP PITSS'!$B$10:$S$91,18,0)</f>
        <v>0</v>
      </c>
      <c r="T60" s="44"/>
      <c r="U60" s="47">
        <f t="shared" si="6"/>
        <v>4500</v>
      </c>
      <c r="V60" s="36">
        <f t="shared" si="0"/>
        <v>0</v>
      </c>
      <c r="W60" s="67"/>
      <c r="X60" s="47" t="s">
        <v>272</v>
      </c>
    </row>
    <row r="61" spans="1:24" s="47" customFormat="1" ht="14.25" customHeight="1" x14ac:dyDescent="0.2">
      <c r="A61" s="27" t="s">
        <v>375</v>
      </c>
      <c r="B61" s="37" t="s">
        <v>95</v>
      </c>
      <c r="C61" s="18" t="s">
        <v>204</v>
      </c>
      <c r="D61" s="37">
        <f>VLOOKUP(C61,'IP PITSS'!$B$10:$V$91,21,0)</f>
        <v>1126.0000000000005</v>
      </c>
      <c r="E61" s="59"/>
      <c r="F61" s="47">
        <f>VLOOKUP(C61,'SIND PITS'!$C$3:$D$100,2,0)</f>
        <v>2884.91</v>
      </c>
      <c r="G61" s="47">
        <f>VLOOKUP(C61,'SIND PITS'!$C$3:$E$100,3,0)</f>
        <v>225</v>
      </c>
      <c r="H61" s="47">
        <f>VLOOKUP(C61,'SIND PITS'!$C$3:$F$100,4,0)</f>
        <v>0</v>
      </c>
      <c r="I61" s="47">
        <f>VLOOKUP(C61,'SIND PITS'!$C$3:$G$100,5,0)</f>
        <v>0</v>
      </c>
      <c r="J61" s="43"/>
      <c r="K61" s="47">
        <f t="shared" si="1"/>
        <v>4235.91</v>
      </c>
      <c r="L61" s="47">
        <v>12000</v>
      </c>
      <c r="M61" s="47">
        <f t="shared" si="2"/>
        <v>6000</v>
      </c>
      <c r="N61" s="44"/>
      <c r="O61" s="36">
        <f>VLOOKUP(C61,'[1]IP PITS'!$B$6:$I$87,8,0)</f>
        <v>0</v>
      </c>
      <c r="P61" s="47">
        <f t="shared" si="5"/>
        <v>225</v>
      </c>
      <c r="Q61" s="36">
        <f>(VLOOKUP(C61,'IP PITSS'!$B$10:$M$91,10,0))+(VLOOKUP(C61,'IP PITSS'!$B$10:$M$91,11,0))+(VLOOKUP(C61,'IP PITSS'!$B$10:$M$91,12,0))</f>
        <v>1989.09</v>
      </c>
      <c r="R61" s="36">
        <f>VLOOKUP(C61,'IP PITSS'!$B$10:$R$91,17,0)</f>
        <v>0</v>
      </c>
      <c r="S61" s="36">
        <f>VLOOKUP(C61,'IP PITSS'!$B$10:$S$91,18,0)</f>
        <v>0</v>
      </c>
      <c r="T61" s="44"/>
      <c r="U61" s="47">
        <f t="shared" si="6"/>
        <v>6000</v>
      </c>
      <c r="V61" s="36">
        <f t="shared" si="0"/>
        <v>0</v>
      </c>
      <c r="W61" s="36"/>
      <c r="X61" s="47" t="s">
        <v>205</v>
      </c>
    </row>
    <row r="62" spans="1:24" s="36" customFormat="1" x14ac:dyDescent="0.2">
      <c r="A62" s="18" t="s">
        <v>376</v>
      </c>
      <c r="B62" s="37" t="s">
        <v>95</v>
      </c>
      <c r="C62" s="18" t="s">
        <v>179</v>
      </c>
      <c r="D62" s="37">
        <f>VLOOKUP(C62,'IP PITSS'!$B$10:$V$91,21,0)</f>
        <v>3278.6</v>
      </c>
      <c r="E62" s="59"/>
      <c r="F62" s="47">
        <f>VLOOKUP(C62,'SIND PITS'!$C$3:$D$100,2,0)</f>
        <v>3721.4</v>
      </c>
      <c r="G62" s="47">
        <f>VLOOKUP(C62,'SIND PITS'!$C$3:$E$100,3,0)</f>
        <v>375</v>
      </c>
      <c r="H62" s="47">
        <f>VLOOKUP(C62,'SIND PITS'!$C$3:$F$100,4,0)</f>
        <v>0</v>
      </c>
      <c r="I62" s="47">
        <f>VLOOKUP(C62,'SIND PITS'!$C$3:$G$100,5,0)</f>
        <v>0</v>
      </c>
      <c r="J62" s="43"/>
      <c r="K62" s="47">
        <f t="shared" si="1"/>
        <v>7375</v>
      </c>
      <c r="L62" s="47">
        <v>14000</v>
      </c>
      <c r="M62" s="47">
        <f t="shared" si="2"/>
        <v>7000</v>
      </c>
      <c r="N62" s="44"/>
      <c r="O62" s="36">
        <f>VLOOKUP(C62,'[1]IP PITS'!$B$6:$I$87,8,0)</f>
        <v>0</v>
      </c>
      <c r="P62" s="47">
        <f t="shared" si="5"/>
        <v>375</v>
      </c>
      <c r="Q62" s="36">
        <f>(VLOOKUP(C62,'IP PITSS'!$B$10:$M$91,10,0))+(VLOOKUP(C62,'IP PITSS'!$B$10:$M$91,11,0))+(VLOOKUP(C62,'IP PITSS'!$B$10:$M$91,12,0))</f>
        <v>0</v>
      </c>
      <c r="R62" s="36">
        <f>VLOOKUP(C62,'IP PITSS'!$B$10:$R$91,17,0)</f>
        <v>0</v>
      </c>
      <c r="S62" s="36">
        <f>VLOOKUP(C62,'IP PITSS'!$B$10:$S$91,18,0)</f>
        <v>0</v>
      </c>
      <c r="T62" s="44"/>
      <c r="U62" s="47">
        <f t="shared" si="6"/>
        <v>7000</v>
      </c>
      <c r="V62" s="36">
        <f t="shared" si="0"/>
        <v>0</v>
      </c>
      <c r="X62" s="47" t="s">
        <v>180</v>
      </c>
    </row>
    <row r="63" spans="1:24" s="36" customFormat="1" x14ac:dyDescent="0.2">
      <c r="A63" s="18" t="s">
        <v>377</v>
      </c>
      <c r="B63" s="37" t="s">
        <v>95</v>
      </c>
      <c r="C63" s="18" t="s">
        <v>131</v>
      </c>
      <c r="D63" s="37">
        <f>VLOOKUP(C63,'IP PITSS'!$B$10:$V$91,21,0)</f>
        <v>3278.7999999999997</v>
      </c>
      <c r="E63" s="59"/>
      <c r="F63" s="47">
        <f>VLOOKUP(C63,'SIND PITS'!$C$3:$D$100,2,0)</f>
        <v>4001.2000000000007</v>
      </c>
      <c r="G63" s="47">
        <f>VLOOKUP(C63,'SIND PITS'!$C$3:$E$100,3,0)</f>
        <v>437.5</v>
      </c>
      <c r="H63" s="47">
        <f>VLOOKUP(C63,'SIND PITS'!$C$3:$F$100,4,0)</f>
        <v>840</v>
      </c>
      <c r="I63" s="47">
        <f>VLOOKUP(C63,'SIND PITS'!$C$3:$G$100,5,0)</f>
        <v>0</v>
      </c>
      <c r="J63" s="43"/>
      <c r="K63" s="47">
        <f t="shared" si="1"/>
        <v>8557.5</v>
      </c>
      <c r="L63" s="47">
        <v>14000</v>
      </c>
      <c r="M63" s="47">
        <f t="shared" si="2"/>
        <v>7000</v>
      </c>
      <c r="N63" s="44"/>
      <c r="O63" s="36">
        <f>VLOOKUP(C63,'[1]IP PITS'!$B$6:$I$87,8,0)</f>
        <v>280</v>
      </c>
      <c r="P63" s="47">
        <f t="shared" si="5"/>
        <v>1277.5</v>
      </c>
      <c r="Q63" s="36">
        <f>(VLOOKUP(C63,'IP PITSS'!$B$10:$M$91,10,0))+(VLOOKUP(C63,'IP PITSS'!$B$10:$M$91,11,0))+(VLOOKUP(C63,'IP PITSS'!$B$10:$M$91,12,0))</f>
        <v>0</v>
      </c>
      <c r="R63" s="36">
        <f>VLOOKUP(C63,'IP PITSS'!$B$10:$R$91,17,0)</f>
        <v>0</v>
      </c>
      <c r="S63" s="36">
        <f>VLOOKUP(C63,'IP PITSS'!$B$10:$S$91,18,0)</f>
        <v>0</v>
      </c>
      <c r="T63" s="44"/>
      <c r="U63" s="47">
        <f t="shared" si="6"/>
        <v>7000</v>
      </c>
      <c r="V63" s="36">
        <f t="shared" si="0"/>
        <v>0</v>
      </c>
      <c r="X63" s="47" t="s">
        <v>132</v>
      </c>
    </row>
    <row r="64" spans="1:24" s="36" customFormat="1" x14ac:dyDescent="0.2">
      <c r="A64" s="18" t="s">
        <v>378</v>
      </c>
      <c r="B64" s="37" t="s">
        <v>95</v>
      </c>
      <c r="C64" s="18" t="s">
        <v>248</v>
      </c>
      <c r="D64" s="37">
        <f>VLOOKUP(C64,'IP PITSS'!$B$10:$V$91,21,0)</f>
        <v>2320.4</v>
      </c>
      <c r="E64" s="59"/>
      <c r="F64" s="47">
        <f>VLOOKUP(C64,'SIND PITS'!$C$3:$D$100,2,0)</f>
        <v>3339.3200000000006</v>
      </c>
      <c r="G64" s="47">
        <f>VLOOKUP(C64,'SIND PITS'!$C$3:$E$100,3,0)</f>
        <v>412.5</v>
      </c>
      <c r="H64" s="47">
        <f>VLOOKUP(C64,'SIND PITS'!$C$3:$F$100,4,0)</f>
        <v>1880</v>
      </c>
      <c r="I64" s="47">
        <f>VLOOKUP(C64,'SIND PITS'!$C$3:$G$100,5,0)</f>
        <v>0</v>
      </c>
      <c r="J64" s="43"/>
      <c r="K64" s="47">
        <f t="shared" si="1"/>
        <v>7952.2200000000012</v>
      </c>
      <c r="L64" s="47">
        <v>15000</v>
      </c>
      <c r="M64" s="47">
        <f t="shared" si="2"/>
        <v>7500</v>
      </c>
      <c r="N64" s="44"/>
      <c r="O64" s="36">
        <f>VLOOKUP(C64,'[1]IP PITS'!$B$6:$I$87,8,0)</f>
        <v>0</v>
      </c>
      <c r="P64" s="47">
        <f t="shared" si="5"/>
        <v>2292.5</v>
      </c>
      <c r="Q64" s="36">
        <f>(VLOOKUP(C64,'IP PITSS'!$B$10:$M$91,10,0))+(VLOOKUP(C64,'IP PITSS'!$B$10:$M$91,11,0))+(VLOOKUP(C64,'IP PITSS'!$B$10:$M$91,12,0))</f>
        <v>1840.28</v>
      </c>
      <c r="R64" s="36">
        <f>VLOOKUP(C64,'IP PITSS'!$B$10:$R$91,17,0)</f>
        <v>0</v>
      </c>
      <c r="S64" s="36">
        <f>VLOOKUP(C64,'IP PITSS'!$B$10:$S$91,18,0)</f>
        <v>0</v>
      </c>
      <c r="T64" s="44"/>
      <c r="U64" s="47">
        <f t="shared" si="6"/>
        <v>7500.0000000000009</v>
      </c>
      <c r="V64" s="36">
        <f t="shared" si="0"/>
        <v>0</v>
      </c>
      <c r="X64" s="47" t="s">
        <v>249</v>
      </c>
    </row>
    <row r="65" spans="1:24" s="36" customFormat="1" x14ac:dyDescent="0.2">
      <c r="A65" s="18" t="s">
        <v>371</v>
      </c>
      <c r="B65" s="37" t="s">
        <v>95</v>
      </c>
      <c r="C65" s="18" t="s">
        <v>257</v>
      </c>
      <c r="D65" s="37">
        <f>VLOOKUP(C65,'IP PITSS'!$B$10:$V$91,21,0)</f>
        <v>1636.6</v>
      </c>
      <c r="E65" s="59"/>
      <c r="F65" s="47">
        <f>VLOOKUP(C65,'SIND PITS'!$C$3:$D$100,2,0)</f>
        <v>4339.3900000000003</v>
      </c>
      <c r="G65" s="47">
        <f>VLOOKUP(C65,'SIND PITS'!$C$3:$E$100,3,0)</f>
        <v>281.25</v>
      </c>
      <c r="H65" s="47">
        <f>VLOOKUP(C65,'SIND PITS'!$C$3:$F$100,4,0)</f>
        <v>1160</v>
      </c>
      <c r="I65" s="47">
        <f>VLOOKUP(C65,'SIND PITS'!$C$3:$G$100,5,0)</f>
        <v>0</v>
      </c>
      <c r="J65" s="43"/>
      <c r="K65" s="47">
        <f t="shared" si="1"/>
        <v>7417.24</v>
      </c>
      <c r="L65" s="47">
        <v>17000</v>
      </c>
      <c r="M65" s="47">
        <f t="shared" si="2"/>
        <v>8500</v>
      </c>
      <c r="N65" s="44"/>
      <c r="O65" s="36">
        <f>VLOOKUP(C65,'[1]IP PITS'!$B$6:$I$87,8,0)</f>
        <v>0</v>
      </c>
      <c r="P65" s="47">
        <f t="shared" si="5"/>
        <v>1441.25</v>
      </c>
      <c r="Q65" s="36">
        <f>(VLOOKUP(C65,'IP PITSS'!$B$10:$M$91,10,0))+(VLOOKUP(C65,'IP PITSS'!$B$10:$M$91,11,0))+(VLOOKUP(C65,'IP PITSS'!$B$10:$M$91,12,0))</f>
        <v>2128.19</v>
      </c>
      <c r="R65" s="36">
        <f>VLOOKUP(C65,'IP PITSS'!$B$10:$R$91,17,0)</f>
        <v>0</v>
      </c>
      <c r="S65" s="36">
        <f>VLOOKUP(C65,'IP PITSS'!$B$10:$S$91,18,0)</f>
        <v>395.82</v>
      </c>
      <c r="T65" s="44"/>
      <c r="U65" s="47">
        <f t="shared" si="6"/>
        <v>8500</v>
      </c>
      <c r="V65" s="36">
        <f t="shared" si="0"/>
        <v>0</v>
      </c>
      <c r="X65" s="47" t="s">
        <v>258</v>
      </c>
    </row>
    <row r="66" spans="1:24" s="36" customFormat="1" x14ac:dyDescent="0.2">
      <c r="A66" s="18" t="s">
        <v>379</v>
      </c>
      <c r="B66" s="37" t="s">
        <v>95</v>
      </c>
      <c r="C66" s="18" t="s">
        <v>330</v>
      </c>
      <c r="D66" s="37">
        <f>VLOOKUP(C66,'IP PITSS'!$B$10:$V$91,21,0)</f>
        <v>3332.6</v>
      </c>
      <c r="E66" s="59"/>
      <c r="F66" s="47">
        <f>VLOOKUP(C66,'SIND PITS'!$C$3:$D$100,2,0)</f>
        <v>1917.3999999999996</v>
      </c>
      <c r="G66" s="47">
        <f>VLOOKUP(C66,'SIND PITS'!$C$3:$E$100,3,0)</f>
        <v>1200</v>
      </c>
      <c r="H66" s="47">
        <f>VLOOKUP(C66,'SIND PITS'!$C$3:$F$100,4,0)</f>
        <v>2000</v>
      </c>
      <c r="I66" s="47">
        <f>VLOOKUP(C66,'SIND PITS'!$C$3:$G$100,5,0)</f>
        <v>0</v>
      </c>
      <c r="J66" s="43"/>
      <c r="K66" s="47">
        <f t="shared" si="1"/>
        <v>8450</v>
      </c>
      <c r="L66" s="68">
        <v>10500</v>
      </c>
      <c r="M66" s="47">
        <f t="shared" si="2"/>
        <v>5250</v>
      </c>
      <c r="N66" s="44"/>
      <c r="O66" s="36">
        <f>VLOOKUP(C66,'[1]IP PITS'!$B$6:$I$87,8,0)</f>
        <v>0</v>
      </c>
      <c r="P66" s="47">
        <f t="shared" si="5"/>
        <v>3200</v>
      </c>
      <c r="Q66" s="36">
        <f>(VLOOKUP(C66,'IP PITSS'!$B$10:$M$91,10,0))+(VLOOKUP(C66,'IP PITSS'!$B$10:$M$91,11,0))+(VLOOKUP(C66,'IP PITSS'!$B$10:$M$91,12,0))</f>
        <v>0</v>
      </c>
      <c r="R66" s="36">
        <f>VLOOKUP(C66,'IP PITSS'!$B$10:$R$91,17,0)</f>
        <v>0</v>
      </c>
      <c r="S66" s="36">
        <f>VLOOKUP(C66,'IP PITSS'!$B$10:$S$91,18,0)</f>
        <v>0</v>
      </c>
      <c r="T66" s="44"/>
      <c r="U66" s="47">
        <f t="shared" si="6"/>
        <v>5250</v>
      </c>
      <c r="V66" s="36">
        <f t="shared" si="0"/>
        <v>0</v>
      </c>
      <c r="X66" s="47" t="s">
        <v>331</v>
      </c>
    </row>
    <row r="67" spans="1:24" s="36" customFormat="1" x14ac:dyDescent="0.2">
      <c r="A67" s="18" t="s">
        <v>296</v>
      </c>
      <c r="B67" s="37" t="s">
        <v>95</v>
      </c>
      <c r="C67" s="18" t="s">
        <v>338</v>
      </c>
      <c r="D67" s="37">
        <f>VLOOKUP(C67,'IP PITSS'!$B$10:$V$91,21,0)</f>
        <v>2152.4</v>
      </c>
      <c r="E67" s="59"/>
      <c r="F67" s="47">
        <f>VLOOKUP(C67,'SIND PITS'!$C$3:$D$100,2,0)</f>
        <v>2667.23</v>
      </c>
      <c r="G67" s="47">
        <f>VLOOKUP(C67,'SIND PITS'!$C$3:$E$100,3,0)</f>
        <v>0</v>
      </c>
      <c r="H67" s="47">
        <f>VLOOKUP(C67,'SIND PITS'!$C$3:$F$100,4,0)</f>
        <v>760</v>
      </c>
      <c r="I67" s="47">
        <f>VLOOKUP(C67,'SIND PITS'!$C$3:$G$100,5,0)</f>
        <v>0</v>
      </c>
      <c r="J67" s="43"/>
      <c r="K67" s="47">
        <f t="shared" si="1"/>
        <v>5579.63</v>
      </c>
      <c r="L67" s="47">
        <v>12000</v>
      </c>
      <c r="M67" s="47">
        <f t="shared" si="2"/>
        <v>6000</v>
      </c>
      <c r="N67" s="44"/>
      <c r="O67" s="36">
        <f>VLOOKUP(C67,'[1]IP PITS'!$B$6:$I$87,8,0)</f>
        <v>0</v>
      </c>
      <c r="P67" s="47">
        <f t="shared" si="5"/>
        <v>760</v>
      </c>
      <c r="Q67" s="36">
        <f>(VLOOKUP(C67,'IP PITSS'!$B$10:$M$91,10,0))+(VLOOKUP(C67,'IP PITSS'!$B$10:$M$91,11,0))+(VLOOKUP(C67,'IP PITSS'!$B$10:$M$91,12,0))</f>
        <v>1180.3699999999999</v>
      </c>
      <c r="R67" s="36">
        <f>VLOOKUP(C67,'IP PITSS'!$B$10:$R$91,17,0)</f>
        <v>0</v>
      </c>
      <c r="S67" s="36">
        <f>VLOOKUP(C67,'IP PITSS'!$B$10:$S$91,18,0)</f>
        <v>0</v>
      </c>
      <c r="T67" s="44"/>
      <c r="U67" s="47">
        <f t="shared" si="6"/>
        <v>6000</v>
      </c>
      <c r="V67" s="36">
        <f t="shared" ref="V67:V103" si="8">+M67-U67</f>
        <v>0</v>
      </c>
      <c r="X67" s="47" t="s">
        <v>339</v>
      </c>
    </row>
    <row r="68" spans="1:24" s="36" customFormat="1" x14ac:dyDescent="0.2">
      <c r="A68" s="18" t="s">
        <v>69</v>
      </c>
      <c r="B68" s="37" t="s">
        <v>95</v>
      </c>
      <c r="C68" s="18" t="s">
        <v>327</v>
      </c>
      <c r="D68" s="37">
        <f>VLOOKUP(C68,'IP PITSS'!$B$10:$V$91,21,0)</f>
        <v>1790.3999999999999</v>
      </c>
      <c r="E68" s="59"/>
      <c r="F68" s="47">
        <f>VLOOKUP(C68,'SIND PITS'!$C$3:$D$100,2,0)</f>
        <v>1667.4600000000005</v>
      </c>
      <c r="G68" s="47">
        <f>VLOOKUP(C68,'SIND PITS'!$C$3:$E$100,3,0)</f>
        <v>165</v>
      </c>
      <c r="H68" s="47">
        <f>VLOOKUP(C68,'SIND PITS'!$C$3:$F$100,4,0)</f>
        <v>320</v>
      </c>
      <c r="I68" s="47">
        <f>VLOOKUP(C68,'SIND PITS'!$C$3:$G$100,5,0)</f>
        <v>0</v>
      </c>
      <c r="J68" s="43"/>
      <c r="K68" s="47">
        <f t="shared" ref="K68:K103" si="9">SUM(D68:I68)</f>
        <v>3942.8600000000006</v>
      </c>
      <c r="L68" s="47">
        <v>10000</v>
      </c>
      <c r="M68" s="47">
        <f t="shared" si="2"/>
        <v>5000</v>
      </c>
      <c r="N68" s="44"/>
      <c r="O68" s="36">
        <f>VLOOKUP(C68,'[1]IP PITS'!$B$6:$I$87,8,0)</f>
        <v>0</v>
      </c>
      <c r="P68" s="47">
        <f t="shared" ref="P68:P102" si="10">+G68+H68+I68</f>
        <v>485</v>
      </c>
      <c r="Q68" s="36">
        <f>(VLOOKUP(C68,'IP PITSS'!$B$10:$M$91,10,0))+(VLOOKUP(C68,'IP PITSS'!$B$10:$M$91,11,0))+(VLOOKUP(C68,'IP PITSS'!$B$10:$M$91,12,0))</f>
        <v>1115.54</v>
      </c>
      <c r="R68" s="36">
        <f>VLOOKUP(C68,'IP PITSS'!$B$10:$R$91,17,0)</f>
        <v>0</v>
      </c>
      <c r="S68" s="36">
        <f>VLOOKUP(C68,'IP PITSS'!$B$10:$S$91,18,0)</f>
        <v>426.6</v>
      </c>
      <c r="T68" s="44"/>
      <c r="U68" s="47">
        <f t="shared" si="6"/>
        <v>5000.0000000000009</v>
      </c>
      <c r="V68" s="36">
        <f t="shared" si="8"/>
        <v>0</v>
      </c>
      <c r="X68" s="47" t="s">
        <v>328</v>
      </c>
    </row>
    <row r="69" spans="1:24" s="36" customFormat="1" x14ac:dyDescent="0.2">
      <c r="A69" s="18" t="s">
        <v>380</v>
      </c>
      <c r="B69" s="37" t="s">
        <v>95</v>
      </c>
      <c r="C69" s="18" t="s">
        <v>137</v>
      </c>
      <c r="D69" s="37">
        <f>VLOOKUP(C69,'IP PITSS'!$B$10:$V$91,21,0)</f>
        <v>3332.6</v>
      </c>
      <c r="E69" s="59"/>
      <c r="F69" s="47">
        <f>VLOOKUP(C69,'SIND PITS'!$C$3:$D$100,2,0)</f>
        <v>2667.3999999999996</v>
      </c>
      <c r="G69" s="47">
        <f>VLOOKUP(C69,'SIND PITS'!$C$3:$E$100,3,0)</f>
        <v>750</v>
      </c>
      <c r="H69" s="47">
        <f>VLOOKUP(C69,'SIND PITS'!$C$3:$F$100,4,0)</f>
        <v>400</v>
      </c>
      <c r="I69" s="47">
        <f>VLOOKUP(C69,'SIND PITS'!$C$3:$G$100,5,0)</f>
        <v>0</v>
      </c>
      <c r="J69" s="43"/>
      <c r="K69" s="47">
        <f t="shared" si="9"/>
        <v>7150</v>
      </c>
      <c r="L69" s="47">
        <v>12000</v>
      </c>
      <c r="M69" s="47">
        <f t="shared" ref="M69:M103" si="11">+L69/2</f>
        <v>6000</v>
      </c>
      <c r="N69" s="44"/>
      <c r="O69" s="36">
        <f>VLOOKUP(C69,'[1]IP PITS'!$B$6:$I$87,8,0)</f>
        <v>0</v>
      </c>
      <c r="P69" s="47">
        <f t="shared" si="10"/>
        <v>1150</v>
      </c>
      <c r="Q69" s="36">
        <f>(VLOOKUP(C69,'IP PITSS'!$B$10:$M$91,10,0))+(VLOOKUP(C69,'IP PITSS'!$B$10:$M$91,11,0))+(VLOOKUP(C69,'IP PITSS'!$B$10:$M$91,12,0))</f>
        <v>0</v>
      </c>
      <c r="R69" s="36">
        <f>VLOOKUP(C69,'IP PITSS'!$B$10:$R$91,17,0)</f>
        <v>0</v>
      </c>
      <c r="S69" s="36">
        <f>VLOOKUP(C69,'IP PITSS'!$B$10:$S$91,18,0)</f>
        <v>0</v>
      </c>
      <c r="T69" s="44"/>
      <c r="U69" s="47">
        <f t="shared" si="6"/>
        <v>6000</v>
      </c>
      <c r="V69" s="36">
        <f t="shared" si="8"/>
        <v>0</v>
      </c>
      <c r="W69" s="69"/>
      <c r="X69" s="47" t="s">
        <v>138</v>
      </c>
    </row>
    <row r="70" spans="1:24" s="36" customFormat="1" x14ac:dyDescent="0.2">
      <c r="A70" s="18" t="s">
        <v>238</v>
      </c>
      <c r="B70" s="37" t="s">
        <v>95</v>
      </c>
      <c r="C70" s="18" t="s">
        <v>160</v>
      </c>
      <c r="D70" s="37">
        <f>VLOOKUP(C70,'IP PITSS'!$B$10:$V$91,21,0)</f>
        <v>2647.6</v>
      </c>
      <c r="E70" s="59"/>
      <c r="F70" s="47">
        <f>VLOOKUP(C70,'SIND PITS'!$C$3:$D$100,2,0)</f>
        <v>1667.37</v>
      </c>
      <c r="G70" s="47">
        <f>VLOOKUP(C70,'SIND PITS'!$C$3:$E$100,3,0)</f>
        <v>465</v>
      </c>
      <c r="H70" s="47">
        <f>VLOOKUP(C70,'SIND PITS'!$C$3:$F$100,4,0)</f>
        <v>0</v>
      </c>
      <c r="I70" s="47">
        <f>VLOOKUP(C70,'SIND PITS'!$C$3:$G$100,5,0)</f>
        <v>0</v>
      </c>
      <c r="J70" s="43"/>
      <c r="K70" s="47">
        <f t="shared" si="9"/>
        <v>4779.9699999999993</v>
      </c>
      <c r="L70" s="47">
        <v>10000</v>
      </c>
      <c r="M70" s="47">
        <f t="shared" si="11"/>
        <v>5000</v>
      </c>
      <c r="N70" s="44"/>
      <c r="O70" s="36">
        <f>VLOOKUP(C70,'[1]IP PITS'!$B$6:$I$87,8,0)</f>
        <v>0</v>
      </c>
      <c r="P70" s="47">
        <f t="shared" si="10"/>
        <v>465</v>
      </c>
      <c r="Q70" s="36">
        <f>(VLOOKUP(C70,'IP PITSS'!$B$10:$M$91,10,0))+(VLOOKUP(C70,'IP PITSS'!$B$10:$M$91,11,0))+(VLOOKUP(C70,'IP PITSS'!$B$10:$M$91,12,0))</f>
        <v>685.03</v>
      </c>
      <c r="R70" s="36">
        <f>VLOOKUP(C70,'IP PITSS'!$B$10:$R$91,17,0)</f>
        <v>0</v>
      </c>
      <c r="S70" s="36">
        <f>VLOOKUP(C70,'IP PITSS'!$B$10:$S$91,18,0)</f>
        <v>0</v>
      </c>
      <c r="T70" s="44"/>
      <c r="U70" s="47">
        <f t="shared" si="6"/>
        <v>4999.9999999999991</v>
      </c>
      <c r="V70" s="36">
        <f t="shared" si="8"/>
        <v>0</v>
      </c>
      <c r="X70" s="47" t="s">
        <v>161</v>
      </c>
    </row>
    <row r="71" spans="1:24" s="36" customFormat="1" x14ac:dyDescent="0.2">
      <c r="A71" s="18" t="s">
        <v>381</v>
      </c>
      <c r="B71" s="37" t="s">
        <v>95</v>
      </c>
      <c r="C71" s="18" t="s">
        <v>251</v>
      </c>
      <c r="D71" s="37">
        <f>VLOOKUP(C71,'IP PITSS'!$B$10:$V$91,21,0)</f>
        <v>2497.6000000000004</v>
      </c>
      <c r="E71" s="59"/>
      <c r="F71" s="47">
        <f>VLOOKUP(C71,'SIND PITS'!$C$3:$D$100,2,0)</f>
        <v>2502.3999999999996</v>
      </c>
      <c r="G71" s="47">
        <f>VLOOKUP(C71,'SIND PITS'!$C$3:$E$100,3,0)</f>
        <v>160</v>
      </c>
      <c r="H71" s="47">
        <f>VLOOKUP(C71,'SIND PITS'!$C$3:$F$100,4,0)</f>
        <v>0</v>
      </c>
      <c r="I71" s="47">
        <f>VLOOKUP(C71,'SIND PITS'!$C$3:$G$100,5,0)</f>
        <v>49.999999999999986</v>
      </c>
      <c r="J71" s="43"/>
      <c r="K71" s="47">
        <f t="shared" si="9"/>
        <v>5210</v>
      </c>
      <c r="L71" s="47">
        <v>10000</v>
      </c>
      <c r="M71" s="47">
        <f t="shared" si="11"/>
        <v>5000</v>
      </c>
      <c r="N71" s="44"/>
      <c r="O71" s="36">
        <f>VLOOKUP(C71,'[1]IP PITS'!$B$6:$I$87,8,0)</f>
        <v>0</v>
      </c>
      <c r="P71" s="47">
        <f t="shared" si="10"/>
        <v>210</v>
      </c>
      <c r="Q71" s="36">
        <f>(VLOOKUP(C71,'IP PITSS'!$B$10:$M$91,10,0))+(VLOOKUP(C71,'IP PITSS'!$B$10:$M$91,11,0))+(VLOOKUP(C71,'IP PITSS'!$B$10:$M$91,12,0))</f>
        <v>0</v>
      </c>
      <c r="R71" s="36">
        <f>VLOOKUP(C71,'IP PITSS'!$B$10:$R$91,17,0)</f>
        <v>0</v>
      </c>
      <c r="S71" s="36">
        <f>VLOOKUP(C71,'IP PITSS'!$B$10:$S$91,18,0)</f>
        <v>0</v>
      </c>
      <c r="T71" s="44"/>
      <c r="U71" s="47">
        <f t="shared" si="6"/>
        <v>5000</v>
      </c>
      <c r="V71" s="36">
        <f t="shared" si="8"/>
        <v>0</v>
      </c>
      <c r="X71" s="47" t="s">
        <v>252</v>
      </c>
    </row>
    <row r="72" spans="1:24" s="36" customFormat="1" x14ac:dyDescent="0.2">
      <c r="A72" s="18" t="s">
        <v>98</v>
      </c>
      <c r="B72" s="37" t="s">
        <v>95</v>
      </c>
      <c r="C72" s="18" t="s">
        <v>242</v>
      </c>
      <c r="D72" s="37">
        <f>VLOOKUP(C72,'IP PITSS'!$B$10:$V$91,21,0)</f>
        <v>1931.6</v>
      </c>
      <c r="E72" s="59"/>
      <c r="F72" s="47">
        <f>VLOOKUP(C72,'SIND PITS'!$C$3:$D$100,2,0)</f>
        <v>1694.13</v>
      </c>
      <c r="G72" s="47">
        <f>VLOOKUP(C72,'SIND PITS'!$C$3:$E$100,3,0)</f>
        <v>225</v>
      </c>
      <c r="H72" s="47">
        <f>VLOOKUP(C72,'SIND PITS'!$C$3:$F$100,4,0)</f>
        <v>0</v>
      </c>
      <c r="I72" s="47">
        <f>VLOOKUP(C72,'SIND PITS'!$C$3:$G$100,5,0)</f>
        <v>0</v>
      </c>
      <c r="J72" s="43"/>
      <c r="K72" s="47">
        <f t="shared" si="9"/>
        <v>3850.73</v>
      </c>
      <c r="L72" s="47">
        <v>9000</v>
      </c>
      <c r="M72" s="47">
        <f t="shared" si="11"/>
        <v>4500</v>
      </c>
      <c r="N72" s="44"/>
      <c r="O72" s="36">
        <f>VLOOKUP(C72,'[1]IP PITS'!$B$6:$I$87,8,0)</f>
        <v>0</v>
      </c>
      <c r="P72" s="47">
        <f t="shared" si="10"/>
        <v>225</v>
      </c>
      <c r="Q72" s="36">
        <f>(VLOOKUP(C72,'IP PITSS'!$B$10:$M$91,10,0))+(VLOOKUP(C72,'IP PITSS'!$B$10:$M$91,11,0))+(VLOOKUP(C72,'IP PITSS'!$B$10:$M$91,12,0))</f>
        <v>874.27</v>
      </c>
      <c r="R72" s="36">
        <f>VLOOKUP(C72,'IP PITSS'!$B$10:$R$91,17,0)</f>
        <v>0</v>
      </c>
      <c r="S72" s="36">
        <f>VLOOKUP(C72,'IP PITSS'!$B$10:$S$91,18,0)</f>
        <v>0</v>
      </c>
      <c r="T72" s="44"/>
      <c r="U72" s="47">
        <f t="shared" si="6"/>
        <v>4500</v>
      </c>
      <c r="V72" s="36">
        <f t="shared" si="8"/>
        <v>0</v>
      </c>
      <c r="X72" s="47" t="s">
        <v>243</v>
      </c>
    </row>
    <row r="73" spans="1:24" s="36" customFormat="1" x14ac:dyDescent="0.2">
      <c r="A73" s="18" t="s">
        <v>382</v>
      </c>
      <c r="B73" s="37" t="s">
        <v>95</v>
      </c>
      <c r="C73" s="18" t="s">
        <v>304</v>
      </c>
      <c r="D73" s="37">
        <f>VLOOKUP(C73,'IP PITSS'!$B$10:$V$91,21,0)</f>
        <v>1474.5999999999997</v>
      </c>
      <c r="E73" s="59"/>
      <c r="F73" s="47">
        <f>VLOOKUP(C73,'SIND PITS'!$C$3:$D$100,2,0)</f>
        <v>2838.88</v>
      </c>
      <c r="G73" s="47">
        <f>VLOOKUP(C73,'SIND PITS'!$C$3:$E$100,3,0)</f>
        <v>110</v>
      </c>
      <c r="H73" s="47">
        <f>VLOOKUP(C73,'SIND PITS'!$C$3:$F$100,4,0)</f>
        <v>0</v>
      </c>
      <c r="I73" s="47">
        <f>VLOOKUP(C73,'SIND PITS'!$C$3:$G$100,5,0)</f>
        <v>0</v>
      </c>
      <c r="J73" s="43"/>
      <c r="K73" s="47">
        <f t="shared" si="9"/>
        <v>4423.4799999999996</v>
      </c>
      <c r="L73" s="47">
        <v>10000</v>
      </c>
      <c r="M73" s="47">
        <f t="shared" si="11"/>
        <v>5000</v>
      </c>
      <c r="N73" s="44"/>
      <c r="O73" s="36">
        <f>VLOOKUP(C73,'[1]IP PITS'!$B$6:$I$87,8,0)</f>
        <v>644.75</v>
      </c>
      <c r="P73" s="47">
        <f t="shared" si="10"/>
        <v>110</v>
      </c>
      <c r="Q73" s="36">
        <f>(VLOOKUP(C73,'IP PITSS'!$B$10:$M$91,10,0))+(VLOOKUP(C73,'IP PITSS'!$B$10:$M$91,11,0))+(VLOOKUP(C73,'IP PITSS'!$B$10:$M$91,12,0))</f>
        <v>895.29</v>
      </c>
      <c r="R73" s="36">
        <f>VLOOKUP(C73,'IP PITSS'!$B$10:$R$91,17,0)</f>
        <v>0</v>
      </c>
      <c r="S73" s="36">
        <f>VLOOKUP(C73,'IP PITSS'!$B$10:$S$91,18,0)</f>
        <v>435.98</v>
      </c>
      <c r="T73" s="44"/>
      <c r="U73" s="47">
        <f t="shared" si="6"/>
        <v>5000</v>
      </c>
      <c r="V73" s="36">
        <f t="shared" si="8"/>
        <v>0</v>
      </c>
      <c r="X73" s="47" t="s">
        <v>305</v>
      </c>
    </row>
    <row r="74" spans="1:24" s="36" customFormat="1" x14ac:dyDescent="0.2">
      <c r="A74" s="18" t="s">
        <v>71</v>
      </c>
      <c r="B74" s="37" t="s">
        <v>95</v>
      </c>
      <c r="C74" s="18" t="s">
        <v>134</v>
      </c>
      <c r="D74" s="37">
        <f>VLOOKUP(C74,'IP PITSS'!$B$10:$V$91,21,0)</f>
        <v>2446.6000000000004</v>
      </c>
      <c r="E74" s="59"/>
      <c r="F74" s="47">
        <f>VLOOKUP(C74,'SIND PITS'!$C$3:$D$100,2,0)</f>
        <v>2553.3999999999996</v>
      </c>
      <c r="G74" s="47">
        <f>VLOOKUP(C74,'SIND PITS'!$C$3:$E$100,3,0)</f>
        <v>400</v>
      </c>
      <c r="H74" s="47">
        <f>VLOOKUP(C74,'SIND PITS'!$C$3:$F$100,4,0)</f>
        <v>0</v>
      </c>
      <c r="I74" s="47">
        <f>VLOOKUP(C74,'SIND PITS'!$C$3:$G$100,5,0)</f>
        <v>0</v>
      </c>
      <c r="J74" s="43"/>
      <c r="K74" s="47">
        <f t="shared" si="9"/>
        <v>5400</v>
      </c>
      <c r="L74" s="47">
        <v>10000</v>
      </c>
      <c r="M74" s="47">
        <f t="shared" si="11"/>
        <v>5000</v>
      </c>
      <c r="N74" s="44"/>
      <c r="O74" s="36">
        <f>VLOOKUP(C74,'[1]IP PITS'!$B$6:$I$87,8,0)</f>
        <v>0</v>
      </c>
      <c r="P74" s="47">
        <f t="shared" si="10"/>
        <v>400</v>
      </c>
      <c r="Q74" s="36">
        <f>(VLOOKUP(C74,'IP PITSS'!$B$10:$M$91,10,0))+(VLOOKUP(C74,'IP PITSS'!$B$10:$M$91,11,0))+(VLOOKUP(C74,'IP PITSS'!$B$10:$M$91,12,0))</f>
        <v>0</v>
      </c>
      <c r="R74" s="36">
        <f>VLOOKUP(C74,'IP PITSS'!$B$10:$R$91,17,0)</f>
        <v>0</v>
      </c>
      <c r="S74" s="36">
        <f>VLOOKUP(C74,'IP PITSS'!$B$10:$S$91,18,0)</f>
        <v>0</v>
      </c>
      <c r="T74" s="44"/>
      <c r="U74" s="47">
        <f t="shared" si="6"/>
        <v>5000</v>
      </c>
      <c r="V74" s="36">
        <f t="shared" si="8"/>
        <v>0</v>
      </c>
      <c r="X74" s="47" t="s">
        <v>135</v>
      </c>
    </row>
    <row r="75" spans="1:24" s="36" customFormat="1" x14ac:dyDescent="0.2">
      <c r="A75" s="18" t="s">
        <v>199</v>
      </c>
      <c r="B75" s="37" t="s">
        <v>95</v>
      </c>
      <c r="C75" s="24" t="s">
        <v>200</v>
      </c>
      <c r="D75" s="37">
        <f>'IP PITSS'!$V$67</f>
        <v>2865.8</v>
      </c>
      <c r="E75" s="59"/>
      <c r="F75" s="47">
        <f>VLOOKUP(C75,'SIND PITS'!$C$3:$D$100,2,0)</f>
        <v>284.19999999999982</v>
      </c>
      <c r="G75" s="47">
        <f>VLOOKUP(C75,'SIND PITS'!$C$3:$E$100,3,0)</f>
        <v>281.25</v>
      </c>
      <c r="H75" s="47">
        <f>VLOOKUP(C75,'SIND PITS'!$C$3:$F$100,4,0)</f>
        <v>0</v>
      </c>
      <c r="I75" s="47">
        <f>VLOOKUP(C75,'SIND PITS'!$C$3:$G$100,5,0)</f>
        <v>0</v>
      </c>
      <c r="J75" s="43"/>
      <c r="K75" s="47">
        <f t="shared" si="9"/>
        <v>3431.25</v>
      </c>
      <c r="L75" s="36">
        <v>6300</v>
      </c>
      <c r="M75" s="47">
        <f t="shared" si="11"/>
        <v>3150</v>
      </c>
      <c r="N75" s="44"/>
      <c r="O75" s="36">
        <f>VLOOKUP(C75,'[1]IP PITS'!$B$6:$I$87,8,0)</f>
        <v>0</v>
      </c>
      <c r="P75" s="47">
        <f t="shared" si="10"/>
        <v>281.25</v>
      </c>
      <c r="T75" s="44"/>
      <c r="U75" s="47">
        <f t="shared" si="6"/>
        <v>3150</v>
      </c>
      <c r="V75" s="36">
        <f t="shared" si="8"/>
        <v>0</v>
      </c>
      <c r="X75" s="47" t="s">
        <v>201</v>
      </c>
    </row>
    <row r="76" spans="1:24" s="36" customFormat="1" x14ac:dyDescent="0.2">
      <c r="A76" s="18" t="s">
        <v>383</v>
      </c>
      <c r="B76" s="37" t="s">
        <v>95</v>
      </c>
      <c r="C76" s="24" t="s">
        <v>260</v>
      </c>
      <c r="D76" s="37">
        <f>'IP PITSS'!$V$65</f>
        <v>2446.6000000000004</v>
      </c>
      <c r="E76" s="59"/>
      <c r="F76" s="47">
        <f>VLOOKUP(C76,'SIND PITS'!$C$3:$D$100,2,0)</f>
        <v>3553.3999999999996</v>
      </c>
      <c r="G76" s="47">
        <f>VLOOKUP(C76,'SIND PITS'!$C$3:$E$100,3,0)</f>
        <v>500</v>
      </c>
      <c r="H76" s="47">
        <f>VLOOKUP(C76,'SIND PITS'!$C$3:$F$100,4,0)</f>
        <v>0</v>
      </c>
      <c r="I76" s="47">
        <f>VLOOKUP(C76,'SIND PITS'!$C$3:$G$100,5,0)</f>
        <v>0</v>
      </c>
      <c r="J76" s="43"/>
      <c r="K76" s="47">
        <f t="shared" si="9"/>
        <v>6500</v>
      </c>
      <c r="L76" s="47">
        <v>12000</v>
      </c>
      <c r="M76" s="47">
        <f t="shared" si="11"/>
        <v>6000</v>
      </c>
      <c r="N76" s="44"/>
      <c r="O76" s="36">
        <f>VLOOKUP(C76,'[1]IP PITS'!$B$6:$I$87,8,0)</f>
        <v>0</v>
      </c>
      <c r="P76" s="47">
        <f t="shared" si="10"/>
        <v>500</v>
      </c>
      <c r="T76" s="44"/>
      <c r="U76" s="47">
        <f t="shared" si="6"/>
        <v>6000</v>
      </c>
      <c r="V76" s="36">
        <f t="shared" si="8"/>
        <v>0</v>
      </c>
      <c r="X76" s="47" t="s">
        <v>261</v>
      </c>
    </row>
    <row r="77" spans="1:24" s="36" customFormat="1" x14ac:dyDescent="0.2">
      <c r="A77" s="18" t="s">
        <v>219</v>
      </c>
      <c r="B77" s="37" t="s">
        <v>95</v>
      </c>
      <c r="C77" s="18" t="s">
        <v>220</v>
      </c>
      <c r="D77" s="37">
        <f>VLOOKUP(C77,'IP PITSS'!$B$10:$V$91,21,0)</f>
        <v>2447.2000000000003</v>
      </c>
      <c r="E77" s="59"/>
      <c r="F77" s="47">
        <f>VLOOKUP(C77,'SIND PITS'!$C$3:$D$100,2,0)</f>
        <v>52.799999999999727</v>
      </c>
      <c r="G77" s="47">
        <f>VLOOKUP(C77,'SIND PITS'!$C$3:$E$100,3,0)</f>
        <v>160</v>
      </c>
      <c r="H77" s="47">
        <f>VLOOKUP(C77,'SIND PITS'!$C$3:$F$100,4,0)</f>
        <v>0</v>
      </c>
      <c r="I77" s="47">
        <f>VLOOKUP(C77,'SIND PITS'!$C$3:$G$100,5,0)</f>
        <v>0</v>
      </c>
      <c r="J77" s="43"/>
      <c r="K77" s="47">
        <f t="shared" si="9"/>
        <v>2660</v>
      </c>
      <c r="L77" s="47">
        <v>5000</v>
      </c>
      <c r="M77" s="47">
        <f t="shared" si="11"/>
        <v>2500</v>
      </c>
      <c r="N77" s="44"/>
      <c r="O77" s="36">
        <f>VLOOKUP(C77,'[1]IP PITS'!$B$6:$I$87,8,0)</f>
        <v>0</v>
      </c>
      <c r="P77" s="47">
        <f t="shared" si="10"/>
        <v>160</v>
      </c>
      <c r="Q77" s="36">
        <f>(VLOOKUP(C77,'IP PITSS'!$B$10:$M$91,10,0))+(VLOOKUP(C77,'IP PITSS'!$B$10:$M$91,11,0))+(VLOOKUP(C77,'IP PITSS'!$B$10:$M$91,12,0))</f>
        <v>0</v>
      </c>
      <c r="R77" s="36">
        <f>VLOOKUP(C77,'IP PITSS'!$B$10:$R$91,17,0)</f>
        <v>0</v>
      </c>
      <c r="S77" s="36">
        <f>VLOOKUP(C77,'IP PITSS'!$B$10:$S$91,18,0)</f>
        <v>0</v>
      </c>
      <c r="T77" s="44"/>
      <c r="U77" s="47">
        <f t="shared" si="6"/>
        <v>2500</v>
      </c>
      <c r="V77" s="36">
        <f t="shared" si="8"/>
        <v>0</v>
      </c>
      <c r="X77" s="47" t="s">
        <v>221</v>
      </c>
    </row>
    <row r="78" spans="1:24" s="36" customFormat="1" x14ac:dyDescent="0.2">
      <c r="A78" s="18" t="s">
        <v>262</v>
      </c>
      <c r="B78" s="37" t="s">
        <v>95</v>
      </c>
      <c r="C78" s="18" t="s">
        <v>263</v>
      </c>
      <c r="D78" s="37">
        <f>VLOOKUP(C78,'IP PITSS'!$B$10:$V$91,21,0)</f>
        <v>2033.6000000000001</v>
      </c>
      <c r="E78" s="59"/>
      <c r="F78" s="47">
        <f>VLOOKUP(C78,'SIND PITS'!$C$3:$D$100,2,0)</f>
        <v>52.499999999999545</v>
      </c>
      <c r="G78" s="47">
        <f>VLOOKUP(C78,'SIND PITS'!$C$3:$E$100,3,0)</f>
        <v>310</v>
      </c>
      <c r="H78" s="47">
        <f>VLOOKUP(C78,'SIND PITS'!$C$3:$F$100,4,0)</f>
        <v>0</v>
      </c>
      <c r="I78" s="47">
        <f>VLOOKUP(C78,'SIND PITS'!$C$3:$G$100,5,0)</f>
        <v>0</v>
      </c>
      <c r="J78" s="43"/>
      <c r="K78" s="47">
        <f t="shared" si="9"/>
        <v>2396.0999999999995</v>
      </c>
      <c r="L78" s="60">
        <v>5000</v>
      </c>
      <c r="M78" s="47">
        <f t="shared" si="11"/>
        <v>2500</v>
      </c>
      <c r="N78" s="44"/>
      <c r="O78" s="36">
        <f>VLOOKUP(C78,'[1]IP PITS'!$B$6:$I$87,8,0)</f>
        <v>0</v>
      </c>
      <c r="P78" s="47">
        <f t="shared" si="10"/>
        <v>310</v>
      </c>
      <c r="Q78" s="36">
        <f>(VLOOKUP(C78,'IP PITSS'!$B$10:$M$91,10,0))+(VLOOKUP(C78,'IP PITSS'!$B$10:$M$91,11,0))+(VLOOKUP(C78,'IP PITSS'!$B$10:$M$91,12,0))</f>
        <v>413.9</v>
      </c>
      <c r="R78" s="36">
        <f>VLOOKUP(C78,'IP PITSS'!$B$10:$R$91,17,0)</f>
        <v>0</v>
      </c>
      <c r="S78" s="36">
        <f>VLOOKUP(C78,'IP PITSS'!$B$10:$S$91,18,0)</f>
        <v>0</v>
      </c>
      <c r="T78" s="44"/>
      <c r="U78" s="47">
        <f t="shared" si="6"/>
        <v>2499.9999999999995</v>
      </c>
      <c r="V78" s="36">
        <f t="shared" si="8"/>
        <v>0</v>
      </c>
      <c r="X78" s="47" t="s">
        <v>264</v>
      </c>
    </row>
    <row r="79" spans="1:24" s="36" customFormat="1" x14ac:dyDescent="0.2">
      <c r="A79" s="18" t="s">
        <v>228</v>
      </c>
      <c r="B79" s="37" t="s">
        <v>95</v>
      </c>
      <c r="C79" s="24" t="s">
        <v>229</v>
      </c>
      <c r="D79" s="37">
        <f>VLOOKUP(C79,'IP PITSS'!$B$10:$V$91,21,0)</f>
        <v>3454.4</v>
      </c>
      <c r="E79" s="59"/>
      <c r="F79" s="47">
        <f>VLOOKUP(C79,'SIND PITS'!$C$3:$D$100,2,0)</f>
        <v>6520.6</v>
      </c>
      <c r="G79" s="47">
        <f>VLOOKUP(C79,'SIND PITS'!$C$3:$E$100,3,0)</f>
        <v>1938</v>
      </c>
      <c r="H79" s="47">
        <f>VLOOKUP(C79,'SIND PITS'!$C$3:$F$100,4,0)</f>
        <v>0</v>
      </c>
      <c r="I79" s="47">
        <f>VLOOKUP(C79,'SIND PITS'!$C$3:$G$100,5,0)</f>
        <v>0</v>
      </c>
      <c r="J79" s="43"/>
      <c r="K79" s="47">
        <f t="shared" si="9"/>
        <v>11913</v>
      </c>
      <c r="L79" s="68">
        <v>19950</v>
      </c>
      <c r="M79" s="47">
        <f t="shared" si="11"/>
        <v>9975</v>
      </c>
      <c r="N79" s="44"/>
      <c r="O79" s="36">
        <f>VLOOKUP(C79,'[1]IP PITS'!$B$6:$I$87,8,0)</f>
        <v>0</v>
      </c>
      <c r="P79" s="47">
        <f t="shared" si="10"/>
        <v>1938</v>
      </c>
      <c r="Q79" s="36">
        <f>(VLOOKUP(C79,'IP PITSS'!$B$10:$M$91,10,0))+(VLOOKUP(C79,'IP PITSS'!$B$10:$M$91,11,0))+(VLOOKUP(C79,'IP PITSS'!$B$10:$M$91,12,0))</f>
        <v>0</v>
      </c>
      <c r="R79" s="36">
        <f>VLOOKUP(C79,'IP PITSS'!$B$10:$R$91,17,0)</f>
        <v>0</v>
      </c>
      <c r="S79" s="36">
        <f>VLOOKUP(C79,'IP PITSS'!$B$10:$S$91,18,0)</f>
        <v>0</v>
      </c>
      <c r="T79" s="44"/>
      <c r="U79" s="47">
        <f t="shared" si="6"/>
        <v>9975</v>
      </c>
      <c r="V79" s="36">
        <f t="shared" si="8"/>
        <v>0</v>
      </c>
      <c r="X79" s="47" t="s">
        <v>230</v>
      </c>
    </row>
    <row r="80" spans="1:24" s="36" customFormat="1" x14ac:dyDescent="0.2">
      <c r="A80" s="30" t="s">
        <v>299</v>
      </c>
      <c r="B80" s="37" t="s">
        <v>95</v>
      </c>
      <c r="C80" s="30" t="s">
        <v>300</v>
      </c>
      <c r="D80" s="37">
        <f>VLOOKUP(C80,'IP PITSS'!$B$10:$V$91,21,0)</f>
        <v>2447.6000000000004</v>
      </c>
      <c r="E80" s="59"/>
      <c r="F80" s="47">
        <f>VLOOKUP(C80,'SIND PITS'!$C$3:$D$100,2,0)</f>
        <v>52.399999999999636</v>
      </c>
      <c r="G80" s="47">
        <f>VLOOKUP(C80,'SIND PITS'!$C$3:$E$100,3,0)</f>
        <v>70</v>
      </c>
      <c r="H80" s="47">
        <f>VLOOKUP(C80,'SIND PITS'!$C$3:$F$100,4,0)</f>
        <v>0</v>
      </c>
      <c r="I80" s="47">
        <f>VLOOKUP(C80,'SIND PITS'!$C$3:$G$100,5,0)</f>
        <v>0</v>
      </c>
      <c r="J80" s="43"/>
      <c r="K80" s="47">
        <f t="shared" si="9"/>
        <v>2570</v>
      </c>
      <c r="L80" s="47">
        <v>5000</v>
      </c>
      <c r="M80" s="47">
        <f t="shared" si="11"/>
        <v>2500</v>
      </c>
      <c r="N80" s="44"/>
      <c r="O80" s="36">
        <f>VLOOKUP(C80,'[1]IP PITS'!$B$6:$I$87,8,0)</f>
        <v>0</v>
      </c>
      <c r="P80" s="47">
        <f t="shared" si="10"/>
        <v>70</v>
      </c>
      <c r="Q80" s="36">
        <f>(VLOOKUP(C80,'IP PITSS'!$B$10:$M$91,10,0))+(VLOOKUP(C80,'IP PITSS'!$B$10:$M$91,11,0))+(VLOOKUP(C80,'IP PITSS'!$B$10:$M$91,12,0))</f>
        <v>0</v>
      </c>
      <c r="R80" s="36">
        <f>VLOOKUP(C80,'IP PITSS'!$B$10:$R$91,17,0)</f>
        <v>0</v>
      </c>
      <c r="S80" s="36">
        <f>VLOOKUP(C80,'IP PITSS'!$B$10:$S$91,18,0)</f>
        <v>0</v>
      </c>
      <c r="T80" s="44"/>
      <c r="U80" s="47">
        <f t="shared" si="6"/>
        <v>2500</v>
      </c>
      <c r="V80" s="36">
        <f t="shared" si="8"/>
        <v>0</v>
      </c>
      <c r="X80" s="47" t="s">
        <v>301</v>
      </c>
    </row>
    <row r="81" spans="1:24" s="36" customFormat="1" x14ac:dyDescent="0.2">
      <c r="A81" s="30" t="s">
        <v>313</v>
      </c>
      <c r="B81" s="37" t="s">
        <v>95</v>
      </c>
      <c r="C81" s="30" t="s">
        <v>314</v>
      </c>
      <c r="D81" s="37">
        <f>VLOOKUP(C81,'IP PITSS'!$B$10:$V$91,21,0)</f>
        <v>3278.7999999999997</v>
      </c>
      <c r="E81" s="59"/>
      <c r="F81" s="47">
        <f>VLOOKUP(C81,'SIND PITS'!$C$3:$D$100,2,0)</f>
        <v>221.20000000000027</v>
      </c>
      <c r="G81" s="47">
        <f>VLOOKUP(C81,'SIND PITS'!$C$3:$E$100,3,0)</f>
        <v>0</v>
      </c>
      <c r="H81" s="47">
        <f>VLOOKUP(C81,'SIND PITS'!$C$3:$F$100,4,0)</f>
        <v>0</v>
      </c>
      <c r="I81" s="47">
        <f>VLOOKUP(C81,'SIND PITS'!$C$3:$G$100,5,0)</f>
        <v>0</v>
      </c>
      <c r="J81" s="43"/>
      <c r="K81" s="47">
        <f t="shared" si="9"/>
        <v>3500</v>
      </c>
      <c r="L81" s="47">
        <v>7000</v>
      </c>
      <c r="M81" s="47">
        <f t="shared" si="11"/>
        <v>3500</v>
      </c>
      <c r="N81" s="44"/>
      <c r="O81" s="36">
        <f>VLOOKUP(C81,'[1]IP PITS'!$B$6:$I$87,8,0)</f>
        <v>0</v>
      </c>
      <c r="P81" s="47">
        <f t="shared" si="10"/>
        <v>0</v>
      </c>
      <c r="Q81" s="36">
        <f>(VLOOKUP(C81,'IP PITSS'!$B$10:$M$91,10,0))+(VLOOKUP(C81,'IP PITSS'!$B$10:$M$91,11,0))+(VLOOKUP(C81,'IP PITSS'!$B$10:$M$91,12,0))</f>
        <v>0</v>
      </c>
      <c r="R81" s="36">
        <f>VLOOKUP(C81,'IP PITSS'!$B$10:$R$91,17,0)</f>
        <v>0</v>
      </c>
      <c r="S81" s="36">
        <f>VLOOKUP(C81,'IP PITSS'!$B$10:$S$91,18,0)</f>
        <v>0</v>
      </c>
      <c r="T81" s="44"/>
      <c r="U81" s="47">
        <f t="shared" si="6"/>
        <v>3500</v>
      </c>
      <c r="V81" s="36">
        <f t="shared" si="8"/>
        <v>0</v>
      </c>
      <c r="X81" s="47" t="s">
        <v>315</v>
      </c>
    </row>
    <row r="82" spans="1:24" s="36" customFormat="1" x14ac:dyDescent="0.2">
      <c r="A82" s="30" t="s">
        <v>213</v>
      </c>
      <c r="B82" s="37" t="s">
        <v>95</v>
      </c>
      <c r="C82" s="30" t="s">
        <v>214</v>
      </c>
      <c r="D82" s="37">
        <f>VLOOKUP(C82,'IP PITSS'!$B$10:$V$91,21,0)</f>
        <v>1860.8</v>
      </c>
      <c r="E82" s="59"/>
      <c r="F82" s="47">
        <f>VLOOKUP(C82,'SIND PITS'!$C$3:$D$100,2,0)</f>
        <v>222.6899999999996</v>
      </c>
      <c r="G82" s="47">
        <f>VLOOKUP(C82,'SIND PITS'!$C$3:$E$100,3,0)</f>
        <v>550</v>
      </c>
      <c r="H82" s="47">
        <f>VLOOKUP(C82,'SIND PITS'!$C$3:$F$100,4,0)</f>
        <v>400</v>
      </c>
      <c r="I82" s="47">
        <f>VLOOKUP(C82,'SIND PITS'!$C$3:$G$100,5,0)</f>
        <v>0</v>
      </c>
      <c r="J82" s="43"/>
      <c r="K82" s="47">
        <f t="shared" si="9"/>
        <v>3033.49</v>
      </c>
      <c r="L82" s="47">
        <v>7000</v>
      </c>
      <c r="M82" s="47">
        <f t="shared" si="11"/>
        <v>3500</v>
      </c>
      <c r="N82" s="44"/>
      <c r="O82" s="36">
        <f>VLOOKUP(C82,'[1]IP PITS'!$B$6:$I$87,8,0)</f>
        <v>0</v>
      </c>
      <c r="P82" s="47">
        <f t="shared" si="10"/>
        <v>950</v>
      </c>
      <c r="Q82" s="36">
        <f>(VLOOKUP(C82,'IP PITSS'!$B$10:$M$91,10,0))+(VLOOKUP(C82,'IP PITSS'!$B$10:$M$91,11,0))+(VLOOKUP(C82,'IP PITSS'!$B$10:$M$91,12,0))</f>
        <v>1416.51</v>
      </c>
      <c r="R82" s="36">
        <f>VLOOKUP(C82,'IP PITSS'!$B$10:$R$91,17,0)</f>
        <v>0</v>
      </c>
      <c r="S82" s="36">
        <f>VLOOKUP(C82,'IP PITSS'!$B$10:$S$91,18,0)</f>
        <v>0</v>
      </c>
      <c r="T82" s="44"/>
      <c r="U82" s="47">
        <f t="shared" si="6"/>
        <v>3500</v>
      </c>
      <c r="V82" s="36">
        <f t="shared" si="8"/>
        <v>0</v>
      </c>
      <c r="X82" s="47" t="s">
        <v>215</v>
      </c>
    </row>
    <row r="83" spans="1:24" s="36" customFormat="1" x14ac:dyDescent="0.2">
      <c r="A83" s="30" t="s">
        <v>293</v>
      </c>
      <c r="B83" s="37" t="s">
        <v>95</v>
      </c>
      <c r="C83" s="30" t="s">
        <v>294</v>
      </c>
      <c r="D83" s="37">
        <f>VLOOKUP(C83,'IP PITSS'!$B$10:$V$91,21,0)</f>
        <v>2974.2</v>
      </c>
      <c r="E83" s="59"/>
      <c r="F83" s="47">
        <f>VLOOKUP(C83,'SIND PITS'!$C$3:$D$100,2,0)</f>
        <v>175.80000000000018</v>
      </c>
      <c r="G83" s="47">
        <f>VLOOKUP(C83,'SIND PITS'!$C$3:$E$100,3,0)</f>
        <v>900</v>
      </c>
      <c r="H83" s="47">
        <f>VLOOKUP(C83,'SIND PITS'!$C$3:$F$100,4,0)</f>
        <v>0</v>
      </c>
      <c r="I83" s="47">
        <f>VLOOKUP(C83,'SIND PITS'!$C$3:$G$100,5,0)</f>
        <v>0</v>
      </c>
      <c r="J83" s="43"/>
      <c r="K83" s="47">
        <f t="shared" si="9"/>
        <v>4050</v>
      </c>
      <c r="L83" s="47">
        <v>6300</v>
      </c>
      <c r="M83" s="47">
        <f t="shared" si="11"/>
        <v>3150</v>
      </c>
      <c r="N83" s="44"/>
      <c r="O83" s="36">
        <f>VLOOKUP(C83,'[1]IP PITS'!$B$6:$I$87,8,0)</f>
        <v>0</v>
      </c>
      <c r="P83" s="47">
        <f t="shared" si="10"/>
        <v>900</v>
      </c>
      <c r="Q83" s="36">
        <f>(VLOOKUP(C83,'IP PITSS'!$B$10:$M$91,10,0))+(VLOOKUP(C83,'IP PITSS'!$B$10:$M$91,11,0))+(VLOOKUP(C83,'IP PITSS'!$B$10:$M$91,12,0))</f>
        <v>0</v>
      </c>
      <c r="R83" s="36">
        <f>VLOOKUP(C83,'IP PITSS'!$B$10:$R$91,17,0)</f>
        <v>0</v>
      </c>
      <c r="S83" s="36">
        <f>VLOOKUP(C83,'IP PITSS'!$B$10:$S$91,18,0)</f>
        <v>0</v>
      </c>
      <c r="T83" s="44"/>
      <c r="U83" s="47">
        <f t="shared" si="6"/>
        <v>3150</v>
      </c>
      <c r="V83" s="36">
        <f t="shared" si="8"/>
        <v>0</v>
      </c>
      <c r="X83" s="47" t="s">
        <v>295</v>
      </c>
    </row>
    <row r="84" spans="1:24" s="36" customFormat="1" x14ac:dyDescent="0.2">
      <c r="A84" s="30" t="s">
        <v>222</v>
      </c>
      <c r="B84" s="37" t="s">
        <v>95</v>
      </c>
      <c r="C84" s="30" t="s">
        <v>223</v>
      </c>
      <c r="D84" s="37">
        <f>VLOOKUP(C84,'IP PITSS'!$B$10:$V$91,21,0)</f>
        <v>2655.8</v>
      </c>
      <c r="E84" s="59"/>
      <c r="F84" s="47">
        <f>VLOOKUP(C84,'SIND PITS'!$C$3:$D$100,2,0)</f>
        <v>175.65999999999985</v>
      </c>
      <c r="G84" s="47">
        <f>VLOOKUP(C84,'SIND PITS'!$C$3:$E$100,3,0)</f>
        <v>0</v>
      </c>
      <c r="H84" s="47">
        <f>VLOOKUP(C84,'SIND PITS'!$C$3:$F$100,4,0)</f>
        <v>0</v>
      </c>
      <c r="I84" s="47">
        <f>VLOOKUP(C84,'SIND PITS'!$C$3:$G$100,5,0)</f>
        <v>0</v>
      </c>
      <c r="J84" s="43"/>
      <c r="K84" s="47">
        <f t="shared" si="9"/>
        <v>2831.46</v>
      </c>
      <c r="L84" s="47">
        <v>6300</v>
      </c>
      <c r="M84" s="47">
        <f t="shared" si="11"/>
        <v>3150</v>
      </c>
      <c r="N84" s="44"/>
      <c r="O84" s="36">
        <f>VLOOKUP(C84,'[1]IP PITS'!$B$6:$I$87,8,0)</f>
        <v>0</v>
      </c>
      <c r="P84" s="47">
        <f t="shared" si="10"/>
        <v>0</v>
      </c>
      <c r="Q84" s="36">
        <f>(VLOOKUP(C84,'IP PITSS'!$B$10:$M$91,10,0))+(VLOOKUP(C84,'IP PITSS'!$B$10:$M$91,11,0))+(VLOOKUP(C84,'IP PITSS'!$B$10:$M$91,12,0))</f>
        <v>318.54000000000002</v>
      </c>
      <c r="R84" s="36">
        <f>VLOOKUP(C84,'IP PITSS'!$B$10:$R$91,17,0)</f>
        <v>0</v>
      </c>
      <c r="S84" s="36">
        <f>VLOOKUP(C84,'IP PITSS'!$B$10:$S$91,18,0)</f>
        <v>0</v>
      </c>
      <c r="T84" s="44"/>
      <c r="U84" s="47">
        <f t="shared" si="6"/>
        <v>3150</v>
      </c>
      <c r="V84" s="36">
        <f t="shared" si="8"/>
        <v>0</v>
      </c>
      <c r="X84" s="47" t="s">
        <v>224</v>
      </c>
    </row>
    <row r="85" spans="1:24" s="36" customFormat="1" x14ac:dyDescent="0.2">
      <c r="A85" s="18" t="s">
        <v>101</v>
      </c>
      <c r="B85" s="37" t="s">
        <v>95</v>
      </c>
      <c r="C85" s="18" t="s">
        <v>102</v>
      </c>
      <c r="D85" s="37">
        <f>VLOOKUP(C85,'IP PITSS'!$B$10:$V$91,21,0)</f>
        <v>2974.4</v>
      </c>
      <c r="E85" s="59"/>
      <c r="F85" s="47">
        <f>VLOOKUP(C85,'SIND PITS'!$C$3:$D$100,2,0)</f>
        <v>175.59999999999991</v>
      </c>
      <c r="G85" s="47">
        <f>VLOOKUP(C85,'SIND PITS'!$C$3:$E$100,3,0)</f>
        <v>1068.75</v>
      </c>
      <c r="H85" s="47">
        <f>VLOOKUP(C85,'SIND PITS'!$C$3:$F$100,4,0)</f>
        <v>0</v>
      </c>
      <c r="I85" s="47">
        <f>VLOOKUP(C85,'SIND PITS'!$C$3:$G$100,5,0)</f>
        <v>0</v>
      </c>
      <c r="J85" s="43"/>
      <c r="K85" s="47">
        <f t="shared" si="9"/>
        <v>4218.75</v>
      </c>
      <c r="L85" s="47">
        <v>6300</v>
      </c>
      <c r="M85" s="47">
        <f t="shared" si="11"/>
        <v>3150</v>
      </c>
      <c r="N85" s="44"/>
      <c r="O85" s="36">
        <f>VLOOKUP(C85,'[1]IP PITS'!$B$6:$I$87,8,0)</f>
        <v>0</v>
      </c>
      <c r="P85" s="47">
        <f t="shared" si="10"/>
        <v>1068.75</v>
      </c>
      <c r="Q85" s="36">
        <f>(VLOOKUP(C85,'IP PITSS'!$B$10:$M$91,10,0))+(VLOOKUP(C85,'IP PITSS'!$B$10:$M$91,11,0))+(VLOOKUP(C85,'IP PITSS'!$B$10:$M$91,12,0))</f>
        <v>0</v>
      </c>
      <c r="R85" s="36">
        <f>VLOOKUP(C85,'IP PITSS'!$B$10:$R$91,17,0)</f>
        <v>0</v>
      </c>
      <c r="S85" s="36">
        <f>VLOOKUP(C85,'IP PITSS'!$B$10:$S$91,18,0)</f>
        <v>0</v>
      </c>
      <c r="T85" s="44"/>
      <c r="U85" s="47">
        <f t="shared" si="6"/>
        <v>3150</v>
      </c>
      <c r="V85" s="36">
        <f t="shared" si="8"/>
        <v>0</v>
      </c>
      <c r="W85" s="61"/>
      <c r="X85" s="47" t="s">
        <v>103</v>
      </c>
    </row>
    <row r="86" spans="1:24" s="36" customFormat="1" x14ac:dyDescent="0.2">
      <c r="A86" s="18" t="s">
        <v>120</v>
      </c>
      <c r="B86" s="37" t="s">
        <v>95</v>
      </c>
      <c r="C86" s="18" t="s">
        <v>121</v>
      </c>
      <c r="D86" s="37">
        <f>VLOOKUP(C86,'IP PITSS'!$B$10:$V$91,21,0)</f>
        <v>2017</v>
      </c>
      <c r="E86" s="59"/>
      <c r="F86" s="47">
        <f>VLOOKUP(C86,'SIND PITS'!$C$3:$D$100,2,0)</f>
        <v>175.67000000000007</v>
      </c>
      <c r="G86" s="47">
        <f>VLOOKUP(C86,'SIND PITS'!$C$3:$E$100,3,0)</f>
        <v>675</v>
      </c>
      <c r="H86" s="47">
        <f>VLOOKUP(C86,'SIND PITS'!$C$3:$F$100,4,0)</f>
        <v>0</v>
      </c>
      <c r="I86" s="47">
        <f>VLOOKUP(C86,'SIND PITS'!$C$3:$G$100,5,0)</f>
        <v>0</v>
      </c>
      <c r="J86" s="43"/>
      <c r="K86" s="47">
        <f t="shared" si="9"/>
        <v>2867.67</v>
      </c>
      <c r="L86" s="47">
        <v>6300</v>
      </c>
      <c r="M86" s="47">
        <f t="shared" si="11"/>
        <v>3150</v>
      </c>
      <c r="N86" s="44"/>
      <c r="O86" s="36">
        <f>VLOOKUP(C86,'[1]IP PITS'!$B$6:$I$87,8,0)</f>
        <v>0</v>
      </c>
      <c r="P86" s="47">
        <f t="shared" si="10"/>
        <v>675</v>
      </c>
      <c r="Q86" s="36">
        <f>(VLOOKUP(C86,'IP PITSS'!$B$10:$M$91,10,0))+(VLOOKUP(C86,'IP PITSS'!$B$10:$M$91,11,0))+(VLOOKUP(C86,'IP PITSS'!$B$10:$M$91,12,0))</f>
        <v>957.33</v>
      </c>
      <c r="R86" s="36">
        <f>VLOOKUP(C86,'IP PITSS'!$B$10:$R$91,17,0)</f>
        <v>0</v>
      </c>
      <c r="S86" s="36">
        <f>VLOOKUP(C86,'IP PITSS'!$B$10:$S$91,18,0)</f>
        <v>0</v>
      </c>
      <c r="T86" s="44"/>
      <c r="U86" s="47">
        <f t="shared" ref="U86:U103" si="12">+K86-O86-P86+Q86+R86+S86</f>
        <v>3150</v>
      </c>
      <c r="V86" s="36">
        <f t="shared" si="8"/>
        <v>0</v>
      </c>
      <c r="W86" s="61"/>
      <c r="X86" s="47" t="s">
        <v>122</v>
      </c>
    </row>
    <row r="87" spans="1:24" s="47" customFormat="1" x14ac:dyDescent="0.2">
      <c r="A87" s="18" t="s">
        <v>166</v>
      </c>
      <c r="B87" s="37" t="s">
        <v>95</v>
      </c>
      <c r="C87" s="18" t="s">
        <v>167</v>
      </c>
      <c r="D87" s="37">
        <f>VLOOKUP(C87,'IP PITSS'!$B$10:$V$91,21,0)</f>
        <v>1275.2</v>
      </c>
      <c r="E87" s="59"/>
      <c r="F87" s="47">
        <f>VLOOKUP(C87,'SIND PITS'!$C$3:$D$100,2,0)</f>
        <v>134.21000000000004</v>
      </c>
      <c r="G87" s="47">
        <f>VLOOKUP(C87,'SIND PITS'!$C$3:$E$100,3,0)</f>
        <v>225</v>
      </c>
      <c r="H87" s="47">
        <f>VLOOKUP(C87,'SIND PITS'!$C$3:$F$100,4,0)</f>
        <v>0</v>
      </c>
      <c r="I87" s="47">
        <f>VLOOKUP(C87,'SIND PITS'!$C$3:$G$100,5,0)</f>
        <v>0</v>
      </c>
      <c r="J87" s="43"/>
      <c r="K87" s="47">
        <f t="shared" si="9"/>
        <v>1634.41</v>
      </c>
      <c r="L87" s="47">
        <v>6000</v>
      </c>
      <c r="M87" s="47">
        <f t="shared" si="11"/>
        <v>3000</v>
      </c>
      <c r="N87" s="44"/>
      <c r="O87" s="36">
        <f>VLOOKUP(C87,'[1]IP PITS'!$B$6:$I$87,8,0)</f>
        <v>0</v>
      </c>
      <c r="P87" s="47">
        <f t="shared" si="10"/>
        <v>225</v>
      </c>
      <c r="Q87" s="36">
        <f>(VLOOKUP(C87,'IP PITSS'!$B$10:$M$91,10,0))+(VLOOKUP(C87,'IP PITSS'!$B$10:$M$91,11,0))+(VLOOKUP(C87,'IP PITSS'!$B$10:$M$91,12,0))</f>
        <v>1590.59</v>
      </c>
      <c r="R87" s="36">
        <f>VLOOKUP(C87,'IP PITSS'!$B$10:$R$91,17,0)</f>
        <v>0</v>
      </c>
      <c r="S87" s="36">
        <f>VLOOKUP(C87,'IP PITSS'!$B$10:$S$91,18,0)</f>
        <v>0</v>
      </c>
      <c r="T87" s="44"/>
      <c r="U87" s="47">
        <f t="shared" si="12"/>
        <v>3000</v>
      </c>
      <c r="V87" s="36">
        <f t="shared" si="8"/>
        <v>0</v>
      </c>
      <c r="W87" s="61"/>
      <c r="X87" s="47" t="s">
        <v>168</v>
      </c>
    </row>
    <row r="88" spans="1:24" s="47" customFormat="1" x14ac:dyDescent="0.2">
      <c r="A88" s="18" t="s">
        <v>190</v>
      </c>
      <c r="B88" s="37" t="s">
        <v>95</v>
      </c>
      <c r="C88" s="18" t="s">
        <v>191</v>
      </c>
      <c r="D88" s="37">
        <f>VLOOKUP(C88,'IP PITSS'!$B$10:$V$91,21,0)</f>
        <v>2865.8</v>
      </c>
      <c r="E88" s="59"/>
      <c r="F88" s="47">
        <f>VLOOKUP(C88,'SIND PITS'!$C$3:$D$100,2,0)</f>
        <v>134.19999999999982</v>
      </c>
      <c r="G88" s="47">
        <f>VLOOKUP(C88,'SIND PITS'!$C$3:$E$100,3,0)</f>
        <v>130</v>
      </c>
      <c r="H88" s="47">
        <f>VLOOKUP(C88,'SIND PITS'!$C$3:$F$100,4,0)</f>
        <v>0</v>
      </c>
      <c r="I88" s="47">
        <f>VLOOKUP(C88,'SIND PITS'!$C$3:$G$100,5,0)</f>
        <v>0</v>
      </c>
      <c r="J88" s="43"/>
      <c r="K88" s="47">
        <f t="shared" si="9"/>
        <v>3130</v>
      </c>
      <c r="L88" s="47">
        <v>6000</v>
      </c>
      <c r="M88" s="47">
        <f t="shared" si="11"/>
        <v>3000</v>
      </c>
      <c r="N88" s="44"/>
      <c r="O88" s="36">
        <f>VLOOKUP(C88,'[1]IP PITS'!$B$6:$I$87,8,0)</f>
        <v>0</v>
      </c>
      <c r="P88" s="47">
        <f t="shared" si="10"/>
        <v>130</v>
      </c>
      <c r="Q88" s="36">
        <f>(VLOOKUP(C88,'IP PITSS'!$B$10:$M$91,10,0))+(VLOOKUP(C88,'IP PITSS'!$B$10:$M$91,11,0))+(VLOOKUP(C88,'IP PITSS'!$B$10:$M$91,12,0))</f>
        <v>0</v>
      </c>
      <c r="R88" s="36">
        <f>VLOOKUP(C88,'IP PITSS'!$B$10:$R$91,17,0)</f>
        <v>0</v>
      </c>
      <c r="S88" s="36">
        <f>VLOOKUP(C88,'IP PITSS'!$B$10:$S$91,18,0)</f>
        <v>0</v>
      </c>
      <c r="T88" s="44"/>
      <c r="U88" s="47">
        <f t="shared" si="12"/>
        <v>3000</v>
      </c>
      <c r="V88" s="64">
        <f t="shared" si="8"/>
        <v>0</v>
      </c>
      <c r="W88" s="70"/>
      <c r="X88" s="47" t="s">
        <v>192</v>
      </c>
    </row>
    <row r="89" spans="1:24" s="47" customFormat="1" x14ac:dyDescent="0.2">
      <c r="A89" s="18" t="s">
        <v>186</v>
      </c>
      <c r="B89" s="37" t="s">
        <v>95</v>
      </c>
      <c r="C89" s="18" t="s">
        <v>187</v>
      </c>
      <c r="D89" s="37">
        <f>VLOOKUP(C89,'IP PITSS'!$B$10:$V$91,21,0)</f>
        <v>2479.8000000000002</v>
      </c>
      <c r="E89" s="59"/>
      <c r="F89" s="47">
        <f>VLOOKUP(C89,'SIND PITS'!$C$3:$D$100,2,0)</f>
        <v>3135.2</v>
      </c>
      <c r="G89" s="47">
        <f>VLOOKUP(C89,'SIND PITS'!$C$3:$E$100,3,0)</f>
        <v>225</v>
      </c>
      <c r="H89" s="47">
        <f>VLOOKUP(C89,'SIND PITS'!$C$3:$F$100,4,0)</f>
        <v>0</v>
      </c>
      <c r="I89" s="47">
        <f>VLOOKUP(C89,'SIND PITS'!$C$3:$G$100,5,0)</f>
        <v>0</v>
      </c>
      <c r="J89" s="43"/>
      <c r="K89" s="47">
        <f t="shared" si="9"/>
        <v>5840</v>
      </c>
      <c r="L89" s="47">
        <v>12000</v>
      </c>
      <c r="M89" s="47">
        <f t="shared" si="11"/>
        <v>6000</v>
      </c>
      <c r="N89" s="44"/>
      <c r="O89" s="36">
        <f>VLOOKUP(C89,'[1]IP PITS'!$B$6:$I$87,8,0)</f>
        <v>0</v>
      </c>
      <c r="P89" s="47">
        <f t="shared" si="10"/>
        <v>225</v>
      </c>
      <c r="Q89" s="36">
        <f>(VLOOKUP(C89,'IP PITSS'!$B$10:$M$91,10,0))+(VLOOKUP(C89,'IP PITSS'!$B$10:$M$91,11,0))+(VLOOKUP(C89,'IP PITSS'!$B$10:$M$91,12,0))</f>
        <v>0</v>
      </c>
      <c r="R89" s="36">
        <f>VLOOKUP(C89,'IP PITSS'!$B$10:$R$91,17,0)</f>
        <v>0</v>
      </c>
      <c r="S89" s="36">
        <f>VLOOKUP(C89,'IP PITSS'!$B$10:$S$91,18,0)</f>
        <v>385</v>
      </c>
      <c r="T89" s="44"/>
      <c r="U89" s="47">
        <f t="shared" si="12"/>
        <v>6000</v>
      </c>
      <c r="V89" s="36">
        <f t="shared" si="8"/>
        <v>0</v>
      </c>
      <c r="W89" s="61"/>
      <c r="X89" s="47" t="s">
        <v>188</v>
      </c>
    </row>
    <row r="90" spans="1:24" s="47" customFormat="1" x14ac:dyDescent="0.2">
      <c r="A90" s="18" t="s">
        <v>104</v>
      </c>
      <c r="B90" s="37" t="s">
        <v>95</v>
      </c>
      <c r="C90" s="18" t="s">
        <v>105</v>
      </c>
      <c r="D90" s="37">
        <f>VLOOKUP(C90,'IP PITSS'!$B$10:$V$91,21,0)</f>
        <v>2383.4</v>
      </c>
      <c r="E90" s="59"/>
      <c r="F90" s="47">
        <f>VLOOKUP(C90,'SIND PITS'!$C$3:$D$100,2,0)</f>
        <v>3135.3199999999997</v>
      </c>
      <c r="G90" s="47">
        <f>VLOOKUP(C90,'SIND PITS'!$C$3:$E$100,3,0)</f>
        <v>750</v>
      </c>
      <c r="H90" s="47">
        <f>VLOOKUP(C90,'SIND PITS'!$C$3:$F$100,4,0)</f>
        <v>0</v>
      </c>
      <c r="I90" s="47">
        <f>VLOOKUP(C90,'SIND PITS'!$C$3:$G$100,5,0)</f>
        <v>0</v>
      </c>
      <c r="J90" s="43"/>
      <c r="K90" s="47">
        <f t="shared" si="9"/>
        <v>6268.7199999999993</v>
      </c>
      <c r="L90" s="47">
        <v>12000</v>
      </c>
      <c r="M90" s="47">
        <f t="shared" si="11"/>
        <v>6000</v>
      </c>
      <c r="N90" s="44"/>
      <c r="O90" s="36">
        <f>VLOOKUP(C90,'[1]IP PITS'!$B$6:$I$87,8,0)</f>
        <v>0</v>
      </c>
      <c r="P90" s="47">
        <f t="shared" si="10"/>
        <v>750</v>
      </c>
      <c r="Q90" s="36">
        <f>(VLOOKUP(C90,'IP PITSS'!$B$10:$M$91,10,0))+(VLOOKUP(C90,'IP PITSS'!$B$10:$M$91,11,0))+(VLOOKUP(C90,'IP PITSS'!$B$10:$M$91,12,0))</f>
        <v>481.28</v>
      </c>
      <c r="R90" s="36">
        <f>VLOOKUP(C90,'IP PITSS'!$B$10:$R$91,17,0)</f>
        <v>0</v>
      </c>
      <c r="S90" s="36">
        <f>VLOOKUP(C90,'IP PITSS'!$B$10:$S$91,18,0)</f>
        <v>0</v>
      </c>
      <c r="T90" s="44"/>
      <c r="U90" s="47">
        <f t="shared" si="12"/>
        <v>5999.9999999999991</v>
      </c>
      <c r="V90" s="36">
        <f t="shared" si="8"/>
        <v>0</v>
      </c>
      <c r="W90" s="61"/>
      <c r="X90" s="47" t="s">
        <v>106</v>
      </c>
    </row>
    <row r="91" spans="1:24" s="47" customFormat="1" x14ac:dyDescent="0.2">
      <c r="A91" s="18" t="s">
        <v>210</v>
      </c>
      <c r="B91" s="37" t="s">
        <v>95</v>
      </c>
      <c r="C91" s="18" t="s">
        <v>211</v>
      </c>
      <c r="D91" s="37">
        <f>VLOOKUP(C91,'IP PITSS'!$B$10:$V$91,21,0)</f>
        <v>943.99999999999989</v>
      </c>
      <c r="E91" s="59"/>
      <c r="F91" s="47">
        <f>VLOOKUP(C91,'SIND PITS'!$C$3:$D$100,2,0)</f>
        <v>1704.5</v>
      </c>
      <c r="G91" s="47">
        <f>VLOOKUP(C91,'SIND PITS'!$C$3:$E$100,3,0)</f>
        <v>125</v>
      </c>
      <c r="H91" s="47">
        <f>VLOOKUP(C91,'SIND PITS'!$C$3:$F$100,4,0)</f>
        <v>0</v>
      </c>
      <c r="I91" s="47">
        <f>VLOOKUP(C91,'SIND PITS'!$C$3:$G$100,5,0)</f>
        <v>0</v>
      </c>
      <c r="J91" s="43"/>
      <c r="K91" s="47">
        <f t="shared" si="9"/>
        <v>2773.5</v>
      </c>
      <c r="L91" s="47">
        <v>7000</v>
      </c>
      <c r="M91" s="47">
        <f t="shared" si="11"/>
        <v>3500</v>
      </c>
      <c r="N91" s="44"/>
      <c r="O91" s="36">
        <f>VLOOKUP(C91,'[1]IP PITS'!$B$6:$I$87,8,0)</f>
        <v>0</v>
      </c>
      <c r="P91" s="47">
        <f t="shared" si="10"/>
        <v>125</v>
      </c>
      <c r="Q91" s="36">
        <f>(VLOOKUP(C91,'IP PITSS'!$B$10:$M$91,10,0))+(VLOOKUP(C91,'IP PITSS'!$B$10:$M$91,11,0))+(VLOOKUP(C91,'IP PITSS'!$B$10:$M$91,12,0))</f>
        <v>851.5</v>
      </c>
      <c r="R91" s="36">
        <f>VLOOKUP(C91,'IP PITSS'!$B$10:$R$91,17,0)</f>
        <v>0</v>
      </c>
      <c r="S91" s="36">
        <f>VLOOKUP(C91,'IP PITSS'!$B$10:$S$91,18,0)</f>
        <v>0</v>
      </c>
      <c r="T91" s="44"/>
      <c r="U91" s="47">
        <f t="shared" si="12"/>
        <v>3500</v>
      </c>
      <c r="V91" s="36">
        <f t="shared" si="8"/>
        <v>0</v>
      </c>
      <c r="W91" s="61"/>
      <c r="X91" s="47" t="s">
        <v>212</v>
      </c>
    </row>
    <row r="92" spans="1:24" s="47" customFormat="1" x14ac:dyDescent="0.2">
      <c r="A92" s="18" t="s">
        <v>322</v>
      </c>
      <c r="B92" s="37" t="s">
        <v>95</v>
      </c>
      <c r="C92" s="18" t="s">
        <v>323</v>
      </c>
      <c r="D92" s="37">
        <f>VLOOKUP(C92,'IP PITSS'!$B$10:$V$91,21,0)</f>
        <v>1059</v>
      </c>
      <c r="E92" s="59"/>
      <c r="F92" s="47">
        <f>VLOOKUP(C92,'SIND PITS'!$C$3:$D$100,2,0)</f>
        <v>1704.48</v>
      </c>
      <c r="G92" s="47">
        <f>VLOOKUP(C92,'SIND PITS'!$C$3:$E$100,3,0)</f>
        <v>750</v>
      </c>
      <c r="H92" s="47">
        <f>VLOOKUP(C92,'SIND PITS'!$C$3:$F$100,4,0)</f>
        <v>0</v>
      </c>
      <c r="I92" s="47">
        <f>VLOOKUP(C92,'SIND PITS'!$C$3:$G$100,5,0)</f>
        <v>0</v>
      </c>
      <c r="J92" s="43"/>
      <c r="K92" s="47">
        <f t="shared" si="9"/>
        <v>3513.48</v>
      </c>
      <c r="L92" s="47">
        <v>7000</v>
      </c>
      <c r="M92" s="47">
        <f t="shared" si="11"/>
        <v>3500</v>
      </c>
      <c r="N92" s="44"/>
      <c r="O92" s="36">
        <f>VLOOKUP(C92,'[1]IP PITS'!$B$6:$I$87,8,0)</f>
        <v>0</v>
      </c>
      <c r="P92" s="47">
        <f t="shared" si="10"/>
        <v>750</v>
      </c>
      <c r="Q92" s="36">
        <f>(VLOOKUP(C92,'IP PITSS'!$B$10:$M$91,10,0))+(VLOOKUP(C92,'IP PITSS'!$B$10:$M$91,11,0))+(VLOOKUP(C92,'IP PITSS'!$B$10:$M$91,12,0))</f>
        <v>736.52</v>
      </c>
      <c r="R92" s="36">
        <f>VLOOKUP(C92,'IP PITSS'!$B$10:$R$91,17,0)</f>
        <v>0</v>
      </c>
      <c r="S92" s="36">
        <f>VLOOKUP(C92,'IP PITSS'!$B$10:$S$91,18,0)</f>
        <v>0</v>
      </c>
      <c r="T92" s="44"/>
      <c r="U92" s="47">
        <f t="shared" si="12"/>
        <v>3500</v>
      </c>
      <c r="V92" s="36">
        <f t="shared" si="8"/>
        <v>0</v>
      </c>
      <c r="W92" s="61"/>
      <c r="X92" s="47" t="s">
        <v>324</v>
      </c>
    </row>
    <row r="93" spans="1:24" s="105" customFormat="1" x14ac:dyDescent="0.2">
      <c r="A93" s="102" t="s">
        <v>150</v>
      </c>
      <c r="B93" s="103" t="s">
        <v>95</v>
      </c>
      <c r="C93" s="102" t="s">
        <v>151</v>
      </c>
      <c r="D93" s="103">
        <v>0</v>
      </c>
      <c r="E93" s="104"/>
      <c r="F93" s="105">
        <v>0</v>
      </c>
      <c r="G93" s="105">
        <f>VLOOKUP(C93,'SIND PITS'!$C$3:$E$100,3,0)</f>
        <v>0</v>
      </c>
      <c r="H93" s="105">
        <f>VLOOKUP(C93,'SIND PITS'!$C$3:$F$100,4,0)</f>
        <v>0</v>
      </c>
      <c r="I93" s="105">
        <f>VLOOKUP(C93,'SIND PITS'!$C$3:$G$100,5,0)</f>
        <v>0</v>
      </c>
      <c r="J93" s="104"/>
      <c r="K93" s="105">
        <f t="shared" si="9"/>
        <v>0</v>
      </c>
      <c r="L93" s="105">
        <v>6300</v>
      </c>
      <c r="M93" s="105">
        <f t="shared" si="11"/>
        <v>3150</v>
      </c>
      <c r="N93" s="104"/>
      <c r="O93" s="105">
        <f>VLOOKUP(C93,'[1]IP PITS'!$B$6:$I$87,8,0)</f>
        <v>0</v>
      </c>
      <c r="P93" s="105">
        <f t="shared" si="10"/>
        <v>0</v>
      </c>
      <c r="T93" s="104"/>
      <c r="U93" s="105">
        <f t="shared" si="12"/>
        <v>0</v>
      </c>
      <c r="V93" s="105">
        <v>0</v>
      </c>
      <c r="W93" s="106" t="s">
        <v>442</v>
      </c>
      <c r="X93" s="105" t="s">
        <v>152</v>
      </c>
    </row>
    <row r="94" spans="1:24" s="47" customFormat="1" x14ac:dyDescent="0.2">
      <c r="A94" s="18" t="s">
        <v>153</v>
      </c>
      <c r="B94" s="37" t="s">
        <v>95</v>
      </c>
      <c r="C94" s="18" t="s">
        <v>154</v>
      </c>
      <c r="D94" s="37">
        <f>VLOOKUP(C94,'IP PITSS'!$B$10:$V$91,21,0)</f>
        <v>2865.8</v>
      </c>
      <c r="E94" s="59"/>
      <c r="F94" s="47">
        <f>VLOOKUP(C94,'SIND PITS'!$C$3:$D$100,2,0)</f>
        <v>554.19999999999982</v>
      </c>
      <c r="G94" s="47">
        <f>VLOOKUP(C94,'SIND PITS'!$C$3:$E$100,3,0)</f>
        <v>225</v>
      </c>
      <c r="H94" s="47">
        <f>VLOOKUP(C94,'SIND PITS'!$C$3:$F$100,4,0)</f>
        <v>0</v>
      </c>
      <c r="I94" s="47">
        <f>VLOOKUP(C94,'SIND PITS'!$C$3:$G$100,5,0)</f>
        <v>0</v>
      </c>
      <c r="J94" s="43"/>
      <c r="K94" s="47">
        <f t="shared" si="9"/>
        <v>3645</v>
      </c>
      <c r="L94" s="47">
        <v>6000</v>
      </c>
      <c r="M94" s="47">
        <f t="shared" si="11"/>
        <v>3000</v>
      </c>
      <c r="N94" s="44"/>
      <c r="O94" s="36">
        <f>VLOOKUP(C94,'[1]IP PITS'!$B$6:$I$87,8,0)</f>
        <v>420</v>
      </c>
      <c r="P94" s="47">
        <f t="shared" si="10"/>
        <v>225</v>
      </c>
      <c r="Q94" s="36">
        <f>(VLOOKUP(C94,'IP PITSS'!$B$10:$M$91,10,0))+(VLOOKUP(C94,'IP PITSS'!$B$10:$M$91,11,0))+(VLOOKUP(C94,'IP PITSS'!$B$10:$M$91,12,0))</f>
        <v>0</v>
      </c>
      <c r="R94" s="36">
        <f>VLOOKUP(C94,'IP PITSS'!$B$10:$R$91,17,0)</f>
        <v>0</v>
      </c>
      <c r="S94" s="36">
        <f>VLOOKUP(C94,'IP PITSS'!$B$10:$S$91,18,0)</f>
        <v>0</v>
      </c>
      <c r="T94" s="44"/>
      <c r="U94" s="47">
        <f t="shared" si="12"/>
        <v>3000</v>
      </c>
      <c r="V94" s="36">
        <f t="shared" si="8"/>
        <v>0</v>
      </c>
      <c r="W94" s="61"/>
      <c r="X94" s="47" t="s">
        <v>155</v>
      </c>
    </row>
    <row r="95" spans="1:24" s="47" customFormat="1" x14ac:dyDescent="0.2">
      <c r="A95" s="18" t="s">
        <v>277</v>
      </c>
      <c r="B95" s="37" t="s">
        <v>95</v>
      </c>
      <c r="C95" s="18" t="s">
        <v>278</v>
      </c>
      <c r="D95" s="37">
        <f>VLOOKUP(C95,'IP PITSS'!$B$10:$V$91,21,0)</f>
        <v>2974.2</v>
      </c>
      <c r="E95" s="59"/>
      <c r="F95" s="47">
        <f>VLOOKUP(C95,'SIND PITS'!$C$3:$D$100,2,0)</f>
        <v>175.80000000000018</v>
      </c>
      <c r="G95" s="47">
        <f>VLOOKUP(C95,'SIND PITS'!$C$3:$E$100,3,0)</f>
        <v>843.75</v>
      </c>
      <c r="H95" s="47">
        <f>VLOOKUP(C95,'SIND PITS'!$C$3:$F$100,4,0)</f>
        <v>0</v>
      </c>
      <c r="I95" s="47">
        <f>VLOOKUP(C95,'SIND PITS'!$C$3:$G$100,5,0)</f>
        <v>0</v>
      </c>
      <c r="J95" s="43"/>
      <c r="K95" s="47">
        <f t="shared" si="9"/>
        <v>3993.75</v>
      </c>
      <c r="L95" s="47">
        <v>6300</v>
      </c>
      <c r="M95" s="47">
        <f t="shared" si="11"/>
        <v>3150</v>
      </c>
      <c r="N95" s="44"/>
      <c r="O95" s="36">
        <f>VLOOKUP(C95,'[1]IP PITS'!$B$6:$I$87,8,0)</f>
        <v>0</v>
      </c>
      <c r="P95" s="47">
        <f t="shared" si="10"/>
        <v>843.75</v>
      </c>
      <c r="Q95" s="36">
        <f>(VLOOKUP(C95,'IP PITSS'!$B$10:$M$91,10,0))+(VLOOKUP(C95,'IP PITSS'!$B$10:$M$91,11,0))+(VLOOKUP(C95,'IP PITSS'!$B$10:$M$91,12,0))</f>
        <v>0</v>
      </c>
      <c r="R95" s="36">
        <f>VLOOKUP(C95,'IP PITSS'!$B$10:$R$91,17,0)</f>
        <v>0</v>
      </c>
      <c r="S95" s="36">
        <f>VLOOKUP(C95,'IP PITSS'!$B$10:$S$91,18,0)</f>
        <v>0</v>
      </c>
      <c r="T95" s="44"/>
      <c r="U95" s="47">
        <f t="shared" si="12"/>
        <v>3150</v>
      </c>
      <c r="V95" s="36">
        <f t="shared" si="8"/>
        <v>0</v>
      </c>
      <c r="W95" s="61"/>
      <c r="X95" s="47" t="s">
        <v>279</v>
      </c>
    </row>
    <row r="96" spans="1:24" s="47" customFormat="1" x14ac:dyDescent="0.2">
      <c r="A96" s="18" t="s">
        <v>139</v>
      </c>
      <c r="B96" s="37" t="s">
        <v>95</v>
      </c>
      <c r="C96" s="18" t="s">
        <v>140</v>
      </c>
      <c r="D96" s="37">
        <f>VLOOKUP(C96,'IP PITSS'!$B$10:$V$91,21,0)</f>
        <v>3277.3999999999996</v>
      </c>
      <c r="E96" s="59"/>
      <c r="F96" s="47">
        <f>VLOOKUP(C96,'SIND PITS'!$C$3:$D$100,2,0)</f>
        <v>222.60000000000036</v>
      </c>
      <c r="G96" s="47">
        <f>VLOOKUP(C96,'SIND PITS'!$C$3:$E$100,3,0)</f>
        <v>250</v>
      </c>
      <c r="H96" s="47">
        <f>VLOOKUP(C96,'SIND PITS'!$C$3:$F$100,4,0)</f>
        <v>0</v>
      </c>
      <c r="I96" s="47">
        <f>VLOOKUP(C96,'SIND PITS'!$C$3:$G$100,5,0)</f>
        <v>0</v>
      </c>
      <c r="J96" s="43"/>
      <c r="K96" s="47">
        <f t="shared" si="9"/>
        <v>3750</v>
      </c>
      <c r="L96" s="47">
        <v>7000</v>
      </c>
      <c r="M96" s="47">
        <f t="shared" si="11"/>
        <v>3500</v>
      </c>
      <c r="N96" s="44"/>
      <c r="O96" s="36">
        <f>VLOOKUP(C96,'[1]IP PITS'!$B$6:$I$87,8,0)</f>
        <v>0</v>
      </c>
      <c r="P96" s="47">
        <f t="shared" si="10"/>
        <v>250</v>
      </c>
      <c r="Q96" s="36">
        <f>(VLOOKUP(C96,'IP PITSS'!$B$10:$M$91,10,0))+(VLOOKUP(C96,'IP PITSS'!$B$10:$M$91,11,0))+(VLOOKUP(C96,'IP PITSS'!$B$10:$M$91,12,0))</f>
        <v>0</v>
      </c>
      <c r="R96" s="36">
        <f>VLOOKUP(C96,'IP PITSS'!$B$10:$R$91,17,0)</f>
        <v>0</v>
      </c>
      <c r="S96" s="36">
        <f>VLOOKUP(C96,'IP PITSS'!$B$10:$S$91,18,0)</f>
        <v>0</v>
      </c>
      <c r="T96" s="44"/>
      <c r="U96" s="47">
        <f t="shared" si="12"/>
        <v>3500</v>
      </c>
      <c r="V96" s="36">
        <f t="shared" si="8"/>
        <v>0</v>
      </c>
      <c r="W96" s="61"/>
      <c r="X96" s="47" t="s">
        <v>141</v>
      </c>
    </row>
    <row r="97" spans="1:244" s="47" customFormat="1" x14ac:dyDescent="0.2">
      <c r="A97" s="18" t="s">
        <v>169</v>
      </c>
      <c r="B97" s="37" t="s">
        <v>95</v>
      </c>
      <c r="C97" s="18" t="s">
        <v>170</v>
      </c>
      <c r="D97" s="37">
        <f>VLOOKUP(C97,'IP PITSS'!$B$10:$V$91,21,0)</f>
        <v>1887.3999999999999</v>
      </c>
      <c r="E97" s="59"/>
      <c r="F97" s="47">
        <f>VLOOKUP(C97,'SIND PITS'!$C$3:$D$100,2,0)</f>
        <v>174.46000000000004</v>
      </c>
      <c r="G97" s="47">
        <f>VLOOKUP(C97,'SIND PITS'!$C$3:$E$100,3,0)</f>
        <v>590.63</v>
      </c>
      <c r="H97" s="47">
        <f>VLOOKUP(C97,'SIND PITS'!$C$3:$F$100,4,0)</f>
        <v>0</v>
      </c>
      <c r="I97" s="47">
        <f>VLOOKUP(C97,'SIND PITS'!$C$3:$G$100,5,0)</f>
        <v>0</v>
      </c>
      <c r="J97" s="43"/>
      <c r="K97" s="47">
        <f t="shared" si="9"/>
        <v>2652.49</v>
      </c>
      <c r="L97" s="47">
        <v>6300</v>
      </c>
      <c r="M97" s="47">
        <f t="shared" si="11"/>
        <v>3150</v>
      </c>
      <c r="N97" s="44"/>
      <c r="O97" s="36">
        <f>VLOOKUP(C97,'[1]IP PITS'!$B$6:$I$87,8,0)</f>
        <v>0</v>
      </c>
      <c r="P97" s="47">
        <f t="shared" si="10"/>
        <v>590.63</v>
      </c>
      <c r="Q97" s="36">
        <f>(VLOOKUP(C97,'IP PITSS'!$B$10:$M$91,10,0))+(VLOOKUP(C97,'IP PITSS'!$B$10:$M$91,11,0))+(VLOOKUP(C97,'IP PITSS'!$B$10:$M$91,12,0))</f>
        <v>1088.1400000000001</v>
      </c>
      <c r="R97" s="36">
        <f>VLOOKUP(C97,'IP PITSS'!$B$10:$R$91,17,0)</f>
        <v>0</v>
      </c>
      <c r="S97" s="36">
        <f>VLOOKUP(C97,'IP PITSS'!$B$10:$S$91,18,0)</f>
        <v>0</v>
      </c>
      <c r="T97" s="44"/>
      <c r="U97" s="47">
        <f t="shared" si="12"/>
        <v>3150</v>
      </c>
      <c r="V97" s="36">
        <f t="shared" si="8"/>
        <v>0</v>
      </c>
      <c r="W97" s="61"/>
      <c r="X97" s="47" t="s">
        <v>171</v>
      </c>
    </row>
    <row r="98" spans="1:244" s="47" customFormat="1" x14ac:dyDescent="0.2">
      <c r="A98" s="18" t="s">
        <v>94</v>
      </c>
      <c r="B98" s="37" t="s">
        <v>95</v>
      </c>
      <c r="C98" s="18" t="s">
        <v>96</v>
      </c>
      <c r="D98" s="37">
        <f>VLOOKUP(C98,'IP PITSS'!$B$10:$V$91,21,0)</f>
        <v>2864.8</v>
      </c>
      <c r="E98" s="59"/>
      <c r="F98" s="47">
        <f>VLOOKUP(C98,'SIND PITS'!$C$3:$D$100,2,0)</f>
        <v>135.19999999999982</v>
      </c>
      <c r="G98" s="47">
        <f>VLOOKUP(C98,'SIND PITS'!$C$3:$E$100,3,0)</f>
        <v>0</v>
      </c>
      <c r="H98" s="47">
        <f>VLOOKUP(C98,'SIND PITS'!$C$3:$F$100,4,0)</f>
        <v>0</v>
      </c>
      <c r="I98" s="47">
        <f>VLOOKUP(C98,'SIND PITS'!$C$3:$G$100,5,0)</f>
        <v>0</v>
      </c>
      <c r="J98" s="43"/>
      <c r="K98" s="47">
        <f t="shared" si="9"/>
        <v>3000</v>
      </c>
      <c r="L98" s="47">
        <v>6000</v>
      </c>
      <c r="M98" s="47">
        <f t="shared" si="11"/>
        <v>3000</v>
      </c>
      <c r="N98" s="44"/>
      <c r="O98" s="36">
        <f>VLOOKUP(C98,'[1]IP PITS'!$B$6:$I$87,8,0)</f>
        <v>0</v>
      </c>
      <c r="P98" s="47">
        <f t="shared" si="10"/>
        <v>0</v>
      </c>
      <c r="Q98" s="36">
        <f>(VLOOKUP(C98,'IP PITSS'!$B$10:$M$91,10,0))+(VLOOKUP(C98,'IP PITSS'!$B$10:$M$91,11,0))+(VLOOKUP(C98,'IP PITSS'!$B$10:$M$91,12,0))</f>
        <v>0</v>
      </c>
      <c r="R98" s="36">
        <f>VLOOKUP(C98,'IP PITSS'!$B$10:$R$91,17,0)</f>
        <v>0</v>
      </c>
      <c r="S98" s="36">
        <f>VLOOKUP(C98,'IP PITSS'!$B$10:$S$91,18,0)</f>
        <v>0</v>
      </c>
      <c r="T98" s="44"/>
      <c r="U98" s="47">
        <f t="shared" si="12"/>
        <v>3000</v>
      </c>
      <c r="V98" s="36">
        <f t="shared" si="8"/>
        <v>0</v>
      </c>
      <c r="W98" s="72"/>
      <c r="X98" s="47" t="s">
        <v>97</v>
      </c>
    </row>
    <row r="99" spans="1:244" s="47" customFormat="1" x14ac:dyDescent="0.2">
      <c r="A99" s="18" t="s">
        <v>343</v>
      </c>
      <c r="B99" s="37" t="s">
        <v>95</v>
      </c>
      <c r="C99" s="18" t="s">
        <v>344</v>
      </c>
      <c r="D99" s="37">
        <f>VLOOKUP(C99,'IP PITSS'!$B$10:$V$91,21,0)</f>
        <v>1608.4</v>
      </c>
      <c r="E99" s="59"/>
      <c r="F99" s="47">
        <f>VLOOKUP(C99,'SIND PITS'!$C$3:$D$100,2,0)</f>
        <v>135.21000000000004</v>
      </c>
      <c r="G99" s="47">
        <f>VLOOKUP(C99,'SIND PITS'!$C$3:$E$100,3,0)</f>
        <v>0</v>
      </c>
      <c r="H99" s="47">
        <f>VLOOKUP(C99,'SIND PITS'!$C$3:$F$100,4,0)</f>
        <v>0</v>
      </c>
      <c r="I99" s="47">
        <f>VLOOKUP(C99,'SIND PITS'!$C$3:$G$100,5,0)</f>
        <v>0</v>
      </c>
      <c r="J99" s="43"/>
      <c r="K99" s="47">
        <f t="shared" si="9"/>
        <v>1743.6100000000001</v>
      </c>
      <c r="L99" s="47">
        <v>6000</v>
      </c>
      <c r="M99" s="47">
        <f t="shared" si="11"/>
        <v>3000</v>
      </c>
      <c r="N99" s="44"/>
      <c r="O99" s="36">
        <f>VLOOKUP(C99,'[1]IP PITS'!$B$6:$I$87,8,0)</f>
        <v>0</v>
      </c>
      <c r="P99" s="47">
        <f t="shared" si="10"/>
        <v>0</v>
      </c>
      <c r="Q99" s="36">
        <f>(VLOOKUP(C99,'IP PITSS'!$B$10:$M$91,10,0))+(VLOOKUP(C99,'IP PITSS'!$B$10:$M$91,11,0))+(VLOOKUP(C99,'IP PITSS'!$B$10:$M$91,12,0))</f>
        <v>619.79</v>
      </c>
      <c r="R99" s="36">
        <f>VLOOKUP(C99,'IP PITSS'!$B$10:$R$91,17,0)</f>
        <v>636.6</v>
      </c>
      <c r="S99" s="36">
        <f>VLOOKUP(C99,'IP PITSS'!$B$10:$S$91,18,0)</f>
        <v>0</v>
      </c>
      <c r="T99" s="44"/>
      <c r="U99" s="47">
        <f t="shared" si="12"/>
        <v>3000</v>
      </c>
      <c r="V99" s="36">
        <f t="shared" si="8"/>
        <v>0</v>
      </c>
      <c r="W99" s="72"/>
      <c r="X99" s="47" t="s">
        <v>345</v>
      </c>
    </row>
    <row r="100" spans="1:244" s="47" customFormat="1" x14ac:dyDescent="0.2">
      <c r="A100" s="18" t="s">
        <v>384</v>
      </c>
      <c r="B100" s="37" t="s">
        <v>95</v>
      </c>
      <c r="C100" s="37" t="s">
        <v>350</v>
      </c>
      <c r="D100" s="37">
        <f>VLOOKUP(C100,'IP PITSS'!$B$10:$V$91,21,0)</f>
        <v>2446.6000000000004</v>
      </c>
      <c r="E100" s="59"/>
      <c r="F100" s="47">
        <f>VLOOKUP(C100,'SIND PITS'!$C$101:$D$101,2,0)</f>
        <v>53.399999999999636</v>
      </c>
      <c r="G100" s="47">
        <f>VLOOKUP(C100,'SIND PITS'!C101:E104,3,0)</f>
        <v>0</v>
      </c>
      <c r="H100" s="47">
        <f>VLOOKUP(C100,'SIND PITS'!C101:F104,4,0)</f>
        <v>0</v>
      </c>
      <c r="I100" s="47">
        <f>VLOOKUP(C100,'SIND PITS'!$C$101:$G$101,5,0)</f>
        <v>0</v>
      </c>
      <c r="J100" s="43"/>
      <c r="K100" s="47">
        <f t="shared" si="9"/>
        <v>2500</v>
      </c>
      <c r="L100" s="47">
        <v>5000</v>
      </c>
      <c r="M100" s="47">
        <f t="shared" si="11"/>
        <v>2500</v>
      </c>
      <c r="N100" s="44"/>
      <c r="O100" s="36">
        <f>VLOOKUP(C100,'[1]IP PITS'!$B$6:$I$87,8,0)</f>
        <v>0</v>
      </c>
      <c r="P100" s="47">
        <f t="shared" si="10"/>
        <v>0</v>
      </c>
      <c r="Q100" s="36">
        <f>(VLOOKUP(C100,'IP PITSS'!$B$10:$M$91,10,0))+(VLOOKUP(C100,'IP PITSS'!$B$10:$M$91,11,0))+(VLOOKUP(C100,'IP PITSS'!$B$10:$M$91,12,0))</f>
        <v>0</v>
      </c>
      <c r="R100" s="36">
        <f>VLOOKUP(C100,'IP PITSS'!$B$10:$R$91,17,0)</f>
        <v>0</v>
      </c>
      <c r="S100" s="36">
        <f>VLOOKUP(C100,'IP PITSS'!$B$10:$S$91,18,0)</f>
        <v>0</v>
      </c>
      <c r="T100" s="44"/>
      <c r="U100" s="47">
        <f t="shared" si="12"/>
        <v>2500</v>
      </c>
      <c r="V100" s="36">
        <f t="shared" si="8"/>
        <v>0</v>
      </c>
      <c r="W100" s="72"/>
    </row>
    <row r="101" spans="1:244" s="47" customFormat="1" ht="15" x14ac:dyDescent="0.25">
      <c r="A101" s="38" t="s">
        <v>385</v>
      </c>
      <c r="B101" s="37" t="s">
        <v>95</v>
      </c>
      <c r="C101" s="38" t="s">
        <v>352</v>
      </c>
      <c r="D101" s="37">
        <f>VLOOKUP(C101,'IP PITSS'!$B$10:$V$91,21,0)</f>
        <v>2691.2</v>
      </c>
      <c r="E101" s="59"/>
      <c r="F101" s="47">
        <f>+'SIND PITS'!D102</f>
        <v>308.80000000000018</v>
      </c>
      <c r="G101" s="47">
        <f>VLOOKUP(C101,'SIND PITS'!C102:E106,3,0)</f>
        <v>325</v>
      </c>
      <c r="H101" s="47">
        <f>VLOOKUP(C101,'SIND PITS'!C102:F106,4,0)</f>
        <v>0</v>
      </c>
      <c r="I101" s="47">
        <f>+'SIND PITS'!G102</f>
        <v>0</v>
      </c>
      <c r="J101" s="43"/>
      <c r="K101" s="47">
        <f t="shared" si="9"/>
        <v>3325</v>
      </c>
      <c r="L101" s="47">
        <v>6000</v>
      </c>
      <c r="M101" s="47">
        <f t="shared" si="11"/>
        <v>3000</v>
      </c>
      <c r="N101" s="44"/>
      <c r="O101" s="36">
        <f>VLOOKUP(C101,'[1]IP PITS'!$B$6:$I$87,8,0)</f>
        <v>0</v>
      </c>
      <c r="P101" s="47">
        <f t="shared" si="10"/>
        <v>325</v>
      </c>
      <c r="Q101" s="36">
        <f>(VLOOKUP(C101,'IP PITSS'!$B$10:$M$91,10,0))+(VLOOKUP(C101,'IP PITSS'!$B$10:$M$91,11,0))+(VLOOKUP(C101,'IP PITSS'!$B$10:$M$91,12,0))</f>
        <v>0</v>
      </c>
      <c r="R101" s="36">
        <f>VLOOKUP(C101,'IP PITSS'!$B$10:$R$91,17,0)</f>
        <v>0</v>
      </c>
      <c r="S101" s="36">
        <f>VLOOKUP(C101,'IP PITSS'!$B$10:$S$91,18,0)</f>
        <v>0</v>
      </c>
      <c r="T101" s="44"/>
      <c r="U101" s="47">
        <f t="shared" si="12"/>
        <v>3000</v>
      </c>
      <c r="V101" s="36">
        <f t="shared" si="8"/>
        <v>0</v>
      </c>
      <c r="W101" s="71" t="s">
        <v>444</v>
      </c>
    </row>
    <row r="102" spans="1:244" s="47" customFormat="1" ht="15" x14ac:dyDescent="0.25">
      <c r="A102" s="38"/>
      <c r="B102" s="18" t="s">
        <v>95</v>
      </c>
      <c r="C102" s="18" t="s">
        <v>290</v>
      </c>
      <c r="D102" s="37">
        <f>VLOOKUP(C102,'IP PITSS'!$B$10:$V$91,21,0)</f>
        <v>1321.2</v>
      </c>
      <c r="E102" s="59"/>
      <c r="F102" s="47">
        <f>VLOOKUP(C102,'SIND PITS'!$C$3:$D$100,2,0)</f>
        <v>392.29000000000042</v>
      </c>
      <c r="G102" s="47">
        <f>VLOOKUP(C102,'SIND PITS'!$C$3:$E$100,3,0)</f>
        <v>2642.92</v>
      </c>
      <c r="H102" s="47">
        <f>VLOOKUP(C102,'SIND PITS'!$C$3:$F$100,4,0)</f>
        <v>0</v>
      </c>
      <c r="I102" s="47">
        <f>VLOOKUP(C102,'SIND PITS'!$C$3:$G$100,5,0)</f>
        <v>0</v>
      </c>
      <c r="J102" s="43"/>
      <c r="K102" s="47">
        <f t="shared" si="9"/>
        <v>4356.4100000000008</v>
      </c>
      <c r="L102" s="47">
        <v>5000</v>
      </c>
      <c r="M102" s="47">
        <f t="shared" si="11"/>
        <v>2500</v>
      </c>
      <c r="N102" s="44"/>
      <c r="O102" s="36">
        <f>VLOOKUP(C102,'[1]IP PITS'!$B$6:$I$87,8,0)</f>
        <v>184.8</v>
      </c>
      <c r="P102" s="47">
        <f t="shared" si="10"/>
        <v>2642.92</v>
      </c>
      <c r="Q102" s="36">
        <f>(VLOOKUP(C102,'IP PITSS'!$B$10:$M$91,10,0))+(VLOOKUP(C102,'IP PITSS'!$B$10:$M$91,11,0))+(VLOOKUP(C102,'IP PITSS'!$B$10:$M$91,12,0))</f>
        <v>971.31</v>
      </c>
      <c r="R102" s="36">
        <f>VLOOKUP(C102,'IP PITSS'!$B$10:$R$91,17,0)</f>
        <v>0</v>
      </c>
      <c r="S102" s="36">
        <f>VLOOKUP(C102,'IP PITSS'!$B$10:$S$91,18,0)</f>
        <v>0</v>
      </c>
      <c r="T102" s="44"/>
      <c r="U102" s="47">
        <f t="shared" si="12"/>
        <v>2500.0000000000005</v>
      </c>
      <c r="V102" s="36">
        <f t="shared" si="8"/>
        <v>0</v>
      </c>
      <c r="W102" s="72"/>
    </row>
    <row r="103" spans="1:244" s="47" customFormat="1" ht="15" x14ac:dyDescent="0.25">
      <c r="A103" s="38"/>
      <c r="B103" s="18" t="s">
        <v>95</v>
      </c>
      <c r="C103" s="18" t="s">
        <v>441</v>
      </c>
      <c r="D103" s="37">
        <f>VLOOKUP(C103,'IP PITSS'!$B$10:$V$91,21,0)</f>
        <v>787.6</v>
      </c>
      <c r="E103" s="59"/>
      <c r="F103" s="47">
        <v>0</v>
      </c>
      <c r="J103" s="43"/>
      <c r="K103" s="47">
        <f t="shared" si="9"/>
        <v>787.6</v>
      </c>
      <c r="L103" s="47">
        <v>6300</v>
      </c>
      <c r="M103" s="47">
        <f t="shared" si="11"/>
        <v>3150</v>
      </c>
      <c r="N103" s="44"/>
      <c r="O103" s="36"/>
      <c r="Q103" s="36">
        <f>(VLOOKUP(C103,'IP PITSS'!$B$10:$M$91,10,0))+(VLOOKUP(C103,'IP PITSS'!$B$10:$M$91,11,0))+(VLOOKUP(C103,'IP PITSS'!$B$10:$M$91,12,0))</f>
        <v>0</v>
      </c>
      <c r="R103" s="36">
        <f>VLOOKUP(C103,'IP PITSS'!$B$10:$R$91,17,0)</f>
        <v>0</v>
      </c>
      <c r="S103" s="36">
        <f>VLOOKUP(C103,'IP PITSS'!$B$10:$S$91,18,0)</f>
        <v>0</v>
      </c>
      <c r="T103" s="44"/>
      <c r="U103" s="47">
        <f t="shared" si="12"/>
        <v>787.6</v>
      </c>
      <c r="V103" s="36">
        <f t="shared" si="8"/>
        <v>2362.4</v>
      </c>
      <c r="W103" s="71" t="s">
        <v>443</v>
      </c>
    </row>
    <row r="104" spans="1:244" s="73" customFormat="1" ht="24.75" customHeight="1" x14ac:dyDescent="0.2">
      <c r="C104" s="73" t="s">
        <v>386</v>
      </c>
      <c r="D104" s="73">
        <f>SUBTOTAL(9,D3:D103)</f>
        <v>307790.2</v>
      </c>
      <c r="E104" s="59"/>
      <c r="F104" s="73">
        <f t="shared" ref="F104:I104" si="13">SUBTOTAL(9,F3:F103)</f>
        <v>151352.48500000004</v>
      </c>
      <c r="G104" s="73">
        <f t="shared" si="13"/>
        <v>37527.93</v>
      </c>
      <c r="H104" s="73">
        <f t="shared" si="13"/>
        <v>10960</v>
      </c>
      <c r="I104" s="73">
        <f t="shared" si="13"/>
        <v>796.42</v>
      </c>
      <c r="J104" s="43"/>
      <c r="K104" s="73">
        <f t="shared" ref="K104:M104" si="14">SUBTOTAL(9,K3:K103)</f>
        <v>508427.03499999968</v>
      </c>
      <c r="L104" s="73">
        <f t="shared" si="14"/>
        <v>1015831.01</v>
      </c>
      <c r="M104" s="73">
        <f t="shared" si="14"/>
        <v>507915.505</v>
      </c>
      <c r="N104" s="44"/>
      <c r="O104" s="73">
        <f t="shared" ref="O104:S104" si="15">SUBTOTAL(9,O3:O103)</f>
        <v>2789.13</v>
      </c>
      <c r="P104" s="73">
        <f t="shared" si="15"/>
        <v>49284.35</v>
      </c>
      <c r="Q104" s="73">
        <f t="shared" si="15"/>
        <v>40282.539999999986</v>
      </c>
      <c r="R104" s="73">
        <f t="shared" si="15"/>
        <v>1836.6</v>
      </c>
      <c r="S104" s="73">
        <f t="shared" si="15"/>
        <v>3932.43</v>
      </c>
      <c r="T104" s="44"/>
      <c r="U104" s="73">
        <f t="shared" ref="U104:V104" si="16">SUBTOTAL(9,U3:U103)</f>
        <v>502405.125</v>
      </c>
      <c r="V104" s="73">
        <f t="shared" si="16"/>
        <v>2360.3799999999951</v>
      </c>
      <c r="W104" s="73">
        <f t="shared" ref="W104:X104" si="17">SUBTOTAL(9,W3:W102)</f>
        <v>0</v>
      </c>
      <c r="X104" s="73">
        <f t="shared" si="17"/>
        <v>0</v>
      </c>
      <c r="Y104" s="73">
        <f t="shared" ref="Y104:Z104" si="18">SUM(Y3:Y101)</f>
        <v>0</v>
      </c>
      <c r="Z104" s="73">
        <f t="shared" si="18"/>
        <v>0</v>
      </c>
      <c r="AA104" s="73">
        <f t="shared" ref="AA104:AE104" si="19">SUM(AA3:AA100)</f>
        <v>0</v>
      </c>
      <c r="AB104" s="73">
        <f t="shared" si="19"/>
        <v>0</v>
      </c>
      <c r="AC104" s="73">
        <f t="shared" si="19"/>
        <v>0</v>
      </c>
      <c r="AD104" s="73">
        <f t="shared" si="19"/>
        <v>0</v>
      </c>
      <c r="AE104" s="73">
        <f t="shared" si="19"/>
        <v>0</v>
      </c>
      <c r="AF104" s="73">
        <f>SUM(AF3:AF90)</f>
        <v>0</v>
      </c>
    </row>
    <row r="105" spans="1:244" s="74" customFormat="1" x14ac:dyDescent="0.2">
      <c r="C105" s="75"/>
      <c r="E105" s="59"/>
      <c r="J105" s="43"/>
      <c r="N105" s="44"/>
      <c r="T105" s="44"/>
      <c r="V105" s="69"/>
      <c r="W105" s="69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  <c r="BG105" s="60"/>
      <c r="BH105" s="60"/>
      <c r="BI105" s="60"/>
      <c r="BJ105" s="60"/>
      <c r="BK105" s="60"/>
      <c r="BL105" s="60"/>
      <c r="BM105" s="60"/>
      <c r="BN105" s="60"/>
      <c r="BO105" s="60"/>
      <c r="BP105" s="60"/>
      <c r="BQ105" s="60"/>
      <c r="BR105" s="60"/>
      <c r="BS105" s="60"/>
      <c r="BT105" s="60"/>
      <c r="BU105" s="60"/>
      <c r="BV105" s="60"/>
      <c r="BW105" s="60"/>
      <c r="BX105" s="60"/>
      <c r="BY105" s="60"/>
      <c r="BZ105" s="60"/>
      <c r="CA105" s="60"/>
      <c r="CB105" s="60"/>
      <c r="CC105" s="60"/>
      <c r="CD105" s="60"/>
      <c r="CE105" s="60"/>
      <c r="CF105" s="60"/>
      <c r="CG105" s="60"/>
      <c r="CH105" s="60"/>
      <c r="CI105" s="60"/>
      <c r="CJ105" s="60"/>
      <c r="CK105" s="60"/>
      <c r="CL105" s="60"/>
      <c r="CM105" s="60"/>
      <c r="CN105" s="60"/>
      <c r="CO105" s="60"/>
      <c r="CP105" s="60"/>
      <c r="CQ105" s="60"/>
      <c r="CR105" s="60"/>
      <c r="CS105" s="60"/>
      <c r="CT105" s="60"/>
      <c r="CU105" s="60"/>
      <c r="CV105" s="60"/>
      <c r="CW105" s="60"/>
      <c r="CX105" s="60"/>
      <c r="CY105" s="60"/>
      <c r="CZ105" s="60"/>
      <c r="DA105" s="60"/>
      <c r="DB105" s="60"/>
      <c r="DC105" s="60"/>
      <c r="DD105" s="60"/>
      <c r="DE105" s="60"/>
      <c r="DF105" s="60"/>
      <c r="DG105" s="60"/>
      <c r="DH105" s="60"/>
      <c r="DI105" s="60"/>
      <c r="DJ105" s="60"/>
      <c r="DK105" s="60"/>
      <c r="DL105" s="60"/>
      <c r="DM105" s="60"/>
      <c r="DN105" s="60"/>
      <c r="DO105" s="60"/>
      <c r="DP105" s="60"/>
      <c r="DQ105" s="60"/>
      <c r="DR105" s="60"/>
      <c r="DS105" s="60"/>
      <c r="DT105" s="60"/>
      <c r="DU105" s="60"/>
      <c r="DV105" s="60"/>
      <c r="DW105" s="60"/>
      <c r="DX105" s="60"/>
      <c r="DY105" s="60"/>
      <c r="DZ105" s="60"/>
      <c r="EA105" s="60"/>
      <c r="EB105" s="60"/>
      <c r="EC105" s="60"/>
      <c r="ED105" s="60"/>
      <c r="EE105" s="60"/>
      <c r="EF105" s="60"/>
      <c r="EG105" s="60"/>
      <c r="EH105" s="60"/>
      <c r="EI105" s="60"/>
      <c r="EJ105" s="60"/>
      <c r="EK105" s="60"/>
      <c r="EL105" s="60"/>
      <c r="EM105" s="60"/>
      <c r="EN105" s="60"/>
      <c r="EO105" s="60"/>
      <c r="EP105" s="60"/>
      <c r="EQ105" s="60"/>
      <c r="ER105" s="60"/>
      <c r="ES105" s="60"/>
      <c r="ET105" s="60"/>
      <c r="EU105" s="60"/>
      <c r="EV105" s="60"/>
      <c r="EW105" s="60"/>
      <c r="EX105" s="60"/>
      <c r="EY105" s="60"/>
      <c r="EZ105" s="60"/>
      <c r="FA105" s="60"/>
      <c r="FB105" s="60"/>
      <c r="FC105" s="60"/>
      <c r="FD105" s="60"/>
      <c r="FE105" s="60"/>
      <c r="FF105" s="60"/>
      <c r="FG105" s="60"/>
      <c r="FH105" s="60"/>
      <c r="FI105" s="60"/>
      <c r="FJ105" s="60"/>
      <c r="FK105" s="60"/>
      <c r="FL105" s="60"/>
      <c r="FM105" s="60"/>
      <c r="FN105" s="60"/>
      <c r="FO105" s="60"/>
      <c r="FP105" s="60"/>
      <c r="FQ105" s="60"/>
      <c r="FR105" s="60"/>
      <c r="FS105" s="60"/>
      <c r="FT105" s="60"/>
      <c r="FU105" s="60"/>
      <c r="FV105" s="60"/>
      <c r="FW105" s="60"/>
      <c r="FX105" s="60"/>
      <c r="FY105" s="60"/>
      <c r="FZ105" s="60"/>
      <c r="GA105" s="60"/>
      <c r="GB105" s="60"/>
      <c r="GC105" s="60"/>
      <c r="GD105" s="60"/>
      <c r="GE105" s="60"/>
      <c r="GF105" s="60"/>
      <c r="GG105" s="60"/>
      <c r="GH105" s="60"/>
      <c r="GI105" s="60"/>
      <c r="GJ105" s="60"/>
      <c r="GK105" s="60"/>
      <c r="GL105" s="60"/>
      <c r="GM105" s="60"/>
      <c r="GN105" s="60"/>
      <c r="GO105" s="60"/>
      <c r="GP105" s="60"/>
      <c r="GQ105" s="60"/>
      <c r="GR105" s="60"/>
      <c r="GS105" s="60"/>
      <c r="GT105" s="60"/>
      <c r="GU105" s="60"/>
      <c r="GV105" s="60"/>
      <c r="GW105" s="60"/>
      <c r="GX105" s="60"/>
      <c r="GY105" s="60"/>
      <c r="GZ105" s="60"/>
      <c r="HA105" s="60"/>
      <c r="HB105" s="60"/>
      <c r="HC105" s="60"/>
      <c r="HD105" s="60"/>
      <c r="HE105" s="60"/>
      <c r="HF105" s="60"/>
      <c r="HG105" s="60"/>
      <c r="HH105" s="60"/>
      <c r="HI105" s="60"/>
      <c r="HJ105" s="60"/>
      <c r="HK105" s="60"/>
      <c r="HL105" s="60"/>
      <c r="HM105" s="60"/>
      <c r="HN105" s="60"/>
      <c r="HO105" s="60"/>
      <c r="HP105" s="60"/>
      <c r="HQ105" s="60"/>
      <c r="HR105" s="60"/>
      <c r="HS105" s="60"/>
      <c r="HT105" s="60"/>
      <c r="HU105" s="60"/>
      <c r="HV105" s="60"/>
      <c r="HW105" s="60"/>
      <c r="HX105" s="60"/>
      <c r="HY105" s="60"/>
      <c r="HZ105" s="60"/>
      <c r="IA105" s="60"/>
      <c r="IB105" s="60"/>
      <c r="IC105" s="60"/>
      <c r="ID105" s="60"/>
      <c r="IE105" s="60"/>
      <c r="IF105" s="60"/>
      <c r="IG105" s="60"/>
      <c r="IH105" s="60"/>
      <c r="II105" s="60"/>
      <c r="IJ105" s="60"/>
    </row>
    <row r="106" spans="1:244" s="74" customFormat="1" x14ac:dyDescent="0.2">
      <c r="C106" s="75"/>
      <c r="E106" s="59"/>
      <c r="J106" s="43"/>
      <c r="M106" s="74">
        <f>+M101/15</f>
        <v>200</v>
      </c>
      <c r="N106" s="44"/>
      <c r="T106" s="44"/>
      <c r="V106" s="69"/>
      <c r="W106" s="69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  <c r="BG106" s="60"/>
      <c r="BH106" s="60"/>
      <c r="BI106" s="60"/>
      <c r="BJ106" s="60"/>
      <c r="BK106" s="60"/>
      <c r="BL106" s="60"/>
      <c r="BM106" s="60"/>
      <c r="BN106" s="60"/>
      <c r="BO106" s="60"/>
      <c r="BP106" s="60"/>
      <c r="BQ106" s="60"/>
      <c r="BR106" s="60"/>
      <c r="BS106" s="60"/>
      <c r="BT106" s="60"/>
      <c r="BU106" s="60"/>
      <c r="BV106" s="60"/>
      <c r="BW106" s="60"/>
      <c r="BX106" s="60"/>
      <c r="BY106" s="60"/>
      <c r="BZ106" s="60"/>
      <c r="CA106" s="60"/>
      <c r="CB106" s="60"/>
      <c r="CC106" s="60"/>
      <c r="CD106" s="60"/>
      <c r="CE106" s="60"/>
      <c r="CF106" s="60"/>
      <c r="CG106" s="60"/>
      <c r="CH106" s="60"/>
      <c r="CI106" s="60"/>
      <c r="CJ106" s="60"/>
      <c r="CK106" s="60"/>
      <c r="CL106" s="60"/>
      <c r="CM106" s="60"/>
      <c r="CN106" s="60"/>
      <c r="CO106" s="60"/>
      <c r="CP106" s="60"/>
      <c r="CQ106" s="60"/>
      <c r="CR106" s="60"/>
      <c r="CS106" s="60"/>
      <c r="CT106" s="60"/>
      <c r="CU106" s="60"/>
      <c r="CV106" s="60"/>
      <c r="CW106" s="60"/>
      <c r="CX106" s="60"/>
      <c r="CY106" s="60"/>
      <c r="CZ106" s="60"/>
      <c r="DA106" s="60"/>
      <c r="DB106" s="60"/>
      <c r="DC106" s="60"/>
      <c r="DD106" s="60"/>
      <c r="DE106" s="60"/>
      <c r="DF106" s="60"/>
      <c r="DG106" s="60"/>
      <c r="DH106" s="60"/>
      <c r="DI106" s="60"/>
      <c r="DJ106" s="60"/>
      <c r="DK106" s="60"/>
      <c r="DL106" s="60"/>
      <c r="DM106" s="60"/>
      <c r="DN106" s="60"/>
      <c r="DO106" s="60"/>
      <c r="DP106" s="60"/>
      <c r="DQ106" s="60"/>
      <c r="DR106" s="60"/>
      <c r="DS106" s="60"/>
      <c r="DT106" s="60"/>
      <c r="DU106" s="60"/>
      <c r="DV106" s="60"/>
      <c r="DW106" s="60"/>
      <c r="DX106" s="60"/>
      <c r="DY106" s="60"/>
      <c r="DZ106" s="60"/>
      <c r="EA106" s="60"/>
      <c r="EB106" s="60"/>
      <c r="EC106" s="60"/>
      <c r="ED106" s="60"/>
      <c r="EE106" s="60"/>
      <c r="EF106" s="60"/>
      <c r="EG106" s="60"/>
      <c r="EH106" s="60"/>
      <c r="EI106" s="60"/>
      <c r="EJ106" s="60"/>
      <c r="EK106" s="60"/>
      <c r="EL106" s="60"/>
      <c r="EM106" s="60"/>
      <c r="EN106" s="60"/>
      <c r="EO106" s="60"/>
      <c r="EP106" s="60"/>
      <c r="EQ106" s="60"/>
      <c r="ER106" s="60"/>
      <c r="ES106" s="60"/>
      <c r="ET106" s="60"/>
      <c r="EU106" s="60"/>
      <c r="EV106" s="60"/>
      <c r="EW106" s="60"/>
      <c r="EX106" s="60"/>
      <c r="EY106" s="60"/>
      <c r="EZ106" s="60"/>
      <c r="FA106" s="60"/>
      <c r="FB106" s="60"/>
      <c r="FC106" s="60"/>
      <c r="FD106" s="60"/>
      <c r="FE106" s="60"/>
      <c r="FF106" s="60"/>
      <c r="FG106" s="60"/>
      <c r="FH106" s="60"/>
      <c r="FI106" s="60"/>
      <c r="FJ106" s="60"/>
      <c r="FK106" s="60"/>
      <c r="FL106" s="60"/>
      <c r="FM106" s="60"/>
      <c r="FN106" s="60"/>
      <c r="FO106" s="60"/>
      <c r="FP106" s="60"/>
      <c r="FQ106" s="60"/>
      <c r="FR106" s="60"/>
      <c r="FS106" s="60"/>
      <c r="FT106" s="60"/>
      <c r="FU106" s="60"/>
      <c r="FV106" s="60"/>
      <c r="FW106" s="60"/>
      <c r="FX106" s="60"/>
      <c r="FY106" s="60"/>
      <c r="FZ106" s="60"/>
      <c r="GA106" s="60"/>
      <c r="GB106" s="60"/>
      <c r="GC106" s="60"/>
      <c r="GD106" s="60"/>
      <c r="GE106" s="60"/>
      <c r="GF106" s="60"/>
      <c r="GG106" s="60"/>
      <c r="GH106" s="60"/>
      <c r="GI106" s="60"/>
      <c r="GJ106" s="60"/>
      <c r="GK106" s="60"/>
      <c r="GL106" s="60"/>
      <c r="GM106" s="60"/>
      <c r="GN106" s="60"/>
      <c r="GO106" s="60"/>
      <c r="GP106" s="60"/>
      <c r="GQ106" s="60"/>
      <c r="GR106" s="60"/>
      <c r="GS106" s="60"/>
      <c r="GT106" s="60"/>
      <c r="GU106" s="60"/>
      <c r="GV106" s="60"/>
      <c r="GW106" s="60"/>
      <c r="GX106" s="60"/>
      <c r="GY106" s="60"/>
      <c r="GZ106" s="60"/>
      <c r="HA106" s="60"/>
      <c r="HB106" s="60"/>
      <c r="HC106" s="60"/>
      <c r="HD106" s="60"/>
      <c r="HE106" s="60"/>
      <c r="HF106" s="60"/>
      <c r="HG106" s="60"/>
      <c r="HH106" s="60"/>
      <c r="HI106" s="60"/>
      <c r="HJ106" s="60"/>
      <c r="HK106" s="60"/>
      <c r="HL106" s="60"/>
      <c r="HM106" s="60"/>
      <c r="HN106" s="60"/>
      <c r="HO106" s="60"/>
      <c r="HP106" s="60"/>
      <c r="HQ106" s="60"/>
      <c r="HR106" s="60"/>
      <c r="HS106" s="60"/>
      <c r="HT106" s="60"/>
      <c r="HU106" s="60"/>
      <c r="HV106" s="60"/>
      <c r="HW106" s="60"/>
      <c r="HX106" s="60"/>
      <c r="HY106" s="60"/>
      <c r="HZ106" s="60"/>
      <c r="IA106" s="60"/>
      <c r="IB106" s="60"/>
      <c r="IC106" s="60"/>
      <c r="ID106" s="60"/>
      <c r="IE106" s="60"/>
      <c r="IF106" s="60"/>
      <c r="IG106" s="60"/>
      <c r="IH106" s="60"/>
      <c r="II106" s="60"/>
      <c r="IJ106" s="60"/>
    </row>
    <row r="107" spans="1:244" x14ac:dyDescent="0.2">
      <c r="F107" s="30">
        <f>+F101+D101+H107</f>
        <v>3000</v>
      </c>
      <c r="M107" s="30">
        <f>+M106*14</f>
        <v>2800</v>
      </c>
    </row>
  </sheetData>
  <autoFilter ref="A2:W106"/>
  <mergeCells count="4">
    <mergeCell ref="A1:D1"/>
    <mergeCell ref="F1:I1"/>
    <mergeCell ref="K1:M1"/>
    <mergeCell ref="O1:S1"/>
  </mergeCells>
  <pageMargins left="0.70866141732283472" right="0.70866141732283472" top="0.74803149606299213" bottom="0.74803149606299213" header="0.31496062992125984" footer="0.31496062992125984"/>
  <pageSetup scale="1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I20"/>
  <sheetViews>
    <sheetView showGridLines="0" tabSelected="1" zoomScale="90" zoomScaleNormal="90" workbookViewId="0">
      <selection activeCell="F15" sqref="F15"/>
    </sheetView>
  </sheetViews>
  <sheetFormatPr baseColWidth="10" defaultRowHeight="15.75" x14ac:dyDescent="0.25"/>
  <cols>
    <col min="1" max="3" width="11.42578125" style="77"/>
    <col min="4" max="4" width="19.5703125" style="77" bestFit="1" customWidth="1"/>
    <col min="5" max="5" width="16.28515625" style="77" customWidth="1"/>
    <col min="6" max="6" width="16.5703125" style="77" bestFit="1" customWidth="1"/>
    <col min="7" max="7" width="11.42578125" style="77"/>
    <col min="8" max="8" width="18.7109375" style="77" customWidth="1"/>
    <col min="9" max="9" width="23.28515625" style="77" customWidth="1"/>
    <col min="10" max="16384" width="11.42578125" style="77"/>
  </cols>
  <sheetData>
    <row r="8" spans="4:9" ht="28.5" customHeight="1" x14ac:dyDescent="0.25">
      <c r="D8" s="121" t="s">
        <v>387</v>
      </c>
      <c r="E8" s="121"/>
      <c r="H8" s="122" t="s">
        <v>388</v>
      </c>
      <c r="I8" s="122"/>
    </row>
    <row r="9" spans="4:9" x14ac:dyDescent="0.25">
      <c r="D9" s="78" t="s">
        <v>389</v>
      </c>
      <c r="E9" s="79">
        <f>+'CPD PITSS'!M44</f>
        <v>138671.46780800002</v>
      </c>
      <c r="F9" s="79"/>
      <c r="G9" s="79"/>
      <c r="H9" s="78" t="s">
        <v>389</v>
      </c>
      <c r="I9" s="79">
        <f>+'CPD PITSS'!M54</f>
        <v>6065.6935853685263</v>
      </c>
    </row>
    <row r="10" spans="4:9" x14ac:dyDescent="0.25">
      <c r="D10" s="78" t="s">
        <v>390</v>
      </c>
      <c r="E10" s="79">
        <f>+'IP PITSS'!J108</f>
        <v>446354.43890399998</v>
      </c>
      <c r="F10" s="79"/>
      <c r="G10" s="79"/>
      <c r="H10" s="78" t="s">
        <v>390</v>
      </c>
      <c r="I10" s="79">
        <f>+'IP PITSS'!J118</f>
        <v>19410.868321103921</v>
      </c>
    </row>
    <row r="11" spans="4:9" x14ac:dyDescent="0.25">
      <c r="D11" s="78" t="s">
        <v>391</v>
      </c>
      <c r="E11" s="79">
        <f>+'SIND PITS'!H115</f>
        <v>237393.50317200003</v>
      </c>
      <c r="F11" s="79"/>
      <c r="G11" s="79"/>
      <c r="H11" s="78"/>
      <c r="I11" s="80"/>
    </row>
    <row r="12" spans="4:9" x14ac:dyDescent="0.25">
      <c r="D12" s="79"/>
      <c r="E12" s="81">
        <f>+E9+E10+E11</f>
        <v>822419.40988400008</v>
      </c>
      <c r="F12" s="79"/>
      <c r="G12" s="79"/>
      <c r="H12" s="79"/>
      <c r="I12" s="81">
        <f>+I9+I10+I11</f>
        <v>25476.561906472445</v>
      </c>
    </row>
    <row r="13" spans="4:9" x14ac:dyDescent="0.25">
      <c r="F13" s="79"/>
      <c r="G13" s="79"/>
    </row>
    <row r="14" spans="4:9" x14ac:dyDescent="0.25">
      <c r="D14" s="121" t="s">
        <v>392</v>
      </c>
      <c r="E14" s="121"/>
      <c r="F14" s="126" t="s">
        <v>446</v>
      </c>
      <c r="G14" s="79"/>
      <c r="H14" s="121" t="s">
        <v>392</v>
      </c>
      <c r="I14" s="121"/>
    </row>
    <row r="15" spans="4:9" x14ac:dyDescent="0.25">
      <c r="D15" s="78" t="s">
        <v>393</v>
      </c>
      <c r="E15" s="79">
        <f>+E12*4%</f>
        <v>32896.776395360001</v>
      </c>
      <c r="F15" s="125">
        <v>49</v>
      </c>
      <c r="G15" s="79"/>
      <c r="H15" s="78" t="s">
        <v>393</v>
      </c>
      <c r="I15" s="79">
        <f>+I12*4%</f>
        <v>1019.0624762588978</v>
      </c>
    </row>
    <row r="16" spans="4:9" x14ac:dyDescent="0.25">
      <c r="D16" s="78" t="s">
        <v>394</v>
      </c>
      <c r="E16" s="79">
        <f>+E12*12%</f>
        <v>98690.329186080009</v>
      </c>
      <c r="F16" s="125">
        <v>49</v>
      </c>
      <c r="G16" s="79"/>
      <c r="H16" s="78" t="s">
        <v>394</v>
      </c>
      <c r="I16" s="79">
        <f>+I12*12%</f>
        <v>3057.1874287766932</v>
      </c>
    </row>
    <row r="17" spans="4:9" x14ac:dyDescent="0.25">
      <c r="D17" s="78" t="s">
        <v>395</v>
      </c>
      <c r="E17" s="79">
        <f>+E12*11%</f>
        <v>90466.135087240007</v>
      </c>
      <c r="F17" s="125">
        <v>39</v>
      </c>
      <c r="G17" s="79"/>
      <c r="H17" s="78" t="s">
        <v>395</v>
      </c>
      <c r="I17" s="79">
        <f>+I12*11%</f>
        <v>2802.4218097119688</v>
      </c>
    </row>
    <row r="18" spans="4:9" x14ac:dyDescent="0.25">
      <c r="D18" s="78" t="s">
        <v>396</v>
      </c>
      <c r="E18" s="79">
        <f>+E12*73%</f>
        <v>600366.16921532003</v>
      </c>
      <c r="F18" s="125">
        <v>107</v>
      </c>
      <c r="H18" s="78" t="s">
        <v>396</v>
      </c>
      <c r="I18" s="79">
        <f>+I12*73%</f>
        <v>18597.890191724884</v>
      </c>
    </row>
    <row r="19" spans="4:9" x14ac:dyDescent="0.25">
      <c r="E19" s="82">
        <f>SUM(E15:E18)</f>
        <v>822419.40988399996</v>
      </c>
      <c r="F19" s="79"/>
      <c r="I19" s="82">
        <f>SUM(I15:I18)</f>
        <v>25476.561906472445</v>
      </c>
    </row>
    <row r="20" spans="4:9" x14ac:dyDescent="0.25">
      <c r="E20" s="79"/>
      <c r="F20" s="79"/>
    </row>
  </sheetData>
  <mergeCells count="4">
    <mergeCell ref="D8:E8"/>
    <mergeCell ref="H8:I8"/>
    <mergeCell ref="D14:E14"/>
    <mergeCell ref="H14:I1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showGridLines="0" zoomScale="90" zoomScaleNormal="90" workbookViewId="0">
      <selection activeCell="E31" sqref="E31"/>
    </sheetView>
  </sheetViews>
  <sheetFormatPr baseColWidth="10" defaultRowHeight="15" x14ac:dyDescent="0.25"/>
  <cols>
    <col min="1" max="1" width="39.5703125" customWidth="1"/>
    <col min="2" max="2" width="16.85546875" customWidth="1"/>
    <col min="3" max="3" width="11.140625" customWidth="1"/>
    <col min="6" max="6" width="12.28515625" bestFit="1" customWidth="1"/>
    <col min="8" max="8" width="12.28515625" bestFit="1" customWidth="1"/>
    <col min="9" max="9" width="20.28515625" bestFit="1" customWidth="1"/>
  </cols>
  <sheetData>
    <row r="1" spans="1:9" x14ac:dyDescent="0.25">
      <c r="A1" s="83" t="s">
        <v>397</v>
      </c>
      <c r="B1" s="83"/>
      <c r="C1" s="83"/>
    </row>
    <row r="2" spans="1:9" x14ac:dyDescent="0.25">
      <c r="A2" s="83" t="s">
        <v>398</v>
      </c>
      <c r="B2" s="83"/>
      <c r="C2" s="83"/>
    </row>
    <row r="6" spans="1:9" ht="15.75" thickBot="1" x14ac:dyDescent="0.3">
      <c r="D6" s="84" t="s">
        <v>399</v>
      </c>
      <c r="E6" s="123" t="s">
        <v>400</v>
      </c>
      <c r="F6" s="124"/>
      <c r="G6" s="124"/>
      <c r="H6" s="124"/>
    </row>
    <row r="7" spans="1:9" ht="29.25" customHeight="1" x14ac:dyDescent="0.25">
      <c r="A7" s="85" t="s">
        <v>401</v>
      </c>
      <c r="B7" s="85" t="s">
        <v>402</v>
      </c>
      <c r="C7" s="85" t="s">
        <v>403</v>
      </c>
      <c r="D7" s="85" t="s">
        <v>404</v>
      </c>
      <c r="E7" s="85" t="s">
        <v>405</v>
      </c>
      <c r="F7" s="85" t="s">
        <v>406</v>
      </c>
      <c r="G7" s="85" t="s">
        <v>31</v>
      </c>
      <c r="H7" s="85" t="s">
        <v>88</v>
      </c>
    </row>
    <row r="8" spans="1:9" x14ac:dyDescent="0.25">
      <c r="A8" s="86" t="s">
        <v>407</v>
      </c>
      <c r="B8" s="87">
        <v>70000</v>
      </c>
      <c r="C8" s="87">
        <v>2865.8</v>
      </c>
      <c r="D8" s="88">
        <f>(B8/2)-C8</f>
        <v>32134.2</v>
      </c>
      <c r="E8" s="87">
        <f>+D8*0.02</f>
        <v>642.68400000000008</v>
      </c>
      <c r="F8" s="87">
        <f>+D8+E8</f>
        <v>32776.883999999998</v>
      </c>
      <c r="G8" s="87">
        <f>F8*0.16</f>
        <v>5244.3014400000002</v>
      </c>
      <c r="H8" s="87">
        <f>+F8+G8</f>
        <v>38021.185440000001</v>
      </c>
      <c r="I8" t="s">
        <v>408</v>
      </c>
    </row>
    <row r="9" spans="1:9" ht="24" customHeight="1" x14ac:dyDescent="0.25">
      <c r="A9" s="86"/>
      <c r="B9" s="87"/>
      <c r="C9" s="87"/>
      <c r="D9" s="89"/>
      <c r="E9" s="87"/>
      <c r="F9" s="87"/>
      <c r="G9" s="87"/>
      <c r="H9" s="87"/>
    </row>
    <row r="10" spans="1:9" s="83" customFormat="1" x14ac:dyDescent="0.25">
      <c r="A10" s="90" t="s">
        <v>409</v>
      </c>
      <c r="B10" s="91">
        <f t="shared" ref="B10:H10" si="0">SUM(B8:B8)</f>
        <v>70000</v>
      </c>
      <c r="C10" s="91">
        <f t="shared" si="0"/>
        <v>2865.8</v>
      </c>
      <c r="D10" s="92">
        <f t="shared" si="0"/>
        <v>32134.2</v>
      </c>
      <c r="E10" s="91">
        <f t="shared" si="0"/>
        <v>642.68400000000008</v>
      </c>
      <c r="F10" s="91">
        <f t="shared" si="0"/>
        <v>32776.883999999998</v>
      </c>
      <c r="G10" s="91">
        <f t="shared" si="0"/>
        <v>5244.3014400000002</v>
      </c>
      <c r="H10" s="91">
        <f t="shared" si="0"/>
        <v>38021.185440000001</v>
      </c>
    </row>
    <row r="11" spans="1:9" x14ac:dyDescent="0.25">
      <c r="A11" s="86"/>
      <c r="B11" s="86"/>
      <c r="C11" s="86"/>
      <c r="D11" s="86"/>
      <c r="E11" s="86"/>
      <c r="F11" s="86"/>
      <c r="G11" s="86"/>
      <c r="H11" s="86"/>
    </row>
    <row r="12" spans="1:9" x14ac:dyDescent="0.25">
      <c r="D12" s="93"/>
    </row>
    <row r="13" spans="1:9" x14ac:dyDescent="0.25">
      <c r="D13" s="94"/>
      <c r="E13" s="94"/>
      <c r="F13" s="93"/>
      <c r="G13" s="93"/>
      <c r="H13" s="93"/>
    </row>
    <row r="14" spans="1:9" x14ac:dyDescent="0.25">
      <c r="G14" s="95"/>
    </row>
  </sheetData>
  <mergeCells count="1">
    <mergeCell ref="E6:H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CPD PITSS</vt:lpstr>
      <vt:lpstr>IP PITSS</vt:lpstr>
      <vt:lpstr>SIND PITS</vt:lpstr>
      <vt:lpstr>RESUMEN PITS</vt:lpstr>
      <vt:lpstr>FACTURACION</vt:lpstr>
      <vt:lpstr>ASIMILADOS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HG-LAP-03</dc:creator>
  <cp:lastModifiedBy>HG-LAP-16</cp:lastModifiedBy>
  <dcterms:created xsi:type="dcterms:W3CDTF">2019-05-15T00:59:26Z</dcterms:created>
  <dcterms:modified xsi:type="dcterms:W3CDTF">2019-05-15T16:24:29Z</dcterms:modified>
</cp:coreProperties>
</file>