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D34DD51E-4A7F-47C6-AE89-2D6F0B38342F}" xr6:coauthVersionLast="41" xr6:coauthVersionMax="41" xr10:uidLastSave="{00000000-0000-0000-0000-000000000000}"/>
  <bookViews>
    <workbookView xWindow="-120" yWindow="-120" windowWidth="20730" windowHeight="11160" activeTab="1" xr2:uid="{00000000-000D-0000-FFFF-FFFF00000000}"/>
  </bookViews>
  <sheets>
    <sheet name="CPD PITSS" sheetId="1" r:id="rId1"/>
    <sheet name="IP PITSS" sheetId="6" r:id="rId2"/>
    <sheet name="SIND PITS" sheetId="2" r:id="rId3"/>
    <sheet name="RESUMEN PITS" sheetId="3" r:id="rId4"/>
    <sheet name="Hoja1" sheetId="7" r:id="rId5"/>
    <sheet name="FACTURACION" sheetId="4" r:id="rId6"/>
    <sheet name="ASIMILADOS" sheetId="5" state="hidden" r:id="rId7"/>
  </sheets>
  <definedNames>
    <definedName name="_xlnm._FilterDatabase" localSheetId="3" hidden="1">'RESUMEN PITS'!$A$2:$W$105</definedName>
    <definedName name="_xlnm._FilterDatabase" localSheetId="2" hidden="1">'SIND PITS'!$A$2:$N$112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8" i="6" l="1"/>
  <c r="J31" i="4"/>
  <c r="F27" i="4"/>
  <c r="F31" i="4" s="1"/>
  <c r="U103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J99" i="6"/>
  <c r="F6" i="7" l="1"/>
  <c r="F9" i="7" s="1"/>
  <c r="D8" i="7"/>
  <c r="L109" i="2" l="1"/>
  <c r="K105" i="6"/>
  <c r="K104" i="6"/>
  <c r="K106" i="6" s="1"/>
  <c r="K99" i="6"/>
  <c r="K97" i="6"/>
  <c r="K101" i="6" s="1"/>
  <c r="K102" i="6" s="1"/>
  <c r="K103" i="6" s="1"/>
  <c r="L101" i="6"/>
  <c r="L102" i="6" s="1"/>
  <c r="L103" i="6" s="1"/>
  <c r="O115" i="6"/>
  <c r="N115" i="6"/>
  <c r="M115" i="6"/>
  <c r="L115" i="6"/>
  <c r="O41" i="1"/>
  <c r="N41" i="1"/>
  <c r="O40" i="1"/>
  <c r="N40" i="1"/>
  <c r="V29" i="1"/>
  <c r="M33" i="1" s="1"/>
  <c r="O33" i="1"/>
  <c r="O37" i="1" s="1"/>
  <c r="O38" i="1" s="1"/>
  <c r="O39" i="1" s="1"/>
  <c r="N33" i="1"/>
  <c r="N37" i="1" s="1"/>
  <c r="N38" i="1" s="1"/>
  <c r="N39" i="1" s="1"/>
  <c r="K107" i="6" l="1"/>
  <c r="K109" i="6"/>
  <c r="N42" i="1"/>
  <c r="N43" i="1" s="1"/>
  <c r="N44" i="1" s="1"/>
  <c r="O42" i="1"/>
  <c r="O45" i="1" s="1"/>
  <c r="K108" i="6"/>
  <c r="L107" i="6"/>
  <c r="L108" i="6" s="1"/>
  <c r="L109" i="6"/>
  <c r="N45" i="1"/>
  <c r="O43" i="1"/>
  <c r="O44" i="1" s="1"/>
  <c r="P33" i="1"/>
  <c r="M24" i="3"/>
  <c r="E104" i="2"/>
  <c r="F104" i="2"/>
  <c r="M116" i="6" l="1"/>
  <c r="L116" i="6"/>
  <c r="O116" i="6"/>
  <c r="N116" i="6"/>
  <c r="S50" i="1"/>
  <c r="R50" i="1"/>
  <c r="Q50" i="1"/>
  <c r="P50" i="1"/>
  <c r="S49" i="1"/>
  <c r="P49" i="1"/>
  <c r="R49" i="1"/>
  <c r="Q49" i="1"/>
  <c r="D24" i="2"/>
  <c r="D28" i="2"/>
  <c r="H103" i="2"/>
  <c r="D104" i="2" l="1"/>
  <c r="M24" i="2"/>
  <c r="M3" i="3" l="1"/>
  <c r="I104" i="2" l="1"/>
  <c r="J22" i="2"/>
  <c r="J23" i="2"/>
  <c r="J24" i="2"/>
  <c r="L24" i="2" s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20" i="2"/>
  <c r="J19" i="2"/>
  <c r="J18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C29" i="1" l="1"/>
  <c r="AF10" i="6" l="1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S20" i="3" l="1"/>
  <c r="S18" i="3"/>
  <c r="S19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3" i="3"/>
  <c r="A34" i="1" l="1"/>
  <c r="A98" i="6" l="1"/>
  <c r="E103" i="3" l="1"/>
  <c r="J103" i="3"/>
  <c r="L103" i="3"/>
  <c r="N103" i="3"/>
  <c r="T103" i="3"/>
  <c r="O22" i="3" l="1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21" i="3"/>
  <c r="I22" i="3"/>
  <c r="I95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P22" i="3" s="1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P95" i="3" s="1"/>
  <c r="G96" i="3"/>
  <c r="G97" i="3"/>
  <c r="G98" i="3"/>
  <c r="G99" i="3"/>
  <c r="G100" i="3"/>
  <c r="G101" i="3"/>
  <c r="G102" i="3"/>
  <c r="G3" i="3"/>
  <c r="M102" i="3"/>
  <c r="M101" i="3"/>
  <c r="D101" i="3"/>
  <c r="D102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21" i="3"/>
  <c r="K104" i="2"/>
  <c r="O104" i="2"/>
  <c r="M100" i="2"/>
  <c r="M101" i="2"/>
  <c r="M102" i="2"/>
  <c r="L101" i="2"/>
  <c r="L102" i="2"/>
  <c r="H103" i="3" l="1"/>
  <c r="N102" i="2"/>
  <c r="N101" i="2"/>
  <c r="G101" i="2" s="1"/>
  <c r="F103" i="3"/>
  <c r="S103" i="3"/>
  <c r="R103" i="3"/>
  <c r="G103" i="3"/>
  <c r="G102" i="2"/>
  <c r="I102" i="3" s="1"/>
  <c r="K102" i="3" s="1"/>
  <c r="P102" i="3" l="1"/>
  <c r="H101" i="2"/>
  <c r="I101" i="3"/>
  <c r="H102" i="2"/>
  <c r="V102" i="3" l="1"/>
  <c r="P102" i="2" s="1"/>
  <c r="Q102" i="2" s="1"/>
  <c r="K101" i="3"/>
  <c r="P101" i="3"/>
  <c r="H21" i="2"/>
  <c r="V101" i="3" l="1"/>
  <c r="U93" i="6"/>
  <c r="J97" i="6" s="1"/>
  <c r="M97" i="6" s="1"/>
  <c r="P101" i="2" l="1"/>
  <c r="Q101" i="2" s="1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3" i="2"/>
  <c r="M22" i="2"/>
  <c r="M21" i="2"/>
  <c r="M100" i="3"/>
  <c r="L100" i="2"/>
  <c r="N100" i="2" s="1"/>
  <c r="G100" i="2" s="1"/>
  <c r="L99" i="2"/>
  <c r="J21" i="2"/>
  <c r="AC93" i="6"/>
  <c r="AE93" i="6"/>
  <c r="AD93" i="6"/>
  <c r="AB93" i="6"/>
  <c r="AA93" i="6"/>
  <c r="Z93" i="6"/>
  <c r="Y93" i="6"/>
  <c r="X93" i="6"/>
  <c r="W93" i="6"/>
  <c r="V93" i="6"/>
  <c r="T93" i="6"/>
  <c r="S93" i="6"/>
  <c r="R93" i="6"/>
  <c r="M98" i="6" s="1"/>
  <c r="Q93" i="6"/>
  <c r="P93" i="6"/>
  <c r="O93" i="6"/>
  <c r="N93" i="6"/>
  <c r="M93" i="6"/>
  <c r="L93" i="6"/>
  <c r="K93" i="6"/>
  <c r="J93" i="6"/>
  <c r="J105" i="6" s="1"/>
  <c r="M105" i="6" s="1"/>
  <c r="I93" i="6"/>
  <c r="H93" i="6"/>
  <c r="G93" i="6"/>
  <c r="F93" i="6"/>
  <c r="E93" i="6"/>
  <c r="D93" i="6"/>
  <c r="C93" i="6"/>
  <c r="M99" i="6" l="1"/>
  <c r="J100" i="6"/>
  <c r="M100" i="6" s="1"/>
  <c r="M101" i="6" s="1"/>
  <c r="M102" i="6" s="1"/>
  <c r="M103" i="6" s="1"/>
  <c r="M106" i="6" s="1"/>
  <c r="R104" i="3"/>
  <c r="J101" i="6"/>
  <c r="J104" i="6"/>
  <c r="M104" i="6" s="1"/>
  <c r="I100" i="3"/>
  <c r="H100" i="2"/>
  <c r="N99" i="2"/>
  <c r="G99" i="2" s="1"/>
  <c r="I98" i="3" s="1"/>
  <c r="P98" i="3" s="1"/>
  <c r="AF93" i="6"/>
  <c r="J112" i="6" s="1"/>
  <c r="J115" i="6" s="1"/>
  <c r="W103" i="3"/>
  <c r="Q20" i="3"/>
  <c r="O20" i="3"/>
  <c r="Q19" i="3"/>
  <c r="O19" i="3"/>
  <c r="Q18" i="3"/>
  <c r="O18" i="3"/>
  <c r="Q17" i="3"/>
  <c r="O17" i="3"/>
  <c r="Q16" i="3"/>
  <c r="O16" i="3"/>
  <c r="Q15" i="3"/>
  <c r="O15" i="3"/>
  <c r="Q14" i="3"/>
  <c r="O14" i="3"/>
  <c r="Q13" i="3"/>
  <c r="O13" i="3"/>
  <c r="Q12" i="3"/>
  <c r="O12" i="3"/>
  <c r="Q11" i="3"/>
  <c r="O11" i="3"/>
  <c r="Q10" i="3"/>
  <c r="O10" i="3"/>
  <c r="Q9" i="3"/>
  <c r="O9" i="3"/>
  <c r="Q8" i="3"/>
  <c r="O8" i="3"/>
  <c r="Q7" i="3"/>
  <c r="O7" i="3"/>
  <c r="Q6" i="3"/>
  <c r="O6" i="3"/>
  <c r="Q5" i="3"/>
  <c r="O5" i="3"/>
  <c r="Q4" i="3"/>
  <c r="O4" i="3"/>
  <c r="Q3" i="3"/>
  <c r="O3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J3" i="2"/>
  <c r="J104" i="2" s="1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C10" i="5"/>
  <c r="B10" i="5"/>
  <c r="D8" i="5"/>
  <c r="E8" i="5" s="1"/>
  <c r="AF103" i="3"/>
  <c r="AE103" i="3"/>
  <c r="AD103" i="3"/>
  <c r="AC103" i="3"/>
  <c r="AB103" i="3"/>
  <c r="AA103" i="3"/>
  <c r="Z103" i="3"/>
  <c r="M99" i="3"/>
  <c r="M98" i="3"/>
  <c r="F106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G79" i="2"/>
  <c r="I99" i="3" s="1"/>
  <c r="P99" i="3" s="1"/>
  <c r="L78" i="2"/>
  <c r="L77" i="2"/>
  <c r="L76" i="2"/>
  <c r="L75" i="2"/>
  <c r="L74" i="2"/>
  <c r="H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N60" i="2" s="1"/>
  <c r="G60" i="2" s="1"/>
  <c r="I25" i="3" s="1"/>
  <c r="P25" i="3" s="1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N44" i="2" s="1"/>
  <c r="G44" i="2" s="1"/>
  <c r="I39" i="3" s="1"/>
  <c r="P39" i="3" s="1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4" i="2"/>
  <c r="L23" i="2"/>
  <c r="L22" i="2"/>
  <c r="M107" i="6" l="1"/>
  <c r="M108" i="6" s="1"/>
  <c r="M109" i="6"/>
  <c r="D10" i="5"/>
  <c r="J102" i="6"/>
  <c r="K100" i="3"/>
  <c r="P100" i="3"/>
  <c r="M103" i="3"/>
  <c r="M104" i="2"/>
  <c r="Q103" i="3"/>
  <c r="O103" i="3"/>
  <c r="D103" i="3"/>
  <c r="J113" i="6"/>
  <c r="J114" i="6" s="1"/>
  <c r="J116" i="6" s="1"/>
  <c r="J117" i="6" s="1"/>
  <c r="J118" i="6" s="1"/>
  <c r="I10" i="4" s="1"/>
  <c r="N85" i="2"/>
  <c r="G85" i="2" s="1"/>
  <c r="N8" i="2"/>
  <c r="G8" i="2" s="1"/>
  <c r="N15" i="2"/>
  <c r="G15" i="2" s="1"/>
  <c r="N7" i="2"/>
  <c r="G7" i="2" s="1"/>
  <c r="L3" i="2"/>
  <c r="N36" i="2"/>
  <c r="G36" i="2" s="1"/>
  <c r="H36" i="2" s="1"/>
  <c r="N45" i="2"/>
  <c r="G45" i="2" s="1"/>
  <c r="N74" i="2"/>
  <c r="N28" i="2"/>
  <c r="G28" i="2" s="1"/>
  <c r="N32" i="2"/>
  <c r="G32" i="2" s="1"/>
  <c r="N34" i="2"/>
  <c r="G34" i="2" s="1"/>
  <c r="N63" i="2"/>
  <c r="G63" i="2" s="1"/>
  <c r="N71" i="2"/>
  <c r="G71" i="2" s="1"/>
  <c r="N26" i="2"/>
  <c r="G26" i="2" s="1"/>
  <c r="N27" i="2"/>
  <c r="G27" i="2" s="1"/>
  <c r="N41" i="2"/>
  <c r="G41" i="2" s="1"/>
  <c r="N56" i="2"/>
  <c r="G56" i="2" s="1"/>
  <c r="N16" i="2"/>
  <c r="G16" i="2" s="1"/>
  <c r="I15" i="3" s="1"/>
  <c r="P15" i="3" s="1"/>
  <c r="N81" i="2"/>
  <c r="G81" i="2" s="1"/>
  <c r="N84" i="2"/>
  <c r="G84" i="2" s="1"/>
  <c r="N18" i="2"/>
  <c r="G18" i="2" s="1"/>
  <c r="I16" i="3" s="1"/>
  <c r="P16" i="3" s="1"/>
  <c r="N87" i="2"/>
  <c r="G87" i="2" s="1"/>
  <c r="N90" i="2"/>
  <c r="G90" i="2" s="1"/>
  <c r="N92" i="2"/>
  <c r="G92" i="2" s="1"/>
  <c r="N94" i="2"/>
  <c r="G94" i="2" s="1"/>
  <c r="N96" i="2"/>
  <c r="G96" i="2" s="1"/>
  <c r="N97" i="2"/>
  <c r="G97" i="2" s="1"/>
  <c r="N39" i="2"/>
  <c r="G39" i="2" s="1"/>
  <c r="N49" i="2"/>
  <c r="G49" i="2" s="1"/>
  <c r="N11" i="2"/>
  <c r="G11" i="2" s="1"/>
  <c r="I3" i="3" s="1"/>
  <c r="K3" i="3" s="1"/>
  <c r="N52" i="2"/>
  <c r="G52" i="2" s="1"/>
  <c r="N55" i="2"/>
  <c r="G55" i="2" s="1"/>
  <c r="N57" i="2"/>
  <c r="G57" i="2" s="1"/>
  <c r="N14" i="2"/>
  <c r="G14" i="2" s="1"/>
  <c r="I5" i="3" s="1"/>
  <c r="P5" i="3" s="1"/>
  <c r="N76" i="2"/>
  <c r="G76" i="2" s="1"/>
  <c r="N77" i="2"/>
  <c r="G77" i="2" s="1"/>
  <c r="N82" i="2"/>
  <c r="G82" i="2" s="1"/>
  <c r="N86" i="2"/>
  <c r="G86" i="2" s="1"/>
  <c r="N88" i="2"/>
  <c r="G88" i="2" s="1"/>
  <c r="N91" i="2"/>
  <c r="G91" i="2" s="1"/>
  <c r="N93" i="2"/>
  <c r="G93" i="2" s="1"/>
  <c r="N95" i="2"/>
  <c r="G95" i="2" s="1"/>
  <c r="N20" i="2"/>
  <c r="G20" i="2" s="1"/>
  <c r="I6" i="3" s="1"/>
  <c r="P6" i="3" s="1"/>
  <c r="N25" i="2"/>
  <c r="G25" i="2" s="1"/>
  <c r="N22" i="2"/>
  <c r="G22" i="2" s="1"/>
  <c r="N24" i="2"/>
  <c r="G24" i="2" s="1"/>
  <c r="I29" i="3" s="1"/>
  <c r="P29" i="3" s="1"/>
  <c r="N29" i="2"/>
  <c r="G29" i="2" s="1"/>
  <c r="N33" i="2"/>
  <c r="G33" i="2" s="1"/>
  <c r="N35" i="2"/>
  <c r="G35" i="2" s="1"/>
  <c r="N40" i="2"/>
  <c r="G40" i="2" s="1"/>
  <c r="N42" i="2"/>
  <c r="G42" i="2" s="1"/>
  <c r="N46" i="2"/>
  <c r="G46" i="2" s="1"/>
  <c r="N48" i="2"/>
  <c r="G48" i="2" s="1"/>
  <c r="N50" i="2"/>
  <c r="G50" i="2" s="1"/>
  <c r="N51" i="2"/>
  <c r="G51" i="2" s="1"/>
  <c r="N54" i="2"/>
  <c r="G54" i="2" s="1"/>
  <c r="N59" i="2"/>
  <c r="G59" i="2" s="1"/>
  <c r="N62" i="2"/>
  <c r="G62" i="2" s="1"/>
  <c r="N66" i="2"/>
  <c r="G66" i="2" s="1"/>
  <c r="N68" i="2"/>
  <c r="G68" i="2" s="1"/>
  <c r="N70" i="2"/>
  <c r="G70" i="2" s="1"/>
  <c r="N72" i="2"/>
  <c r="G72" i="2" s="1"/>
  <c r="N98" i="2"/>
  <c r="G98" i="2" s="1"/>
  <c r="N23" i="2"/>
  <c r="G23" i="2" s="1"/>
  <c r="N47" i="2"/>
  <c r="G47" i="2" s="1"/>
  <c r="N58" i="2"/>
  <c r="G58" i="2" s="1"/>
  <c r="N75" i="2"/>
  <c r="G75" i="2" s="1"/>
  <c r="N65" i="2"/>
  <c r="G65" i="2" s="1"/>
  <c r="I62" i="3" s="1"/>
  <c r="P62" i="3" s="1"/>
  <c r="N83" i="2"/>
  <c r="G83" i="2" s="1"/>
  <c r="N6" i="2"/>
  <c r="G6" i="2" s="1"/>
  <c r="N31" i="2"/>
  <c r="G31" i="2" s="1"/>
  <c r="N38" i="2"/>
  <c r="G38" i="2" s="1"/>
  <c r="I68" i="3" s="1"/>
  <c r="P68" i="3" s="1"/>
  <c r="N12" i="2"/>
  <c r="G12" i="2" s="1"/>
  <c r="I14" i="3" s="1"/>
  <c r="P14" i="3" s="1"/>
  <c r="N53" i="2"/>
  <c r="G53" i="2" s="1"/>
  <c r="N61" i="2"/>
  <c r="G61" i="2" s="1"/>
  <c r="I38" i="3" s="1"/>
  <c r="P38" i="3" s="1"/>
  <c r="N67" i="2"/>
  <c r="G67" i="2" s="1"/>
  <c r="N73" i="2"/>
  <c r="G73" i="2" s="1"/>
  <c r="H79" i="2"/>
  <c r="N17" i="2"/>
  <c r="G17" i="2" s="1"/>
  <c r="I4" i="3" s="1"/>
  <c r="P4" i="3" s="1"/>
  <c r="N19" i="2"/>
  <c r="G19" i="2" s="1"/>
  <c r="H60" i="2"/>
  <c r="K39" i="3"/>
  <c r="H44" i="2"/>
  <c r="L21" i="2"/>
  <c r="N4" i="2"/>
  <c r="G4" i="2" s="1"/>
  <c r="N43" i="2"/>
  <c r="G43" i="2" s="1"/>
  <c r="I60" i="3" s="1"/>
  <c r="P60" i="3" s="1"/>
  <c r="N13" i="2"/>
  <c r="G13" i="2" s="1"/>
  <c r="N5" i="2"/>
  <c r="G5" i="2" s="1"/>
  <c r="N30" i="2"/>
  <c r="G30" i="2" s="1"/>
  <c r="I72" i="3" s="1"/>
  <c r="P72" i="3" s="1"/>
  <c r="N37" i="2"/>
  <c r="G37" i="2" s="1"/>
  <c r="I31" i="3" s="1"/>
  <c r="P31" i="3" s="1"/>
  <c r="N9" i="2"/>
  <c r="G9" i="2" s="1"/>
  <c r="N10" i="2"/>
  <c r="G10" i="2" s="1"/>
  <c r="N64" i="2"/>
  <c r="G64" i="2" s="1"/>
  <c r="I50" i="3" s="1"/>
  <c r="P50" i="3" s="1"/>
  <c r="N69" i="2"/>
  <c r="G69" i="2" s="1"/>
  <c r="I74" i="3" s="1"/>
  <c r="P74" i="3" s="1"/>
  <c r="N78" i="2"/>
  <c r="G78" i="2" s="1"/>
  <c r="I27" i="3" s="1"/>
  <c r="P27" i="3" s="1"/>
  <c r="N80" i="2"/>
  <c r="G80" i="2" s="1"/>
  <c r="I81" i="3" s="1"/>
  <c r="P81" i="3" s="1"/>
  <c r="N89" i="2"/>
  <c r="G89" i="2" s="1"/>
  <c r="I90" i="3" s="1"/>
  <c r="P90" i="3" s="1"/>
  <c r="K22" i="3"/>
  <c r="K99" i="3"/>
  <c r="H99" i="2"/>
  <c r="K98" i="3"/>
  <c r="K95" i="3"/>
  <c r="F8" i="5"/>
  <c r="E10" i="5"/>
  <c r="J103" i="6" l="1"/>
  <c r="J106" i="6" s="1"/>
  <c r="M117" i="6"/>
  <c r="L117" i="6"/>
  <c r="O117" i="6"/>
  <c r="N117" i="6"/>
  <c r="M114" i="6"/>
  <c r="L114" i="6"/>
  <c r="L118" i="6" s="1"/>
  <c r="L119" i="6" s="1"/>
  <c r="L120" i="6" s="1"/>
  <c r="O114" i="6"/>
  <c r="N114" i="6"/>
  <c r="N118" i="6" s="1"/>
  <c r="N119" i="6" s="1"/>
  <c r="N120" i="6" s="1"/>
  <c r="J107" i="6"/>
  <c r="J108" i="6" s="1"/>
  <c r="E10" i="4"/>
  <c r="V100" i="3"/>
  <c r="L104" i="2"/>
  <c r="I19" i="3"/>
  <c r="P19" i="3" s="1"/>
  <c r="I18" i="3"/>
  <c r="P18" i="3" s="1"/>
  <c r="I11" i="3"/>
  <c r="I17" i="3"/>
  <c r="P17" i="3" s="1"/>
  <c r="I12" i="3"/>
  <c r="P12" i="3" s="1"/>
  <c r="I20" i="3"/>
  <c r="P20" i="3" s="1"/>
  <c r="I7" i="3"/>
  <c r="P7" i="3" s="1"/>
  <c r="I9" i="3"/>
  <c r="P9" i="3" s="1"/>
  <c r="I10" i="3"/>
  <c r="P10" i="3" s="1"/>
  <c r="H50" i="2"/>
  <c r="I73" i="3"/>
  <c r="I13" i="3"/>
  <c r="P13" i="3" s="1"/>
  <c r="I89" i="3"/>
  <c r="I97" i="3"/>
  <c r="P97" i="3" s="1"/>
  <c r="I69" i="3"/>
  <c r="P69" i="3" s="1"/>
  <c r="H51" i="2"/>
  <c r="I59" i="3"/>
  <c r="H42" i="2"/>
  <c r="I30" i="3"/>
  <c r="P30" i="3" s="1"/>
  <c r="I61" i="3"/>
  <c r="H91" i="2"/>
  <c r="I64" i="3"/>
  <c r="P64" i="3" s="1"/>
  <c r="H77" i="2"/>
  <c r="I23" i="3"/>
  <c r="P23" i="3" s="1"/>
  <c r="I47" i="3"/>
  <c r="P47" i="3" s="1"/>
  <c r="I56" i="3"/>
  <c r="H92" i="2"/>
  <c r="I21" i="3"/>
  <c r="P21" i="3" s="1"/>
  <c r="H84" i="2"/>
  <c r="I40" i="3"/>
  <c r="I94" i="3"/>
  <c r="P94" i="3" s="1"/>
  <c r="I70" i="3"/>
  <c r="P70" i="3" s="1"/>
  <c r="I58" i="3"/>
  <c r="I71" i="3"/>
  <c r="P71" i="3" s="1"/>
  <c r="I35" i="3"/>
  <c r="I32" i="3"/>
  <c r="P32" i="3" s="1"/>
  <c r="H62" i="2"/>
  <c r="I34" i="3"/>
  <c r="P34" i="3" s="1"/>
  <c r="I85" i="3"/>
  <c r="I55" i="3"/>
  <c r="P55" i="3" s="1"/>
  <c r="I53" i="3"/>
  <c r="P53" i="3" s="1"/>
  <c r="H52" i="2"/>
  <c r="I54" i="3"/>
  <c r="H97" i="2"/>
  <c r="I26" i="3"/>
  <c r="I66" i="3"/>
  <c r="P66" i="3" s="1"/>
  <c r="H81" i="2"/>
  <c r="I33" i="3"/>
  <c r="P33" i="3" s="1"/>
  <c r="I44" i="3"/>
  <c r="P44" i="3" s="1"/>
  <c r="I46" i="3"/>
  <c r="P46" i="3" s="1"/>
  <c r="I45" i="3"/>
  <c r="H47" i="2"/>
  <c r="I86" i="3"/>
  <c r="H70" i="2"/>
  <c r="I76" i="3"/>
  <c r="I77" i="3"/>
  <c r="I24" i="3"/>
  <c r="P24" i="3" s="1"/>
  <c r="I41" i="3"/>
  <c r="I83" i="3"/>
  <c r="H95" i="2"/>
  <c r="I49" i="3"/>
  <c r="I79" i="3"/>
  <c r="P79" i="3" s="1"/>
  <c r="H96" i="2"/>
  <c r="I96" i="3"/>
  <c r="P96" i="3" s="1"/>
  <c r="H87" i="2"/>
  <c r="I48" i="3"/>
  <c r="H26" i="2"/>
  <c r="I84" i="3"/>
  <c r="H32" i="2"/>
  <c r="I93" i="3"/>
  <c r="I91" i="3"/>
  <c r="P91" i="3" s="1"/>
  <c r="I28" i="3"/>
  <c r="P28" i="3" s="1"/>
  <c r="H67" i="2"/>
  <c r="I43" i="3"/>
  <c r="H31" i="2"/>
  <c r="I67" i="3"/>
  <c r="P67" i="3" s="1"/>
  <c r="H75" i="2"/>
  <c r="I92" i="3"/>
  <c r="P92" i="3" s="1"/>
  <c r="H23" i="2"/>
  <c r="I88" i="3"/>
  <c r="P88" i="3" s="1"/>
  <c r="H68" i="2"/>
  <c r="I63" i="3"/>
  <c r="P63" i="3" s="1"/>
  <c r="H54" i="2"/>
  <c r="I80" i="3"/>
  <c r="I87" i="3"/>
  <c r="H33" i="2"/>
  <c r="I36" i="3"/>
  <c r="I51" i="3"/>
  <c r="H93" i="2"/>
  <c r="I52" i="3"/>
  <c r="H82" i="2"/>
  <c r="I78" i="3"/>
  <c r="H57" i="2"/>
  <c r="I82" i="3"/>
  <c r="I42" i="3"/>
  <c r="P42" i="3" s="1"/>
  <c r="I65" i="3"/>
  <c r="P65" i="3" s="1"/>
  <c r="H56" i="2"/>
  <c r="I75" i="3"/>
  <c r="P75" i="3" s="1"/>
  <c r="H71" i="2"/>
  <c r="I57" i="3"/>
  <c r="I37" i="3"/>
  <c r="P37" i="3" s="1"/>
  <c r="H49" i="2"/>
  <c r="H40" i="2"/>
  <c r="H88" i="2"/>
  <c r="H46" i="2"/>
  <c r="H94" i="2"/>
  <c r="H41" i="2"/>
  <c r="H39" i="2"/>
  <c r="H72" i="2"/>
  <c r="H66" i="2"/>
  <c r="H98" i="2"/>
  <c r="H27" i="2"/>
  <c r="H53" i="2"/>
  <c r="H90" i="2"/>
  <c r="H28" i="2"/>
  <c r="H85" i="2"/>
  <c r="H55" i="2"/>
  <c r="H29" i="2"/>
  <c r="H73" i="2"/>
  <c r="H76" i="2"/>
  <c r="H63" i="2"/>
  <c r="H15" i="2"/>
  <c r="H48" i="2"/>
  <c r="H8" i="2"/>
  <c r="H59" i="2"/>
  <c r="H45" i="2"/>
  <c r="H34" i="2"/>
  <c r="H38" i="2"/>
  <c r="H35" i="2"/>
  <c r="H22" i="2"/>
  <c r="H7" i="2"/>
  <c r="H6" i="2"/>
  <c r="V22" i="3"/>
  <c r="H14" i="2"/>
  <c r="H17" i="2"/>
  <c r="H18" i="2"/>
  <c r="J108" i="2" s="1"/>
  <c r="J110" i="2" s="1"/>
  <c r="J111" i="2" s="1"/>
  <c r="J112" i="2" s="1"/>
  <c r="J115" i="2" s="1"/>
  <c r="H16" i="2"/>
  <c r="N3" i="2"/>
  <c r="H11" i="2"/>
  <c r="H12" i="2"/>
  <c r="H20" i="2"/>
  <c r="K108" i="2" s="1"/>
  <c r="K110" i="2" s="1"/>
  <c r="K111" i="2" s="1"/>
  <c r="K112" i="2" s="1"/>
  <c r="K115" i="2" s="1"/>
  <c r="V95" i="3"/>
  <c r="H86" i="2"/>
  <c r="H25" i="2"/>
  <c r="K29" i="3"/>
  <c r="H58" i="2"/>
  <c r="H24" i="2"/>
  <c r="H83" i="2"/>
  <c r="K68" i="3"/>
  <c r="H61" i="2"/>
  <c r="H65" i="2"/>
  <c r="H19" i="2"/>
  <c r="V39" i="3"/>
  <c r="H80" i="2"/>
  <c r="F10" i="5"/>
  <c r="G8" i="5"/>
  <c r="G10" i="5" s="1"/>
  <c r="H78" i="2"/>
  <c r="H37" i="2"/>
  <c r="H13" i="2"/>
  <c r="H64" i="2"/>
  <c r="H9" i="2"/>
  <c r="N21" i="2"/>
  <c r="P3" i="3"/>
  <c r="H89" i="2"/>
  <c r="H10" i="2"/>
  <c r="H30" i="2"/>
  <c r="H43" i="2"/>
  <c r="K25" i="3"/>
  <c r="V25" i="3" s="1"/>
  <c r="H69" i="2"/>
  <c r="H5" i="2"/>
  <c r="H4" i="2"/>
  <c r="J116" i="2" l="1"/>
  <c r="J117" i="2" s="1"/>
  <c r="J120" i="2"/>
  <c r="K120" i="2"/>
  <c r="K116" i="2"/>
  <c r="K117" i="2" s="1"/>
  <c r="M118" i="6"/>
  <c r="M119" i="6" s="1"/>
  <c r="M120" i="6" s="1"/>
  <c r="O118" i="6"/>
  <c r="O119" i="6" s="1"/>
  <c r="O120" i="6" s="1"/>
  <c r="K94" i="3"/>
  <c r="K10" i="3"/>
  <c r="V10" i="3" s="1"/>
  <c r="K87" i="3"/>
  <c r="P87" i="3"/>
  <c r="K58" i="3"/>
  <c r="P58" i="3"/>
  <c r="K59" i="3"/>
  <c r="P59" i="3"/>
  <c r="K80" i="3"/>
  <c r="P80" i="3"/>
  <c r="K77" i="3"/>
  <c r="P77" i="3"/>
  <c r="K61" i="3"/>
  <c r="P61" i="3"/>
  <c r="K49" i="3"/>
  <c r="P49" i="3"/>
  <c r="K26" i="3"/>
  <c r="P26" i="3"/>
  <c r="K89" i="3"/>
  <c r="P89" i="3"/>
  <c r="K57" i="3"/>
  <c r="P57" i="3"/>
  <c r="K78" i="3"/>
  <c r="P78" i="3"/>
  <c r="K51" i="3"/>
  <c r="P51" i="3"/>
  <c r="K84" i="3"/>
  <c r="P84" i="3"/>
  <c r="P44" i="2"/>
  <c r="Q44" i="2" s="1"/>
  <c r="P21" i="2"/>
  <c r="Q21" i="2" s="1"/>
  <c r="K36" i="3"/>
  <c r="P36" i="3"/>
  <c r="K83" i="3"/>
  <c r="P83" i="3"/>
  <c r="K76" i="3"/>
  <c r="P76" i="3"/>
  <c r="K45" i="3"/>
  <c r="P45" i="3"/>
  <c r="K54" i="3"/>
  <c r="P54" i="3"/>
  <c r="K85" i="3"/>
  <c r="P85" i="3"/>
  <c r="K35" i="3"/>
  <c r="P35" i="3"/>
  <c r="P60" i="2"/>
  <c r="Q60" i="2" s="1"/>
  <c r="K86" i="3"/>
  <c r="P86" i="3"/>
  <c r="P74" i="2"/>
  <c r="Q74" i="2" s="1"/>
  <c r="K82" i="3"/>
  <c r="P82" i="3"/>
  <c r="K52" i="3"/>
  <c r="P52" i="3"/>
  <c r="K43" i="3"/>
  <c r="P43" i="3"/>
  <c r="K93" i="3"/>
  <c r="P93" i="3"/>
  <c r="K48" i="3"/>
  <c r="P48" i="3"/>
  <c r="K41" i="3"/>
  <c r="P41" i="3"/>
  <c r="K40" i="3"/>
  <c r="P40" i="3"/>
  <c r="K56" i="3"/>
  <c r="P56" i="3"/>
  <c r="K73" i="3"/>
  <c r="P73" i="3"/>
  <c r="K11" i="3"/>
  <c r="P11" i="3"/>
  <c r="P100" i="2"/>
  <c r="Q100" i="2" s="1"/>
  <c r="K7" i="3"/>
  <c r="V7" i="3" s="1"/>
  <c r="K18" i="3"/>
  <c r="V18" i="3" s="1"/>
  <c r="N104" i="2"/>
  <c r="K53" i="3"/>
  <c r="V53" i="3" s="1"/>
  <c r="K42" i="3"/>
  <c r="V42" i="3" s="1"/>
  <c r="K28" i="3"/>
  <c r="V28" i="3" s="1"/>
  <c r="K65" i="3"/>
  <c r="V65" i="3" s="1"/>
  <c r="K69" i="3"/>
  <c r="V69" i="3" s="1"/>
  <c r="K66" i="3"/>
  <c r="V66" i="3" s="1"/>
  <c r="K37" i="3"/>
  <c r="V37" i="3" s="1"/>
  <c r="K91" i="3"/>
  <c r="V91" i="3" s="1"/>
  <c r="K24" i="3"/>
  <c r="V24" i="3" s="1"/>
  <c r="K47" i="3"/>
  <c r="V47" i="3" s="1"/>
  <c r="K55" i="3"/>
  <c r="V55" i="3" s="1"/>
  <c r="K79" i="3"/>
  <c r="V79" i="3" s="1"/>
  <c r="V94" i="3"/>
  <c r="K97" i="3"/>
  <c r="K46" i="3"/>
  <c r="V46" i="3" s="1"/>
  <c r="K44" i="3"/>
  <c r="V44" i="3" s="1"/>
  <c r="K32" i="3"/>
  <c r="V32" i="3" s="1"/>
  <c r="K71" i="3"/>
  <c r="V71" i="3" s="1"/>
  <c r="K70" i="3"/>
  <c r="V70" i="3" s="1"/>
  <c r="V99" i="3"/>
  <c r="K33" i="3"/>
  <c r="V33" i="3" s="1"/>
  <c r="K75" i="3"/>
  <c r="V75" i="3" s="1"/>
  <c r="V98" i="3"/>
  <c r="X103" i="3"/>
  <c r="K92" i="3"/>
  <c r="V92" i="3" s="1"/>
  <c r="K30" i="3"/>
  <c r="V30" i="3" s="1"/>
  <c r="K63" i="3"/>
  <c r="V63" i="3" s="1"/>
  <c r="K64" i="3"/>
  <c r="V64" i="3" s="1"/>
  <c r="K88" i="3"/>
  <c r="V88" i="3" s="1"/>
  <c r="K23" i="3"/>
  <c r="V23" i="3" s="1"/>
  <c r="K21" i="3"/>
  <c r="V21" i="3" s="1"/>
  <c r="K96" i="3"/>
  <c r="V96" i="3" s="1"/>
  <c r="K14" i="3"/>
  <c r="V14" i="3" s="1"/>
  <c r="K15" i="3"/>
  <c r="V15" i="3" s="1"/>
  <c r="G3" i="2"/>
  <c r="G104" i="2" s="1"/>
  <c r="K6" i="3"/>
  <c r="K4" i="3"/>
  <c r="V4" i="3" s="1"/>
  <c r="K34" i="3"/>
  <c r="V34" i="3" s="1"/>
  <c r="K5" i="3"/>
  <c r="V68" i="3"/>
  <c r="K67" i="3"/>
  <c r="V67" i="3" s="1"/>
  <c r="K16" i="3"/>
  <c r="K62" i="3"/>
  <c r="K20" i="3"/>
  <c r="K38" i="3"/>
  <c r="K27" i="3"/>
  <c r="K19" i="3"/>
  <c r="K72" i="3"/>
  <c r="K90" i="3"/>
  <c r="H8" i="5"/>
  <c r="H10" i="5" s="1"/>
  <c r="K81" i="3"/>
  <c r="K50" i="3"/>
  <c r="K12" i="3"/>
  <c r="K74" i="3"/>
  <c r="K17" i="3"/>
  <c r="K13" i="3"/>
  <c r="K60" i="3"/>
  <c r="K9" i="3"/>
  <c r="K31" i="3"/>
  <c r="M126" i="2" l="1"/>
  <c r="H28" i="4" s="1"/>
  <c r="N126" i="2"/>
  <c r="I28" i="4" s="1"/>
  <c r="K126" i="2"/>
  <c r="F28" i="4" s="1"/>
  <c r="L126" i="2"/>
  <c r="G28" i="4" s="1"/>
  <c r="M127" i="2"/>
  <c r="H29" i="4" s="1"/>
  <c r="N127" i="2"/>
  <c r="I29" i="4" s="1"/>
  <c r="K127" i="2"/>
  <c r="F29" i="4" s="1"/>
  <c r="L127" i="2"/>
  <c r="G29" i="4" s="1"/>
  <c r="V56" i="3"/>
  <c r="V84" i="3"/>
  <c r="P26" i="2" s="1"/>
  <c r="Q26" i="2" s="1"/>
  <c r="V78" i="3"/>
  <c r="P82" i="2" s="1"/>
  <c r="Q82" i="2" s="1"/>
  <c r="V89" i="3"/>
  <c r="P53" i="2" s="1"/>
  <c r="Q53" i="2" s="1"/>
  <c r="V49" i="3"/>
  <c r="V77" i="3"/>
  <c r="P59" i="2" s="1"/>
  <c r="Q59" i="2" s="1"/>
  <c r="V59" i="3"/>
  <c r="P51" i="2" s="1"/>
  <c r="Q51" i="2" s="1"/>
  <c r="V87" i="3"/>
  <c r="P46" i="2" s="1"/>
  <c r="Q46" i="2" s="1"/>
  <c r="V86" i="3"/>
  <c r="V11" i="3"/>
  <c r="P8" i="2" s="1"/>
  <c r="Q8" i="2" s="1"/>
  <c r="V41" i="3"/>
  <c r="P35" i="2" s="1"/>
  <c r="Q35" i="2" s="1"/>
  <c r="V93" i="3"/>
  <c r="P32" i="2" s="1"/>
  <c r="Q32" i="2" s="1"/>
  <c r="V52" i="3"/>
  <c r="V73" i="3"/>
  <c r="P50" i="2" s="1"/>
  <c r="Q50" i="2" s="1"/>
  <c r="V40" i="3"/>
  <c r="P84" i="2" s="1"/>
  <c r="Q84" i="2" s="1"/>
  <c r="V48" i="3"/>
  <c r="P87" i="2" s="1"/>
  <c r="Q87" i="2" s="1"/>
  <c r="V43" i="3"/>
  <c r="P67" i="2" s="1"/>
  <c r="Q67" i="2" s="1"/>
  <c r="V82" i="3"/>
  <c r="V85" i="3"/>
  <c r="P40" i="2" s="1"/>
  <c r="Q40" i="2" s="1"/>
  <c r="V45" i="3"/>
  <c r="P45" i="2" s="1"/>
  <c r="Q45" i="2" s="1"/>
  <c r="V83" i="3"/>
  <c r="P22" i="2" s="1"/>
  <c r="Q22" i="2" s="1"/>
  <c r="V51" i="3"/>
  <c r="V57" i="3"/>
  <c r="V26" i="3"/>
  <c r="P97" i="2" s="1"/>
  <c r="Q97" i="2" s="1"/>
  <c r="V61" i="3"/>
  <c r="P29" i="2" s="1"/>
  <c r="Q29" i="2" s="1"/>
  <c r="V80" i="3"/>
  <c r="P54" i="2" s="1"/>
  <c r="Q54" i="2" s="1"/>
  <c r="V58" i="3"/>
  <c r="P73" i="2" s="1"/>
  <c r="Q73" i="2" s="1"/>
  <c r="V35" i="3"/>
  <c r="P58" i="2" s="1"/>
  <c r="Q58" i="2" s="1"/>
  <c r="V54" i="3"/>
  <c r="P52" i="2" s="1"/>
  <c r="Q52" i="2" s="1"/>
  <c r="V76" i="3"/>
  <c r="P70" i="2" s="1"/>
  <c r="Q70" i="2" s="1"/>
  <c r="V36" i="3"/>
  <c r="P33" i="2" s="1"/>
  <c r="Q33" i="2" s="1"/>
  <c r="V29" i="3"/>
  <c r="P24" i="2" s="1"/>
  <c r="Q24" i="2" s="1"/>
  <c r="Y103" i="3"/>
  <c r="P57" i="2"/>
  <c r="Q57" i="2" s="1"/>
  <c r="P71" i="2"/>
  <c r="Q71" i="2" s="1"/>
  <c r="P93" i="2"/>
  <c r="Q93" i="2" s="1"/>
  <c r="P47" i="2"/>
  <c r="Q47" i="2" s="1"/>
  <c r="P77" i="2"/>
  <c r="Q77" i="2" s="1"/>
  <c r="P75" i="2"/>
  <c r="Q75" i="2" s="1"/>
  <c r="P39" i="2"/>
  <c r="Q39" i="2" s="1"/>
  <c r="P86" i="2"/>
  <c r="Q86" i="2" s="1"/>
  <c r="P25" i="2"/>
  <c r="Q25" i="2" s="1"/>
  <c r="P66" i="2"/>
  <c r="Q66" i="2" s="1"/>
  <c r="P85" i="2"/>
  <c r="Q85" i="2" s="1"/>
  <c r="P62" i="2"/>
  <c r="Q62" i="2" s="1"/>
  <c r="P16" i="2"/>
  <c r="Q16" i="2" s="1"/>
  <c r="P96" i="2"/>
  <c r="Q96" i="2" s="1"/>
  <c r="P23" i="2"/>
  <c r="Q23" i="2" s="1"/>
  <c r="P56" i="2"/>
  <c r="Q56" i="2" s="1"/>
  <c r="P63" i="2"/>
  <c r="Q63" i="2" s="1"/>
  <c r="P88" i="2"/>
  <c r="Q88" i="2" s="1"/>
  <c r="P28" i="2"/>
  <c r="Q28" i="2" s="1"/>
  <c r="P7" i="2"/>
  <c r="Q7" i="2" s="1"/>
  <c r="P12" i="2"/>
  <c r="Q12" i="2" s="1"/>
  <c r="P49" i="2"/>
  <c r="Q49" i="2" s="1"/>
  <c r="P48" i="2"/>
  <c r="Q48" i="2" s="1"/>
  <c r="P95" i="2"/>
  <c r="Q95" i="2" s="1"/>
  <c r="P42" i="2"/>
  <c r="Q42" i="2" s="1"/>
  <c r="P31" i="2"/>
  <c r="Q31" i="2" s="1"/>
  <c r="P17" i="2"/>
  <c r="Q17" i="2" s="1"/>
  <c r="P92" i="2"/>
  <c r="Q92" i="2" s="1"/>
  <c r="P91" i="2"/>
  <c r="Q91" i="2" s="1"/>
  <c r="P99" i="2"/>
  <c r="Q99" i="2" s="1"/>
  <c r="P81" i="2"/>
  <c r="Q81" i="2" s="1"/>
  <c r="P83" i="2"/>
  <c r="Q83" i="2" s="1"/>
  <c r="P27" i="2"/>
  <c r="Q27" i="2" s="1"/>
  <c r="P76" i="2"/>
  <c r="Q76" i="2" s="1"/>
  <c r="P55" i="2"/>
  <c r="Q55" i="2" s="1"/>
  <c r="P90" i="2"/>
  <c r="Q90" i="2" s="1"/>
  <c r="P94" i="2"/>
  <c r="Q94" i="2" s="1"/>
  <c r="P38" i="2"/>
  <c r="Q38" i="2" s="1"/>
  <c r="P68" i="2"/>
  <c r="Q68" i="2" s="1"/>
  <c r="P72" i="2"/>
  <c r="Q72" i="2" s="1"/>
  <c r="P34" i="2"/>
  <c r="Q34" i="2" s="1"/>
  <c r="P41" i="2"/>
  <c r="Q41" i="2" s="1"/>
  <c r="P36" i="2"/>
  <c r="Q36" i="2" s="1"/>
  <c r="P6" i="2"/>
  <c r="Q6" i="2" s="1"/>
  <c r="P15" i="2"/>
  <c r="Q15" i="2" s="1"/>
  <c r="I8" i="3"/>
  <c r="P79" i="2"/>
  <c r="Q79" i="2" s="1"/>
  <c r="V97" i="3"/>
  <c r="V6" i="3"/>
  <c r="H3" i="2"/>
  <c r="H104" i="2" s="1"/>
  <c r="V5" i="3"/>
  <c r="V16" i="3"/>
  <c r="V20" i="3"/>
  <c r="V27" i="3"/>
  <c r="V38" i="3"/>
  <c r="V13" i="3"/>
  <c r="V50" i="3"/>
  <c r="V62" i="3"/>
  <c r="V90" i="3"/>
  <c r="V31" i="3"/>
  <c r="V17" i="3"/>
  <c r="V12" i="3"/>
  <c r="V3" i="3"/>
  <c r="V60" i="3"/>
  <c r="V72" i="3"/>
  <c r="V74" i="3"/>
  <c r="V81" i="3"/>
  <c r="V19" i="3"/>
  <c r="P69" i="2" l="1"/>
  <c r="Q69" i="2" s="1"/>
  <c r="P89" i="2"/>
  <c r="Q89" i="2" s="1"/>
  <c r="P61" i="2"/>
  <c r="Q61" i="2" s="1"/>
  <c r="P14" i="2"/>
  <c r="Q14" i="2" s="1"/>
  <c r="P30" i="2"/>
  <c r="Q30" i="2" s="1"/>
  <c r="P9" i="2"/>
  <c r="Q9" i="2" s="1"/>
  <c r="P65" i="2"/>
  <c r="Q65" i="2" s="1"/>
  <c r="P78" i="2"/>
  <c r="Q78" i="2" s="1"/>
  <c r="P80" i="2"/>
  <c r="Q80" i="2" s="1"/>
  <c r="P11" i="2"/>
  <c r="Q11" i="2" s="1"/>
  <c r="P37" i="2"/>
  <c r="Q37" i="2" s="1"/>
  <c r="P4" i="2"/>
  <c r="Q4" i="2" s="1"/>
  <c r="P18" i="2"/>
  <c r="Q18" i="2" s="1"/>
  <c r="P98" i="2"/>
  <c r="Q98" i="2" s="1"/>
  <c r="P13" i="2"/>
  <c r="Q13" i="2" s="1"/>
  <c r="P5" i="2"/>
  <c r="Q5" i="2" s="1"/>
  <c r="P43" i="2"/>
  <c r="Q43" i="2" s="1"/>
  <c r="P64" i="2"/>
  <c r="Q64" i="2" s="1"/>
  <c r="P19" i="2"/>
  <c r="Q19" i="2" s="1"/>
  <c r="P20" i="2"/>
  <c r="Q20" i="2" s="1"/>
  <c r="I103" i="3"/>
  <c r="P8" i="3"/>
  <c r="P103" i="3" s="1"/>
  <c r="H108" i="2"/>
  <c r="L108" i="2" s="1"/>
  <c r="L110" i="2" s="1"/>
  <c r="L111" i="2" s="1"/>
  <c r="L112" i="2" s="1"/>
  <c r="L115" i="2" s="1"/>
  <c r="K8" i="3"/>
  <c r="K103" i="3" s="1"/>
  <c r="V9" i="3"/>
  <c r="L116" i="2" l="1"/>
  <c r="L117" i="2" s="1"/>
  <c r="L120" i="2"/>
  <c r="H110" i="2"/>
  <c r="P10" i="2"/>
  <c r="Q10" i="2" s="1"/>
  <c r="K125" i="2" l="1"/>
  <c r="L125" i="2"/>
  <c r="M125" i="2"/>
  <c r="N125" i="2"/>
  <c r="H111" i="2"/>
  <c r="V8" i="3"/>
  <c r="H112" i="2" l="1"/>
  <c r="H115" i="2" s="1"/>
  <c r="E11" i="4" s="1"/>
  <c r="N128" i="2"/>
  <c r="M128" i="2"/>
  <c r="L128" i="2"/>
  <c r="L129" i="2" s="1"/>
  <c r="L130" i="2" s="1"/>
  <c r="L131" i="2" s="1"/>
  <c r="K128" i="2"/>
  <c r="H116" i="2"/>
  <c r="H117" i="2" s="1"/>
  <c r="V103" i="3"/>
  <c r="P3" i="2"/>
  <c r="Q3" i="2" s="1"/>
  <c r="AF29" i="1"/>
  <c r="AE29" i="1"/>
  <c r="AD29" i="1"/>
  <c r="AC29" i="1"/>
  <c r="AB29" i="1"/>
  <c r="AA29" i="1"/>
  <c r="Z29" i="1"/>
  <c r="Y29" i="1"/>
  <c r="X29" i="1"/>
  <c r="W29" i="1"/>
  <c r="U29" i="1"/>
  <c r="T29" i="1"/>
  <c r="S29" i="1"/>
  <c r="M34" i="1" s="1"/>
  <c r="R29" i="1"/>
  <c r="Q29" i="1"/>
  <c r="P29" i="1"/>
  <c r="O29" i="1"/>
  <c r="N29" i="1"/>
  <c r="M35" i="1" s="1"/>
  <c r="P35" i="1" s="1"/>
  <c r="M29" i="1"/>
  <c r="M41" i="1" s="1"/>
  <c r="P41" i="1" s="1"/>
  <c r="L29" i="1"/>
  <c r="K29" i="1"/>
  <c r="J29" i="1"/>
  <c r="I29" i="1"/>
  <c r="H29" i="1"/>
  <c r="G29" i="1"/>
  <c r="F29" i="1"/>
  <c r="E29" i="1"/>
  <c r="D29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M40" i="1" l="1"/>
  <c r="P40" i="1" s="1"/>
  <c r="K129" i="2"/>
  <c r="K130" i="2" s="1"/>
  <c r="K131" i="2" s="1"/>
  <c r="M129" i="2"/>
  <c r="M130" i="2" s="1"/>
  <c r="M131" i="2" s="1"/>
  <c r="N129" i="2"/>
  <c r="N130" i="2" s="1"/>
  <c r="N131" i="2" s="1"/>
  <c r="P34" i="1"/>
  <c r="P37" i="1" s="1"/>
  <c r="P38" i="1" s="1"/>
  <c r="P39" i="1" s="1"/>
  <c r="M37" i="1"/>
  <c r="P42" i="1"/>
  <c r="S104" i="3"/>
  <c r="Q104" i="3"/>
  <c r="AG29" i="1"/>
  <c r="M48" i="1" s="1"/>
  <c r="M49" i="1" s="1"/>
  <c r="M50" i="1" s="1"/>
  <c r="M51" i="1"/>
  <c r="P45" i="1" l="1"/>
  <c r="P43" i="1"/>
  <c r="P44" i="1" s="1"/>
  <c r="M38" i="1"/>
  <c r="M52" i="1"/>
  <c r="M53" i="1" s="1"/>
  <c r="M54" i="1" s="1"/>
  <c r="I9" i="4" s="1"/>
  <c r="I12" i="4" s="1"/>
  <c r="I17" i="4" s="1"/>
  <c r="S51" i="1" l="1"/>
  <c r="I30" i="4" s="1"/>
  <c r="R51" i="1"/>
  <c r="H30" i="4" s="1"/>
  <c r="P51" i="1"/>
  <c r="F30" i="4" s="1"/>
  <c r="Q51" i="1"/>
  <c r="G30" i="4" s="1"/>
  <c r="M39" i="1"/>
  <c r="M42" i="1" s="1"/>
  <c r="M43" i="1" s="1"/>
  <c r="M44" i="1" s="1"/>
  <c r="S48" i="1"/>
  <c r="R48" i="1"/>
  <c r="Q48" i="1"/>
  <c r="P48" i="1"/>
  <c r="E9" i="4"/>
  <c r="E12" i="4" s="1"/>
  <c r="I15" i="4"/>
  <c r="I18" i="4"/>
  <c r="I16" i="4"/>
  <c r="Q52" i="1" l="1"/>
  <c r="Q53" i="1" s="1"/>
  <c r="Q54" i="1" s="1"/>
  <c r="G27" i="4"/>
  <c r="G31" i="4" s="1"/>
  <c r="G32" i="4" s="1"/>
  <c r="G33" i="4" s="1"/>
  <c r="R52" i="1"/>
  <c r="R53" i="1" s="1"/>
  <c r="R54" i="1" s="1"/>
  <c r="H27" i="4"/>
  <c r="H31" i="4" s="1"/>
  <c r="H32" i="4" s="1"/>
  <c r="H33" i="4" s="1"/>
  <c r="S52" i="1"/>
  <c r="S53" i="1" s="1"/>
  <c r="S54" i="1" s="1"/>
  <c r="I27" i="4"/>
  <c r="I31" i="4" s="1"/>
  <c r="I32" i="4" s="1"/>
  <c r="I33" i="4" s="1"/>
  <c r="F32" i="4"/>
  <c r="P52" i="1"/>
  <c r="P53" i="1" s="1"/>
  <c r="P54" i="1" s="1"/>
  <c r="I19" i="4"/>
  <c r="E17" i="4"/>
  <c r="E18" i="4"/>
  <c r="E15" i="4"/>
  <c r="E16" i="4"/>
  <c r="F33" i="4" l="1"/>
  <c r="J33" i="4" s="1"/>
  <c r="J32" i="4"/>
  <c r="E19" i="4"/>
</calcChain>
</file>

<file path=xl/sharedStrings.xml><?xml version="1.0" encoding="utf-8"?>
<sst xmlns="http://schemas.openxmlformats.org/spreadsheetml/2006/main" count="1362" uniqueCount="454">
  <si>
    <t>CONSULTORIA EN PROYECTOS DINAMICOS S DE RL DE CV</t>
  </si>
  <si>
    <t>Lista de Raya (forma tabular)</t>
  </si>
  <si>
    <t>Reg Pat IMSS: Z2940859106</t>
  </si>
  <si>
    <t xml:space="preserve">RFC: CPD -150911-FA3 </t>
  </si>
  <si>
    <t>Código</t>
  </si>
  <si>
    <t>Empleado</t>
  </si>
  <si>
    <t>Sueldo</t>
  </si>
  <si>
    <t>Vacaciones a tiempo</t>
  </si>
  <si>
    <t>Prima de vacaciones a tiempo</t>
  </si>
  <si>
    <t>Ayuda de Transporte</t>
  </si>
  <si>
    <t>Ayuda Alimentaria</t>
  </si>
  <si>
    <t>Ayuda de Renta</t>
  </si>
  <si>
    <t>*TOTAL* *PERCEPCIONES*</t>
  </si>
  <si>
    <t>Seguro de vivienda Infonavit</t>
  </si>
  <si>
    <t>Préstamo Infonavit (vsm)</t>
  </si>
  <si>
    <t>Subsidio al Empleo (sp)</t>
  </si>
  <si>
    <t>I.S.R. (sp)</t>
  </si>
  <si>
    <t>I.M.S.S.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</si>
  <si>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</si>
  <si>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</si>
  <si>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</si>
  <si>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</si>
  <si>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</si>
  <si>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</si>
  <si>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</si>
  <si>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</si>
  <si>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</si>
  <si>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</si>
  <si>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</si>
  <si>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</si>
  <si>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>IVA</t>
  </si>
  <si>
    <t>Dias Laborados</t>
  </si>
  <si>
    <t>Dias Vacaciones</t>
  </si>
  <si>
    <t>Salario Diario</t>
  </si>
  <si>
    <t>Salario Diario Integrado</t>
  </si>
  <si>
    <t>Banco</t>
  </si>
  <si>
    <t>SEI0010</t>
  </si>
  <si>
    <t>SEI0449</t>
  </si>
  <si>
    <t>SEI0009</t>
  </si>
  <si>
    <t>Gutierrez Gutierrez Luis Arturo</t>
  </si>
  <si>
    <t>SEI0026</t>
  </si>
  <si>
    <t>Patricio Aguilar Jhonattan Cristian</t>
  </si>
  <si>
    <t>SEI0040</t>
  </si>
  <si>
    <t>Mora Ramirez Acal Aldo Isidro</t>
  </si>
  <si>
    <t>SEI0041</t>
  </si>
  <si>
    <t>Vazquez Perez Miguel Angel</t>
  </si>
  <si>
    <t>SEI0088</t>
  </si>
  <si>
    <t>Morgado Fernandez Martin</t>
  </si>
  <si>
    <t>SEI0097</t>
  </si>
  <si>
    <t>Arreola Jimenez Jose Nieves</t>
  </si>
  <si>
    <t>SEI0099</t>
  </si>
  <si>
    <t>Garcia Villicaña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</si>
  <si>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</si>
  <si>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</si>
  <si>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</si>
  <si>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</si>
  <si>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</si>
  <si>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</si>
  <si>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</si>
  <si>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</si>
  <si>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SEI0127</t>
  </si>
  <si>
    <t>Hernandez Ochoa Eduardo</t>
  </si>
  <si>
    <t>SEI0173</t>
  </si>
  <si>
    <t>Nieto Ortiz Jose Luis</t>
  </si>
  <si>
    <t>SEI0221</t>
  </si>
  <si>
    <t>Rogel Teran Marco Antonio</t>
  </si>
  <si>
    <t>SEI0401</t>
  </si>
  <si>
    <t>De La Torre Zambara Francisco Ernesto</t>
  </si>
  <si>
    <t>SEI0425</t>
  </si>
  <si>
    <t>Carbajal Cabuto Jose Luis</t>
  </si>
  <si>
    <t>SEI0435</t>
  </si>
  <si>
    <t>Benavides Herrera Alejandra</t>
  </si>
  <si>
    <t>SEI0442</t>
  </si>
  <si>
    <t>Sierra Escamilla Daniela</t>
  </si>
  <si>
    <t xml:space="preserve">  =============</t>
  </si>
  <si>
    <t>Total Gral.</t>
  </si>
  <si>
    <t xml:space="preserve"> </t>
  </si>
  <si>
    <t>Aguinaldo</t>
  </si>
  <si>
    <t>SINDICATO</t>
  </si>
  <si>
    <t>PRIMA VACACIONAL</t>
  </si>
  <si>
    <t>CLAVE</t>
  </si>
  <si>
    <t>EMPRESA</t>
  </si>
  <si>
    <t>NOMBRE</t>
  </si>
  <si>
    <t xml:space="preserve">SUELDO SINDICATO </t>
  </si>
  <si>
    <t>BONO</t>
  </si>
  <si>
    <t>COMISION</t>
  </si>
  <si>
    <t>prima vacaciones</t>
  </si>
  <si>
    <t>TOTAL</t>
  </si>
  <si>
    <t>DIAS DE VACACIONES</t>
  </si>
  <si>
    <t>SUELDO NETO MENSUAL</t>
  </si>
  <si>
    <t>MONTO PRIMA TOTAL</t>
  </si>
  <si>
    <t>MENOS PRIMA IMSS</t>
  </si>
  <si>
    <t>PRIMA A PAGAR SINDICATO</t>
  </si>
  <si>
    <t>SEI0544</t>
  </si>
  <si>
    <t>IP INNOVACION</t>
  </si>
  <si>
    <t>Aguilar Aguirre Alfonso</t>
  </si>
  <si>
    <t xml:space="preserve"> SEI0652</t>
  </si>
  <si>
    <t>SEI0431</t>
  </si>
  <si>
    <t>SEI0527</t>
  </si>
  <si>
    <t>Alejandro Peña Deivi</t>
  </si>
  <si>
    <t xml:space="preserve"> SEI0628</t>
  </si>
  <si>
    <t>SEI0535</t>
  </si>
  <si>
    <t>Alejandro Vazquez Erasmo Miguel</t>
  </si>
  <si>
    <t xml:space="preserve"> SEI0638</t>
  </si>
  <si>
    <t>SEI0029</t>
  </si>
  <si>
    <t>Arceo Garcia Manuel Federico</t>
  </si>
  <si>
    <t xml:space="preserve"> SEI0029</t>
  </si>
  <si>
    <t>CONSULTORIA</t>
  </si>
  <si>
    <t xml:space="preserve"> SEI0097</t>
  </si>
  <si>
    <t xml:space="preserve"> SEI0118</t>
  </si>
  <si>
    <t>SEI0472</t>
  </si>
  <si>
    <t>Arzate Gil Juan Sebastian</t>
  </si>
  <si>
    <t xml:space="preserve"> SEI0550</t>
  </si>
  <si>
    <t>SEI0377</t>
  </si>
  <si>
    <t xml:space="preserve"> SEI0377</t>
  </si>
  <si>
    <t xml:space="preserve"> SEI0108</t>
  </si>
  <si>
    <t xml:space="preserve"> SEI0453</t>
  </si>
  <si>
    <t>SEI0528</t>
  </si>
  <si>
    <t>Casas Chavarria Rafael</t>
  </si>
  <si>
    <t xml:space="preserve"> SEI0629</t>
  </si>
  <si>
    <t xml:space="preserve"> SEI0116</t>
  </si>
  <si>
    <t>SEI0460</t>
  </si>
  <si>
    <t>Castellon Ramos Rene</t>
  </si>
  <si>
    <t xml:space="preserve"> SEI0499</t>
  </si>
  <si>
    <t>SEI0443</t>
  </si>
  <si>
    <t>Castillo Nungaray Nestor Roman</t>
  </si>
  <si>
    <t xml:space="preserve"> SEI0468</t>
  </si>
  <si>
    <t>SEI0490</t>
  </si>
  <si>
    <t>Castillo Ramirez Hector Ivan</t>
  </si>
  <si>
    <t xml:space="preserve"> SEI0448</t>
  </si>
  <si>
    <t>SEI0508</t>
  </si>
  <si>
    <t>Cerro Garcia Elvis</t>
  </si>
  <si>
    <t xml:space="preserve"> SEI0513</t>
  </si>
  <si>
    <t>SEI0499</t>
  </si>
  <si>
    <t>Chavez Dominguez Salvador</t>
  </si>
  <si>
    <t xml:space="preserve"> SEI0483</t>
  </si>
  <si>
    <t>SEI0541</t>
  </si>
  <si>
    <t>Chavez Govea Edgar Aram</t>
  </si>
  <si>
    <t xml:space="preserve"> SEI0644</t>
  </si>
  <si>
    <t>Chavez Pedraza Samuel</t>
  </si>
  <si>
    <t xml:space="preserve"> SEI0467</t>
  </si>
  <si>
    <t>SEI0462</t>
  </si>
  <si>
    <t>Chavez Saucedo Jorge Arturo</t>
  </si>
  <si>
    <t xml:space="preserve"> SEI0516</t>
  </si>
  <si>
    <t>SEI0456</t>
  </si>
  <si>
    <t>Chavira Garcia David Fernando</t>
  </si>
  <si>
    <t xml:space="preserve"> SEI0495</t>
  </si>
  <si>
    <t>SEI0015</t>
  </si>
  <si>
    <t>Cota Jaramillo Miguel Angel</t>
  </si>
  <si>
    <t xml:space="preserve"> SEI0015</t>
  </si>
  <si>
    <t>SEI0413</t>
  </si>
  <si>
    <t>Courtenay Gutierrez Barry Vladimir</t>
  </si>
  <si>
    <t xml:space="preserve"> SEI0436</t>
  </si>
  <si>
    <t>SEI0501</t>
  </si>
  <si>
    <t>Cruz Herrera Roberto</t>
  </si>
  <si>
    <t xml:space="preserve"> SEI0485</t>
  </si>
  <si>
    <t>SEI479</t>
  </si>
  <si>
    <t>Cruz Perez Alejandro Nezahualcoyotl</t>
  </si>
  <si>
    <t xml:space="preserve"> SEI0606</t>
  </si>
  <si>
    <t xml:space="preserve"> SEI0401</t>
  </si>
  <si>
    <t>SEI0530</t>
  </si>
  <si>
    <t>Del Pilar Mendez Lucio</t>
  </si>
  <si>
    <t xml:space="preserve"> SEI0630</t>
  </si>
  <si>
    <t>SEI0543</t>
  </si>
  <si>
    <t>Diaz Ortiz Hiram Guillermo</t>
  </si>
  <si>
    <t xml:space="preserve"> SEI0646</t>
  </si>
  <si>
    <t>SEI0364</t>
  </si>
  <si>
    <t>Dominguez Lopez Mayeli Del Pilar</t>
  </si>
  <si>
    <t xml:space="preserve"> SEI0364</t>
  </si>
  <si>
    <t>SEI0489</t>
  </si>
  <si>
    <t>Escobedo Olivares Juan Guadalupe</t>
  </si>
  <si>
    <t xml:space="preserve"> SEI0447</t>
  </si>
  <si>
    <t>Flores Cerrillos Jorge Humberto</t>
  </si>
  <si>
    <t xml:space="preserve"> SEI0474</t>
  </si>
  <si>
    <t>SEI0461</t>
  </si>
  <si>
    <t>Flores Franco Marco</t>
  </si>
  <si>
    <t xml:space="preserve"> SEI0500</t>
  </si>
  <si>
    <t>SEI0500</t>
  </si>
  <si>
    <t>Garcia Gutierrez Jose Juan</t>
  </si>
  <si>
    <t xml:space="preserve"> SEI0484</t>
  </si>
  <si>
    <t xml:space="preserve"> SEI0099</t>
  </si>
  <si>
    <t>SEI0534</t>
  </si>
  <si>
    <t>Gonzalez Ramirez Paul</t>
  </si>
  <si>
    <t>0SEI0635</t>
  </si>
  <si>
    <t>SEI0019</t>
  </si>
  <si>
    <t>Gonzalez Rasgado Miguel Isaias</t>
  </si>
  <si>
    <t xml:space="preserve"> SEI0019</t>
  </si>
  <si>
    <t>SEI0457</t>
  </si>
  <si>
    <t>Guerrero Lara Cesar Adrian</t>
  </si>
  <si>
    <t xml:space="preserve"> SEI0496</t>
  </si>
  <si>
    <t>SEI0509</t>
  </si>
  <si>
    <t xml:space="preserve"> SEI0610</t>
  </si>
  <si>
    <t xml:space="preserve"> SEI0009</t>
  </si>
  <si>
    <t>SEI0483</t>
  </si>
  <si>
    <t>Gutierrez Muñoz Carlos Alejandro</t>
  </si>
  <si>
    <t xml:space="preserve"> SEI0095</t>
  </si>
  <si>
    <t>SEI0476</t>
  </si>
  <si>
    <t>Hernandez Garcia Manuel Alejandro</t>
  </si>
  <si>
    <t xml:space="preserve"> SEI0602</t>
  </si>
  <si>
    <t xml:space="preserve"> SEI0127</t>
  </si>
  <si>
    <t>SEI0536</t>
  </si>
  <si>
    <t>Hernandez Ojeda Julio Cesar</t>
  </si>
  <si>
    <t xml:space="preserve"> SEI0640</t>
  </si>
  <si>
    <t>SEI0523</t>
  </si>
  <si>
    <t>Hernandez Rodriguez Jorge</t>
  </si>
  <si>
    <t xml:space="preserve"> SEI0624</t>
  </si>
  <si>
    <t>SEI0464</t>
  </si>
  <si>
    <t>Hueramo Hueramo Jesus Daniel</t>
  </si>
  <si>
    <t xml:space="preserve"> SEI 502</t>
  </si>
  <si>
    <t>SEI0511</t>
  </si>
  <si>
    <t>Lizaran Maceda Jose Guadalupe</t>
  </si>
  <si>
    <t xml:space="preserve"> SEI0517</t>
  </si>
  <si>
    <t>SEI0525</t>
  </si>
  <si>
    <t>Lizaran Maceda Jesus</t>
  </si>
  <si>
    <t xml:space="preserve"> SEI0626</t>
  </si>
  <si>
    <t>SEI0438</t>
  </si>
  <si>
    <t>Lopez Terron Roberto Porfirio</t>
  </si>
  <si>
    <t xml:space="preserve"> SEI0463</t>
  </si>
  <si>
    <t>SEI0517</t>
  </si>
  <si>
    <t>Macias Torres Enrique</t>
  </si>
  <si>
    <t xml:space="preserve"> SEI0120</t>
  </si>
  <si>
    <t>SEI0020</t>
  </si>
  <si>
    <t>Mar Marquez Cesar Eduardo</t>
  </si>
  <si>
    <t xml:space="preserve"> SEI0020</t>
  </si>
  <si>
    <t xml:space="preserve"> SEI0117</t>
  </si>
  <si>
    <t>SEI0444</t>
  </si>
  <si>
    <t>Marquez Hernandez Rogelio</t>
  </si>
  <si>
    <t xml:space="preserve"> SEI0469</t>
  </si>
  <si>
    <t>SEI0428</t>
  </si>
  <si>
    <t>Martinez Hernandez J. Antonio</t>
  </si>
  <si>
    <t xml:space="preserve"> SEI0452</t>
  </si>
  <si>
    <t>SEI0504</t>
  </si>
  <si>
    <t>Martinez Malo Cesar</t>
  </si>
  <si>
    <t xml:space="preserve"> SEI0488</t>
  </si>
  <si>
    <t>SEI0469</t>
  </si>
  <si>
    <t>Martinez Morales Jose Martin</t>
  </si>
  <si>
    <t xml:space="preserve"> SEI0511</t>
  </si>
  <si>
    <t>SEI0493</t>
  </si>
  <si>
    <t>Martinez Morales Tomas</t>
  </si>
  <si>
    <t xml:space="preserve"> SEI0477</t>
  </si>
  <si>
    <t>SEI0503</t>
  </si>
  <si>
    <t>Martinez Rodriguez Paulo Cesar</t>
  </si>
  <si>
    <t xml:space="preserve"> SEI0487</t>
  </si>
  <si>
    <t>SEI0458</t>
  </si>
  <si>
    <t>Martinez Zamora Gerardo Mario</t>
  </si>
  <si>
    <t xml:space="preserve"> SEI0497</t>
  </si>
  <si>
    <t>SEI0494</t>
  </si>
  <si>
    <t>Medellin Colunga Ruben Dario</t>
  </si>
  <si>
    <t xml:space="preserve"> SEI0478</t>
  </si>
  <si>
    <t>SEI0506</t>
  </si>
  <si>
    <t xml:space="preserve"> SEI0506</t>
  </si>
  <si>
    <t>SEI0513</t>
  </si>
  <si>
    <t>Mendez Rivera Ivan Israel</t>
  </si>
  <si>
    <t xml:space="preserve"> SEI0612</t>
  </si>
  <si>
    <t>SEI0488</t>
  </si>
  <si>
    <t>Mireles Casillas Brenda Cristina</t>
  </si>
  <si>
    <t xml:space="preserve"> SEI0446</t>
  </si>
  <si>
    <t>Marin Avila Hector</t>
  </si>
  <si>
    <t xml:space="preserve"> SEI0445</t>
  </si>
  <si>
    <t>SEI0485</t>
  </si>
  <si>
    <t>Molina Ramirez Gerardo Daniel</t>
  </si>
  <si>
    <t xml:space="preserve"> SEI0033</t>
  </si>
  <si>
    <t xml:space="preserve"> SEI0014 </t>
  </si>
  <si>
    <t>Montoya Portillo Carlos Alberto</t>
  </si>
  <si>
    <t xml:space="preserve"> SEI0014</t>
  </si>
  <si>
    <t xml:space="preserve"> SEI0040</t>
  </si>
  <si>
    <t>SEI0540</t>
  </si>
  <si>
    <t>Morales Martinez Eduardo</t>
  </si>
  <si>
    <t xml:space="preserve"> SEI0648</t>
  </si>
  <si>
    <t>SEI0475</t>
  </si>
  <si>
    <t>Moreno Quiroga Ana Sarahi</t>
  </si>
  <si>
    <t xml:space="preserve"> SEI0601</t>
  </si>
  <si>
    <t xml:space="preserve"> SEI0088</t>
  </si>
  <si>
    <t>SEI0017</t>
  </si>
  <si>
    <t>Muñoz Reyes Luis Eduardo</t>
  </si>
  <si>
    <t xml:space="preserve"> SEI0017</t>
  </si>
  <si>
    <t>SEI0022</t>
  </si>
  <si>
    <t>Najera Lopez Raul</t>
  </si>
  <si>
    <t xml:space="preserve"> SEI0022</t>
  </si>
  <si>
    <t>Negrete Bejar Aide Sarai</t>
  </si>
  <si>
    <t xml:space="preserve"> SEI0016</t>
  </si>
  <si>
    <t xml:space="preserve"> SEI0173</t>
  </si>
  <si>
    <t>SEI0524</t>
  </si>
  <si>
    <t>Orea Gonzalez Concepcion Esteban</t>
  </si>
  <si>
    <t xml:space="preserve"> SEI0625</t>
  </si>
  <si>
    <t>SEI0424</t>
  </si>
  <si>
    <t>Palacios Ramos Jesus</t>
  </si>
  <si>
    <t xml:space="preserve"> SEI0424</t>
  </si>
  <si>
    <t>SEI0519</t>
  </si>
  <si>
    <t>Palacios Vega Luis Rosendo</t>
  </si>
  <si>
    <t xml:space="preserve"> SEI0519</t>
  </si>
  <si>
    <t xml:space="preserve"> SEI0026</t>
  </si>
  <si>
    <t>SEI0505</t>
  </si>
  <si>
    <t>Perez Balboa Cesar</t>
  </si>
  <si>
    <t xml:space="preserve"> SEI0489</t>
  </si>
  <si>
    <t>SEI0455</t>
  </si>
  <si>
    <t>Perez Garcia Andres Alvaro</t>
  </si>
  <si>
    <t xml:space="preserve"> SEI0494</t>
  </si>
  <si>
    <t>SEI0023</t>
  </si>
  <si>
    <t>Puente Murguia Luis Felipe</t>
  </si>
  <si>
    <t xml:space="preserve"> SEI0023</t>
  </si>
  <si>
    <t xml:space="preserve"> SEI0221</t>
  </si>
  <si>
    <t>SEI0521</t>
  </si>
  <si>
    <t>Rondero Savin Jacinto</t>
  </si>
  <si>
    <t xml:space="preserve"> SEI0622</t>
  </si>
  <si>
    <t>SEI0465</t>
  </si>
  <si>
    <t>Sandoval Garcia Luis</t>
  </si>
  <si>
    <t xml:space="preserve"> SEI0503</t>
  </si>
  <si>
    <t>SEI0477</t>
  </si>
  <si>
    <t>Sandoval Medina Demetrio</t>
  </si>
  <si>
    <t xml:space="preserve"> SEI0603</t>
  </si>
  <si>
    <t>SEI0537</t>
  </si>
  <si>
    <t>Serrano Esquivel Armando</t>
  </si>
  <si>
    <t xml:space="preserve"> SEI0641</t>
  </si>
  <si>
    <t xml:space="preserve"> SEI0618</t>
  </si>
  <si>
    <t>SEI0498</t>
  </si>
  <si>
    <t>Tenorio Alvarez Alberto Antonio</t>
  </si>
  <si>
    <t xml:space="preserve"> SEI0482</t>
  </si>
  <si>
    <t>SEI0495</t>
  </si>
  <si>
    <t>Torres Perez Carlos Alberto</t>
  </si>
  <si>
    <t xml:space="preserve"> SEI0479</t>
  </si>
  <si>
    <t>Torres Ricardez Alfredo</t>
  </si>
  <si>
    <t xml:space="preserve"> SEI0010</t>
  </si>
  <si>
    <t>SEI0473</t>
  </si>
  <si>
    <t>Torres Velazquez Juan Antonio</t>
  </si>
  <si>
    <t xml:space="preserve"> SEI0604</t>
  </si>
  <si>
    <t>SEI0497</t>
  </si>
  <si>
    <t>Treviño Alvarez Jorge Alberto</t>
  </si>
  <si>
    <t xml:space="preserve"> SEI0481</t>
  </si>
  <si>
    <t>SEI0467</t>
  </si>
  <si>
    <t>Vaca Valdez Guillermo</t>
  </si>
  <si>
    <t xml:space="preserve"> SEI0505</t>
  </si>
  <si>
    <t>SEI0545</t>
  </si>
  <si>
    <t>Vallarta Fonseca Mayra Karina</t>
  </si>
  <si>
    <t xml:space="preserve"> SEI0653</t>
  </si>
  <si>
    <t xml:space="preserve"> SEI0041</t>
  </si>
  <si>
    <t>SEI0021</t>
  </si>
  <si>
    <t>Velez Rodriguez Jaime</t>
  </si>
  <si>
    <t xml:space="preserve"> SEI0021</t>
  </si>
  <si>
    <t>Aguilar Garcia Rosa Paola</t>
  </si>
  <si>
    <t xml:space="preserve"> SEI0654</t>
  </si>
  <si>
    <t>Jauregui Madera Jorge Silvestre</t>
  </si>
  <si>
    <t xml:space="preserve"> SEI0656</t>
  </si>
  <si>
    <t>SUELDO SINDICATO</t>
  </si>
  <si>
    <t>PRIMA VACACIONAL SINDICATO</t>
  </si>
  <si>
    <t>B</t>
  </si>
  <si>
    <t>NETO A PAGAR</t>
  </si>
  <si>
    <t>NETO MENSUAL</t>
  </si>
  <si>
    <t>NETO QUINCENAL SEITON</t>
  </si>
  <si>
    <t>C</t>
  </si>
  <si>
    <t>prima vacacional</t>
  </si>
  <si>
    <t>COMISION Y PRIMA VACACIONAL</t>
  </si>
  <si>
    <t>INFONAVIT</t>
  </si>
  <si>
    <t>FONACOT</t>
  </si>
  <si>
    <t>DESCUENTOS</t>
  </si>
  <si>
    <t>D</t>
  </si>
  <si>
    <t>TOTAL GENERAL</t>
  </si>
  <si>
    <t>DIFERENCIAS</t>
  </si>
  <si>
    <t>OBSERVACIONES</t>
  </si>
  <si>
    <t>SEI0421</t>
  </si>
  <si>
    <t>SEI0415</t>
  </si>
  <si>
    <t>SEI0033</t>
  </si>
  <si>
    <t>SEI0095</t>
  </si>
  <si>
    <t>SEI0416</t>
  </si>
  <si>
    <t>SEI0417</t>
  </si>
  <si>
    <t>SEI0420</t>
  </si>
  <si>
    <t>SEI0422</t>
  </si>
  <si>
    <t>SEI0426</t>
  </si>
  <si>
    <t>SEI0430</t>
  </si>
  <si>
    <t>SEI0432</t>
  </si>
  <si>
    <t>SEI0433</t>
  </si>
  <si>
    <t>SEI0547</t>
  </si>
  <si>
    <t>SEI0548</t>
  </si>
  <si>
    <t xml:space="preserve">TOTAL GENERAL </t>
  </si>
  <si>
    <t>TOTAL FACTURACION NOMINA</t>
  </si>
  <si>
    <t>TOTAL PROV AGUINALDOS</t>
  </si>
  <si>
    <t>TOTAL CPD</t>
  </si>
  <si>
    <t>TOTAL IP</t>
  </si>
  <si>
    <t>TOTAL SINDICATO</t>
  </si>
  <si>
    <t>PORCENTAJES POR EMPRESA</t>
  </si>
  <si>
    <t>EM 4%</t>
  </si>
  <si>
    <t>CPD 12%</t>
  </si>
  <si>
    <t>IP 11%</t>
  </si>
  <si>
    <t>ITA 73%</t>
  </si>
  <si>
    <t>CONSULTORIA EN PROYECTOS DINAMICOS</t>
  </si>
  <si>
    <t>CALCULO DE PAGO POR ASIMILADOS Y/O COMISIONES</t>
  </si>
  <si>
    <t>QUINCENAL</t>
  </si>
  <si>
    <t>FACTURACION</t>
  </si>
  <si>
    <t>Nombre</t>
  </si>
  <si>
    <t>SUELDO MENSUAL</t>
  </si>
  <si>
    <t>IMSS</t>
  </si>
  <si>
    <t>Asimilados</t>
  </si>
  <si>
    <t>Comision 2%</t>
  </si>
  <si>
    <t>SUBTOTAL</t>
  </si>
  <si>
    <t>PABLO BENAVIDES HERRERA</t>
  </si>
  <si>
    <t>SE FACTURA A PITSS</t>
  </si>
  <si>
    <t>TOTALES</t>
  </si>
  <si>
    <t>Devengado Salario</t>
  </si>
  <si>
    <t>RETORNOS</t>
  </si>
  <si>
    <t>Infonavit</t>
  </si>
  <si>
    <t>Prestamo Prospera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</si>
  <si>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</si>
  <si>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</si>
  <si>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</si>
  <si>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</si>
  <si>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</si>
  <si>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</si>
  <si>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PROVISION AGUINALDO</t>
  </si>
  <si>
    <t>FACTURACION PITS</t>
  </si>
  <si>
    <t>QNA PASADA</t>
  </si>
  <si>
    <t>SUBTOTAL 2</t>
  </si>
  <si>
    <t>SUBTOTAL 3</t>
  </si>
  <si>
    <t>TOTA</t>
  </si>
  <si>
    <t xml:space="preserve">Devengado Salario </t>
  </si>
  <si>
    <t>Deduccion General</t>
  </si>
  <si>
    <t>IP INNOVACION EN PROYECTOS S DE RL DE CV</t>
  </si>
  <si>
    <t>Reg Pat IMSS: R1363592103</t>
  </si>
  <si>
    <t xml:space="preserve">RFC: IIP -150923-DT7 </t>
  </si>
  <si>
    <t>Préstamo Infonavit (cf)</t>
  </si>
  <si>
    <t>Préstamo FONACOT</t>
  </si>
  <si>
    <t>Deduccion general</t>
  </si>
  <si>
    <t xml:space="preserve">Aguinaldo </t>
  </si>
  <si>
    <t>SEI0014</t>
  </si>
  <si>
    <t>SEI0016</t>
  </si>
  <si>
    <t>Mejia  Duarte Jose Luis</t>
  </si>
  <si>
    <t xml:space="preserve">Gutierrez  Castillo  Jose De Jesus </t>
  </si>
  <si>
    <t>SEI0549</t>
  </si>
  <si>
    <t>Hinojosa  Guerrero  Alejandro</t>
  </si>
  <si>
    <t>SEI0550</t>
  </si>
  <si>
    <t>Lopez Blanco Luis Eduardo</t>
  </si>
  <si>
    <t>SEI0551</t>
  </si>
  <si>
    <t>Vallarta Fonseca Maria Esmeralda</t>
  </si>
  <si>
    <t>NETO IMSS</t>
  </si>
  <si>
    <t xml:space="preserve">  Nomina </t>
  </si>
  <si>
    <t xml:space="preserve">  Altas    </t>
  </si>
  <si>
    <t xml:space="preserve">  Bajas  </t>
  </si>
  <si>
    <t xml:space="preserve">  Total Nomina </t>
  </si>
  <si>
    <t>1 falta</t>
  </si>
  <si>
    <t>AMEZCUA MAÑAGA TANIA</t>
  </si>
  <si>
    <t>ADMINISTRACION</t>
  </si>
  <si>
    <t>VENTAS</t>
  </si>
  <si>
    <t>SERVICIO</t>
  </si>
  <si>
    <t xml:space="preserve">IVA </t>
  </si>
  <si>
    <t>ITA</t>
  </si>
  <si>
    <t>IP</t>
  </si>
  <si>
    <t>EM</t>
  </si>
  <si>
    <t>CPD</t>
  </si>
  <si>
    <t>Sueldo mensual</t>
  </si>
  <si>
    <t>Bono por actividad y desempeño</t>
  </si>
  <si>
    <t>Sueldo total</t>
  </si>
  <si>
    <t>Sueldo quincenal</t>
  </si>
  <si>
    <t>15na. Junio</t>
  </si>
  <si>
    <t>PAGADO</t>
  </si>
  <si>
    <t>BONO varia / y en esta quincena no obtuvo bono.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</si>
</sst>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i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FD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6" fillId="0" borderId="0" xfId="0" applyNumberFormat="1" applyFont="1" applyAlignment="1">
      <alignment horizontal="centerContinuous"/>
    </xf>
    <xf numFmtId="49" fontId="7" fillId="0" borderId="0" xfId="0" applyNumberFormat="1" applyFont="1" applyAlignment="1">
      <alignment horizontal="centerContinuous" vertical="top"/>
    </xf>
    <xf numFmtId="0" fontId="3" fillId="0" borderId="0" xfId="0" applyFont="1" applyAlignment="1">
      <alignment horizontal="right"/>
    </xf>
    <xf numFmtId="43" fontId="4" fillId="0" borderId="0" xfId="0" applyNumberFormat="1" applyFont="1"/>
    <xf numFmtId="43" fontId="4" fillId="5" borderId="0" xfId="0" applyNumberFormat="1" applyFont="1" applyFill="1" applyBorder="1"/>
    <xf numFmtId="43" fontId="10" fillId="3" borderId="1" xfId="2" applyNumberFormat="1" applyFont="1" applyFill="1" applyBorder="1" applyAlignment="1">
      <alignment horizontal="center" vertical="center" wrapText="1"/>
    </xf>
    <xf numFmtId="43" fontId="10" fillId="4" borderId="3" xfId="2" applyNumberFormat="1" applyFont="1" applyFill="1" applyBorder="1" applyAlignment="1">
      <alignment horizontal="center" vertical="center" wrapText="1"/>
    </xf>
    <xf numFmtId="43" fontId="10" fillId="5" borderId="0" xfId="2" applyNumberFormat="1" applyFont="1" applyFill="1" applyBorder="1" applyAlignment="1">
      <alignment horizontal="center" vertical="center" wrapText="1"/>
    </xf>
    <xf numFmtId="43" fontId="10" fillId="3" borderId="4" xfId="2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/>
    <xf numFmtId="43" fontId="11" fillId="6" borderId="0" xfId="3" applyNumberFormat="1" applyFont="1" applyFill="1"/>
    <xf numFmtId="43" fontId="4" fillId="2" borderId="0" xfId="0" applyNumberFormat="1" applyFont="1" applyFill="1"/>
    <xf numFmtId="43" fontId="4" fillId="6" borderId="0" xfId="0" applyNumberFormat="1" applyFont="1" applyFill="1"/>
    <xf numFmtId="43" fontId="5" fillId="0" borderId="0" xfId="0" applyNumberFormat="1" applyFont="1"/>
    <xf numFmtId="43" fontId="11" fillId="2" borderId="0" xfId="3" applyNumberFormat="1" applyFont="1" applyFill="1"/>
    <xf numFmtId="43" fontId="12" fillId="0" borderId="0" xfId="0" applyNumberFormat="1" applyFont="1"/>
    <xf numFmtId="43" fontId="4" fillId="0" borderId="0" xfId="0" applyNumberFormat="1" applyFont="1" applyAlignment="1">
      <alignment horizontal="center"/>
    </xf>
    <xf numFmtId="43" fontId="12" fillId="0" borderId="0" xfId="0" applyNumberFormat="1" applyFont="1" applyFill="1"/>
    <xf numFmtId="43" fontId="11" fillId="0" borderId="0" xfId="3" applyNumberFormat="1" applyFont="1" applyFill="1"/>
    <xf numFmtId="43" fontId="13" fillId="0" borderId="0" xfId="3" applyNumberFormat="1" applyFont="1"/>
    <xf numFmtId="43" fontId="10" fillId="6" borderId="0" xfId="3" applyNumberFormat="1" applyFont="1" applyFill="1"/>
    <xf numFmtId="43" fontId="14" fillId="3" borderId="0" xfId="2" applyNumberFormat="1" applyFont="1" applyFill="1"/>
    <xf numFmtId="43" fontId="13" fillId="3" borderId="0" xfId="2" applyNumberFormat="1" applyFont="1" applyFill="1"/>
    <xf numFmtId="43" fontId="12" fillId="5" borderId="0" xfId="0" applyNumberFormat="1" applyFont="1" applyFill="1" applyBorder="1"/>
    <xf numFmtId="43" fontId="12" fillId="5" borderId="0" xfId="0" applyNumberFormat="1" applyFont="1" applyFill="1"/>
    <xf numFmtId="43" fontId="12" fillId="0" borderId="0" xfId="0" applyNumberFormat="1" applyFont="1" applyFill="1" applyAlignment="1"/>
    <xf numFmtId="43" fontId="12" fillId="6" borderId="0" xfId="0" applyNumberFormat="1" applyFont="1" applyFill="1"/>
    <xf numFmtId="43" fontId="16" fillId="3" borderId="1" xfId="2" applyNumberFormat="1" applyFont="1" applyFill="1" applyBorder="1" applyAlignment="1">
      <alignment horizontal="center" vertical="center" wrapText="1"/>
    </xf>
    <xf numFmtId="43" fontId="16" fillId="5" borderId="0" xfId="2" applyNumberFormat="1" applyFont="1" applyFill="1" applyBorder="1" applyAlignment="1">
      <alignment horizontal="center" vertical="center" wrapText="1"/>
    </xf>
    <xf numFmtId="43" fontId="16" fillId="3" borderId="5" xfId="2" applyNumberFormat="1" applyFont="1" applyFill="1" applyBorder="1" applyAlignment="1">
      <alignment horizontal="center" vertical="center" wrapText="1"/>
    </xf>
    <xf numFmtId="43" fontId="16" fillId="3" borderId="4" xfId="2" applyNumberFormat="1" applyFont="1" applyFill="1" applyBorder="1" applyAlignment="1">
      <alignment horizontal="center" vertical="center" wrapText="1"/>
    </xf>
    <xf numFmtId="43" fontId="16" fillId="4" borderId="1" xfId="2" applyNumberFormat="1" applyFont="1" applyFill="1" applyBorder="1" applyAlignment="1">
      <alignment horizontal="center" vertical="center" wrapText="1"/>
    </xf>
    <xf numFmtId="43" fontId="16" fillId="3" borderId="6" xfId="2" applyNumberFormat="1" applyFont="1" applyFill="1" applyBorder="1" applyAlignment="1">
      <alignment horizontal="center" vertical="center" wrapText="1"/>
    </xf>
    <xf numFmtId="43" fontId="16" fillId="3" borderId="6" xfId="2" applyNumberFormat="1" applyFont="1" applyFill="1" applyBorder="1" applyAlignment="1">
      <alignment horizontal="center" vertical="center"/>
    </xf>
    <xf numFmtId="43" fontId="11" fillId="6" borderId="0" xfId="3" applyNumberFormat="1" applyFont="1" applyFill="1" applyAlignment="1">
      <alignment horizontal="left" vertical="center"/>
    </xf>
    <xf numFmtId="43" fontId="11" fillId="5" borderId="0" xfId="3" applyNumberFormat="1" applyFont="1" applyFill="1" applyBorder="1"/>
    <xf numFmtId="43" fontId="11" fillId="0" borderId="0" xfId="3" applyNumberFormat="1" applyFont="1" applyFill="1" applyAlignment="1">
      <alignment horizontal="left" vertical="center"/>
    </xf>
    <xf numFmtId="43" fontId="15" fillId="5" borderId="0" xfId="0" applyNumberFormat="1" applyFont="1" applyFill="1" applyBorder="1"/>
    <xf numFmtId="43" fontId="15" fillId="6" borderId="0" xfId="0" applyNumberFormat="1" applyFont="1" applyFill="1"/>
    <xf numFmtId="14" fontId="12" fillId="0" borderId="0" xfId="0" applyNumberFormat="1" applyFont="1" applyFill="1"/>
    <xf numFmtId="43" fontId="12" fillId="0" borderId="0" xfId="0" applyNumberFormat="1" applyFont="1" applyFill="1" applyAlignment="1">
      <alignment horizontal="center"/>
    </xf>
    <xf numFmtId="14" fontId="15" fillId="0" borderId="0" xfId="0" applyNumberFormat="1" applyFont="1" applyFill="1"/>
    <xf numFmtId="0" fontId="12" fillId="0" borderId="0" xfId="0" applyNumberFormat="1" applyFont="1" applyFill="1" applyAlignment="1"/>
    <xf numFmtId="43" fontId="15" fillId="0" borderId="0" xfId="0" applyNumberFormat="1" applyFont="1" applyFill="1"/>
    <xf numFmtId="14" fontId="12" fillId="0" borderId="0" xfId="0" applyNumberFormat="1" applyFont="1" applyFill="1" applyAlignment="1">
      <alignment horizontal="center"/>
    </xf>
    <xf numFmtId="43" fontId="15" fillId="4" borderId="0" xfId="0" applyNumberFormat="1" applyFont="1" applyFill="1" applyAlignment="1">
      <alignment vertical="center"/>
    </xf>
    <xf numFmtId="43" fontId="15" fillId="0" borderId="0" xfId="0" applyNumberFormat="1" applyFont="1"/>
    <xf numFmtId="43" fontId="15" fillId="0" borderId="0" xfId="0" applyNumberFormat="1" applyFont="1" applyAlignment="1">
      <alignment horizontal="left" vertical="center"/>
    </xf>
    <xf numFmtId="43" fontId="12" fillId="0" borderId="0" xfId="0" applyNumberFormat="1" applyFont="1" applyAlignment="1">
      <alignment horizontal="left" vertical="center"/>
    </xf>
    <xf numFmtId="43" fontId="18" fillId="0" borderId="0" xfId="0" applyNumberFormat="1" applyFont="1"/>
    <xf numFmtId="43" fontId="17" fillId="0" borderId="0" xfId="0" applyNumberFormat="1" applyFont="1" applyFill="1"/>
    <xf numFmtId="43" fontId="18" fillId="0" borderId="0" xfId="0" applyNumberFormat="1" applyFont="1" applyFill="1"/>
    <xf numFmtId="43" fontId="19" fillId="0" borderId="0" xfId="2" applyNumberFormat="1" applyFont="1" applyFill="1"/>
    <xf numFmtId="43" fontId="20" fillId="0" borderId="0" xfId="2" applyNumberFormat="1" applyFont="1" applyFill="1"/>
    <xf numFmtId="43" fontId="17" fillId="0" borderId="0" xfId="0" applyNumberFormat="1" applyFont="1"/>
    <xf numFmtId="0" fontId="2" fillId="0" borderId="0" xfId="0" applyFont="1"/>
    <xf numFmtId="0" fontId="2" fillId="2" borderId="7" xfId="0" applyFont="1" applyFill="1" applyBorder="1" applyAlignment="1">
      <alignment horizontal="center"/>
    </xf>
    <xf numFmtId="43" fontId="15" fillId="3" borderId="9" xfId="0" applyNumberFormat="1" applyFont="1" applyFill="1" applyBorder="1" applyAlignment="1">
      <alignment horizontal="center" vertical="center" wrapText="1"/>
    </xf>
    <xf numFmtId="0" fontId="0" fillId="0" borderId="0" xfId="0" applyBorder="1"/>
    <xf numFmtId="43" fontId="0" fillId="0" borderId="0" xfId="1" applyFont="1" applyBorder="1"/>
    <xf numFmtId="43" fontId="0" fillId="2" borderId="0" xfId="1" applyFont="1" applyFill="1" applyBorder="1"/>
    <xf numFmtId="43" fontId="0" fillId="0" borderId="0" xfId="1" applyFont="1" applyFill="1" applyBorder="1"/>
    <xf numFmtId="0" fontId="2" fillId="0" borderId="0" xfId="0" applyFont="1" applyBorder="1"/>
    <xf numFmtId="43" fontId="2" fillId="0" borderId="0" xfId="0" applyNumberFormat="1" applyFont="1" applyBorder="1"/>
    <xf numFmtId="43" fontId="2" fillId="0" borderId="0" xfId="0" applyNumberFormat="1" applyFont="1" applyFill="1" applyBorder="1"/>
    <xf numFmtId="43" fontId="0" fillId="0" borderId="0" xfId="0" applyNumberFormat="1"/>
    <xf numFmtId="43" fontId="2" fillId="0" borderId="0" xfId="0" applyNumberFormat="1" applyFont="1"/>
    <xf numFmtId="43" fontId="0" fillId="0" borderId="0" xfId="1" applyFont="1"/>
    <xf numFmtId="43" fontId="15" fillId="3" borderId="0" xfId="0" applyNumberFormat="1" applyFont="1" applyFill="1"/>
    <xf numFmtId="43" fontId="12" fillId="3" borderId="0" xfId="0" applyNumberFormat="1" applyFont="1" applyFill="1"/>
    <xf numFmtId="43" fontId="3" fillId="0" borderId="0" xfId="0" applyNumberFormat="1" applyFont="1"/>
    <xf numFmtId="43" fontId="18" fillId="0" borderId="0" xfId="0" applyNumberFormat="1" applyFont="1" applyFill="1" applyAlignment="1">
      <alignment horizontal="center" vertical="center"/>
    </xf>
    <xf numFmtId="43" fontId="12" fillId="0" borderId="0" xfId="1" applyFont="1"/>
    <xf numFmtId="43" fontId="23" fillId="0" borderId="0" xfId="1" applyFont="1"/>
    <xf numFmtId="49" fontId="12" fillId="0" borderId="0" xfId="0" applyNumberFormat="1" applyFont="1"/>
    <xf numFmtId="0" fontId="12" fillId="0" borderId="0" xfId="0" applyFont="1"/>
    <xf numFmtId="43" fontId="12" fillId="0" borderId="0" xfId="1" applyFont="1" applyAlignment="1">
      <alignment horizontal="right"/>
    </xf>
    <xf numFmtId="43" fontId="15" fillId="0" borderId="0" xfId="1" applyFont="1" applyAlignment="1">
      <alignment horizontal="left"/>
    </xf>
    <xf numFmtId="43" fontId="15" fillId="0" borderId="0" xfId="1" applyFont="1"/>
    <xf numFmtId="0" fontId="15" fillId="0" borderId="0" xfId="0" applyFont="1"/>
    <xf numFmtId="49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/>
    <xf numFmtId="0" fontId="22" fillId="0" borderId="0" xfId="0" applyFont="1" applyAlignment="1"/>
    <xf numFmtId="43" fontId="12" fillId="2" borderId="0" xfId="1" applyFont="1" applyFill="1"/>
    <xf numFmtId="43" fontId="27" fillId="3" borderId="0" xfId="0" applyNumberFormat="1" applyFont="1" applyFill="1"/>
    <xf numFmtId="43" fontId="12" fillId="0" borderId="0" xfId="1" applyFont="1" applyFill="1"/>
    <xf numFmtId="43" fontId="28" fillId="6" borderId="0" xfId="0" applyNumberFormat="1" applyFont="1" applyFill="1"/>
    <xf numFmtId="43" fontId="28" fillId="0" borderId="0" xfId="0" applyNumberFormat="1" applyFont="1" applyFill="1"/>
    <xf numFmtId="43" fontId="11" fillId="0" borderId="0" xfId="0" applyNumberFormat="1" applyFont="1" applyFill="1"/>
    <xf numFmtId="43" fontId="16" fillId="0" borderId="0" xfId="0" applyNumberFormat="1" applyFont="1" applyFill="1" applyBorder="1"/>
    <xf numFmtId="43" fontId="29" fillId="6" borderId="0" xfId="0" applyNumberFormat="1" applyFont="1" applyFill="1"/>
    <xf numFmtId="43" fontId="29" fillId="0" borderId="0" xfId="0" applyNumberFormat="1" applyFont="1" applyFill="1" applyBorder="1"/>
    <xf numFmtId="43" fontId="29" fillId="0" borderId="0" xfId="0" applyNumberFormat="1" applyFont="1" applyFill="1"/>
    <xf numFmtId="43" fontId="29" fillId="5" borderId="0" xfId="0" applyNumberFormat="1" applyFont="1" applyFill="1" applyBorder="1"/>
    <xf numFmtId="43" fontId="11" fillId="0" borderId="0" xfId="0" applyNumberFormat="1" applyFont="1"/>
    <xf numFmtId="43" fontId="11" fillId="6" borderId="0" xfId="0" applyNumberFormat="1" applyFont="1" applyFill="1"/>
    <xf numFmtId="43" fontId="16" fillId="5" borderId="0" xfId="0" applyNumberFormat="1" applyFont="1" applyFill="1" applyBorder="1"/>
    <xf numFmtId="43" fontId="29" fillId="2" borderId="0" xfId="0" applyNumberFormat="1" applyFont="1" applyFill="1"/>
    <xf numFmtId="43" fontId="29" fillId="5" borderId="0" xfId="0" applyNumberFormat="1" applyFont="1" applyFill="1"/>
    <xf numFmtId="43" fontId="16" fillId="6" borderId="0" xfId="0" applyNumberFormat="1" applyFont="1" applyFill="1"/>
    <xf numFmtId="43" fontId="29" fillId="4" borderId="0" xfId="0" applyNumberFormat="1" applyFont="1" applyFill="1"/>
    <xf numFmtId="43" fontId="29" fillId="0" borderId="0" xfId="1" applyFont="1"/>
    <xf numFmtId="43" fontId="29" fillId="0" borderId="0" xfId="0" applyNumberFormat="1" applyFont="1"/>
    <xf numFmtId="43" fontId="30" fillId="0" borderId="0" xfId="0" applyNumberFormat="1" applyFont="1"/>
    <xf numFmtId="0" fontId="0" fillId="0" borderId="0" xfId="0" applyAlignment="1"/>
    <xf numFmtId="0" fontId="2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8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0" fontId="8" fillId="0" borderId="0" xfId="0" applyFont="1" applyAlignment="1"/>
    <xf numFmtId="43" fontId="31" fillId="0" borderId="0" xfId="1" applyFont="1"/>
    <xf numFmtId="43" fontId="31" fillId="0" borderId="0" xfId="1" applyFont="1" applyFill="1"/>
    <xf numFmtId="43" fontId="15" fillId="0" borderId="0" xfId="1" applyFont="1" applyFill="1"/>
    <xf numFmtId="0" fontId="12" fillId="0" borderId="0" xfId="0" applyFont="1" applyFill="1"/>
    <xf numFmtId="0" fontId="32" fillId="10" borderId="0" xfId="0" applyFont="1" applyFill="1"/>
    <xf numFmtId="0" fontId="25" fillId="9" borderId="0" xfId="0" applyFont="1" applyFill="1"/>
    <xf numFmtId="0" fontId="25" fillId="8" borderId="0" xfId="0" applyFont="1" applyFill="1"/>
    <xf numFmtId="0" fontId="25" fillId="7" borderId="0" xfId="0" applyFont="1" applyFill="1"/>
    <xf numFmtId="0" fontId="25" fillId="4" borderId="0" xfId="0" applyFont="1" applyFill="1"/>
    <xf numFmtId="0" fontId="33" fillId="10" borderId="10" xfId="0" applyFont="1" applyFill="1" applyBorder="1" applyAlignment="1">
      <alignment horizontal="center"/>
    </xf>
    <xf numFmtId="9" fontId="34" fillId="0" borderId="0" xfId="0" applyNumberFormat="1" applyFont="1" applyAlignment="1">
      <alignment horizontal="center"/>
    </xf>
    <xf numFmtId="0" fontId="12" fillId="0" borderId="13" xfId="0" applyFont="1" applyBorder="1"/>
    <xf numFmtId="0" fontId="12" fillId="0" borderId="15" xfId="0" applyFont="1" applyBorder="1"/>
    <xf numFmtId="43" fontId="15" fillId="8" borderId="17" xfId="1" applyFont="1" applyFill="1" applyBorder="1" applyAlignment="1">
      <alignment horizontal="center"/>
    </xf>
    <xf numFmtId="43" fontId="12" fillId="7" borderId="0" xfId="1" applyFont="1" applyFill="1"/>
    <xf numFmtId="43" fontId="12" fillId="8" borderId="0" xfId="1" applyFont="1" applyFill="1"/>
    <xf numFmtId="43" fontId="12" fillId="0" borderId="14" xfId="0" applyNumberFormat="1" applyFont="1" applyBorder="1"/>
    <xf numFmtId="43" fontId="12" fillId="0" borderId="12" xfId="0" applyNumberFormat="1" applyFont="1" applyBorder="1"/>
    <xf numFmtId="43" fontId="12" fillId="0" borderId="13" xfId="0" applyNumberFormat="1" applyFont="1" applyBorder="1"/>
    <xf numFmtId="43" fontId="12" fillId="0" borderId="15" xfId="0" applyNumberFormat="1" applyFont="1" applyBorder="1"/>
    <xf numFmtId="43" fontId="15" fillId="9" borderId="11" xfId="1" applyFont="1" applyFill="1" applyBorder="1" applyAlignment="1">
      <alignment horizontal="center"/>
    </xf>
    <xf numFmtId="43" fontId="15" fillId="7" borderId="11" xfId="1" applyFont="1" applyFill="1" applyBorder="1" applyAlignment="1">
      <alignment horizontal="center"/>
    </xf>
    <xf numFmtId="43" fontId="15" fillId="11" borderId="0" xfId="1" applyFont="1" applyFill="1"/>
    <xf numFmtId="43" fontId="15" fillId="12" borderId="0" xfId="1" applyFont="1" applyFill="1"/>
    <xf numFmtId="0" fontId="15" fillId="11" borderId="1" xfId="0" applyFont="1" applyFill="1" applyBorder="1" applyAlignment="1">
      <alignment horizontal="center" vertical="center" wrapText="1"/>
    </xf>
    <xf numFmtId="43" fontId="12" fillId="0" borderId="16" xfId="0" applyNumberFormat="1" applyFont="1" applyBorder="1"/>
    <xf numFmtId="43" fontId="12" fillId="0" borderId="7" xfId="0" applyNumberFormat="1" applyFont="1" applyBorder="1"/>
    <xf numFmtId="43" fontId="12" fillId="0" borderId="10" xfId="0" applyNumberFormat="1" applyFont="1" applyBorder="1"/>
    <xf numFmtId="43" fontId="25" fillId="13" borderId="10" xfId="0" applyNumberFormat="1" applyFont="1" applyFill="1" applyBorder="1"/>
    <xf numFmtId="43" fontId="2" fillId="13" borderId="10" xfId="0" applyNumberFormat="1" applyFont="1" applyFill="1" applyBorder="1"/>
    <xf numFmtId="43" fontId="23" fillId="7" borderId="0" xfId="1" applyFont="1" applyFill="1"/>
    <xf numFmtId="43" fontId="4" fillId="7" borderId="0" xfId="0" applyNumberFormat="1" applyFont="1" applyFill="1"/>
    <xf numFmtId="43" fontId="4" fillId="7" borderId="0" xfId="0" applyNumberFormat="1" applyFont="1" applyFill="1" applyBorder="1"/>
    <xf numFmtId="43" fontId="11" fillId="7" borderId="0" xfId="3" applyNumberFormat="1" applyFont="1" applyFill="1"/>
    <xf numFmtId="43" fontId="4" fillId="8" borderId="0" xfId="0" applyNumberFormat="1" applyFont="1" applyFill="1"/>
    <xf numFmtId="43" fontId="4" fillId="8" borderId="0" xfId="0" applyNumberFormat="1" applyFont="1" applyFill="1" applyBorder="1"/>
    <xf numFmtId="43" fontId="11" fillId="8" borderId="0" xfId="3" applyNumberFormat="1" applyFont="1" applyFill="1"/>
    <xf numFmtId="43" fontId="25" fillId="5" borderId="10" xfId="0" applyNumberFormat="1" applyFont="1" applyFill="1" applyBorder="1"/>
    <xf numFmtId="43" fontId="12" fillId="9" borderId="10" xfId="0" applyNumberFormat="1" applyFont="1" applyFill="1" applyBorder="1"/>
    <xf numFmtId="43" fontId="12" fillId="8" borderId="10" xfId="0" applyNumberFormat="1" applyFont="1" applyFill="1" applyBorder="1"/>
    <xf numFmtId="43" fontId="12" fillId="7" borderId="10" xfId="0" applyNumberFormat="1" applyFont="1" applyFill="1" applyBorder="1"/>
    <xf numFmtId="43" fontId="12" fillId="4" borderId="10" xfId="0" applyNumberFormat="1" applyFont="1" applyFill="1" applyBorder="1"/>
    <xf numFmtId="44" fontId="0" fillId="0" borderId="0" xfId="4" applyFont="1"/>
    <xf numFmtId="44" fontId="21" fillId="2" borderId="0" xfId="4" applyFont="1" applyFill="1" applyAlignment="1"/>
    <xf numFmtId="0" fontId="0" fillId="10" borderId="0" xfId="0" applyFill="1"/>
    <xf numFmtId="44" fontId="21" fillId="0" borderId="0" xfId="4" applyFont="1" applyFill="1" applyAlignment="1"/>
    <xf numFmtId="44" fontId="37" fillId="5" borderId="0" xfId="4" applyFont="1" applyFill="1"/>
    <xf numFmtId="44" fontId="37" fillId="14" borderId="0" xfId="4" applyFont="1" applyFill="1"/>
    <xf numFmtId="44" fontId="37" fillId="5" borderId="19" xfId="4" applyFont="1" applyFill="1" applyBorder="1"/>
    <xf numFmtId="44" fontId="37" fillId="5" borderId="20" xfId="4" applyFont="1" applyFill="1" applyBorder="1" applyAlignment="1"/>
    <xf numFmtId="44" fontId="38" fillId="8" borderId="0" xfId="4" applyFont="1" applyFill="1"/>
    <xf numFmtId="44" fontId="39" fillId="8" borderId="22" xfId="4" applyFont="1" applyFill="1" applyBorder="1"/>
    <xf numFmtId="43" fontId="15" fillId="4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/>
    <xf numFmtId="0" fontId="2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8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43" fontId="25" fillId="4" borderId="0" xfId="0" applyNumberFormat="1" applyFont="1" applyFill="1" applyAlignment="1">
      <alignment horizontal="center" wrapText="1"/>
    </xf>
    <xf numFmtId="43" fontId="15" fillId="4" borderId="0" xfId="0" applyNumberFormat="1" applyFont="1" applyFill="1" applyAlignment="1">
      <alignment horizontal="center"/>
    </xf>
    <xf numFmtId="43" fontId="5" fillId="5" borderId="2" xfId="0" applyNumberFormat="1" applyFont="1" applyFill="1" applyBorder="1" applyAlignment="1">
      <alignment horizontal="center" vertical="center" wrapText="1"/>
    </xf>
    <xf numFmtId="43" fontId="15" fillId="5" borderId="2" xfId="0" applyNumberFormat="1" applyFont="1" applyFill="1" applyBorder="1" applyAlignment="1">
      <alignment horizontal="center" vertical="center" wrapText="1"/>
    </xf>
    <xf numFmtId="0" fontId="35" fillId="10" borderId="0" xfId="0" applyFont="1" applyFill="1" applyAlignment="1">
      <alignment horizontal="center"/>
    </xf>
    <xf numFmtId="0" fontId="36" fillId="5" borderId="15" xfId="0" applyFont="1" applyFill="1" applyBorder="1" applyAlignment="1">
      <alignment horizontal="left"/>
    </xf>
    <xf numFmtId="0" fontId="36" fillId="5" borderId="0" xfId="0" applyFont="1" applyFill="1" applyBorder="1" applyAlignment="1">
      <alignment horizontal="left"/>
    </xf>
    <xf numFmtId="0" fontId="39" fillId="8" borderId="16" xfId="0" applyFont="1" applyFill="1" applyBorder="1" applyAlignment="1">
      <alignment horizontal="center"/>
    </xf>
    <xf numFmtId="0" fontId="39" fillId="8" borderId="21" xfId="0" applyFont="1" applyFill="1" applyBorder="1" applyAlignment="1">
      <alignment horizontal="center"/>
    </xf>
    <xf numFmtId="0" fontId="36" fillId="5" borderId="14" xfId="0" applyFont="1" applyFill="1" applyBorder="1" applyAlignment="1">
      <alignment horizontal="left"/>
    </xf>
    <xf numFmtId="0" fontId="36" fillId="5" borderId="18" xfId="0" applyFont="1" applyFill="1" applyBorder="1" applyAlignment="1">
      <alignment horizontal="left"/>
    </xf>
    <xf numFmtId="43" fontId="17" fillId="3" borderId="0" xfId="0" applyNumberFormat="1" applyFont="1" applyFill="1" applyAlignment="1">
      <alignment horizontal="center" vertical="center" wrapText="1"/>
    </xf>
    <xf numFmtId="43" fontId="17" fillId="3" borderId="0" xfId="0" applyNumberFormat="1" applyFont="1" applyFill="1" applyAlignment="1">
      <alignment horizontal="center" vertical="center"/>
    </xf>
    <xf numFmtId="0" fontId="21" fillId="4" borderId="8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43" fontId="15" fillId="2" borderId="0" xfId="0" applyNumberFormat="1" applyFont="1" applyFill="1"/>
  </cellXfs>
  <cellStyles count="5">
    <cellStyle name="Millares" xfId="1" builtinId="3"/>
    <cellStyle name="Moneda" xfId="4" builtinId="4"/>
    <cellStyle name="Normal" xfId="0" builtinId="0"/>
    <cellStyle name="Normal 2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colors>
    <mruColors>
      <color rgb="FFFF9999"/>
      <color rgb="FF66FF99"/>
      <color rgb="FF99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showGridLines="0" workbookViewId="0">
      <pane xSplit="2" ySplit="8" topLeftCell="C31" activePane="bottomRight" state="frozen"/>
      <selection pane="topRight" activeCell="C1" sqref="C1"/>
      <selection pane="bottomLeft" activeCell="A9" sqref="A9"/>
      <selection pane="bottomRight" activeCell="C39" sqref="C39"/>
    </sheetView>
  </sheetViews>
  <sheetFormatPr baseColWidth="10" defaultRowHeight="11.25" x14ac:dyDescent="0.2"/>
  <cols>
    <col min="1" max="1" width="12.28515625" style="2" customWidth="1"/>
    <col min="2" max="2" width="34.140625" style="1" customWidth="1"/>
    <col min="3" max="11" width="15.7109375" style="1" customWidth="1"/>
    <col min="12" max="12" width="17.7109375" style="1" customWidth="1"/>
    <col min="13" max="32" width="15.7109375" style="1" customWidth="1"/>
    <col min="33" max="16384" width="11.42578125" style="1"/>
  </cols>
  <sheetData>
    <row r="1" spans="1:33" ht="18" customHeight="1" x14ac:dyDescent="0.25">
      <c r="A1" s="3"/>
      <c r="B1" s="171" t="s">
        <v>76</v>
      </c>
      <c r="C1" s="172"/>
      <c r="D1" s="172"/>
      <c r="E1" s="172"/>
      <c r="F1" s="172"/>
    </row>
    <row r="2" spans="1:33" ht="24.95" customHeight="1" x14ac:dyDescent="0.2">
      <c r="A2" s="4"/>
      <c r="B2" s="173" t="s">
        <v>0</v>
      </c>
      <c r="C2" s="174"/>
      <c r="D2" s="174"/>
      <c r="E2" s="174"/>
      <c r="F2" s="174"/>
    </row>
    <row r="3" spans="1:33" ht="15.75" x14ac:dyDescent="0.25">
      <c r="B3" s="175" t="s">
        <v>1</v>
      </c>
      <c r="C3" s="176"/>
      <c r="D3" s="176"/>
      <c r="E3" s="176"/>
      <c r="F3" s="176"/>
      <c r="G3" s="5"/>
    </row>
    <row r="4" spans="1:33" ht="15" x14ac:dyDescent="0.25">
      <c r="B4" s="177"/>
      <c r="C4" s="176"/>
      <c r="D4" s="176"/>
      <c r="E4" s="176"/>
      <c r="F4" s="176"/>
      <c r="G4" s="5"/>
    </row>
    <row r="5" spans="1:33" ht="12.75" x14ac:dyDescent="0.2">
      <c r="B5" s="88" t="s">
        <v>2</v>
      </c>
      <c r="C5" s="89"/>
      <c r="D5" s="89"/>
      <c r="E5" s="89"/>
      <c r="F5" s="89"/>
    </row>
    <row r="6" spans="1:33" ht="12.75" x14ac:dyDescent="0.2">
      <c r="B6" s="88" t="s">
        <v>3</v>
      </c>
      <c r="C6" s="89"/>
      <c r="D6" s="89"/>
      <c r="E6" s="89"/>
      <c r="F6" s="89"/>
    </row>
    <row r="7" spans="1:33" x14ac:dyDescent="0.2">
      <c r="B7" s="1">
        <v>1</v>
      </c>
      <c r="C7" s="1">
        <f>+B7+1</f>
        <v>2</v>
      </c>
      <c r="D7" s="1">
        <f t="shared" ref="D7:V7" si="0">+C7+1</f>
        <v>3</v>
      </c>
      <c r="E7" s="1">
        <f t="shared" si="0"/>
        <v>4</v>
      </c>
      <c r="F7" s="1">
        <f t="shared" si="0"/>
        <v>5</v>
      </c>
      <c r="G7" s="1">
        <f t="shared" si="0"/>
        <v>6</v>
      </c>
      <c r="H7" s="1">
        <f t="shared" si="0"/>
        <v>7</v>
      </c>
      <c r="I7" s="1">
        <f t="shared" si="0"/>
        <v>8</v>
      </c>
      <c r="J7" s="1">
        <f t="shared" si="0"/>
        <v>9</v>
      </c>
      <c r="K7" s="1">
        <f t="shared" si="0"/>
        <v>10</v>
      </c>
      <c r="L7" s="1">
        <f t="shared" si="0"/>
        <v>11</v>
      </c>
      <c r="M7" s="1">
        <f t="shared" si="0"/>
        <v>12</v>
      </c>
      <c r="N7" s="1">
        <f t="shared" si="0"/>
        <v>13</v>
      </c>
      <c r="O7" s="1">
        <f t="shared" si="0"/>
        <v>14</v>
      </c>
      <c r="P7" s="1">
        <f t="shared" si="0"/>
        <v>15</v>
      </c>
      <c r="Q7" s="1">
        <f t="shared" si="0"/>
        <v>16</v>
      </c>
      <c r="R7" s="1">
        <f t="shared" si="0"/>
        <v>17</v>
      </c>
      <c r="S7" s="1">
        <f t="shared" si="0"/>
        <v>18</v>
      </c>
      <c r="T7" s="1">
        <f>+S7+1</f>
        <v>19</v>
      </c>
      <c r="U7" s="1">
        <f t="shared" si="0"/>
        <v>20</v>
      </c>
      <c r="V7" s="1">
        <f t="shared" si="0"/>
        <v>21</v>
      </c>
    </row>
    <row r="8" spans="1:33" s="87" customFormat="1" ht="39" thickBot="1" x14ac:dyDescent="0.3">
      <c r="A8" s="83" t="s">
        <v>4</v>
      </c>
      <c r="B8" s="84" t="s">
        <v>5</v>
      </c>
      <c r="C8" s="84" t="s">
        <v>31</v>
      </c>
      <c r="D8" s="84" t="s">
        <v>32</v>
      </c>
      <c r="E8" s="84" t="s">
        <v>33</v>
      </c>
      <c r="F8" s="84" t="s">
        <v>34</v>
      </c>
      <c r="G8" s="84" t="s">
        <v>6</v>
      </c>
      <c r="H8" s="84" t="s">
        <v>7</v>
      </c>
      <c r="I8" s="84" t="s">
        <v>8</v>
      </c>
      <c r="J8" s="84" t="s">
        <v>9</v>
      </c>
      <c r="K8" s="84" t="s">
        <v>10</v>
      </c>
      <c r="L8" s="84" t="s">
        <v>11</v>
      </c>
      <c r="M8" s="85" t="s">
        <v>12</v>
      </c>
      <c r="N8" s="84" t="s">
        <v>13</v>
      </c>
      <c r="O8" s="84" t="s">
        <v>14</v>
      </c>
      <c r="P8" s="84" t="s">
        <v>15</v>
      </c>
      <c r="Q8" s="84" t="s">
        <v>16</v>
      </c>
      <c r="R8" s="142" t="s">
        <v>17</v>
      </c>
      <c r="S8" s="84" t="s">
        <v>414</v>
      </c>
      <c r="T8" s="84" t="s">
        <v>18</v>
      </c>
      <c r="U8" s="85" t="s">
        <v>19</v>
      </c>
      <c r="V8" s="86" t="s">
        <v>20</v>
      </c>
      <c r="W8" s="142" t="s">
        <v>21</v>
      </c>
      <c r="X8" s="142" t="s">
        <v>22</v>
      </c>
      <c r="Y8" s="142" t="s">
        <v>23</v>
      </c>
      <c r="Z8" s="142" t="s">
        <v>24</v>
      </c>
      <c r="AA8" s="84" t="s">
        <v>25</v>
      </c>
      <c r="AB8" s="142" t="s">
        <v>26</v>
      </c>
      <c r="AC8" s="84" t="s">
        <v>27</v>
      </c>
      <c r="AD8" s="142" t="s">
        <v>28</v>
      </c>
      <c r="AE8" s="142" t="s">
        <v>29</v>
      </c>
      <c r="AF8" s="84" t="s">
        <v>35</v>
      </c>
      <c r="AG8" s="84" t="s">
        <v>77</v>
      </c>
    </row>
    <row r="9" spans="1:33" s="78" customFormat="1" ht="13.5" thickTop="1" x14ac:dyDescent="0.2">
      <c r="A9" s="77"/>
    </row>
    <row r="10" spans="1:33" s="75" customFormat="1" ht="12.75" x14ac:dyDescent="0.2">
      <c r="A10" s="75" t="s">
        <v>38</v>
      </c>
      <c r="B10" s="75" t="s">
        <v>39</v>
      </c>
      <c r="C10" s="75">
        <v>15</v>
      </c>
      <c r="D10" s="75">
        <v>0</v>
      </c>
      <c r="E10" s="75">
        <v>141.66999999999999</v>
      </c>
      <c r="F10" s="75">
        <v>150.25</v>
      </c>
      <c r="G10" s="75">
        <v>2125.0500000000002</v>
      </c>
      <c r="H10" s="75">
        <v>0</v>
      </c>
      <c r="I10" s="75">
        <v>0</v>
      </c>
      <c r="J10" s="75">
        <v>212.51</v>
      </c>
      <c r="K10" s="75">
        <v>212.51</v>
      </c>
      <c r="L10" s="75">
        <v>212.51</v>
      </c>
      <c r="M10" s="75">
        <v>2762.58</v>
      </c>
      <c r="O10" s="75">
        <v>0</v>
      </c>
      <c r="P10" s="76">
        <v>-65.5</v>
      </c>
      <c r="Q10" s="75">
        <v>0</v>
      </c>
      <c r="R10" s="75">
        <v>53.52</v>
      </c>
      <c r="S10" s="75">
        <v>0</v>
      </c>
      <c r="T10" s="76">
        <v>0.16</v>
      </c>
      <c r="U10" s="75">
        <v>-11.82</v>
      </c>
      <c r="V10" s="75">
        <v>2774.4</v>
      </c>
      <c r="W10" s="75">
        <v>39.44</v>
      </c>
      <c r="X10" s="75">
        <v>70.989999999999995</v>
      </c>
      <c r="Y10" s="75">
        <v>297.98</v>
      </c>
      <c r="Z10" s="75">
        <v>183.93</v>
      </c>
      <c r="AA10" s="75">
        <v>55.25</v>
      </c>
      <c r="AB10" s="75">
        <v>11.27</v>
      </c>
      <c r="AC10" s="75">
        <v>408.41</v>
      </c>
      <c r="AD10" s="75">
        <v>112.69</v>
      </c>
      <c r="AE10" s="75">
        <v>161.38999999999999</v>
      </c>
      <c r="AF10" s="75">
        <v>110</v>
      </c>
      <c r="AG10" s="75">
        <f>((20/365.24)*15)*($E10*1.3)</f>
        <v>151.2739568502902</v>
      </c>
    </row>
    <row r="11" spans="1:33" s="75" customFormat="1" ht="12.75" x14ac:dyDescent="0.2">
      <c r="A11" s="75" t="s">
        <v>40</v>
      </c>
      <c r="B11" s="75" t="s">
        <v>41</v>
      </c>
      <c r="C11" s="75">
        <v>15</v>
      </c>
      <c r="D11" s="75">
        <v>0</v>
      </c>
      <c r="E11" s="75">
        <v>150</v>
      </c>
      <c r="F11" s="75">
        <v>159.07</v>
      </c>
      <c r="G11" s="75">
        <v>2250</v>
      </c>
      <c r="H11" s="75">
        <v>0</v>
      </c>
      <c r="I11" s="75">
        <v>0</v>
      </c>
      <c r="J11" s="75">
        <v>225</v>
      </c>
      <c r="K11" s="75">
        <v>225</v>
      </c>
      <c r="L11" s="75">
        <v>225</v>
      </c>
      <c r="M11" s="75">
        <v>2925</v>
      </c>
      <c r="O11" s="75">
        <v>0</v>
      </c>
      <c r="P11" s="76">
        <v>-43.57</v>
      </c>
      <c r="Q11" s="75">
        <v>0</v>
      </c>
      <c r="R11" s="75">
        <v>56.67</v>
      </c>
      <c r="S11" s="75">
        <v>0</v>
      </c>
      <c r="T11" s="76">
        <v>0.1</v>
      </c>
      <c r="U11" s="75">
        <v>13.2</v>
      </c>
      <c r="V11" s="75">
        <v>2911.8</v>
      </c>
      <c r="W11" s="75">
        <v>41.76</v>
      </c>
      <c r="X11" s="75">
        <v>75.16</v>
      </c>
      <c r="Y11" s="75">
        <v>300.29000000000002</v>
      </c>
      <c r="Z11" s="75">
        <v>186.57</v>
      </c>
      <c r="AA11" s="75">
        <v>58.5</v>
      </c>
      <c r="AB11" s="75">
        <v>11.93</v>
      </c>
      <c r="AC11" s="75">
        <v>417.21</v>
      </c>
      <c r="AD11" s="75">
        <v>119.31</v>
      </c>
      <c r="AE11" s="75">
        <v>162.70999999999998</v>
      </c>
      <c r="AF11" s="75">
        <v>110</v>
      </c>
      <c r="AG11" s="75">
        <f t="shared" ref="AG11:AG27" si="1">((20/365.24)*15)*($E11*1.3)</f>
        <v>160.16865622604314</v>
      </c>
    </row>
    <row r="12" spans="1:33" s="133" customFormat="1" ht="12.75" x14ac:dyDescent="0.2">
      <c r="A12" s="133" t="s">
        <v>42</v>
      </c>
      <c r="B12" s="133" t="s">
        <v>43</v>
      </c>
      <c r="C12" s="133">
        <v>12</v>
      </c>
      <c r="D12" s="133">
        <v>3</v>
      </c>
      <c r="E12" s="133">
        <v>216.67</v>
      </c>
      <c r="F12" s="133">
        <v>229.79</v>
      </c>
      <c r="G12" s="133">
        <v>2600.04</v>
      </c>
      <c r="H12" s="133">
        <v>650.01</v>
      </c>
      <c r="I12" s="133">
        <v>195</v>
      </c>
      <c r="J12" s="133">
        <v>325.01</v>
      </c>
      <c r="K12" s="133">
        <v>325.01</v>
      </c>
      <c r="L12" s="133">
        <v>325.01</v>
      </c>
      <c r="M12" s="133">
        <v>4420.08</v>
      </c>
      <c r="O12" s="133">
        <v>0</v>
      </c>
      <c r="P12" s="133">
        <v>0</v>
      </c>
      <c r="Q12" s="133">
        <v>107.17</v>
      </c>
      <c r="R12" s="133">
        <v>81.87</v>
      </c>
      <c r="S12" s="133">
        <v>0</v>
      </c>
      <c r="T12" s="133">
        <v>0.04</v>
      </c>
      <c r="U12" s="133">
        <v>189.08</v>
      </c>
      <c r="V12" s="133">
        <v>4231</v>
      </c>
      <c r="W12" s="133">
        <v>60.32</v>
      </c>
      <c r="X12" s="133">
        <v>108.58</v>
      </c>
      <c r="Y12" s="133">
        <v>318.86</v>
      </c>
      <c r="Z12" s="133">
        <v>207.79</v>
      </c>
      <c r="AA12" s="133">
        <v>88.4</v>
      </c>
      <c r="AB12" s="133">
        <v>17.23</v>
      </c>
      <c r="AC12" s="133">
        <v>487.76</v>
      </c>
      <c r="AD12" s="133">
        <v>172.34</v>
      </c>
      <c r="AE12" s="133">
        <v>173.32</v>
      </c>
      <c r="AF12" s="133">
        <v>110</v>
      </c>
      <c r="AG12" s="133">
        <f t="shared" si="1"/>
        <v>231.35828496331177</v>
      </c>
    </row>
    <row r="13" spans="1:33" s="133" customFormat="1" ht="12.75" x14ac:dyDescent="0.2">
      <c r="A13" s="133" t="s">
        <v>44</v>
      </c>
      <c r="B13" s="133" t="s">
        <v>45</v>
      </c>
      <c r="C13" s="133">
        <v>15</v>
      </c>
      <c r="D13" s="133">
        <v>0</v>
      </c>
      <c r="E13" s="133">
        <v>283.33</v>
      </c>
      <c r="F13" s="133">
        <v>300.49</v>
      </c>
      <c r="G13" s="133">
        <v>4249.95</v>
      </c>
      <c r="H13" s="133">
        <v>0</v>
      </c>
      <c r="I13" s="133">
        <v>0</v>
      </c>
      <c r="J13" s="133">
        <v>425</v>
      </c>
      <c r="K13" s="133">
        <v>425</v>
      </c>
      <c r="L13" s="133">
        <v>425</v>
      </c>
      <c r="M13" s="133">
        <v>5524.95</v>
      </c>
      <c r="O13" s="133">
        <v>0</v>
      </c>
      <c r="P13" s="133">
        <v>0</v>
      </c>
      <c r="Q13" s="133">
        <v>341.06</v>
      </c>
      <c r="R13" s="133">
        <v>109.87</v>
      </c>
      <c r="S13" s="133">
        <v>0</v>
      </c>
      <c r="T13" s="133">
        <v>0.02</v>
      </c>
      <c r="U13" s="133">
        <v>450.95</v>
      </c>
      <c r="V13" s="133">
        <v>5074</v>
      </c>
      <c r="W13" s="133">
        <v>78.88</v>
      </c>
      <c r="X13" s="133">
        <v>141.97999999999999</v>
      </c>
      <c r="Y13" s="133">
        <v>345.18</v>
      </c>
      <c r="Z13" s="133">
        <v>229</v>
      </c>
      <c r="AA13" s="133">
        <v>110.5</v>
      </c>
      <c r="AB13" s="133">
        <v>22.54</v>
      </c>
      <c r="AC13" s="133">
        <v>566.04</v>
      </c>
      <c r="AD13" s="133">
        <v>225.37</v>
      </c>
      <c r="AE13" s="133">
        <v>183.92</v>
      </c>
      <c r="AF13" s="133">
        <v>110</v>
      </c>
      <c r="AG13" s="133">
        <f t="shared" si="1"/>
        <v>302.53723579016537</v>
      </c>
    </row>
    <row r="14" spans="1:33" s="75" customFormat="1" ht="12.75" x14ac:dyDescent="0.2">
      <c r="A14" s="75" t="s">
        <v>46</v>
      </c>
      <c r="B14" s="75" t="s">
        <v>47</v>
      </c>
      <c r="C14" s="75">
        <v>15</v>
      </c>
      <c r="D14" s="75">
        <v>0</v>
      </c>
      <c r="E14" s="75">
        <v>273.33</v>
      </c>
      <c r="F14" s="75">
        <v>289.87</v>
      </c>
      <c r="G14" s="75">
        <v>4099.95</v>
      </c>
      <c r="H14" s="75">
        <v>0</v>
      </c>
      <c r="I14" s="75">
        <v>0</v>
      </c>
      <c r="J14" s="75">
        <v>410</v>
      </c>
      <c r="K14" s="75">
        <v>410</v>
      </c>
      <c r="L14" s="75">
        <v>410</v>
      </c>
      <c r="M14" s="75">
        <v>5329.95</v>
      </c>
      <c r="O14" s="75">
        <v>0</v>
      </c>
      <c r="P14" s="75">
        <v>0</v>
      </c>
      <c r="Q14" s="75">
        <v>324.74</v>
      </c>
      <c r="R14" s="75">
        <v>105.46</v>
      </c>
      <c r="S14" s="75">
        <v>275.95</v>
      </c>
      <c r="T14" s="76">
        <v>0</v>
      </c>
      <c r="U14" s="75">
        <v>706.15</v>
      </c>
      <c r="V14" s="75">
        <v>4623.8</v>
      </c>
      <c r="W14" s="75">
        <v>76.09</v>
      </c>
      <c r="X14" s="75">
        <v>136.96</v>
      </c>
      <c r="Y14" s="75">
        <v>340.64</v>
      </c>
      <c r="Z14" s="75">
        <v>225.81</v>
      </c>
      <c r="AA14" s="75">
        <v>106.6</v>
      </c>
      <c r="AB14" s="75">
        <v>21.74</v>
      </c>
      <c r="AC14" s="75">
        <v>553.69000000000005</v>
      </c>
      <c r="AD14" s="75">
        <v>217.4</v>
      </c>
      <c r="AE14" s="75">
        <v>182.32999999999998</v>
      </c>
      <c r="AF14" s="75">
        <v>110</v>
      </c>
      <c r="AG14" s="75">
        <f t="shared" si="1"/>
        <v>291.85932537509581</v>
      </c>
    </row>
    <row r="15" spans="1:33" s="75" customFormat="1" ht="12.75" x14ac:dyDescent="0.2">
      <c r="A15" s="75" t="s">
        <v>48</v>
      </c>
      <c r="B15" s="75" t="s">
        <v>49</v>
      </c>
      <c r="C15" s="75">
        <v>15</v>
      </c>
      <c r="D15" s="75">
        <v>0</v>
      </c>
      <c r="E15" s="75">
        <v>185.83</v>
      </c>
      <c r="F15" s="75">
        <v>197.07</v>
      </c>
      <c r="G15" s="75">
        <v>2787.45</v>
      </c>
      <c r="H15" s="75">
        <v>0</v>
      </c>
      <c r="I15" s="75">
        <v>0</v>
      </c>
      <c r="J15" s="75">
        <v>278.75</v>
      </c>
      <c r="K15" s="75">
        <v>278.75</v>
      </c>
      <c r="L15" s="75">
        <v>278.75</v>
      </c>
      <c r="M15" s="75">
        <v>3623.7</v>
      </c>
      <c r="O15" s="75">
        <v>1541.78</v>
      </c>
      <c r="P15" s="75">
        <v>0</v>
      </c>
      <c r="Q15" s="75">
        <v>36.57</v>
      </c>
      <c r="R15" s="75">
        <v>70.22</v>
      </c>
      <c r="S15" s="75">
        <v>0</v>
      </c>
      <c r="T15" s="76">
        <v>-7.0000000000000007E-2</v>
      </c>
      <c r="U15" s="75">
        <v>1648.5</v>
      </c>
      <c r="V15" s="75">
        <v>1975.2</v>
      </c>
      <c r="W15" s="75">
        <v>51.73</v>
      </c>
      <c r="X15" s="75">
        <v>93.12</v>
      </c>
      <c r="Y15" s="75">
        <v>310.27</v>
      </c>
      <c r="Z15" s="75">
        <v>197.97</v>
      </c>
      <c r="AA15" s="75">
        <v>72.47</v>
      </c>
      <c r="AB15" s="75">
        <v>14.78</v>
      </c>
      <c r="AC15" s="75">
        <v>455.12</v>
      </c>
      <c r="AD15" s="75">
        <v>147.80000000000001</v>
      </c>
      <c r="AE15" s="75">
        <v>168.41</v>
      </c>
      <c r="AF15" s="75">
        <v>110</v>
      </c>
      <c r="AG15" s="75">
        <f t="shared" si="1"/>
        <v>198.42760924323733</v>
      </c>
    </row>
    <row r="16" spans="1:33" s="75" customFormat="1" ht="12.75" x14ac:dyDescent="0.2">
      <c r="A16" s="75" t="s">
        <v>50</v>
      </c>
      <c r="B16" s="75" t="s">
        <v>51</v>
      </c>
      <c r="C16" s="75">
        <v>15</v>
      </c>
      <c r="D16" s="75">
        <v>0</v>
      </c>
      <c r="E16" s="75">
        <v>273.33</v>
      </c>
      <c r="F16" s="75">
        <v>289.87</v>
      </c>
      <c r="G16" s="75">
        <v>4099.95</v>
      </c>
      <c r="H16" s="75">
        <v>0</v>
      </c>
      <c r="I16" s="75">
        <v>0</v>
      </c>
      <c r="J16" s="75">
        <v>410</v>
      </c>
      <c r="K16" s="75">
        <v>410</v>
      </c>
      <c r="L16" s="75">
        <v>410</v>
      </c>
      <c r="M16" s="75">
        <v>5329.95</v>
      </c>
      <c r="O16" s="75">
        <v>0</v>
      </c>
      <c r="P16" s="75">
        <v>0</v>
      </c>
      <c r="Q16" s="75">
        <v>324.74</v>
      </c>
      <c r="R16" s="75">
        <v>105.46</v>
      </c>
      <c r="S16" s="75">
        <v>0</v>
      </c>
      <c r="T16" s="75">
        <v>-0.05</v>
      </c>
      <c r="U16" s="75">
        <v>430.15</v>
      </c>
      <c r="V16" s="75">
        <v>4899.8</v>
      </c>
      <c r="W16" s="75">
        <v>76.09</v>
      </c>
      <c r="X16" s="75">
        <v>136.96</v>
      </c>
      <c r="Y16" s="75">
        <v>340.64</v>
      </c>
      <c r="Z16" s="75">
        <v>225.81</v>
      </c>
      <c r="AA16" s="75">
        <v>106.6</v>
      </c>
      <c r="AB16" s="75">
        <v>21.74</v>
      </c>
      <c r="AC16" s="75">
        <v>553.69000000000005</v>
      </c>
      <c r="AD16" s="75">
        <v>217.4</v>
      </c>
      <c r="AE16" s="75">
        <v>182.32999999999998</v>
      </c>
      <c r="AF16" s="75">
        <v>110</v>
      </c>
      <c r="AG16" s="75">
        <f t="shared" si="1"/>
        <v>291.85932537509581</v>
      </c>
    </row>
    <row r="17" spans="1:36" s="75" customFormat="1" ht="12.75" x14ac:dyDescent="0.2">
      <c r="A17" s="75" t="s">
        <v>52</v>
      </c>
      <c r="B17" s="75" t="s">
        <v>53</v>
      </c>
      <c r="C17" s="75">
        <v>9</v>
      </c>
      <c r="D17" s="75">
        <v>6</v>
      </c>
      <c r="E17" s="75">
        <v>185.83</v>
      </c>
      <c r="F17" s="75">
        <v>197.07</v>
      </c>
      <c r="G17" s="75">
        <v>1672.47</v>
      </c>
      <c r="H17" s="75">
        <v>1114.98</v>
      </c>
      <c r="I17" s="75">
        <v>334.49</v>
      </c>
      <c r="J17" s="75">
        <v>278.75</v>
      </c>
      <c r="K17" s="75">
        <v>278.75</v>
      </c>
      <c r="L17" s="75">
        <v>278.75</v>
      </c>
      <c r="M17" s="75">
        <v>3958.19</v>
      </c>
      <c r="O17" s="75">
        <v>1789.38</v>
      </c>
      <c r="P17" s="75">
        <v>0</v>
      </c>
      <c r="Q17" s="75">
        <v>36.57</v>
      </c>
      <c r="R17" s="75">
        <v>70.22</v>
      </c>
      <c r="S17" s="75">
        <v>238.8</v>
      </c>
      <c r="T17" s="75">
        <v>0.02</v>
      </c>
      <c r="U17" s="75">
        <v>2134.9899999999998</v>
      </c>
      <c r="V17" s="75">
        <v>1823.2</v>
      </c>
      <c r="W17" s="75">
        <v>51.73</v>
      </c>
      <c r="X17" s="75">
        <v>93.12</v>
      </c>
      <c r="Y17" s="75">
        <v>310.27</v>
      </c>
      <c r="Z17" s="75">
        <v>197.97</v>
      </c>
      <c r="AA17" s="75">
        <v>79.16</v>
      </c>
      <c r="AB17" s="75">
        <v>14.78</v>
      </c>
      <c r="AC17" s="75">
        <v>455.12</v>
      </c>
      <c r="AD17" s="75">
        <v>147.80000000000001</v>
      </c>
      <c r="AE17" s="75">
        <v>168.41</v>
      </c>
      <c r="AF17" s="75">
        <v>110</v>
      </c>
      <c r="AG17" s="75">
        <f t="shared" si="1"/>
        <v>198.42760924323733</v>
      </c>
    </row>
    <row r="18" spans="1:36" s="75" customFormat="1" ht="12.75" x14ac:dyDescent="0.2">
      <c r="A18" s="75" t="s">
        <v>54</v>
      </c>
      <c r="B18" s="75" t="s">
        <v>55</v>
      </c>
      <c r="C18" s="75">
        <v>13</v>
      </c>
      <c r="D18" s="75">
        <v>2</v>
      </c>
      <c r="E18" s="75">
        <v>220.83</v>
      </c>
      <c r="F18" s="75">
        <v>234.19</v>
      </c>
      <c r="G18" s="75">
        <v>2870.79</v>
      </c>
      <c r="H18" s="75">
        <v>441.66</v>
      </c>
      <c r="I18" s="75">
        <v>132.5</v>
      </c>
      <c r="J18" s="75">
        <v>331.25</v>
      </c>
      <c r="K18" s="75">
        <v>331.25</v>
      </c>
      <c r="L18" s="75">
        <v>331.25</v>
      </c>
      <c r="M18" s="75">
        <v>4438.7</v>
      </c>
      <c r="O18" s="75">
        <v>894.93</v>
      </c>
      <c r="P18" s="75">
        <v>0</v>
      </c>
      <c r="Q18" s="75">
        <v>113.96</v>
      </c>
      <c r="R18" s="75">
        <v>83.43</v>
      </c>
      <c r="S18" s="75">
        <v>0</v>
      </c>
      <c r="T18" s="76">
        <v>-0.02</v>
      </c>
      <c r="U18" s="75">
        <v>1092.3</v>
      </c>
      <c r="V18" s="75">
        <v>3346.4</v>
      </c>
      <c r="W18" s="75">
        <v>61.47</v>
      </c>
      <c r="X18" s="75">
        <v>110.65</v>
      </c>
      <c r="Y18" s="75">
        <v>320.01</v>
      </c>
      <c r="Z18" s="75">
        <v>209.11</v>
      </c>
      <c r="AA18" s="75">
        <v>88.77</v>
      </c>
      <c r="AB18" s="75">
        <v>17.559999999999999</v>
      </c>
      <c r="AC18" s="75">
        <v>492.13</v>
      </c>
      <c r="AD18" s="75">
        <v>175.64</v>
      </c>
      <c r="AE18" s="75">
        <v>173.98</v>
      </c>
      <c r="AF18" s="75">
        <v>110</v>
      </c>
      <c r="AG18" s="75">
        <f t="shared" si="1"/>
        <v>235.80029569598071</v>
      </c>
    </row>
    <row r="19" spans="1:36" s="75" customFormat="1" ht="12.75" x14ac:dyDescent="0.2">
      <c r="A19" s="75" t="s">
        <v>56</v>
      </c>
      <c r="B19" s="75" t="s">
        <v>57</v>
      </c>
      <c r="C19" s="75">
        <v>15</v>
      </c>
      <c r="D19" s="75">
        <v>0</v>
      </c>
      <c r="E19" s="75">
        <v>264.58</v>
      </c>
      <c r="F19" s="75">
        <v>276.54000000000002</v>
      </c>
      <c r="G19" s="75">
        <v>3968.7</v>
      </c>
      <c r="H19" s="75">
        <v>0</v>
      </c>
      <c r="I19" s="75">
        <v>0</v>
      </c>
      <c r="J19" s="75">
        <v>396.87</v>
      </c>
      <c r="K19" s="75">
        <v>396.87</v>
      </c>
      <c r="L19" s="75">
        <v>396.87</v>
      </c>
      <c r="M19" s="75">
        <v>5159.3100000000004</v>
      </c>
      <c r="O19" s="75">
        <v>1639.72</v>
      </c>
      <c r="P19" s="75">
        <v>0</v>
      </c>
      <c r="Q19" s="75">
        <v>310.45999999999998</v>
      </c>
      <c r="R19" s="75">
        <v>99.91</v>
      </c>
      <c r="S19" s="75">
        <v>0</v>
      </c>
      <c r="T19" s="76">
        <v>0.02</v>
      </c>
      <c r="U19" s="75">
        <v>2050.11</v>
      </c>
      <c r="V19" s="75">
        <v>3109.2</v>
      </c>
      <c r="W19" s="75">
        <v>72.59</v>
      </c>
      <c r="X19" s="75">
        <v>130.66</v>
      </c>
      <c r="Y19" s="75">
        <v>334.94</v>
      </c>
      <c r="Z19" s="75">
        <v>221.81</v>
      </c>
      <c r="AA19" s="75">
        <v>103.19</v>
      </c>
      <c r="AB19" s="75">
        <v>20.74</v>
      </c>
      <c r="AC19" s="75">
        <v>538.19000000000005</v>
      </c>
      <c r="AD19" s="75">
        <v>207.4</v>
      </c>
      <c r="AE19" s="75">
        <v>180.32999999999998</v>
      </c>
      <c r="AF19" s="75">
        <v>110</v>
      </c>
      <c r="AG19" s="75">
        <f t="shared" si="1"/>
        <v>282.51615376190995</v>
      </c>
    </row>
    <row r="20" spans="1:36" s="75" customFormat="1" ht="12.75" x14ac:dyDescent="0.2">
      <c r="A20" s="75" t="s">
        <v>58</v>
      </c>
      <c r="B20" s="75" t="s">
        <v>59</v>
      </c>
      <c r="C20" s="75">
        <v>15</v>
      </c>
      <c r="D20" s="75">
        <v>0</v>
      </c>
      <c r="E20" s="75">
        <v>238.33</v>
      </c>
      <c r="F20" s="75">
        <v>252.75</v>
      </c>
      <c r="G20" s="75">
        <v>3574.95</v>
      </c>
      <c r="H20" s="75">
        <v>0</v>
      </c>
      <c r="I20" s="75">
        <v>0</v>
      </c>
      <c r="J20" s="75">
        <v>357.5</v>
      </c>
      <c r="K20" s="75">
        <v>357.5</v>
      </c>
      <c r="L20" s="75">
        <v>357.5</v>
      </c>
      <c r="M20" s="75">
        <v>4647.45</v>
      </c>
      <c r="O20" s="75">
        <v>1402.48</v>
      </c>
      <c r="P20" s="75">
        <v>0</v>
      </c>
      <c r="Q20" s="75">
        <v>160.25</v>
      </c>
      <c r="R20" s="75">
        <v>90.05</v>
      </c>
      <c r="S20" s="75">
        <v>255.4</v>
      </c>
      <c r="T20" s="75">
        <v>-0.13</v>
      </c>
      <c r="U20" s="75">
        <v>1908.05</v>
      </c>
      <c r="V20" s="75">
        <v>2739.4</v>
      </c>
      <c r="W20" s="75">
        <v>66.349999999999994</v>
      </c>
      <c r="X20" s="75">
        <v>119.42</v>
      </c>
      <c r="Y20" s="75">
        <v>324.89</v>
      </c>
      <c r="Z20" s="75">
        <v>214.67</v>
      </c>
      <c r="AA20" s="75">
        <v>92.95</v>
      </c>
      <c r="AB20" s="75">
        <v>18.96</v>
      </c>
      <c r="AC20" s="75">
        <v>510.66</v>
      </c>
      <c r="AD20" s="75">
        <v>189.56</v>
      </c>
      <c r="AE20" s="75">
        <v>176.76</v>
      </c>
      <c r="AF20" s="75">
        <v>110</v>
      </c>
      <c r="AG20" s="75">
        <f t="shared" si="1"/>
        <v>254.48663892235243</v>
      </c>
    </row>
    <row r="21" spans="1:36" s="75" customFormat="1" ht="12.75" x14ac:dyDescent="0.2">
      <c r="A21" s="75" t="s">
        <v>60</v>
      </c>
      <c r="B21" s="75" t="s">
        <v>61</v>
      </c>
      <c r="C21" s="75">
        <v>15</v>
      </c>
      <c r="D21" s="75">
        <v>0</v>
      </c>
      <c r="E21" s="75">
        <v>273.33</v>
      </c>
      <c r="F21" s="75">
        <v>289.87</v>
      </c>
      <c r="G21" s="75">
        <v>4099.95</v>
      </c>
      <c r="H21" s="75">
        <v>0</v>
      </c>
      <c r="I21" s="75">
        <v>0</v>
      </c>
      <c r="J21" s="75">
        <v>410</v>
      </c>
      <c r="K21" s="75">
        <v>410</v>
      </c>
      <c r="L21" s="75">
        <v>410</v>
      </c>
      <c r="M21" s="75">
        <v>5329.95</v>
      </c>
      <c r="O21" s="75">
        <v>0</v>
      </c>
      <c r="P21" s="75">
        <v>0</v>
      </c>
      <c r="Q21" s="75">
        <v>324.74</v>
      </c>
      <c r="R21" s="75">
        <v>105.46</v>
      </c>
      <c r="S21" s="75">
        <v>0</v>
      </c>
      <c r="T21" s="75">
        <v>-0.05</v>
      </c>
      <c r="U21" s="75">
        <v>430.15</v>
      </c>
      <c r="V21" s="75">
        <v>4899.8</v>
      </c>
      <c r="W21" s="75">
        <v>76.09</v>
      </c>
      <c r="X21" s="75">
        <v>136.96</v>
      </c>
      <c r="Y21" s="75">
        <v>340.64</v>
      </c>
      <c r="Z21" s="75">
        <v>225.81</v>
      </c>
      <c r="AA21" s="75">
        <v>106.6</v>
      </c>
      <c r="AB21" s="75">
        <v>21.74</v>
      </c>
      <c r="AC21" s="75">
        <v>553.69000000000005</v>
      </c>
      <c r="AD21" s="75">
        <v>217.4</v>
      </c>
      <c r="AE21" s="75">
        <v>182.32999999999998</v>
      </c>
      <c r="AF21" s="75">
        <v>110</v>
      </c>
      <c r="AG21" s="75">
        <f t="shared" si="1"/>
        <v>291.85932537509581</v>
      </c>
    </row>
    <row r="22" spans="1:36" s="75" customFormat="1" ht="12.75" x14ac:dyDescent="0.2">
      <c r="A22" s="75" t="s">
        <v>62</v>
      </c>
      <c r="B22" s="75" t="s">
        <v>63</v>
      </c>
      <c r="C22" s="75">
        <v>15</v>
      </c>
      <c r="D22" s="75">
        <v>0</v>
      </c>
      <c r="E22" s="75">
        <v>185.83</v>
      </c>
      <c r="F22" s="75">
        <v>197.07</v>
      </c>
      <c r="G22" s="75">
        <v>2787.45</v>
      </c>
      <c r="H22" s="75">
        <v>0</v>
      </c>
      <c r="I22" s="75">
        <v>0</v>
      </c>
      <c r="J22" s="75">
        <v>278.75</v>
      </c>
      <c r="K22" s="75">
        <v>278.75</v>
      </c>
      <c r="L22" s="75">
        <v>278.75</v>
      </c>
      <c r="M22" s="75">
        <v>3623.7</v>
      </c>
      <c r="O22" s="75">
        <v>2126.25</v>
      </c>
      <c r="P22" s="75">
        <v>0</v>
      </c>
      <c r="Q22" s="75">
        <v>36.57</v>
      </c>
      <c r="R22" s="75">
        <v>70.22</v>
      </c>
      <c r="S22" s="75">
        <v>297</v>
      </c>
      <c r="T22" s="75">
        <v>0.06</v>
      </c>
      <c r="U22" s="75">
        <v>2530.1</v>
      </c>
      <c r="V22" s="75">
        <v>1093.5999999999999</v>
      </c>
      <c r="W22" s="75">
        <v>51.73</v>
      </c>
      <c r="X22" s="75">
        <v>93.12</v>
      </c>
      <c r="Y22" s="75">
        <v>310.27</v>
      </c>
      <c r="Z22" s="75">
        <v>197.97</v>
      </c>
      <c r="AA22" s="75">
        <v>72.47</v>
      </c>
      <c r="AB22" s="75">
        <v>14.78</v>
      </c>
      <c r="AC22" s="75">
        <v>455.12</v>
      </c>
      <c r="AD22" s="75">
        <v>147.80000000000001</v>
      </c>
      <c r="AE22" s="75">
        <v>168.41</v>
      </c>
      <c r="AF22" s="75">
        <v>110</v>
      </c>
      <c r="AG22" s="75">
        <f t="shared" si="1"/>
        <v>198.42760924323733</v>
      </c>
    </row>
    <row r="23" spans="1:36" s="132" customFormat="1" ht="12.75" x14ac:dyDescent="0.2">
      <c r="A23" s="132" t="s">
        <v>64</v>
      </c>
      <c r="B23" s="132" t="s">
        <v>65</v>
      </c>
      <c r="C23" s="132">
        <v>15</v>
      </c>
      <c r="D23" s="132">
        <v>0</v>
      </c>
      <c r="E23" s="132">
        <v>1060.83</v>
      </c>
      <c r="F23" s="132">
        <v>1125.06</v>
      </c>
      <c r="G23" s="132">
        <v>15912.45</v>
      </c>
      <c r="H23" s="132">
        <v>0</v>
      </c>
      <c r="I23" s="132">
        <v>0</v>
      </c>
      <c r="J23" s="132">
        <v>1591.25</v>
      </c>
      <c r="K23" s="132">
        <v>1591.25</v>
      </c>
      <c r="L23" s="132">
        <v>1591.25</v>
      </c>
      <c r="M23" s="132">
        <v>20686.2</v>
      </c>
      <c r="O23" s="132">
        <v>0</v>
      </c>
      <c r="P23" s="132">
        <v>0</v>
      </c>
      <c r="Q23" s="132">
        <v>2846.24</v>
      </c>
      <c r="R23" s="132">
        <v>453.09</v>
      </c>
      <c r="S23" s="132">
        <v>0</v>
      </c>
      <c r="T23" s="132">
        <v>7.0000000000000007E-2</v>
      </c>
      <c r="U23" s="132">
        <v>3299.4</v>
      </c>
      <c r="V23" s="132">
        <v>17386.8</v>
      </c>
      <c r="W23" s="132">
        <v>295.33</v>
      </c>
      <c r="X23" s="132">
        <v>531.59</v>
      </c>
      <c r="Y23" s="132">
        <v>697.68</v>
      </c>
      <c r="Z23" s="132">
        <v>476.37</v>
      </c>
      <c r="AA23" s="132">
        <v>413.72</v>
      </c>
      <c r="AB23" s="132">
        <v>84.38</v>
      </c>
      <c r="AC23" s="132">
        <v>1524.6</v>
      </c>
      <c r="AD23" s="132">
        <v>843.79</v>
      </c>
      <c r="AE23" s="132">
        <v>307.61</v>
      </c>
      <c r="AF23" s="132">
        <v>110</v>
      </c>
      <c r="AG23" s="132">
        <f t="shared" si="1"/>
        <v>1132.7447705618222</v>
      </c>
    </row>
    <row r="24" spans="1:36" s="75" customFormat="1" ht="12.75" x14ac:dyDescent="0.2">
      <c r="A24" s="75" t="s">
        <v>66</v>
      </c>
      <c r="B24" s="75" t="s">
        <v>67</v>
      </c>
      <c r="C24" s="75">
        <v>14</v>
      </c>
      <c r="D24" s="75">
        <v>1</v>
      </c>
      <c r="E24" s="75">
        <v>185.83</v>
      </c>
      <c r="F24" s="75">
        <v>197.07</v>
      </c>
      <c r="G24" s="75">
        <v>2601.62</v>
      </c>
      <c r="H24" s="75">
        <v>185.83</v>
      </c>
      <c r="I24" s="75">
        <v>55.75</v>
      </c>
      <c r="J24" s="75">
        <v>278.75</v>
      </c>
      <c r="K24" s="75">
        <v>278.75</v>
      </c>
      <c r="L24" s="75">
        <v>278.75</v>
      </c>
      <c r="M24" s="75">
        <v>3679.45</v>
      </c>
      <c r="O24" s="75">
        <v>0</v>
      </c>
      <c r="P24" s="75">
        <v>0</v>
      </c>
      <c r="Q24" s="75">
        <v>36.57</v>
      </c>
      <c r="R24" s="75">
        <v>70.22</v>
      </c>
      <c r="S24" s="75">
        <v>0</v>
      </c>
      <c r="T24" s="75">
        <v>-0.14000000000000001</v>
      </c>
      <c r="U24" s="75">
        <v>106.65</v>
      </c>
      <c r="V24" s="75">
        <v>3572.8</v>
      </c>
      <c r="W24" s="75">
        <v>51.73</v>
      </c>
      <c r="X24" s="75">
        <v>93.12</v>
      </c>
      <c r="Y24" s="75">
        <v>310.27</v>
      </c>
      <c r="Z24" s="75">
        <v>197.97</v>
      </c>
      <c r="AA24" s="75">
        <v>73.59</v>
      </c>
      <c r="AB24" s="75">
        <v>14.78</v>
      </c>
      <c r="AC24" s="75">
        <v>455.12</v>
      </c>
      <c r="AD24" s="75">
        <v>147.80000000000001</v>
      </c>
      <c r="AE24" s="75">
        <v>168.41</v>
      </c>
      <c r="AF24" s="75">
        <v>110</v>
      </c>
      <c r="AG24" s="75">
        <f t="shared" si="1"/>
        <v>198.42760924323733</v>
      </c>
    </row>
    <row r="25" spans="1:36" s="75" customFormat="1" ht="12.75" x14ac:dyDescent="0.2">
      <c r="A25" s="75" t="s">
        <v>68</v>
      </c>
      <c r="B25" s="75" t="s">
        <v>69</v>
      </c>
      <c r="C25" s="75">
        <v>9</v>
      </c>
      <c r="D25" s="75">
        <v>6</v>
      </c>
      <c r="E25" s="75">
        <v>185.83</v>
      </c>
      <c r="F25" s="75">
        <v>197.07</v>
      </c>
      <c r="G25" s="75">
        <v>1672.47</v>
      </c>
      <c r="H25" s="75">
        <v>1114.98</v>
      </c>
      <c r="I25" s="75">
        <v>334.49</v>
      </c>
      <c r="J25" s="75">
        <v>278.75</v>
      </c>
      <c r="K25" s="75">
        <v>278.75</v>
      </c>
      <c r="L25" s="75">
        <v>278.75</v>
      </c>
      <c r="M25" s="75">
        <v>3958.19</v>
      </c>
      <c r="O25" s="75">
        <v>1475.23</v>
      </c>
      <c r="P25" s="75">
        <v>0</v>
      </c>
      <c r="Q25" s="75">
        <v>36.57</v>
      </c>
      <c r="R25" s="75">
        <v>70.22</v>
      </c>
      <c r="S25" s="75">
        <v>0</v>
      </c>
      <c r="T25" s="76">
        <v>-0.03</v>
      </c>
      <c r="U25" s="75">
        <v>1581.99</v>
      </c>
      <c r="V25" s="75">
        <v>2376.1999999999998</v>
      </c>
      <c r="W25" s="75">
        <v>51.73</v>
      </c>
      <c r="X25" s="75">
        <v>93.12</v>
      </c>
      <c r="Y25" s="75">
        <v>310.27</v>
      </c>
      <c r="Z25" s="75">
        <v>197.97</v>
      </c>
      <c r="AA25" s="75">
        <v>79.16</v>
      </c>
      <c r="AB25" s="75">
        <v>14.78</v>
      </c>
      <c r="AC25" s="75">
        <v>455.12</v>
      </c>
      <c r="AD25" s="75">
        <v>147.80000000000001</v>
      </c>
      <c r="AE25" s="75">
        <v>168.41</v>
      </c>
      <c r="AF25" s="75">
        <v>110</v>
      </c>
      <c r="AG25" s="75">
        <f t="shared" si="1"/>
        <v>198.42760924323733</v>
      </c>
    </row>
    <row r="26" spans="1:36" s="75" customFormat="1" ht="12.75" x14ac:dyDescent="0.2">
      <c r="A26" s="75" t="s">
        <v>70</v>
      </c>
      <c r="B26" s="75" t="s">
        <v>71</v>
      </c>
      <c r="C26" s="75">
        <v>15</v>
      </c>
      <c r="D26" s="75">
        <v>0</v>
      </c>
      <c r="E26" s="75">
        <v>166.67</v>
      </c>
      <c r="F26" s="75">
        <v>176.76</v>
      </c>
      <c r="G26" s="75">
        <v>2500.0500000000002</v>
      </c>
      <c r="H26" s="75">
        <v>0</v>
      </c>
      <c r="I26" s="75">
        <v>0</v>
      </c>
      <c r="J26" s="75">
        <v>250.01</v>
      </c>
      <c r="K26" s="75">
        <v>250.01</v>
      </c>
      <c r="L26" s="75">
        <v>250.01</v>
      </c>
      <c r="M26" s="75">
        <v>3250.08</v>
      </c>
      <c r="O26" s="75">
        <v>0</v>
      </c>
      <c r="P26" s="76">
        <v>-9.6199999999999992</v>
      </c>
      <c r="Q26" s="75">
        <v>0</v>
      </c>
      <c r="R26" s="75">
        <v>62.97</v>
      </c>
      <c r="S26" s="75">
        <v>0</v>
      </c>
      <c r="T26" s="76">
        <v>0.13</v>
      </c>
      <c r="U26" s="75">
        <v>53.48</v>
      </c>
      <c r="V26" s="75">
        <v>3196.6</v>
      </c>
      <c r="W26" s="75">
        <v>46.4</v>
      </c>
      <c r="X26" s="75">
        <v>83.52</v>
      </c>
      <c r="Y26" s="75">
        <v>304.94</v>
      </c>
      <c r="Z26" s="75">
        <v>191.88</v>
      </c>
      <c r="AA26" s="75">
        <v>65</v>
      </c>
      <c r="AB26" s="75">
        <v>13.26</v>
      </c>
      <c r="AC26" s="75">
        <v>434.86</v>
      </c>
      <c r="AD26" s="75">
        <v>132.57</v>
      </c>
      <c r="AE26" s="75">
        <v>165.35999999999999</v>
      </c>
      <c r="AF26" s="75">
        <v>110</v>
      </c>
      <c r="AG26" s="75">
        <f t="shared" si="1"/>
        <v>177.96873288796405</v>
      </c>
    </row>
    <row r="27" spans="1:36" s="133" customFormat="1" ht="12.75" x14ac:dyDescent="0.2">
      <c r="A27" s="133" t="s">
        <v>72</v>
      </c>
      <c r="B27" s="133" t="s">
        <v>73</v>
      </c>
      <c r="C27" s="133">
        <v>15</v>
      </c>
      <c r="D27" s="133">
        <v>0</v>
      </c>
      <c r="E27" s="133">
        <v>216.67</v>
      </c>
      <c r="F27" s="133">
        <v>229.79</v>
      </c>
      <c r="G27" s="133">
        <v>3250.05</v>
      </c>
      <c r="H27" s="133">
        <v>0</v>
      </c>
      <c r="I27" s="133">
        <v>0</v>
      </c>
      <c r="J27" s="133">
        <v>325.01</v>
      </c>
      <c r="K27" s="133">
        <v>325.01</v>
      </c>
      <c r="L27" s="133">
        <v>325.01</v>
      </c>
      <c r="M27" s="133">
        <v>4225.08</v>
      </c>
      <c r="O27" s="133">
        <v>0</v>
      </c>
      <c r="P27" s="133">
        <v>0</v>
      </c>
      <c r="Q27" s="133">
        <v>107.17</v>
      </c>
      <c r="R27" s="133">
        <v>81.87</v>
      </c>
      <c r="S27" s="133">
        <v>0</v>
      </c>
      <c r="T27" s="133">
        <v>-0.16</v>
      </c>
      <c r="U27" s="133">
        <v>188.88</v>
      </c>
      <c r="V27" s="133">
        <v>4036.2</v>
      </c>
      <c r="W27" s="133">
        <v>60.32</v>
      </c>
      <c r="X27" s="133">
        <v>108.58</v>
      </c>
      <c r="Y27" s="133">
        <v>318.86</v>
      </c>
      <c r="Z27" s="133">
        <v>207.79</v>
      </c>
      <c r="AA27" s="133">
        <v>84.5</v>
      </c>
      <c r="AB27" s="133">
        <v>17.23</v>
      </c>
      <c r="AC27" s="133">
        <v>487.76</v>
      </c>
      <c r="AD27" s="133">
        <v>172.34</v>
      </c>
      <c r="AE27" s="133">
        <v>173.32</v>
      </c>
      <c r="AF27" s="133">
        <v>110</v>
      </c>
      <c r="AG27" s="133">
        <f t="shared" si="1"/>
        <v>231.35828496331177</v>
      </c>
    </row>
    <row r="28" spans="1:36" s="79" customFormat="1" ht="12.75" x14ac:dyDescent="0.2">
      <c r="C28" s="79" t="s">
        <v>74</v>
      </c>
      <c r="D28" s="79" t="s">
        <v>74</v>
      </c>
      <c r="E28" s="79" t="s">
        <v>74</v>
      </c>
      <c r="F28" s="79" t="s">
        <v>74</v>
      </c>
      <c r="G28" s="79" t="s">
        <v>74</v>
      </c>
      <c r="H28" s="79" t="s">
        <v>74</v>
      </c>
      <c r="I28" s="79" t="s">
        <v>74</v>
      </c>
      <c r="J28" s="79" t="s">
        <v>74</v>
      </c>
      <c r="K28" s="79" t="s">
        <v>74</v>
      </c>
      <c r="L28" s="79" t="s">
        <v>74</v>
      </c>
      <c r="M28" s="79" t="s">
        <v>74</v>
      </c>
      <c r="N28" s="79" t="s">
        <v>74</v>
      </c>
      <c r="O28" s="79" t="s">
        <v>74</v>
      </c>
      <c r="P28" s="79" t="s">
        <v>74</v>
      </c>
      <c r="Q28" s="79" t="s">
        <v>74</v>
      </c>
      <c r="R28" s="79" t="s">
        <v>74</v>
      </c>
      <c r="S28" s="79" t="s">
        <v>74</v>
      </c>
      <c r="T28" s="79" t="s">
        <v>74</v>
      </c>
      <c r="U28" s="79" t="s">
        <v>74</v>
      </c>
      <c r="V28" s="79" t="s">
        <v>74</v>
      </c>
      <c r="W28" s="79" t="s">
        <v>74</v>
      </c>
      <c r="X28" s="79" t="s">
        <v>74</v>
      </c>
      <c r="Y28" s="79" t="s">
        <v>74</v>
      </c>
      <c r="Z28" s="79" t="s">
        <v>74</v>
      </c>
      <c r="AA28" s="79" t="s">
        <v>74</v>
      </c>
      <c r="AB28" s="79" t="s">
        <v>74</v>
      </c>
      <c r="AC28" s="79" t="s">
        <v>74</v>
      </c>
      <c r="AD28" s="79" t="s">
        <v>74</v>
      </c>
      <c r="AE28" s="79" t="s">
        <v>74</v>
      </c>
      <c r="AF28" s="79" t="s">
        <v>74</v>
      </c>
      <c r="AG28" s="79" t="s">
        <v>74</v>
      </c>
      <c r="AH28" s="75"/>
      <c r="AI28" s="75"/>
      <c r="AJ28" s="75"/>
    </row>
    <row r="29" spans="1:36" s="75" customFormat="1" ht="12.75" x14ac:dyDescent="0.2">
      <c r="A29" s="80" t="s">
        <v>75</v>
      </c>
      <c r="B29" s="75" t="s">
        <v>76</v>
      </c>
      <c r="C29" s="81">
        <f t="shared" ref="C29:AG29" si="2">SUM(C10:C27)</f>
        <v>252</v>
      </c>
      <c r="D29" s="81">
        <f t="shared" si="2"/>
        <v>18</v>
      </c>
      <c r="E29" s="81">
        <f t="shared" si="2"/>
        <v>4708.7199999999993</v>
      </c>
      <c r="F29" s="81">
        <f t="shared" si="2"/>
        <v>4989.6499999999996</v>
      </c>
      <c r="G29" s="120">
        <f t="shared" si="2"/>
        <v>67123.34</v>
      </c>
      <c r="H29" s="120">
        <f t="shared" si="2"/>
        <v>3507.46</v>
      </c>
      <c r="I29" s="120">
        <f t="shared" si="2"/>
        <v>1052.23</v>
      </c>
      <c r="J29" s="120">
        <f t="shared" si="2"/>
        <v>7063.16</v>
      </c>
      <c r="K29" s="120">
        <f t="shared" si="2"/>
        <v>7063.16</v>
      </c>
      <c r="L29" s="120">
        <f t="shared" si="2"/>
        <v>7063.16</v>
      </c>
      <c r="M29" s="120">
        <f t="shared" si="2"/>
        <v>92872.51</v>
      </c>
      <c r="N29" s="81">
        <f t="shared" si="2"/>
        <v>0</v>
      </c>
      <c r="O29" s="81">
        <f t="shared" si="2"/>
        <v>10869.77</v>
      </c>
      <c r="P29" s="81">
        <f t="shared" si="2"/>
        <v>-118.69</v>
      </c>
      <c r="Q29" s="81">
        <f t="shared" si="2"/>
        <v>5143.3799999999992</v>
      </c>
      <c r="R29" s="140">
        <f t="shared" si="2"/>
        <v>1840.73</v>
      </c>
      <c r="S29" s="81">
        <f t="shared" si="2"/>
        <v>1067.1500000000001</v>
      </c>
      <c r="T29" s="81">
        <f t="shared" si="2"/>
        <v>-3.0000000000000027E-2</v>
      </c>
      <c r="U29" s="81">
        <f t="shared" si="2"/>
        <v>18802.310000000005</v>
      </c>
      <c r="V29" s="141">
        <f t="shared" si="2"/>
        <v>74070.200000000012</v>
      </c>
      <c r="W29" s="140">
        <f t="shared" si="2"/>
        <v>1309.7800000000002</v>
      </c>
      <c r="X29" s="140">
        <f t="shared" si="2"/>
        <v>2357.61</v>
      </c>
      <c r="Y29" s="140">
        <f t="shared" si="2"/>
        <v>6136.9</v>
      </c>
      <c r="Z29" s="140">
        <f t="shared" si="2"/>
        <v>3996.1999999999994</v>
      </c>
      <c r="AA29" s="81">
        <f t="shared" si="2"/>
        <v>1857.43</v>
      </c>
      <c r="AB29" s="140">
        <f t="shared" si="2"/>
        <v>374.21999999999997</v>
      </c>
      <c r="AC29" s="81">
        <f t="shared" si="2"/>
        <v>9804.2900000000027</v>
      </c>
      <c r="AD29" s="140">
        <f t="shared" si="2"/>
        <v>3742.2100000000009</v>
      </c>
      <c r="AE29" s="140">
        <f t="shared" si="2"/>
        <v>3247.74</v>
      </c>
      <c r="AF29" s="81">
        <f t="shared" si="2"/>
        <v>1980</v>
      </c>
      <c r="AG29" s="81">
        <f t="shared" si="2"/>
        <v>5027.9290329646274</v>
      </c>
    </row>
    <row r="30" spans="1:36" s="75" customFormat="1" ht="12.75" x14ac:dyDescent="0.2"/>
    <row r="31" spans="1:36" s="75" customFormat="1" ht="13.5" thickBot="1" x14ac:dyDescent="0.25">
      <c r="A31" s="49">
        <v>18</v>
      </c>
      <c r="B31" s="49" t="s">
        <v>433</v>
      </c>
      <c r="G31" s="75" t="s">
        <v>76</v>
      </c>
      <c r="H31" s="75" t="s">
        <v>76</v>
      </c>
      <c r="I31" s="75" t="s">
        <v>76</v>
      </c>
      <c r="M31" s="75" t="s">
        <v>76</v>
      </c>
      <c r="N31" s="75" t="s">
        <v>76</v>
      </c>
      <c r="O31" s="75" t="s">
        <v>76</v>
      </c>
      <c r="P31" s="75" t="s">
        <v>76</v>
      </c>
      <c r="Q31" s="75" t="s">
        <v>76</v>
      </c>
      <c r="R31" s="75" t="s">
        <v>76</v>
      </c>
      <c r="S31" s="75" t="s">
        <v>76</v>
      </c>
      <c r="T31" s="75" t="s">
        <v>76</v>
      </c>
      <c r="U31" s="75" t="s">
        <v>76</v>
      </c>
      <c r="V31" s="75" t="s">
        <v>76</v>
      </c>
      <c r="W31" s="75" t="s">
        <v>76</v>
      </c>
      <c r="X31" s="75" t="s">
        <v>76</v>
      </c>
      <c r="Y31" s="75" t="s">
        <v>76</v>
      </c>
      <c r="Z31" s="75" t="s">
        <v>76</v>
      </c>
      <c r="AA31" s="75" t="s">
        <v>76</v>
      </c>
      <c r="AB31" s="75" t="s">
        <v>76</v>
      </c>
      <c r="AC31" s="75" t="s">
        <v>76</v>
      </c>
      <c r="AD31" s="75" t="s">
        <v>76</v>
      </c>
      <c r="AE31" s="75" t="s">
        <v>76</v>
      </c>
      <c r="AF31" s="75" t="s">
        <v>76</v>
      </c>
    </row>
    <row r="32" spans="1:36" s="75" customFormat="1" ht="13.5" thickBot="1" x14ac:dyDescent="0.25">
      <c r="A32" s="49"/>
      <c r="B32" s="49" t="s">
        <v>434</v>
      </c>
      <c r="G32" s="81"/>
      <c r="H32" s="81"/>
      <c r="I32" s="81"/>
      <c r="J32" s="81"/>
      <c r="K32" s="81"/>
      <c r="L32" s="178" t="s">
        <v>408</v>
      </c>
      <c r="M32" s="178"/>
      <c r="N32" s="139" t="s">
        <v>440</v>
      </c>
      <c r="O32" s="131" t="s">
        <v>439</v>
      </c>
      <c r="P32" s="138" t="s">
        <v>441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</row>
    <row r="33" spans="1:19" s="78" customFormat="1" ht="12.75" x14ac:dyDescent="0.2">
      <c r="A33" s="49"/>
      <c r="B33" s="49" t="s">
        <v>435</v>
      </c>
      <c r="L33" s="71" t="s">
        <v>397</v>
      </c>
      <c r="M33" s="72">
        <f>+V29</f>
        <v>74070.200000000012</v>
      </c>
      <c r="N33" s="134">
        <f>V23</f>
        <v>17386.8</v>
      </c>
      <c r="O33" s="134">
        <f>V27+V13+V12</f>
        <v>13341.2</v>
      </c>
      <c r="P33" s="135">
        <f>M33-O33-N33</f>
        <v>43342.200000000012</v>
      </c>
    </row>
    <row r="34" spans="1:19" s="78" customFormat="1" ht="12.75" x14ac:dyDescent="0.2">
      <c r="A34" s="49">
        <f>+A31+A32-A33</f>
        <v>18</v>
      </c>
      <c r="B34" s="49" t="s">
        <v>436</v>
      </c>
      <c r="L34" s="71" t="s">
        <v>398</v>
      </c>
      <c r="M34" s="72">
        <f>+S29</f>
        <v>1067.1500000000001</v>
      </c>
      <c r="N34" s="130"/>
      <c r="O34" s="130"/>
      <c r="P34" s="136">
        <f>M34</f>
        <v>1067.1500000000001</v>
      </c>
    </row>
    <row r="35" spans="1:19" s="78" customFormat="1" ht="12.75" x14ac:dyDescent="0.2">
      <c r="A35" s="77"/>
      <c r="L35" s="71" t="s">
        <v>399</v>
      </c>
      <c r="M35" s="72">
        <f>+N29+O29</f>
        <v>10869.77</v>
      </c>
      <c r="N35" s="137">
        <v>0</v>
      </c>
      <c r="O35" s="137">
        <v>0</v>
      </c>
      <c r="P35" s="136">
        <f>M35</f>
        <v>10869.77</v>
      </c>
    </row>
    <row r="36" spans="1:19" s="78" customFormat="1" ht="12.75" x14ac:dyDescent="0.2">
      <c r="A36" s="77"/>
      <c r="L36" s="71" t="s">
        <v>400</v>
      </c>
      <c r="M36" s="72">
        <v>0</v>
      </c>
      <c r="N36" s="130"/>
      <c r="O36" s="130"/>
      <c r="P36" s="129"/>
    </row>
    <row r="37" spans="1:19" s="78" customFormat="1" ht="12.75" x14ac:dyDescent="0.2">
      <c r="A37" s="77"/>
      <c r="L37" s="71" t="s">
        <v>401</v>
      </c>
      <c r="M37" s="72">
        <f>SUM(M33:M36)</f>
        <v>86007.12000000001</v>
      </c>
      <c r="N37" s="137">
        <f>SUM(N33:N36)</f>
        <v>17386.8</v>
      </c>
      <c r="O37" s="137">
        <f t="shared" ref="O37:P37" si="3">SUM(O33:O36)</f>
        <v>13341.2</v>
      </c>
      <c r="P37" s="136">
        <f t="shared" si="3"/>
        <v>55279.12000000001</v>
      </c>
    </row>
    <row r="38" spans="1:19" s="78" customFormat="1" ht="12.75" x14ac:dyDescent="0.2">
      <c r="A38" s="77"/>
      <c r="L38" s="71" t="s">
        <v>402</v>
      </c>
      <c r="M38" s="72">
        <f>+M37*2%</f>
        <v>1720.1424000000002</v>
      </c>
      <c r="N38" s="137">
        <f>N37*2%</f>
        <v>347.73599999999999</v>
      </c>
      <c r="O38" s="137">
        <f t="shared" ref="O38:P38" si="4">O37*2%</f>
        <v>266.82400000000001</v>
      </c>
      <c r="P38" s="136">
        <f t="shared" si="4"/>
        <v>1105.5824000000002</v>
      </c>
    </row>
    <row r="39" spans="1:19" s="78" customFormat="1" ht="12.75" x14ac:dyDescent="0.2">
      <c r="A39" s="77"/>
      <c r="L39" s="71" t="s">
        <v>403</v>
      </c>
      <c r="M39" s="72">
        <f>+M37+M38</f>
        <v>87727.262400000007</v>
      </c>
      <c r="N39" s="137">
        <f>N38+N37</f>
        <v>17734.536</v>
      </c>
      <c r="O39" s="137">
        <f t="shared" ref="O39:P39" si="5">O38+O37</f>
        <v>13608.024000000001</v>
      </c>
      <c r="P39" s="136">
        <f t="shared" si="5"/>
        <v>56384.702400000009</v>
      </c>
    </row>
    <row r="40" spans="1:19" s="78" customFormat="1" ht="12.75" x14ac:dyDescent="0.2">
      <c r="A40" s="77"/>
      <c r="L40" s="71" t="s">
        <v>404</v>
      </c>
      <c r="M40" s="72">
        <f>+R29+W29+X29+Y29+AB29+Z29+AD29+AE29</f>
        <v>23005.39</v>
      </c>
      <c r="N40" s="137">
        <f>R23+W23+X23+Y23+Z23+AB23+AD23+AE23</f>
        <v>3689.84</v>
      </c>
      <c r="O40" s="137">
        <f>R27+R13+R12+W12+W13+X12+X13+Y12+Y13+Z12+Z13+Z27+Y27+X27+W27+AB27+AD27+AE27+AB13+AB12+AD12+AD13+AE12+AE13</f>
        <v>3617.3600000000006</v>
      </c>
      <c r="P40" s="136">
        <f>M40-N40-O40</f>
        <v>15698.189999999999</v>
      </c>
    </row>
    <row r="41" spans="1:19" s="78" customFormat="1" ht="12.75" x14ac:dyDescent="0.2">
      <c r="A41" s="77"/>
      <c r="L41" s="71" t="s">
        <v>405</v>
      </c>
      <c r="M41" s="72">
        <f>+M29*2%</f>
        <v>1857.4502</v>
      </c>
      <c r="N41" s="137">
        <f>M23*2%</f>
        <v>413.72400000000005</v>
      </c>
      <c r="O41" s="130">
        <f>14170.11*2%</f>
        <v>283.40219999999999</v>
      </c>
      <c r="P41" s="136">
        <f>M41-O41-N41</f>
        <v>1160.3240000000001</v>
      </c>
    </row>
    <row r="42" spans="1:19" s="78" customFormat="1" ht="12.75" x14ac:dyDescent="0.2">
      <c r="A42" s="77"/>
      <c r="L42" s="71" t="s">
        <v>406</v>
      </c>
      <c r="M42" s="72">
        <f>+M39+M40+M41</f>
        <v>112590.10260000001</v>
      </c>
      <c r="N42" s="137">
        <f>N41+N40+N39</f>
        <v>21838.1</v>
      </c>
      <c r="O42" s="137">
        <f t="shared" ref="O42:P42" si="6">O41+O40+O39</f>
        <v>17508.786200000002</v>
      </c>
      <c r="P42" s="136">
        <f t="shared" si="6"/>
        <v>73243.216400000005</v>
      </c>
    </row>
    <row r="43" spans="1:19" s="78" customFormat="1" ht="12.75" x14ac:dyDescent="0.2">
      <c r="A43" s="77"/>
      <c r="L43" s="71" t="s">
        <v>30</v>
      </c>
      <c r="M43" s="72">
        <f>+M42*16%</f>
        <v>18014.416416000004</v>
      </c>
      <c r="N43" s="137">
        <f>N42*0.16</f>
        <v>3494.096</v>
      </c>
      <c r="O43" s="137">
        <f t="shared" ref="O43:P43" si="7">O42*0.16</f>
        <v>2801.4057920000005</v>
      </c>
      <c r="P43" s="136">
        <f t="shared" si="7"/>
        <v>11718.914624000001</v>
      </c>
    </row>
    <row r="44" spans="1:19" s="78" customFormat="1" ht="13.5" thickBot="1" x14ac:dyDescent="0.25">
      <c r="A44" s="77"/>
      <c r="L44" s="71" t="s">
        <v>87</v>
      </c>
      <c r="M44" s="72">
        <f>+M42+M43</f>
        <v>130604.51901600002</v>
      </c>
      <c r="N44" s="143">
        <f>N43+N42</f>
        <v>25332.196</v>
      </c>
      <c r="O44" s="143">
        <f t="shared" ref="O44:P44" si="8">O43+O42</f>
        <v>20310.191992000004</v>
      </c>
      <c r="P44" s="144">
        <f t="shared" si="8"/>
        <v>84962.131024000002</v>
      </c>
    </row>
    <row r="45" spans="1:19" s="78" customFormat="1" ht="12.75" x14ac:dyDescent="0.2">
      <c r="A45" s="77"/>
      <c r="L45" s="18"/>
      <c r="M45" s="18"/>
      <c r="N45" s="18">
        <f>N42-N38</f>
        <v>21490.363999999998</v>
      </c>
      <c r="O45" s="18">
        <f t="shared" ref="O45:P45" si="9">O42-O38</f>
        <v>17241.962200000002</v>
      </c>
      <c r="P45" s="18">
        <f t="shared" si="9"/>
        <v>72137.634000000005</v>
      </c>
    </row>
    <row r="46" spans="1:19" s="78" customFormat="1" ht="15" x14ac:dyDescent="0.25">
      <c r="A46" s="77"/>
      <c r="L46" s="179" t="s">
        <v>407</v>
      </c>
      <c r="M46" s="179"/>
      <c r="P46" s="128">
        <v>0.73</v>
      </c>
      <c r="Q46" s="128">
        <v>0.11</v>
      </c>
      <c r="R46" s="128">
        <v>0.12</v>
      </c>
      <c r="S46" s="128">
        <v>0.04</v>
      </c>
    </row>
    <row r="47" spans="1:19" s="78" customFormat="1" ht="12.75" x14ac:dyDescent="0.2">
      <c r="A47" s="77"/>
      <c r="L47" s="170" t="s">
        <v>408</v>
      </c>
      <c r="M47" s="170"/>
      <c r="P47" s="127" t="s">
        <v>443</v>
      </c>
      <c r="Q47" s="127" t="s">
        <v>444</v>
      </c>
      <c r="R47" s="127" t="s">
        <v>446</v>
      </c>
      <c r="S47" s="127" t="s">
        <v>445</v>
      </c>
    </row>
    <row r="48" spans="1:19" s="78" customFormat="1" ht="12.75" x14ac:dyDescent="0.2">
      <c r="A48" s="77"/>
      <c r="L48" s="71" t="s">
        <v>401</v>
      </c>
      <c r="M48" s="72">
        <f>+AG29</f>
        <v>5027.9290329646274</v>
      </c>
      <c r="O48" s="123" t="s">
        <v>441</v>
      </c>
      <c r="P48" s="145">
        <f>P45*$P$46</f>
        <v>52660.472820000003</v>
      </c>
      <c r="Q48" s="145">
        <f>P45*$Q$46</f>
        <v>7935.1397400000005</v>
      </c>
      <c r="R48" s="145">
        <f>P45*$R$46</f>
        <v>8656.5160800000012</v>
      </c>
      <c r="S48" s="145">
        <f>P45*$S$46</f>
        <v>2885.5053600000001</v>
      </c>
    </row>
    <row r="49" spans="1:19" s="78" customFormat="1" ht="12.75" x14ac:dyDescent="0.2">
      <c r="A49" s="77"/>
      <c r="L49" s="71" t="s">
        <v>402</v>
      </c>
      <c r="M49" s="72">
        <f>+M48*2%</f>
        <v>100.55858065929255</v>
      </c>
      <c r="O49" s="124" t="s">
        <v>439</v>
      </c>
      <c r="P49" s="145">
        <f>O45*$P$46</f>
        <v>12586.632406000001</v>
      </c>
      <c r="Q49" s="145">
        <f>O45*$Q$46</f>
        <v>1896.6158420000002</v>
      </c>
      <c r="R49" s="145">
        <f>O45*$R$46</f>
        <v>2069.035464</v>
      </c>
      <c r="S49" s="145">
        <f>O45*$S$46</f>
        <v>689.67848800000013</v>
      </c>
    </row>
    <row r="50" spans="1:19" s="78" customFormat="1" ht="12.75" x14ac:dyDescent="0.2">
      <c r="A50" s="77"/>
      <c r="L50" s="71" t="s">
        <v>403</v>
      </c>
      <c r="M50" s="72">
        <f>+M48+M49</f>
        <v>5128.48761362392</v>
      </c>
      <c r="O50" s="125" t="s">
        <v>440</v>
      </c>
      <c r="P50" s="145">
        <f>N45*$P$46</f>
        <v>15687.965719999998</v>
      </c>
      <c r="Q50" s="145">
        <f>N45*$Q$46</f>
        <v>2363.94004</v>
      </c>
      <c r="R50" s="145">
        <f>N45*$R$46</f>
        <v>2578.8436799999995</v>
      </c>
      <c r="S50" s="145">
        <f>N45*$S$46</f>
        <v>859.61455999999998</v>
      </c>
    </row>
    <row r="51" spans="1:19" s="78" customFormat="1" ht="12.75" x14ac:dyDescent="0.2">
      <c r="A51" s="77"/>
      <c r="L51" s="71" t="s">
        <v>405</v>
      </c>
      <c r="M51" s="72">
        <f>+M48*2%</f>
        <v>100.55858065929255</v>
      </c>
      <c r="O51" s="126" t="s">
        <v>85</v>
      </c>
      <c r="P51" s="145">
        <f>M38*$P$46</f>
        <v>1255.7039520000001</v>
      </c>
      <c r="Q51" s="145">
        <f>M38*$Q$46</f>
        <v>189.21566400000003</v>
      </c>
      <c r="R51" s="145">
        <f>M38*$R$46</f>
        <v>206.41708800000001</v>
      </c>
      <c r="S51" s="145">
        <f>M38*$S$46</f>
        <v>68.805696000000012</v>
      </c>
    </row>
    <row r="52" spans="1:19" s="78" customFormat="1" ht="12.75" x14ac:dyDescent="0.2">
      <c r="A52" s="77"/>
      <c r="L52" s="71" t="s">
        <v>406</v>
      </c>
      <c r="M52" s="72">
        <f>+M50+M51</f>
        <v>5229.0461942832126</v>
      </c>
      <c r="O52" s="122" t="s">
        <v>393</v>
      </c>
      <c r="P52" s="146">
        <f>SUM(P48:P51)</f>
        <v>82190.774897999989</v>
      </c>
      <c r="Q52" s="146">
        <f>SUM(Q48:Q51)</f>
        <v>12384.911286</v>
      </c>
      <c r="R52" s="146">
        <f>SUM(R48:R51)</f>
        <v>13510.812312000002</v>
      </c>
      <c r="S52" s="146">
        <f>SUM(S48:S51)</f>
        <v>4503.6041040000009</v>
      </c>
    </row>
    <row r="53" spans="1:19" s="78" customFormat="1" ht="12.75" x14ac:dyDescent="0.2">
      <c r="A53" s="77"/>
      <c r="L53" s="71" t="s">
        <v>30</v>
      </c>
      <c r="M53" s="72">
        <f>+M52*16%</f>
        <v>836.64739108531398</v>
      </c>
      <c r="O53" s="122" t="s">
        <v>442</v>
      </c>
      <c r="P53" s="146">
        <f>P52*16%</f>
        <v>13150.523983679999</v>
      </c>
      <c r="Q53" s="146">
        <f>Q52*16%</f>
        <v>1981.5858057600001</v>
      </c>
      <c r="R53" s="146">
        <f>R52*16%</f>
        <v>2161.7299699200003</v>
      </c>
      <c r="S53" s="146">
        <f>S52*16%</f>
        <v>720.57665664000012</v>
      </c>
    </row>
    <row r="54" spans="1:19" s="78" customFormat="1" ht="15" x14ac:dyDescent="0.25">
      <c r="A54" s="77"/>
      <c r="L54" s="71" t="s">
        <v>87</v>
      </c>
      <c r="M54" s="72">
        <f>+M52+M53</f>
        <v>6065.6935853685263</v>
      </c>
      <c r="O54" s="122" t="s">
        <v>87</v>
      </c>
      <c r="P54" s="147">
        <f>P53+P52</f>
        <v>95341.298881679992</v>
      </c>
      <c r="Q54" s="147">
        <f>Q53+Q52</f>
        <v>14366.49709176</v>
      </c>
      <c r="R54" s="147">
        <f>R53+R52</f>
        <v>15672.542281920003</v>
      </c>
      <c r="S54" s="147">
        <f>S53+S52</f>
        <v>5224.1807606400007</v>
      </c>
    </row>
  </sheetData>
  <mergeCells count="7">
    <mergeCell ref="L47:M47"/>
    <mergeCell ref="B1:F1"/>
    <mergeCell ref="B2:F2"/>
    <mergeCell ref="B3:F3"/>
    <mergeCell ref="B4:F4"/>
    <mergeCell ref="L32:M32"/>
    <mergeCell ref="L46:M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9"/>
  <sheetViews>
    <sheetView showGridLines="0" tabSelected="1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10" sqref="C10"/>
    </sheetView>
  </sheetViews>
  <sheetFormatPr baseColWidth="10" defaultRowHeight="11.25" x14ac:dyDescent="0.2"/>
  <cols>
    <col min="1" max="1" width="12.28515625" style="2" customWidth="1"/>
    <col min="2" max="2" width="38.7109375" style="1" customWidth="1"/>
    <col min="3" max="36" width="15.7109375" style="1" customWidth="1"/>
    <col min="37" max="16384" width="11.42578125" style="1"/>
  </cols>
  <sheetData>
    <row r="1" spans="1:35" ht="18" customHeight="1" x14ac:dyDescent="0.25">
      <c r="A1" s="3"/>
      <c r="B1" s="117" t="s">
        <v>76</v>
      </c>
      <c r="C1" s="111"/>
      <c r="D1" s="111"/>
      <c r="E1" s="111"/>
      <c r="F1" s="111"/>
    </row>
    <row r="2" spans="1:35" ht="24.95" customHeight="1" x14ac:dyDescent="0.2">
      <c r="A2" s="4"/>
      <c r="B2" s="112" t="s">
        <v>415</v>
      </c>
      <c r="C2" s="113"/>
      <c r="D2" s="113"/>
      <c r="E2" s="113"/>
      <c r="F2" s="113"/>
    </row>
    <row r="3" spans="1:35" ht="15.75" x14ac:dyDescent="0.25">
      <c r="B3" s="114" t="s">
        <v>1</v>
      </c>
      <c r="C3" s="115"/>
      <c r="D3" s="115"/>
      <c r="E3" s="115"/>
      <c r="F3" s="115"/>
    </row>
    <row r="4" spans="1:35" ht="15" x14ac:dyDescent="0.25">
      <c r="B4" s="116"/>
      <c r="C4" s="115"/>
      <c r="D4" s="115"/>
      <c r="E4" s="115"/>
      <c r="F4" s="115"/>
    </row>
    <row r="5" spans="1:35" ht="12.75" x14ac:dyDescent="0.2">
      <c r="B5" s="116" t="s">
        <v>416</v>
      </c>
      <c r="C5" s="89"/>
      <c r="D5" s="89"/>
      <c r="E5" s="89"/>
      <c r="F5" s="89"/>
    </row>
    <row r="6" spans="1:35" ht="12.75" x14ac:dyDescent="0.2">
      <c r="B6" s="116" t="s">
        <v>417</v>
      </c>
      <c r="C6" s="89"/>
      <c r="D6" s="89"/>
      <c r="E6" s="89"/>
      <c r="F6" s="89"/>
    </row>
    <row r="8" spans="1:35" s="87" customFormat="1" ht="39" thickBot="1" x14ac:dyDescent="0.3">
      <c r="A8" s="83" t="s">
        <v>4</v>
      </c>
      <c r="B8" s="84" t="s">
        <v>5</v>
      </c>
      <c r="C8" s="84" t="s">
        <v>31</v>
      </c>
      <c r="D8" s="84" t="s">
        <v>32</v>
      </c>
      <c r="E8" s="84" t="s">
        <v>33</v>
      </c>
      <c r="F8" s="84" t="s">
        <v>34</v>
      </c>
      <c r="G8" s="84" t="s">
        <v>6</v>
      </c>
      <c r="H8" s="84" t="s">
        <v>7</v>
      </c>
      <c r="I8" s="84" t="s">
        <v>8</v>
      </c>
      <c r="J8" s="85" t="s">
        <v>12</v>
      </c>
      <c r="K8" s="84" t="s">
        <v>13</v>
      </c>
      <c r="L8" s="84" t="s">
        <v>14</v>
      </c>
      <c r="M8" s="84" t="s">
        <v>418</v>
      </c>
      <c r="N8" s="84" t="s">
        <v>15</v>
      </c>
      <c r="O8" s="84" t="s">
        <v>16</v>
      </c>
      <c r="P8" s="142" t="s">
        <v>17</v>
      </c>
      <c r="Q8" s="84" t="s">
        <v>419</v>
      </c>
      <c r="R8" s="84" t="s">
        <v>420</v>
      </c>
      <c r="S8" s="84" t="s">
        <v>18</v>
      </c>
      <c r="T8" s="85" t="s">
        <v>19</v>
      </c>
      <c r="U8" s="86" t="s">
        <v>20</v>
      </c>
      <c r="V8" s="142" t="s">
        <v>21</v>
      </c>
      <c r="W8" s="142" t="s">
        <v>22</v>
      </c>
      <c r="X8" s="142" t="s">
        <v>23</v>
      </c>
      <c r="Y8" s="142" t="s">
        <v>24</v>
      </c>
      <c r="Z8" s="84" t="s">
        <v>25</v>
      </c>
      <c r="AA8" s="142" t="s">
        <v>26</v>
      </c>
      <c r="AB8" s="84" t="s">
        <v>27</v>
      </c>
      <c r="AC8" s="142" t="s">
        <v>28</v>
      </c>
      <c r="AD8" s="142" t="s">
        <v>29</v>
      </c>
      <c r="AE8" s="84" t="s">
        <v>35</v>
      </c>
      <c r="AF8" s="84" t="s">
        <v>421</v>
      </c>
    </row>
    <row r="9" spans="1:35" s="78" customFormat="1" ht="13.5" thickTop="1" x14ac:dyDescent="0.2">
      <c r="A9" s="77"/>
    </row>
    <row r="10" spans="1:35" s="75" customFormat="1" ht="12.75" x14ac:dyDescent="0.2">
      <c r="A10" s="75" t="s">
        <v>36</v>
      </c>
      <c r="B10" s="75" t="s">
        <v>321</v>
      </c>
      <c r="C10" s="75">
        <v>15</v>
      </c>
      <c r="D10" s="75">
        <v>0</v>
      </c>
      <c r="E10" s="75">
        <v>266.67</v>
      </c>
      <c r="F10" s="75">
        <v>278.72000000000003</v>
      </c>
      <c r="G10" s="75">
        <v>4000.05</v>
      </c>
      <c r="H10" s="75">
        <v>0</v>
      </c>
      <c r="I10" s="75">
        <v>0</v>
      </c>
      <c r="J10" s="75">
        <v>4000.05</v>
      </c>
      <c r="L10" s="75">
        <v>0</v>
      </c>
      <c r="M10" s="75">
        <v>0</v>
      </c>
      <c r="N10" s="75">
        <v>0</v>
      </c>
      <c r="O10" s="75">
        <v>313.87</v>
      </c>
      <c r="P10" s="75">
        <v>100.81</v>
      </c>
      <c r="Q10" s="75">
        <v>0</v>
      </c>
      <c r="R10" s="75">
        <v>0</v>
      </c>
      <c r="S10" s="75">
        <v>-0.03</v>
      </c>
      <c r="T10" s="75">
        <v>414.65</v>
      </c>
      <c r="U10" s="75">
        <v>3585.4</v>
      </c>
      <c r="V10" s="75">
        <v>73.16</v>
      </c>
      <c r="W10" s="75">
        <v>131.69999999999999</v>
      </c>
      <c r="X10" s="75">
        <v>335.88</v>
      </c>
      <c r="Y10" s="75">
        <v>273.62</v>
      </c>
      <c r="Z10" s="75">
        <v>80</v>
      </c>
      <c r="AA10" s="75">
        <v>33.299999999999997</v>
      </c>
      <c r="AB10" s="75">
        <v>540.74</v>
      </c>
      <c r="AC10" s="75">
        <v>209.04</v>
      </c>
      <c r="AD10" s="75">
        <v>231.81</v>
      </c>
      <c r="AE10" s="75">
        <v>110</v>
      </c>
      <c r="AF10" s="75">
        <f t="shared" ref="AF10:AF41" si="0">((20/365.24)*15)*E10</f>
        <v>219.03679772204578</v>
      </c>
    </row>
    <row r="11" spans="1:35" s="75" customFormat="1" ht="12.75" x14ac:dyDescent="0.2">
      <c r="A11" s="75" t="s">
        <v>422</v>
      </c>
      <c r="B11" s="75" t="s">
        <v>263</v>
      </c>
      <c r="C11" s="75">
        <v>15</v>
      </c>
      <c r="D11" s="75">
        <v>0</v>
      </c>
      <c r="E11" s="75">
        <v>266.67</v>
      </c>
      <c r="F11" s="75">
        <v>278.72000000000003</v>
      </c>
      <c r="G11" s="75">
        <v>4000.05</v>
      </c>
      <c r="H11" s="75">
        <v>0</v>
      </c>
      <c r="I11" s="75">
        <v>0</v>
      </c>
      <c r="J11" s="75">
        <v>4000.05</v>
      </c>
      <c r="L11" s="75">
        <v>0</v>
      </c>
      <c r="M11" s="75">
        <v>0</v>
      </c>
      <c r="N11" s="75">
        <v>0</v>
      </c>
      <c r="O11" s="75">
        <v>313.87</v>
      </c>
      <c r="P11" s="75">
        <v>100.81</v>
      </c>
      <c r="Q11" s="75">
        <v>0</v>
      </c>
      <c r="R11" s="75">
        <v>0</v>
      </c>
      <c r="S11" s="76">
        <v>0.17</v>
      </c>
      <c r="T11" s="75">
        <v>414.85</v>
      </c>
      <c r="U11" s="75">
        <v>3585.2</v>
      </c>
      <c r="V11" s="75">
        <v>73.16</v>
      </c>
      <c r="W11" s="75">
        <v>131.69999999999999</v>
      </c>
      <c r="X11" s="75">
        <v>335.88</v>
      </c>
      <c r="Y11" s="75">
        <v>273.62</v>
      </c>
      <c r="Z11" s="75">
        <v>80</v>
      </c>
      <c r="AA11" s="75">
        <v>33.299999999999997</v>
      </c>
      <c r="AB11" s="75">
        <v>540.74</v>
      </c>
      <c r="AC11" s="75">
        <v>209.04</v>
      </c>
      <c r="AD11" s="75">
        <v>231.81</v>
      </c>
      <c r="AE11" s="75">
        <v>110</v>
      </c>
      <c r="AF11" s="75">
        <f t="shared" si="0"/>
        <v>219.03679772204578</v>
      </c>
    </row>
    <row r="12" spans="1:35" s="75" customFormat="1" ht="12.75" x14ac:dyDescent="0.2">
      <c r="A12" s="75" t="s">
        <v>147</v>
      </c>
      <c r="B12" s="75" t="s">
        <v>148</v>
      </c>
      <c r="C12" s="75">
        <v>15</v>
      </c>
      <c r="D12" s="75">
        <v>0</v>
      </c>
      <c r="E12" s="75">
        <v>200</v>
      </c>
      <c r="F12" s="75">
        <v>209.04</v>
      </c>
      <c r="G12" s="75">
        <v>3000</v>
      </c>
      <c r="H12" s="75">
        <v>0</v>
      </c>
      <c r="I12" s="75">
        <v>0</v>
      </c>
      <c r="J12" s="75">
        <v>3000</v>
      </c>
      <c r="L12" s="75">
        <v>0</v>
      </c>
      <c r="M12" s="75">
        <v>0</v>
      </c>
      <c r="N12" s="75">
        <v>0</v>
      </c>
      <c r="O12" s="75">
        <v>59.69</v>
      </c>
      <c r="P12" s="75">
        <v>74.48</v>
      </c>
      <c r="Q12" s="75">
        <v>0</v>
      </c>
      <c r="R12" s="75">
        <v>0</v>
      </c>
      <c r="S12" s="75">
        <v>-0.17</v>
      </c>
      <c r="T12" s="75">
        <v>134</v>
      </c>
      <c r="U12" s="75">
        <v>2866</v>
      </c>
      <c r="V12" s="75">
        <v>54.87</v>
      </c>
      <c r="W12" s="75">
        <v>98.77</v>
      </c>
      <c r="X12" s="75">
        <v>313.41000000000003</v>
      </c>
      <c r="Y12" s="75">
        <v>252.71</v>
      </c>
      <c r="Z12" s="75">
        <v>60</v>
      </c>
      <c r="AA12" s="75">
        <v>24.98</v>
      </c>
      <c r="AB12" s="75">
        <v>467.05</v>
      </c>
      <c r="AC12" s="75">
        <v>156.78</v>
      </c>
      <c r="AD12" s="75">
        <v>221.36</v>
      </c>
      <c r="AE12" s="75">
        <v>110</v>
      </c>
      <c r="AF12" s="75">
        <f t="shared" si="0"/>
        <v>164.27554484722373</v>
      </c>
    </row>
    <row r="13" spans="1:35" s="132" customFormat="1" ht="12.75" x14ac:dyDescent="0.2">
      <c r="A13" s="132" t="s">
        <v>423</v>
      </c>
      <c r="B13" s="132" t="s">
        <v>279</v>
      </c>
      <c r="C13" s="132">
        <v>15</v>
      </c>
      <c r="D13" s="132">
        <v>0</v>
      </c>
      <c r="E13" s="132">
        <v>154</v>
      </c>
      <c r="F13" s="132">
        <v>160.96</v>
      </c>
      <c r="G13" s="132">
        <v>2310</v>
      </c>
      <c r="H13" s="132">
        <v>0</v>
      </c>
      <c r="I13" s="132">
        <v>0</v>
      </c>
      <c r="J13" s="132">
        <v>2310</v>
      </c>
      <c r="L13" s="132">
        <v>977.57</v>
      </c>
      <c r="M13" s="132">
        <v>0</v>
      </c>
      <c r="N13" s="148">
        <v>-39.729999999999997</v>
      </c>
      <c r="O13" s="132">
        <v>0</v>
      </c>
      <c r="P13" s="132">
        <v>57.34</v>
      </c>
      <c r="Q13" s="132">
        <v>0</v>
      </c>
      <c r="R13" s="132">
        <v>0</v>
      </c>
      <c r="S13" s="148">
        <v>0.02</v>
      </c>
      <c r="T13" s="132">
        <v>995.2</v>
      </c>
      <c r="U13" s="132">
        <v>1314.8</v>
      </c>
      <c r="V13" s="132">
        <v>42.25</v>
      </c>
      <c r="W13" s="132">
        <v>76.05</v>
      </c>
      <c r="X13" s="132">
        <v>300.79000000000002</v>
      </c>
      <c r="Y13" s="132">
        <v>238.29</v>
      </c>
      <c r="Z13" s="132">
        <v>46.2</v>
      </c>
      <c r="AA13" s="132">
        <v>19.23</v>
      </c>
      <c r="AB13" s="132">
        <v>419.09</v>
      </c>
      <c r="AC13" s="132">
        <v>120.72</v>
      </c>
      <c r="AD13" s="132">
        <v>214.14</v>
      </c>
      <c r="AE13" s="132">
        <v>110</v>
      </c>
      <c r="AF13" s="132">
        <f t="shared" si="0"/>
        <v>126.49216953236227</v>
      </c>
    </row>
    <row r="14" spans="1:35" s="75" customFormat="1" ht="12.75" x14ac:dyDescent="0.2">
      <c r="A14" s="75" t="s">
        <v>273</v>
      </c>
      <c r="B14" s="75" t="s">
        <v>274</v>
      </c>
      <c r="C14" s="75">
        <v>15</v>
      </c>
      <c r="D14" s="75">
        <v>0</v>
      </c>
      <c r="E14" s="75">
        <v>266.67</v>
      </c>
      <c r="F14" s="75">
        <v>278.72000000000003</v>
      </c>
      <c r="G14" s="75">
        <v>4000.05</v>
      </c>
      <c r="H14" s="75">
        <v>0</v>
      </c>
      <c r="I14" s="75">
        <v>0</v>
      </c>
      <c r="J14" s="75">
        <v>4000.05</v>
      </c>
      <c r="L14" s="75">
        <v>868.44</v>
      </c>
      <c r="M14" s="75">
        <v>0</v>
      </c>
      <c r="N14" s="75">
        <v>0</v>
      </c>
      <c r="O14" s="75">
        <v>313.87</v>
      </c>
      <c r="P14" s="75">
        <v>100.81</v>
      </c>
      <c r="Q14" s="75">
        <v>0</v>
      </c>
      <c r="R14" s="75">
        <v>0</v>
      </c>
      <c r="S14" s="75">
        <v>0.13</v>
      </c>
      <c r="T14" s="75">
        <v>1283.25</v>
      </c>
      <c r="U14" s="75">
        <v>2716.8</v>
      </c>
      <c r="V14" s="75">
        <v>73.16</v>
      </c>
      <c r="W14" s="75">
        <v>131.69999999999999</v>
      </c>
      <c r="X14" s="75">
        <v>335.88</v>
      </c>
      <c r="Y14" s="75">
        <v>273.62</v>
      </c>
      <c r="Z14" s="75">
        <v>80</v>
      </c>
      <c r="AA14" s="75">
        <v>33.299999999999997</v>
      </c>
      <c r="AB14" s="75">
        <v>540.74</v>
      </c>
      <c r="AC14" s="75">
        <v>209.04</v>
      </c>
      <c r="AD14" s="75">
        <v>231.81</v>
      </c>
      <c r="AE14" s="75">
        <v>110</v>
      </c>
      <c r="AF14" s="75">
        <f t="shared" si="0"/>
        <v>219.03679772204578</v>
      </c>
    </row>
    <row r="15" spans="1:35" s="92" customFormat="1" ht="12.75" x14ac:dyDescent="0.2">
      <c r="A15" s="92" t="s">
        <v>184</v>
      </c>
      <c r="B15" s="92" t="s">
        <v>185</v>
      </c>
      <c r="C15" s="92">
        <v>15</v>
      </c>
      <c r="D15" s="92">
        <v>0</v>
      </c>
      <c r="E15" s="92">
        <v>521.67999999999995</v>
      </c>
      <c r="F15" s="92">
        <v>553.24</v>
      </c>
      <c r="G15" s="92">
        <v>7825.2</v>
      </c>
      <c r="H15" s="92">
        <v>0</v>
      </c>
      <c r="I15" s="92">
        <v>0</v>
      </c>
      <c r="J15" s="92">
        <v>7825.2</v>
      </c>
      <c r="L15" s="92">
        <v>0</v>
      </c>
      <c r="M15" s="92">
        <v>0</v>
      </c>
      <c r="N15" s="92">
        <v>0</v>
      </c>
      <c r="O15" s="92">
        <v>1033.24</v>
      </c>
      <c r="P15" s="92">
        <v>215.09</v>
      </c>
      <c r="Q15" s="92">
        <v>0</v>
      </c>
      <c r="R15" s="92">
        <v>0</v>
      </c>
      <c r="S15" s="92">
        <v>7.0000000000000007E-2</v>
      </c>
      <c r="T15" s="92">
        <v>1248.4000000000001</v>
      </c>
      <c r="U15" s="92">
        <v>6576.8</v>
      </c>
      <c r="V15" s="92">
        <v>145.22999999999999</v>
      </c>
      <c r="W15" s="92">
        <v>261.41000000000003</v>
      </c>
      <c r="X15" s="92">
        <v>453.23</v>
      </c>
      <c r="Y15" s="92">
        <v>355.97</v>
      </c>
      <c r="Z15" s="92">
        <v>156.5</v>
      </c>
      <c r="AA15" s="92">
        <v>66.11</v>
      </c>
      <c r="AB15" s="92">
        <v>859.87</v>
      </c>
      <c r="AC15" s="92">
        <v>414.93</v>
      </c>
      <c r="AD15" s="92">
        <v>272.99</v>
      </c>
      <c r="AE15" s="92">
        <v>110</v>
      </c>
      <c r="AF15" s="75">
        <f t="shared" si="0"/>
        <v>428.49633117949833</v>
      </c>
      <c r="AG15" s="75"/>
      <c r="AH15" s="75"/>
      <c r="AI15" s="75"/>
    </row>
    <row r="16" spans="1:35" s="75" customFormat="1" ht="12.75" x14ac:dyDescent="0.2">
      <c r="A16" s="75" t="s">
        <v>221</v>
      </c>
      <c r="B16" s="75" t="s">
        <v>222</v>
      </c>
      <c r="C16" s="75">
        <v>15</v>
      </c>
      <c r="D16" s="75">
        <v>0</v>
      </c>
      <c r="E16" s="75">
        <v>266.67</v>
      </c>
      <c r="F16" s="75">
        <v>278.72000000000003</v>
      </c>
      <c r="G16" s="75">
        <v>4000.05</v>
      </c>
      <c r="H16" s="75">
        <v>0</v>
      </c>
      <c r="I16" s="75">
        <v>0</v>
      </c>
      <c r="J16" s="75">
        <v>4000.05</v>
      </c>
      <c r="L16" s="75">
        <v>0</v>
      </c>
      <c r="M16" s="75">
        <v>0</v>
      </c>
      <c r="N16" s="75">
        <v>0</v>
      </c>
      <c r="O16" s="75">
        <v>313.87</v>
      </c>
      <c r="P16" s="75">
        <v>100.81</v>
      </c>
      <c r="Q16" s="75">
        <v>0</v>
      </c>
      <c r="R16" s="75">
        <v>0</v>
      </c>
      <c r="S16" s="75">
        <v>-0.03</v>
      </c>
      <c r="T16" s="75">
        <v>414.65</v>
      </c>
      <c r="U16" s="75">
        <v>3585.4</v>
      </c>
      <c r="V16" s="75">
        <v>73.16</v>
      </c>
      <c r="W16" s="75">
        <v>131.69999999999999</v>
      </c>
      <c r="X16" s="75">
        <v>335.88</v>
      </c>
      <c r="Y16" s="75">
        <v>273.62</v>
      </c>
      <c r="Z16" s="75">
        <v>80</v>
      </c>
      <c r="AA16" s="75">
        <v>33.299999999999997</v>
      </c>
      <c r="AB16" s="75">
        <v>540.74</v>
      </c>
      <c r="AC16" s="75">
        <v>209.04</v>
      </c>
      <c r="AD16" s="75">
        <v>231.81</v>
      </c>
      <c r="AE16" s="75">
        <v>110</v>
      </c>
      <c r="AF16" s="75">
        <f t="shared" si="0"/>
        <v>219.03679772204578</v>
      </c>
    </row>
    <row r="17" spans="1:32" s="75" customFormat="1" ht="12.75" x14ac:dyDescent="0.2">
      <c r="A17" s="75" t="s">
        <v>336</v>
      </c>
      <c r="B17" s="75" t="s">
        <v>337</v>
      </c>
      <c r="C17" s="75">
        <v>15</v>
      </c>
      <c r="D17" s="75">
        <v>0</v>
      </c>
      <c r="E17" s="75">
        <v>200</v>
      </c>
      <c r="F17" s="75">
        <v>212.1</v>
      </c>
      <c r="G17" s="75">
        <v>3000</v>
      </c>
      <c r="H17" s="75">
        <v>0</v>
      </c>
      <c r="I17" s="75">
        <v>0</v>
      </c>
      <c r="J17" s="75">
        <v>3000</v>
      </c>
      <c r="L17" s="75">
        <v>1347.1</v>
      </c>
      <c r="M17" s="75">
        <v>0</v>
      </c>
      <c r="N17" s="75">
        <v>0</v>
      </c>
      <c r="O17" s="75">
        <v>59.69</v>
      </c>
      <c r="P17" s="75">
        <v>75.55</v>
      </c>
      <c r="Q17" s="75">
        <v>0</v>
      </c>
      <c r="R17" s="75">
        <v>0</v>
      </c>
      <c r="S17" s="75">
        <v>0.06</v>
      </c>
      <c r="T17" s="75">
        <v>1482.4</v>
      </c>
      <c r="U17" s="75">
        <v>1517.6</v>
      </c>
      <c r="V17" s="75">
        <v>55.68</v>
      </c>
      <c r="W17" s="75">
        <v>100.22</v>
      </c>
      <c r="X17" s="75">
        <v>314.22000000000003</v>
      </c>
      <c r="Y17" s="75">
        <v>253.63</v>
      </c>
      <c r="Z17" s="75">
        <v>60</v>
      </c>
      <c r="AA17" s="75">
        <v>25.34</v>
      </c>
      <c r="AB17" s="75">
        <v>470.12</v>
      </c>
      <c r="AC17" s="75">
        <v>159.08000000000001</v>
      </c>
      <c r="AD17" s="75">
        <v>221.82</v>
      </c>
      <c r="AE17" s="75">
        <v>110</v>
      </c>
      <c r="AF17" s="75">
        <f t="shared" si="0"/>
        <v>164.27554484722373</v>
      </c>
    </row>
    <row r="18" spans="1:32" s="75" customFormat="1" ht="12.75" x14ac:dyDescent="0.2">
      <c r="A18" s="75" t="s">
        <v>276</v>
      </c>
      <c r="B18" s="75" t="s">
        <v>277</v>
      </c>
      <c r="C18" s="75">
        <v>15</v>
      </c>
      <c r="D18" s="75">
        <v>0</v>
      </c>
      <c r="E18" s="75">
        <v>333.33</v>
      </c>
      <c r="F18" s="75">
        <v>353.5</v>
      </c>
      <c r="G18" s="75">
        <v>4999.95</v>
      </c>
      <c r="H18" s="75">
        <v>0</v>
      </c>
      <c r="I18" s="75">
        <v>0</v>
      </c>
      <c r="J18" s="75">
        <v>4999.95</v>
      </c>
      <c r="L18" s="75">
        <v>0</v>
      </c>
      <c r="M18" s="75">
        <v>0</v>
      </c>
      <c r="N18" s="75">
        <v>0</v>
      </c>
      <c r="O18" s="75">
        <v>461.63</v>
      </c>
      <c r="P18" s="75">
        <v>131.93</v>
      </c>
      <c r="Q18" s="75">
        <v>0</v>
      </c>
      <c r="R18" s="75">
        <v>0</v>
      </c>
      <c r="S18" s="75">
        <v>-0.01</v>
      </c>
      <c r="T18" s="75">
        <v>593.54999999999995</v>
      </c>
      <c r="U18" s="75">
        <v>4406.3999999999996</v>
      </c>
      <c r="V18" s="75">
        <v>92.79</v>
      </c>
      <c r="W18" s="75">
        <v>167.03</v>
      </c>
      <c r="X18" s="75">
        <v>367.84</v>
      </c>
      <c r="Y18" s="75">
        <v>296.05</v>
      </c>
      <c r="Z18" s="75">
        <v>100</v>
      </c>
      <c r="AA18" s="75">
        <v>42.24</v>
      </c>
      <c r="AB18" s="75">
        <v>627.66</v>
      </c>
      <c r="AC18" s="75">
        <v>265.12</v>
      </c>
      <c r="AD18" s="75">
        <v>243.02</v>
      </c>
      <c r="AE18" s="75">
        <v>110</v>
      </c>
      <c r="AF18" s="75">
        <f t="shared" si="0"/>
        <v>273.78983681962541</v>
      </c>
    </row>
    <row r="19" spans="1:32" s="75" customFormat="1" ht="12.75" x14ac:dyDescent="0.2">
      <c r="A19" s="75" t="s">
        <v>298</v>
      </c>
      <c r="B19" s="75" t="s">
        <v>299</v>
      </c>
      <c r="C19" s="75">
        <v>15</v>
      </c>
      <c r="D19" s="75">
        <v>0</v>
      </c>
      <c r="E19" s="75">
        <v>233.33</v>
      </c>
      <c r="F19" s="75">
        <v>247.45</v>
      </c>
      <c r="G19" s="75">
        <v>3499.95</v>
      </c>
      <c r="H19" s="75">
        <v>0</v>
      </c>
      <c r="I19" s="75">
        <v>0</v>
      </c>
      <c r="J19" s="75">
        <v>3499.95</v>
      </c>
      <c r="L19" s="75">
        <v>0</v>
      </c>
      <c r="M19" s="75">
        <v>0</v>
      </c>
      <c r="N19" s="75">
        <v>0</v>
      </c>
      <c r="O19" s="75">
        <v>134.36000000000001</v>
      </c>
      <c r="P19" s="75">
        <v>88.16</v>
      </c>
      <c r="Q19" s="75">
        <v>0</v>
      </c>
      <c r="R19" s="75">
        <v>0</v>
      </c>
      <c r="S19" s="76">
        <v>0.03</v>
      </c>
      <c r="T19" s="75">
        <v>222.55</v>
      </c>
      <c r="U19" s="75">
        <v>3277.4</v>
      </c>
      <c r="V19" s="75">
        <v>64.95</v>
      </c>
      <c r="W19" s="75">
        <v>116.92</v>
      </c>
      <c r="X19" s="75">
        <v>323.49</v>
      </c>
      <c r="Y19" s="75">
        <v>264.23</v>
      </c>
      <c r="Z19" s="75">
        <v>70</v>
      </c>
      <c r="AA19" s="75">
        <v>29.57</v>
      </c>
      <c r="AB19" s="75">
        <v>505.36</v>
      </c>
      <c r="AC19" s="75">
        <v>185.58</v>
      </c>
      <c r="AD19" s="75">
        <v>227.12</v>
      </c>
      <c r="AE19" s="75">
        <v>110</v>
      </c>
      <c r="AF19" s="75">
        <f t="shared" si="0"/>
        <v>191.65206439601357</v>
      </c>
    </row>
    <row r="20" spans="1:32" s="75" customFormat="1" ht="12.75" x14ac:dyDescent="0.2">
      <c r="A20" s="75" t="s">
        <v>104</v>
      </c>
      <c r="B20" s="75" t="s">
        <v>105</v>
      </c>
      <c r="C20" s="75">
        <v>13</v>
      </c>
      <c r="D20" s="75">
        <v>1</v>
      </c>
      <c r="E20" s="75">
        <v>200</v>
      </c>
      <c r="F20" s="75">
        <v>212.1</v>
      </c>
      <c r="G20" s="75">
        <v>2600</v>
      </c>
      <c r="H20" s="75">
        <v>200</v>
      </c>
      <c r="I20" s="75">
        <v>60</v>
      </c>
      <c r="J20" s="75">
        <v>2860</v>
      </c>
      <c r="L20" s="75">
        <v>0</v>
      </c>
      <c r="M20" s="75">
        <v>0</v>
      </c>
      <c r="N20" s="75">
        <v>0</v>
      </c>
      <c r="O20" s="75">
        <v>37.93</v>
      </c>
      <c r="P20" s="75">
        <v>71.849999999999994</v>
      </c>
      <c r="Q20" s="75">
        <v>600</v>
      </c>
      <c r="R20" s="75">
        <v>0</v>
      </c>
      <c r="S20" s="76">
        <v>0.02</v>
      </c>
      <c r="T20" s="75">
        <v>709.8</v>
      </c>
      <c r="U20" s="75">
        <v>2150.1999999999998</v>
      </c>
      <c r="V20" s="75">
        <v>55.68</v>
      </c>
      <c r="W20" s="75">
        <v>100.22</v>
      </c>
      <c r="X20" s="75">
        <v>314.22000000000003</v>
      </c>
      <c r="Y20" s="75">
        <v>253.63</v>
      </c>
      <c r="Z20" s="75">
        <v>57.2</v>
      </c>
      <c r="AA20" s="75">
        <v>25.34</v>
      </c>
      <c r="AB20" s="75">
        <v>470.12</v>
      </c>
      <c r="AC20" s="75">
        <v>159.08000000000001</v>
      </c>
      <c r="AD20" s="75">
        <v>221.82</v>
      </c>
      <c r="AE20" s="75">
        <v>110</v>
      </c>
      <c r="AF20" s="75">
        <f t="shared" si="0"/>
        <v>164.27554484722373</v>
      </c>
    </row>
    <row r="21" spans="1:32" s="75" customFormat="1" ht="12.75" x14ac:dyDescent="0.2">
      <c r="A21" s="75" t="s">
        <v>166</v>
      </c>
      <c r="B21" s="75" t="s">
        <v>167</v>
      </c>
      <c r="C21" s="75">
        <v>15</v>
      </c>
      <c r="D21" s="75">
        <v>0</v>
      </c>
      <c r="E21" s="75">
        <v>266.67</v>
      </c>
      <c r="F21" s="75">
        <v>282.81</v>
      </c>
      <c r="G21" s="75">
        <v>4000.05</v>
      </c>
      <c r="H21" s="75">
        <v>0</v>
      </c>
      <c r="I21" s="75">
        <v>0</v>
      </c>
      <c r="J21" s="75">
        <v>4000.05</v>
      </c>
      <c r="L21" s="75">
        <v>0</v>
      </c>
      <c r="M21" s="75">
        <v>0</v>
      </c>
      <c r="N21" s="75">
        <v>0</v>
      </c>
      <c r="O21" s="75">
        <v>313.87</v>
      </c>
      <c r="P21" s="75">
        <v>102.51</v>
      </c>
      <c r="Q21" s="75">
        <v>0</v>
      </c>
      <c r="R21" s="75">
        <v>1666.67</v>
      </c>
      <c r="S21" s="76">
        <v>0</v>
      </c>
      <c r="T21" s="75">
        <v>2083.0500000000002</v>
      </c>
      <c r="U21" s="75">
        <v>1917</v>
      </c>
      <c r="V21" s="75">
        <v>74.239999999999995</v>
      </c>
      <c r="W21" s="75">
        <v>133.63</v>
      </c>
      <c r="X21" s="75">
        <v>337.62</v>
      </c>
      <c r="Y21" s="75">
        <v>274.84000000000003</v>
      </c>
      <c r="Z21" s="75">
        <v>80</v>
      </c>
      <c r="AA21" s="75">
        <v>33.79</v>
      </c>
      <c r="AB21" s="75">
        <v>545.49</v>
      </c>
      <c r="AC21" s="75">
        <v>212.11</v>
      </c>
      <c r="AD21" s="75">
        <v>232.42000000000002</v>
      </c>
      <c r="AE21" s="75">
        <v>110</v>
      </c>
      <c r="AF21" s="75">
        <f t="shared" si="0"/>
        <v>219.03679772204578</v>
      </c>
    </row>
    <row r="22" spans="1:32" s="75" customFormat="1" ht="12.75" x14ac:dyDescent="0.2">
      <c r="A22" s="75" t="s">
        <v>150</v>
      </c>
      <c r="B22" s="75" t="s">
        <v>151</v>
      </c>
      <c r="C22" s="75">
        <v>15</v>
      </c>
      <c r="D22" s="75">
        <v>0</v>
      </c>
      <c r="E22" s="75">
        <v>166.67</v>
      </c>
      <c r="F22" s="75">
        <v>174.2</v>
      </c>
      <c r="G22" s="75">
        <v>2500.0500000000002</v>
      </c>
      <c r="H22" s="75">
        <v>0</v>
      </c>
      <c r="I22" s="75">
        <v>0</v>
      </c>
      <c r="J22" s="75">
        <v>2500.0500000000002</v>
      </c>
      <c r="L22" s="75">
        <v>0</v>
      </c>
      <c r="M22" s="75">
        <v>0</v>
      </c>
      <c r="N22" s="76">
        <v>-9.6199999999999992</v>
      </c>
      <c r="O22" s="75">
        <v>0</v>
      </c>
      <c r="P22" s="75">
        <v>62.06</v>
      </c>
      <c r="Q22" s="75">
        <v>0</v>
      </c>
      <c r="R22" s="75">
        <v>0</v>
      </c>
      <c r="S22" s="76">
        <v>0.01</v>
      </c>
      <c r="T22" s="75">
        <v>52.45</v>
      </c>
      <c r="U22" s="75">
        <v>2447.6</v>
      </c>
      <c r="V22" s="75">
        <v>45.73</v>
      </c>
      <c r="W22" s="75">
        <v>82.31</v>
      </c>
      <c r="X22" s="75">
        <v>304.27</v>
      </c>
      <c r="Y22" s="75">
        <v>242.26</v>
      </c>
      <c r="Z22" s="75">
        <v>50</v>
      </c>
      <c r="AA22" s="75">
        <v>20.82</v>
      </c>
      <c r="AB22" s="75">
        <v>432.31</v>
      </c>
      <c r="AC22" s="75">
        <v>130.65</v>
      </c>
      <c r="AD22" s="75">
        <v>216.13</v>
      </c>
      <c r="AE22" s="75">
        <v>110</v>
      </c>
      <c r="AF22" s="75">
        <f t="shared" si="0"/>
        <v>136.89902529843388</v>
      </c>
    </row>
    <row r="23" spans="1:32" s="75" customFormat="1" ht="12.75" x14ac:dyDescent="0.2">
      <c r="A23" s="75" t="s">
        <v>359</v>
      </c>
      <c r="B23" s="75" t="s">
        <v>257</v>
      </c>
      <c r="C23" s="75">
        <v>15</v>
      </c>
      <c r="D23" s="75">
        <v>0</v>
      </c>
      <c r="E23" s="75">
        <v>275</v>
      </c>
      <c r="F23" s="75">
        <v>287.43</v>
      </c>
      <c r="G23" s="75">
        <v>4125</v>
      </c>
      <c r="H23" s="75">
        <v>0</v>
      </c>
      <c r="I23" s="75">
        <v>0</v>
      </c>
      <c r="J23" s="75">
        <v>4125</v>
      </c>
      <c r="L23" s="75">
        <v>0</v>
      </c>
      <c r="M23" s="75">
        <v>0</v>
      </c>
      <c r="N23" s="75">
        <v>0</v>
      </c>
      <c r="O23" s="75">
        <v>327.47000000000003</v>
      </c>
      <c r="P23" s="75">
        <v>104.44</v>
      </c>
      <c r="Q23" s="75">
        <v>0</v>
      </c>
      <c r="R23" s="75">
        <v>0</v>
      </c>
      <c r="S23" s="76">
        <v>0.09</v>
      </c>
      <c r="T23" s="75">
        <v>432</v>
      </c>
      <c r="U23" s="75">
        <v>3693</v>
      </c>
      <c r="V23" s="75">
        <v>75.45</v>
      </c>
      <c r="W23" s="75">
        <v>135.81</v>
      </c>
      <c r="X23" s="75">
        <v>339.59</v>
      </c>
      <c r="Y23" s="75">
        <v>276.23</v>
      </c>
      <c r="Z23" s="75">
        <v>82.5</v>
      </c>
      <c r="AA23" s="75">
        <v>34.340000000000003</v>
      </c>
      <c r="AB23" s="75">
        <v>550.85</v>
      </c>
      <c r="AC23" s="75">
        <v>215.57</v>
      </c>
      <c r="AD23" s="75">
        <v>233.11</v>
      </c>
      <c r="AE23" s="75">
        <v>110</v>
      </c>
      <c r="AF23" s="75">
        <f t="shared" si="0"/>
        <v>225.87887416493263</v>
      </c>
    </row>
    <row r="24" spans="1:32" s="75" customFormat="1" ht="12.75" x14ac:dyDescent="0.2">
      <c r="A24" s="75" t="s">
        <v>285</v>
      </c>
      <c r="B24" s="75" t="s">
        <v>286</v>
      </c>
      <c r="C24" s="75">
        <v>15</v>
      </c>
      <c r="D24" s="75">
        <v>0</v>
      </c>
      <c r="E24" s="75">
        <v>266.67</v>
      </c>
      <c r="F24" s="75">
        <v>282.81</v>
      </c>
      <c r="G24" s="75">
        <v>4000.05</v>
      </c>
      <c r="H24" s="75">
        <v>0</v>
      </c>
      <c r="I24" s="75">
        <v>0</v>
      </c>
      <c r="J24" s="75">
        <v>4000.05</v>
      </c>
      <c r="L24" s="75">
        <v>0</v>
      </c>
      <c r="M24" s="75">
        <v>0</v>
      </c>
      <c r="N24" s="75">
        <v>0</v>
      </c>
      <c r="O24" s="75">
        <v>313.87</v>
      </c>
      <c r="P24" s="75">
        <v>102.51</v>
      </c>
      <c r="Q24" s="75">
        <v>0</v>
      </c>
      <c r="R24" s="75">
        <v>0</v>
      </c>
      <c r="S24" s="76">
        <v>7.0000000000000007E-2</v>
      </c>
      <c r="T24" s="75">
        <v>416.45</v>
      </c>
      <c r="U24" s="75">
        <v>3583.6</v>
      </c>
      <c r="V24" s="75">
        <v>74.239999999999995</v>
      </c>
      <c r="W24" s="75">
        <v>133.63</v>
      </c>
      <c r="X24" s="75">
        <v>337.62</v>
      </c>
      <c r="Y24" s="75">
        <v>274.84000000000003</v>
      </c>
      <c r="Z24" s="75">
        <v>80</v>
      </c>
      <c r="AA24" s="75">
        <v>33.79</v>
      </c>
      <c r="AB24" s="75">
        <v>545.49</v>
      </c>
      <c r="AC24" s="75">
        <v>212.11</v>
      </c>
      <c r="AD24" s="75">
        <v>232.42000000000002</v>
      </c>
      <c r="AE24" s="75">
        <v>110</v>
      </c>
      <c r="AF24" s="75">
        <f t="shared" si="0"/>
        <v>219.03679772204578</v>
      </c>
    </row>
    <row r="25" spans="1:32" s="75" customFormat="1" ht="12.75" x14ac:dyDescent="0.2">
      <c r="A25" s="75" t="s">
        <v>228</v>
      </c>
      <c r="B25" s="75" t="s">
        <v>229</v>
      </c>
      <c r="C25" s="75">
        <v>15</v>
      </c>
      <c r="D25" s="75">
        <v>0</v>
      </c>
      <c r="E25" s="75">
        <v>266.67</v>
      </c>
      <c r="F25" s="75">
        <v>282.81</v>
      </c>
      <c r="G25" s="75">
        <v>4000.05</v>
      </c>
      <c r="H25" s="75">
        <v>0</v>
      </c>
      <c r="I25" s="75">
        <v>0</v>
      </c>
      <c r="J25" s="75">
        <v>4000.05</v>
      </c>
      <c r="L25" s="75">
        <v>0</v>
      </c>
      <c r="M25" s="75">
        <v>0</v>
      </c>
      <c r="N25" s="75">
        <v>0</v>
      </c>
      <c r="O25" s="75">
        <v>313.87</v>
      </c>
      <c r="P25" s="75">
        <v>102.51</v>
      </c>
      <c r="Q25" s="75">
        <v>0</v>
      </c>
      <c r="R25" s="75">
        <v>0</v>
      </c>
      <c r="S25" s="76">
        <v>7.0000000000000007E-2</v>
      </c>
      <c r="T25" s="75">
        <v>416.45</v>
      </c>
      <c r="U25" s="75">
        <v>3583.6</v>
      </c>
      <c r="V25" s="75">
        <v>74.239999999999995</v>
      </c>
      <c r="W25" s="75">
        <v>133.63</v>
      </c>
      <c r="X25" s="75">
        <v>337.62</v>
      </c>
      <c r="Y25" s="75">
        <v>274.84000000000003</v>
      </c>
      <c r="Z25" s="75">
        <v>80</v>
      </c>
      <c r="AA25" s="75">
        <v>33.79</v>
      </c>
      <c r="AB25" s="75">
        <v>545.49</v>
      </c>
      <c r="AC25" s="75">
        <v>212.11</v>
      </c>
      <c r="AD25" s="75">
        <v>232.42000000000002</v>
      </c>
      <c r="AE25" s="75">
        <v>110</v>
      </c>
      <c r="AF25" s="75">
        <f t="shared" si="0"/>
        <v>219.03679772204578</v>
      </c>
    </row>
    <row r="26" spans="1:32" s="75" customFormat="1" ht="12.75" x14ac:dyDescent="0.2">
      <c r="A26" s="75" t="s">
        <v>215</v>
      </c>
      <c r="B26" s="75" t="s">
        <v>216</v>
      </c>
      <c r="C26" s="75">
        <v>15</v>
      </c>
      <c r="D26" s="75">
        <v>0</v>
      </c>
      <c r="E26" s="75">
        <v>466.67</v>
      </c>
      <c r="F26" s="75">
        <v>494.92</v>
      </c>
      <c r="G26" s="75">
        <v>7000.05</v>
      </c>
      <c r="H26" s="75">
        <v>0</v>
      </c>
      <c r="I26" s="75">
        <v>0</v>
      </c>
      <c r="J26" s="75">
        <v>7000.05</v>
      </c>
      <c r="L26" s="75">
        <v>0</v>
      </c>
      <c r="M26" s="75">
        <v>0</v>
      </c>
      <c r="N26" s="75">
        <v>0</v>
      </c>
      <c r="O26" s="75">
        <v>856.99</v>
      </c>
      <c r="P26" s="75">
        <v>190.81</v>
      </c>
      <c r="Q26" s="75">
        <v>0</v>
      </c>
      <c r="R26" s="75">
        <v>0</v>
      </c>
      <c r="S26" s="75">
        <v>0.05</v>
      </c>
      <c r="T26" s="75">
        <v>1047.8499999999999</v>
      </c>
      <c r="U26" s="75">
        <v>5952.2</v>
      </c>
      <c r="V26" s="75">
        <v>129.91999999999999</v>
      </c>
      <c r="W26" s="75">
        <v>233.85</v>
      </c>
      <c r="X26" s="75">
        <v>428.3</v>
      </c>
      <c r="Y26" s="75">
        <v>338.48</v>
      </c>
      <c r="Z26" s="75">
        <v>140</v>
      </c>
      <c r="AA26" s="75">
        <v>59.14</v>
      </c>
      <c r="AB26" s="75">
        <v>792.07</v>
      </c>
      <c r="AC26" s="75">
        <v>371.19</v>
      </c>
      <c r="AD26" s="75">
        <v>264.24</v>
      </c>
      <c r="AE26" s="75">
        <v>110</v>
      </c>
      <c r="AF26" s="75">
        <f t="shared" si="0"/>
        <v>383.3123425692695</v>
      </c>
    </row>
    <row r="27" spans="1:32" s="75" customFormat="1" ht="12.75" x14ac:dyDescent="0.2">
      <c r="A27" s="75" t="s">
        <v>72</v>
      </c>
      <c r="B27" s="75" t="s">
        <v>139</v>
      </c>
      <c r="C27" s="75">
        <v>15</v>
      </c>
      <c r="D27" s="75">
        <v>0</v>
      </c>
      <c r="E27" s="75">
        <v>466.67</v>
      </c>
      <c r="F27" s="75">
        <v>494.92</v>
      </c>
      <c r="G27" s="75">
        <v>7000.05</v>
      </c>
      <c r="H27" s="75">
        <v>0</v>
      </c>
      <c r="I27" s="75">
        <v>0</v>
      </c>
      <c r="J27" s="75">
        <v>7000.05</v>
      </c>
      <c r="L27" s="75">
        <v>0</v>
      </c>
      <c r="M27" s="75">
        <v>0</v>
      </c>
      <c r="N27" s="75">
        <v>0</v>
      </c>
      <c r="O27" s="75">
        <v>856.99</v>
      </c>
      <c r="P27" s="75">
        <v>190.81</v>
      </c>
      <c r="Q27" s="75">
        <v>0</v>
      </c>
      <c r="R27" s="75">
        <v>0</v>
      </c>
      <c r="S27" s="75">
        <v>0.05</v>
      </c>
      <c r="T27" s="75">
        <v>1047.8499999999999</v>
      </c>
      <c r="U27" s="75">
        <v>5952.2</v>
      </c>
      <c r="V27" s="75">
        <v>129.91999999999999</v>
      </c>
      <c r="W27" s="75">
        <v>233.85</v>
      </c>
      <c r="X27" s="75">
        <v>428.3</v>
      </c>
      <c r="Y27" s="75">
        <v>338.48</v>
      </c>
      <c r="Z27" s="75">
        <v>140</v>
      </c>
      <c r="AA27" s="75">
        <v>59.14</v>
      </c>
      <c r="AB27" s="75">
        <v>792.07</v>
      </c>
      <c r="AC27" s="75">
        <v>371.19</v>
      </c>
      <c r="AD27" s="75">
        <v>264.24</v>
      </c>
      <c r="AE27" s="75">
        <v>110</v>
      </c>
      <c r="AF27" s="75">
        <f t="shared" si="0"/>
        <v>383.3123425692695</v>
      </c>
    </row>
    <row r="28" spans="1:32" s="75" customFormat="1" ht="12.75" x14ac:dyDescent="0.2">
      <c r="A28" s="75" t="s">
        <v>124</v>
      </c>
      <c r="B28" s="75" t="s">
        <v>125</v>
      </c>
      <c r="C28" s="75">
        <v>15</v>
      </c>
      <c r="D28" s="75">
        <v>0</v>
      </c>
      <c r="E28" s="75">
        <v>200</v>
      </c>
      <c r="F28" s="75">
        <v>212.11</v>
      </c>
      <c r="G28" s="75">
        <v>3000</v>
      </c>
      <c r="H28" s="75">
        <v>0</v>
      </c>
      <c r="I28" s="75">
        <v>0</v>
      </c>
      <c r="J28" s="75">
        <v>3000</v>
      </c>
      <c r="L28" s="75">
        <v>0</v>
      </c>
      <c r="M28" s="75">
        <v>0</v>
      </c>
      <c r="N28" s="75">
        <v>0</v>
      </c>
      <c r="O28" s="75">
        <v>59.69</v>
      </c>
      <c r="P28" s="75">
        <v>75.56</v>
      </c>
      <c r="Q28" s="75">
        <v>0</v>
      </c>
      <c r="R28" s="75">
        <v>0</v>
      </c>
      <c r="S28" s="75">
        <v>-0.05</v>
      </c>
      <c r="T28" s="75">
        <v>135.19999999999999</v>
      </c>
      <c r="U28" s="75">
        <v>2864.8</v>
      </c>
      <c r="V28" s="75">
        <v>55.68</v>
      </c>
      <c r="W28" s="75">
        <v>100.22</v>
      </c>
      <c r="X28" s="75">
        <v>314.22000000000003</v>
      </c>
      <c r="Y28" s="75">
        <v>253.63</v>
      </c>
      <c r="Z28" s="75">
        <v>60</v>
      </c>
      <c r="AA28" s="75">
        <v>25.34</v>
      </c>
      <c r="AB28" s="75">
        <v>470.12</v>
      </c>
      <c r="AC28" s="75">
        <v>159.08000000000001</v>
      </c>
      <c r="AD28" s="75">
        <v>221.82</v>
      </c>
      <c r="AE28" s="75">
        <v>110</v>
      </c>
      <c r="AF28" s="75">
        <f t="shared" si="0"/>
        <v>164.27554484722373</v>
      </c>
    </row>
    <row r="29" spans="1:32" s="75" customFormat="1" ht="12.75" x14ac:dyDescent="0.2">
      <c r="A29" s="75" t="s">
        <v>225</v>
      </c>
      <c r="B29" s="75" t="s">
        <v>226</v>
      </c>
      <c r="C29" s="75">
        <v>15</v>
      </c>
      <c r="D29" s="75">
        <v>0</v>
      </c>
      <c r="E29" s="75">
        <v>266.67</v>
      </c>
      <c r="F29" s="75">
        <v>282.81</v>
      </c>
      <c r="G29" s="75">
        <v>4000.05</v>
      </c>
      <c r="H29" s="75">
        <v>0</v>
      </c>
      <c r="I29" s="75">
        <v>0</v>
      </c>
      <c r="J29" s="75">
        <v>4000.05</v>
      </c>
      <c r="L29" s="75">
        <v>0</v>
      </c>
      <c r="M29" s="75">
        <v>0</v>
      </c>
      <c r="N29" s="75">
        <v>0</v>
      </c>
      <c r="O29" s="75">
        <v>313.87</v>
      </c>
      <c r="P29" s="75">
        <v>102.51</v>
      </c>
      <c r="Q29" s="75">
        <v>0</v>
      </c>
      <c r="R29" s="75">
        <v>441</v>
      </c>
      <c r="S29" s="76">
        <v>7.0000000000000007E-2</v>
      </c>
      <c r="T29" s="75">
        <v>857.45</v>
      </c>
      <c r="U29" s="75">
        <v>3142.6</v>
      </c>
      <c r="V29" s="75">
        <v>74.239999999999995</v>
      </c>
      <c r="W29" s="75">
        <v>133.63</v>
      </c>
      <c r="X29" s="75">
        <v>337.62</v>
      </c>
      <c r="Y29" s="75">
        <v>274.84000000000003</v>
      </c>
      <c r="Z29" s="75">
        <v>80</v>
      </c>
      <c r="AA29" s="75">
        <v>33.79</v>
      </c>
      <c r="AB29" s="75">
        <v>545.49</v>
      </c>
      <c r="AC29" s="75">
        <v>212.11</v>
      </c>
      <c r="AD29" s="75">
        <v>232.42000000000002</v>
      </c>
      <c r="AE29" s="75">
        <v>110</v>
      </c>
      <c r="AF29" s="75">
        <f t="shared" si="0"/>
        <v>219.03679772204578</v>
      </c>
    </row>
    <row r="30" spans="1:32" s="75" customFormat="1" ht="12.75" x14ac:dyDescent="0.2">
      <c r="A30" s="75" t="s">
        <v>37</v>
      </c>
      <c r="B30" s="75" t="s">
        <v>172</v>
      </c>
      <c r="C30" s="75">
        <v>15</v>
      </c>
      <c r="D30" s="75">
        <v>0</v>
      </c>
      <c r="E30" s="75">
        <v>266.67</v>
      </c>
      <c r="F30" s="75">
        <v>282.81</v>
      </c>
      <c r="G30" s="75">
        <v>4000.05</v>
      </c>
      <c r="H30" s="75">
        <v>0</v>
      </c>
      <c r="I30" s="75">
        <v>0</v>
      </c>
      <c r="J30" s="75">
        <v>4000.05</v>
      </c>
      <c r="L30" s="75">
        <v>0</v>
      </c>
      <c r="M30" s="75">
        <v>0</v>
      </c>
      <c r="N30" s="75">
        <v>0</v>
      </c>
      <c r="O30" s="75">
        <v>313.87</v>
      </c>
      <c r="P30" s="75">
        <v>102.51</v>
      </c>
      <c r="Q30" s="75">
        <v>0</v>
      </c>
      <c r="R30" s="75">
        <v>0</v>
      </c>
      <c r="S30" s="76">
        <v>7.0000000000000007E-2</v>
      </c>
      <c r="T30" s="75">
        <v>416.45</v>
      </c>
      <c r="U30" s="75">
        <v>3583.6</v>
      </c>
      <c r="V30" s="75">
        <v>74.239999999999995</v>
      </c>
      <c r="W30" s="75">
        <v>133.63</v>
      </c>
      <c r="X30" s="75">
        <v>337.62</v>
      </c>
      <c r="Y30" s="75">
        <v>274.84000000000003</v>
      </c>
      <c r="Z30" s="75">
        <v>80</v>
      </c>
      <c r="AA30" s="75">
        <v>33.79</v>
      </c>
      <c r="AB30" s="75">
        <v>545.49</v>
      </c>
      <c r="AC30" s="75">
        <v>212.11</v>
      </c>
      <c r="AD30" s="75">
        <v>232.42000000000002</v>
      </c>
      <c r="AE30" s="75">
        <v>110</v>
      </c>
      <c r="AF30" s="75">
        <f t="shared" si="0"/>
        <v>219.03679772204578</v>
      </c>
    </row>
    <row r="31" spans="1:32" s="75" customFormat="1" ht="12.75" x14ac:dyDescent="0.2">
      <c r="A31" s="75" t="s">
        <v>295</v>
      </c>
      <c r="B31" s="75" t="s">
        <v>296</v>
      </c>
      <c r="C31" s="75">
        <v>12</v>
      </c>
      <c r="D31" s="75">
        <v>3</v>
      </c>
      <c r="E31" s="75">
        <v>266.67</v>
      </c>
      <c r="F31" s="75">
        <v>282.81</v>
      </c>
      <c r="G31" s="75">
        <v>3200</v>
      </c>
      <c r="H31" s="75">
        <v>800</v>
      </c>
      <c r="I31" s="75">
        <v>240</v>
      </c>
      <c r="J31" s="75">
        <v>4240</v>
      </c>
      <c r="L31" s="75">
        <v>0</v>
      </c>
      <c r="M31" s="75">
        <v>0</v>
      </c>
      <c r="N31" s="75">
        <v>0</v>
      </c>
      <c r="O31" s="75">
        <v>313.87</v>
      </c>
      <c r="P31" s="75">
        <v>102.51</v>
      </c>
      <c r="Q31" s="75">
        <v>0</v>
      </c>
      <c r="R31" s="75">
        <v>250</v>
      </c>
      <c r="S31" s="75">
        <v>0.02</v>
      </c>
      <c r="T31" s="75">
        <v>666.4</v>
      </c>
      <c r="U31" s="75">
        <v>3573.6</v>
      </c>
      <c r="V31" s="75">
        <v>74.239999999999995</v>
      </c>
      <c r="W31" s="75">
        <v>133.63</v>
      </c>
      <c r="X31" s="75">
        <v>337.62</v>
      </c>
      <c r="Y31" s="75">
        <v>274.84000000000003</v>
      </c>
      <c r="Z31" s="75">
        <v>84.8</v>
      </c>
      <c r="AA31" s="75">
        <v>33.79</v>
      </c>
      <c r="AB31" s="75">
        <v>545.49</v>
      </c>
      <c r="AC31" s="75">
        <v>212.11</v>
      </c>
      <c r="AD31" s="75">
        <v>232.42000000000002</v>
      </c>
      <c r="AE31" s="75">
        <v>110</v>
      </c>
      <c r="AF31" s="75">
        <f t="shared" si="0"/>
        <v>219.03679772204578</v>
      </c>
    </row>
    <row r="32" spans="1:32" s="75" customFormat="1" ht="12.75" x14ac:dyDescent="0.2">
      <c r="A32" s="75" t="s">
        <v>144</v>
      </c>
      <c r="B32" s="75" t="s">
        <v>145</v>
      </c>
      <c r="C32" s="75">
        <v>15</v>
      </c>
      <c r="D32" s="75">
        <v>0</v>
      </c>
      <c r="E32" s="75">
        <v>333.33</v>
      </c>
      <c r="F32" s="75">
        <v>353.52</v>
      </c>
      <c r="G32" s="75">
        <v>5000</v>
      </c>
      <c r="H32" s="75">
        <v>0</v>
      </c>
      <c r="I32" s="75">
        <v>0</v>
      </c>
      <c r="J32" s="75">
        <v>5000</v>
      </c>
      <c r="L32" s="75">
        <v>0</v>
      </c>
      <c r="M32" s="75">
        <v>0</v>
      </c>
      <c r="N32" s="75">
        <v>0</v>
      </c>
      <c r="O32" s="75">
        <v>461.64</v>
      </c>
      <c r="P32" s="75">
        <v>131.94999999999999</v>
      </c>
      <c r="Q32" s="75">
        <v>0</v>
      </c>
      <c r="R32" s="75">
        <v>0</v>
      </c>
      <c r="S32" s="75">
        <v>0.01</v>
      </c>
      <c r="T32" s="75">
        <v>593.6</v>
      </c>
      <c r="U32" s="75">
        <v>4406.3999999999996</v>
      </c>
      <c r="V32" s="75">
        <v>92.8</v>
      </c>
      <c r="W32" s="75">
        <v>167.04</v>
      </c>
      <c r="X32" s="75">
        <v>367.85</v>
      </c>
      <c r="Y32" s="75">
        <v>296.05</v>
      </c>
      <c r="Z32" s="75">
        <v>100</v>
      </c>
      <c r="AA32" s="75">
        <v>42.24</v>
      </c>
      <c r="AB32" s="75">
        <v>627.69000000000005</v>
      </c>
      <c r="AC32" s="75">
        <v>265.14</v>
      </c>
      <c r="AD32" s="75">
        <v>243.03</v>
      </c>
      <c r="AE32" s="75">
        <v>110</v>
      </c>
      <c r="AF32" s="75">
        <f t="shared" si="0"/>
        <v>273.78983681962541</v>
      </c>
    </row>
    <row r="33" spans="1:32" s="75" customFormat="1" ht="12.75" x14ac:dyDescent="0.2">
      <c r="A33" s="75" t="s">
        <v>187</v>
      </c>
      <c r="B33" s="75" t="s">
        <v>188</v>
      </c>
      <c r="C33" s="75">
        <v>15</v>
      </c>
      <c r="D33" s="75">
        <v>0</v>
      </c>
      <c r="E33" s="75">
        <v>266.67</v>
      </c>
      <c r="F33" s="75">
        <v>282.81</v>
      </c>
      <c r="G33" s="75">
        <v>4000</v>
      </c>
      <c r="H33" s="75">
        <v>0</v>
      </c>
      <c r="I33" s="75">
        <v>0</v>
      </c>
      <c r="J33" s="75">
        <v>4000</v>
      </c>
      <c r="L33" s="75">
        <v>0</v>
      </c>
      <c r="M33" s="75">
        <v>0</v>
      </c>
      <c r="N33" s="75">
        <v>0</v>
      </c>
      <c r="O33" s="75">
        <v>313.87</v>
      </c>
      <c r="P33" s="75">
        <v>102.51</v>
      </c>
      <c r="Q33" s="75">
        <v>0</v>
      </c>
      <c r="R33" s="75">
        <v>0</v>
      </c>
      <c r="S33" s="76">
        <v>0.02</v>
      </c>
      <c r="T33" s="75">
        <v>416.4</v>
      </c>
      <c r="U33" s="75">
        <v>3583.6</v>
      </c>
      <c r="V33" s="75">
        <v>74.239999999999995</v>
      </c>
      <c r="W33" s="75">
        <v>133.63</v>
      </c>
      <c r="X33" s="75">
        <v>337.62</v>
      </c>
      <c r="Y33" s="75">
        <v>274.84000000000003</v>
      </c>
      <c r="Z33" s="75">
        <v>80</v>
      </c>
      <c r="AA33" s="75">
        <v>33.79</v>
      </c>
      <c r="AB33" s="75">
        <v>545.49</v>
      </c>
      <c r="AC33" s="75">
        <v>212.11</v>
      </c>
      <c r="AD33" s="75">
        <v>232.42000000000002</v>
      </c>
      <c r="AE33" s="75">
        <v>110</v>
      </c>
      <c r="AF33" s="75">
        <f t="shared" si="0"/>
        <v>219.03679772204578</v>
      </c>
    </row>
    <row r="34" spans="1:32" s="75" customFormat="1" ht="12.75" x14ac:dyDescent="0.2">
      <c r="A34" s="75" t="s">
        <v>243</v>
      </c>
      <c r="B34" s="75" t="s">
        <v>244</v>
      </c>
      <c r="C34" s="75">
        <v>15</v>
      </c>
      <c r="D34" s="75">
        <v>0</v>
      </c>
      <c r="E34" s="75">
        <v>318.33</v>
      </c>
      <c r="F34" s="75">
        <v>337.61</v>
      </c>
      <c r="G34" s="75">
        <v>4775</v>
      </c>
      <c r="H34" s="75">
        <v>0</v>
      </c>
      <c r="I34" s="75">
        <v>0</v>
      </c>
      <c r="J34" s="75">
        <v>4775</v>
      </c>
      <c r="L34" s="75">
        <v>1515.33</v>
      </c>
      <c r="M34" s="75">
        <v>0</v>
      </c>
      <c r="N34" s="75">
        <v>0</v>
      </c>
      <c r="O34" s="75">
        <v>424.67</v>
      </c>
      <c r="P34" s="75">
        <v>125.32</v>
      </c>
      <c r="Q34" s="75">
        <v>0</v>
      </c>
      <c r="R34" s="75">
        <v>0</v>
      </c>
      <c r="S34" s="76">
        <v>-0.12</v>
      </c>
      <c r="T34" s="75">
        <v>2065.1999999999998</v>
      </c>
      <c r="U34" s="75">
        <v>2709.8</v>
      </c>
      <c r="V34" s="75">
        <v>88.62</v>
      </c>
      <c r="W34" s="75">
        <v>159.52000000000001</v>
      </c>
      <c r="X34" s="75">
        <v>361.04</v>
      </c>
      <c r="Y34" s="75">
        <v>291.27999999999997</v>
      </c>
      <c r="Z34" s="75">
        <v>95.5</v>
      </c>
      <c r="AA34" s="75">
        <v>40.340000000000003</v>
      </c>
      <c r="AB34" s="75">
        <v>609.17999999999995</v>
      </c>
      <c r="AC34" s="75">
        <v>253.21</v>
      </c>
      <c r="AD34" s="75">
        <v>240.64</v>
      </c>
      <c r="AE34" s="75">
        <v>110</v>
      </c>
      <c r="AF34" s="75">
        <f t="shared" si="0"/>
        <v>261.46917095608364</v>
      </c>
    </row>
    <row r="35" spans="1:32" s="75" customFormat="1" ht="12.75" x14ac:dyDescent="0.2">
      <c r="A35" s="75" t="s">
        <v>121</v>
      </c>
      <c r="B35" s="75" t="s">
        <v>122</v>
      </c>
      <c r="C35" s="75">
        <v>15</v>
      </c>
      <c r="D35" s="75">
        <v>0</v>
      </c>
      <c r="E35" s="75">
        <v>250</v>
      </c>
      <c r="F35" s="75">
        <v>265.14</v>
      </c>
      <c r="G35" s="75">
        <v>3750</v>
      </c>
      <c r="H35" s="75">
        <v>0</v>
      </c>
      <c r="I35" s="75">
        <v>0</v>
      </c>
      <c r="J35" s="75">
        <v>3750</v>
      </c>
      <c r="L35" s="75">
        <v>0</v>
      </c>
      <c r="M35" s="75">
        <v>1373.01</v>
      </c>
      <c r="N35" s="75">
        <v>0</v>
      </c>
      <c r="O35" s="75">
        <v>286.67</v>
      </c>
      <c r="P35" s="75">
        <v>95.15</v>
      </c>
      <c r="Q35" s="75">
        <v>0</v>
      </c>
      <c r="R35" s="75">
        <v>0</v>
      </c>
      <c r="S35" s="75">
        <v>-0.03</v>
      </c>
      <c r="T35" s="75">
        <v>1754.8</v>
      </c>
      <c r="U35" s="75">
        <v>1995.2</v>
      </c>
      <c r="V35" s="75">
        <v>69.599999999999994</v>
      </c>
      <c r="W35" s="75">
        <v>125.28</v>
      </c>
      <c r="X35" s="75">
        <v>330.07</v>
      </c>
      <c r="Y35" s="75">
        <v>269.54000000000002</v>
      </c>
      <c r="Z35" s="75">
        <v>75</v>
      </c>
      <c r="AA35" s="75">
        <v>31.68</v>
      </c>
      <c r="AB35" s="75">
        <v>524.95000000000005</v>
      </c>
      <c r="AC35" s="75">
        <v>198.85</v>
      </c>
      <c r="AD35" s="75">
        <v>229.77</v>
      </c>
      <c r="AE35" s="75">
        <v>110</v>
      </c>
      <c r="AF35" s="75">
        <f t="shared" si="0"/>
        <v>205.34443105902966</v>
      </c>
    </row>
    <row r="36" spans="1:32" s="75" customFormat="1" ht="12.75" x14ac:dyDescent="0.2">
      <c r="A36" s="75" t="s">
        <v>174</v>
      </c>
      <c r="B36" s="75" t="s">
        <v>175</v>
      </c>
      <c r="C36" s="75">
        <v>15</v>
      </c>
      <c r="D36" s="75">
        <v>0</v>
      </c>
      <c r="E36" s="75">
        <v>283.33</v>
      </c>
      <c r="F36" s="75">
        <v>300.49</v>
      </c>
      <c r="G36" s="75">
        <v>4250</v>
      </c>
      <c r="H36" s="75">
        <v>0</v>
      </c>
      <c r="I36" s="75">
        <v>0</v>
      </c>
      <c r="J36" s="75">
        <v>4250</v>
      </c>
      <c r="L36" s="75">
        <v>0</v>
      </c>
      <c r="M36" s="75">
        <v>3673.4</v>
      </c>
      <c r="N36" s="75">
        <v>0</v>
      </c>
      <c r="O36" s="75">
        <v>341.07</v>
      </c>
      <c r="P36" s="75">
        <v>109.87</v>
      </c>
      <c r="Q36" s="75">
        <v>0</v>
      </c>
      <c r="R36" s="75">
        <v>0</v>
      </c>
      <c r="S36" s="75">
        <v>0.06</v>
      </c>
      <c r="T36" s="75">
        <v>4124.3999999999996</v>
      </c>
      <c r="U36" s="75">
        <v>125.6</v>
      </c>
      <c r="V36" s="75">
        <v>78.88</v>
      </c>
      <c r="W36" s="75">
        <v>141.97999999999999</v>
      </c>
      <c r="X36" s="75">
        <v>345.18</v>
      </c>
      <c r="Y36" s="75">
        <v>280.14999999999998</v>
      </c>
      <c r="Z36" s="75">
        <v>85</v>
      </c>
      <c r="AA36" s="75">
        <v>35.9</v>
      </c>
      <c r="AB36" s="75">
        <v>566.04</v>
      </c>
      <c r="AC36" s="75">
        <v>225.37</v>
      </c>
      <c r="AD36" s="75">
        <v>235.07</v>
      </c>
      <c r="AE36" s="75">
        <v>110</v>
      </c>
      <c r="AF36" s="75">
        <f t="shared" si="0"/>
        <v>232.72095060781947</v>
      </c>
    </row>
    <row r="37" spans="1:32" s="75" customFormat="1" ht="12.75" x14ac:dyDescent="0.2">
      <c r="A37" s="75" t="s">
        <v>141</v>
      </c>
      <c r="B37" s="75" t="s">
        <v>142</v>
      </c>
      <c r="C37" s="75">
        <v>15</v>
      </c>
      <c r="D37" s="75">
        <v>0</v>
      </c>
      <c r="E37" s="75">
        <v>266.67</v>
      </c>
      <c r="F37" s="75">
        <v>278.72000000000003</v>
      </c>
      <c r="G37" s="75">
        <v>4000.05</v>
      </c>
      <c r="H37" s="75">
        <v>0</v>
      </c>
      <c r="I37" s="75">
        <v>0</v>
      </c>
      <c r="J37" s="75">
        <v>4000.05</v>
      </c>
      <c r="L37" s="75">
        <v>0</v>
      </c>
      <c r="M37" s="75">
        <v>0</v>
      </c>
      <c r="N37" s="75">
        <v>0</v>
      </c>
      <c r="O37" s="75">
        <v>313.87</v>
      </c>
      <c r="P37" s="75">
        <v>100.81</v>
      </c>
      <c r="Q37" s="75">
        <v>0</v>
      </c>
      <c r="R37" s="75">
        <v>0</v>
      </c>
      <c r="S37" s="76">
        <v>-0.03</v>
      </c>
      <c r="T37" s="75">
        <v>414.65</v>
      </c>
      <c r="U37" s="75">
        <v>3585.4</v>
      </c>
      <c r="V37" s="75">
        <v>73.17</v>
      </c>
      <c r="W37" s="75">
        <v>131.69999999999999</v>
      </c>
      <c r="X37" s="75">
        <v>335.88</v>
      </c>
      <c r="Y37" s="75">
        <v>273.62</v>
      </c>
      <c r="Z37" s="75">
        <v>80</v>
      </c>
      <c r="AA37" s="75">
        <v>33.299999999999997</v>
      </c>
      <c r="AB37" s="75">
        <v>540.75</v>
      </c>
      <c r="AC37" s="75">
        <v>209.04</v>
      </c>
      <c r="AD37" s="75">
        <v>231.81</v>
      </c>
      <c r="AE37" s="75">
        <v>110</v>
      </c>
      <c r="AF37" s="75">
        <f t="shared" si="0"/>
        <v>219.03679772204578</v>
      </c>
    </row>
    <row r="38" spans="1:32" s="75" customFormat="1" ht="12.75" x14ac:dyDescent="0.2">
      <c r="A38" s="75" t="s">
        <v>206</v>
      </c>
      <c r="B38" s="75" t="s">
        <v>207</v>
      </c>
      <c r="C38" s="75">
        <v>15</v>
      </c>
      <c r="D38" s="75">
        <v>0</v>
      </c>
      <c r="E38" s="75">
        <v>283.33</v>
      </c>
      <c r="F38" s="75">
        <v>300.49</v>
      </c>
      <c r="G38" s="75">
        <v>4250</v>
      </c>
      <c r="H38" s="75">
        <v>0</v>
      </c>
      <c r="I38" s="75">
        <v>0</v>
      </c>
      <c r="J38" s="75">
        <v>4250</v>
      </c>
      <c r="L38" s="75">
        <v>0</v>
      </c>
      <c r="M38" s="75">
        <v>606.75</v>
      </c>
      <c r="N38" s="75">
        <v>0</v>
      </c>
      <c r="O38" s="75">
        <v>341.07</v>
      </c>
      <c r="P38" s="75">
        <v>109.87</v>
      </c>
      <c r="Q38" s="75">
        <v>0</v>
      </c>
      <c r="R38" s="75">
        <v>0</v>
      </c>
      <c r="S38" s="75">
        <v>0.11</v>
      </c>
      <c r="T38" s="75">
        <v>1057.8</v>
      </c>
      <c r="U38" s="75">
        <v>3192.2</v>
      </c>
      <c r="V38" s="75">
        <v>78.88</v>
      </c>
      <c r="W38" s="75">
        <v>141.97999999999999</v>
      </c>
      <c r="X38" s="75">
        <v>345.18</v>
      </c>
      <c r="Y38" s="75">
        <v>280.14999999999998</v>
      </c>
      <c r="Z38" s="75">
        <v>85</v>
      </c>
      <c r="AA38" s="75">
        <v>35.9</v>
      </c>
      <c r="AB38" s="75">
        <v>566.04</v>
      </c>
      <c r="AC38" s="75">
        <v>225.37</v>
      </c>
      <c r="AD38" s="75">
        <v>235.07</v>
      </c>
      <c r="AE38" s="75">
        <v>110</v>
      </c>
      <c r="AF38" s="75">
        <f t="shared" si="0"/>
        <v>232.72095060781947</v>
      </c>
    </row>
    <row r="39" spans="1:32" s="75" customFormat="1" ht="12.75" x14ac:dyDescent="0.2">
      <c r="A39" s="75" t="s">
        <v>305</v>
      </c>
      <c r="B39" s="75" t="s">
        <v>306</v>
      </c>
      <c r="C39" s="75">
        <v>15</v>
      </c>
      <c r="D39" s="75">
        <v>0</v>
      </c>
      <c r="E39" s="75">
        <v>266.67</v>
      </c>
      <c r="F39" s="75">
        <v>282.81</v>
      </c>
      <c r="G39" s="75">
        <v>4000.05</v>
      </c>
      <c r="H39" s="75">
        <v>0</v>
      </c>
      <c r="I39" s="75">
        <v>0</v>
      </c>
      <c r="J39" s="75">
        <v>4000.05</v>
      </c>
      <c r="L39" s="75">
        <v>0</v>
      </c>
      <c r="M39" s="75">
        <v>0</v>
      </c>
      <c r="N39" s="75">
        <v>0</v>
      </c>
      <c r="O39" s="75">
        <v>313.87</v>
      </c>
      <c r="P39" s="75">
        <v>102.51</v>
      </c>
      <c r="Q39" s="75">
        <v>0</v>
      </c>
      <c r="R39" s="75">
        <v>0</v>
      </c>
      <c r="S39" s="75">
        <v>-0.13</v>
      </c>
      <c r="T39" s="75">
        <v>416.25</v>
      </c>
      <c r="U39" s="75">
        <v>3583.8</v>
      </c>
      <c r="V39" s="75">
        <v>74.239999999999995</v>
      </c>
      <c r="W39" s="75">
        <v>133.63</v>
      </c>
      <c r="X39" s="75">
        <v>337.62</v>
      </c>
      <c r="Y39" s="75">
        <v>274.84000000000003</v>
      </c>
      <c r="Z39" s="75">
        <v>80</v>
      </c>
      <c r="AA39" s="75">
        <v>33.79</v>
      </c>
      <c r="AB39" s="75">
        <v>545.49</v>
      </c>
      <c r="AC39" s="75">
        <v>212.11</v>
      </c>
      <c r="AD39" s="75">
        <v>232.42000000000002</v>
      </c>
      <c r="AE39" s="75">
        <v>110</v>
      </c>
      <c r="AF39" s="75">
        <f t="shared" si="0"/>
        <v>219.03679772204578</v>
      </c>
    </row>
    <row r="40" spans="1:32" s="75" customFormat="1" ht="12.75" x14ac:dyDescent="0.2">
      <c r="A40" s="75" t="s">
        <v>329</v>
      </c>
      <c r="B40" s="75" t="s">
        <v>330</v>
      </c>
      <c r="C40" s="75">
        <v>15</v>
      </c>
      <c r="D40" s="75">
        <v>0</v>
      </c>
      <c r="E40" s="75">
        <v>266.67</v>
      </c>
      <c r="F40" s="75">
        <v>282.81</v>
      </c>
      <c r="G40" s="75">
        <v>4000.05</v>
      </c>
      <c r="H40" s="75">
        <v>0</v>
      </c>
      <c r="I40" s="75">
        <v>0</v>
      </c>
      <c r="J40" s="75">
        <v>4000.05</v>
      </c>
      <c r="L40" s="75">
        <v>1833.19</v>
      </c>
      <c r="M40" s="75">
        <v>0</v>
      </c>
      <c r="N40" s="75">
        <v>0</v>
      </c>
      <c r="O40" s="75">
        <v>313.87</v>
      </c>
      <c r="P40" s="75">
        <v>102.51</v>
      </c>
      <c r="Q40" s="75">
        <v>0</v>
      </c>
      <c r="R40" s="75">
        <v>0</v>
      </c>
      <c r="S40" s="75">
        <v>-0.12</v>
      </c>
      <c r="T40" s="75">
        <v>2249.4499999999998</v>
      </c>
      <c r="U40" s="75">
        <v>1750.6</v>
      </c>
      <c r="V40" s="75">
        <v>74.239999999999995</v>
      </c>
      <c r="W40" s="75">
        <v>133.63</v>
      </c>
      <c r="X40" s="75">
        <v>337.62</v>
      </c>
      <c r="Y40" s="75">
        <v>274.84000000000003</v>
      </c>
      <c r="Z40" s="75">
        <v>80</v>
      </c>
      <c r="AA40" s="75">
        <v>33.79</v>
      </c>
      <c r="AB40" s="75">
        <v>545.49</v>
      </c>
      <c r="AC40" s="75">
        <v>212.11</v>
      </c>
      <c r="AD40" s="75">
        <v>232.42000000000002</v>
      </c>
      <c r="AE40" s="75">
        <v>110</v>
      </c>
      <c r="AF40" s="75">
        <f t="shared" si="0"/>
        <v>219.03679772204578</v>
      </c>
    </row>
    <row r="41" spans="1:32" s="75" customFormat="1" ht="12.75" x14ac:dyDescent="0.2">
      <c r="A41" s="75" t="s">
        <v>234</v>
      </c>
      <c r="B41" s="75" t="s">
        <v>235</v>
      </c>
      <c r="C41" s="75">
        <v>15</v>
      </c>
      <c r="D41" s="75">
        <v>0</v>
      </c>
      <c r="E41" s="75">
        <v>466.67</v>
      </c>
      <c r="F41" s="75">
        <v>494.92</v>
      </c>
      <c r="G41" s="75">
        <v>7000.05</v>
      </c>
      <c r="H41" s="75">
        <v>0</v>
      </c>
      <c r="I41" s="75">
        <v>0</v>
      </c>
      <c r="J41" s="75">
        <v>7000.05</v>
      </c>
      <c r="L41" s="75">
        <v>0</v>
      </c>
      <c r="M41" s="75">
        <v>0</v>
      </c>
      <c r="N41" s="75">
        <v>0</v>
      </c>
      <c r="O41" s="75">
        <v>856.99</v>
      </c>
      <c r="P41" s="75">
        <v>190.81</v>
      </c>
      <c r="Q41" s="75">
        <v>0</v>
      </c>
      <c r="R41" s="75">
        <v>0</v>
      </c>
      <c r="S41" s="76">
        <v>-0.15</v>
      </c>
      <c r="T41" s="75">
        <v>1047.6500000000001</v>
      </c>
      <c r="U41" s="75">
        <v>5952.4</v>
      </c>
      <c r="V41" s="75">
        <v>129.91999999999999</v>
      </c>
      <c r="W41" s="75">
        <v>233.85</v>
      </c>
      <c r="X41" s="75">
        <v>428.3</v>
      </c>
      <c r="Y41" s="75">
        <v>338.48</v>
      </c>
      <c r="Z41" s="75">
        <v>140</v>
      </c>
      <c r="AA41" s="75">
        <v>59.14</v>
      </c>
      <c r="AB41" s="75">
        <v>792.07</v>
      </c>
      <c r="AC41" s="75">
        <v>371.19</v>
      </c>
      <c r="AD41" s="75">
        <v>264.24</v>
      </c>
      <c r="AE41" s="75">
        <v>110</v>
      </c>
      <c r="AF41" s="75">
        <f t="shared" si="0"/>
        <v>383.3123425692695</v>
      </c>
    </row>
    <row r="42" spans="1:32" s="75" customFormat="1" ht="12.75" x14ac:dyDescent="0.2">
      <c r="A42" s="75" t="s">
        <v>110</v>
      </c>
      <c r="B42" s="75" t="s">
        <v>111</v>
      </c>
      <c r="C42" s="75">
        <v>15</v>
      </c>
      <c r="D42" s="75">
        <v>0</v>
      </c>
      <c r="E42" s="75">
        <v>266.67</v>
      </c>
      <c r="F42" s="75">
        <v>282.81</v>
      </c>
      <c r="G42" s="75">
        <v>4000.05</v>
      </c>
      <c r="H42" s="75">
        <v>0</v>
      </c>
      <c r="I42" s="75">
        <v>0</v>
      </c>
      <c r="J42" s="75">
        <v>4000.05</v>
      </c>
      <c r="L42" s="75">
        <v>0</v>
      </c>
      <c r="M42" s="75">
        <v>0</v>
      </c>
      <c r="N42" s="75">
        <v>0</v>
      </c>
      <c r="O42" s="75">
        <v>313.87</v>
      </c>
      <c r="P42" s="75">
        <v>102.51</v>
      </c>
      <c r="Q42" s="75">
        <v>0</v>
      </c>
      <c r="R42" s="75">
        <v>250</v>
      </c>
      <c r="S42" s="75">
        <v>7.0000000000000007E-2</v>
      </c>
      <c r="T42" s="75">
        <v>666.45</v>
      </c>
      <c r="U42" s="75">
        <v>3333.6</v>
      </c>
      <c r="V42" s="75">
        <v>74.239999999999995</v>
      </c>
      <c r="W42" s="75">
        <v>133.63</v>
      </c>
      <c r="X42" s="75">
        <v>337.62</v>
      </c>
      <c r="Y42" s="75">
        <v>274.84000000000003</v>
      </c>
      <c r="Z42" s="75">
        <v>80</v>
      </c>
      <c r="AA42" s="75">
        <v>33.79</v>
      </c>
      <c r="AB42" s="75">
        <v>545.49</v>
      </c>
      <c r="AC42" s="75">
        <v>212.11</v>
      </c>
      <c r="AD42" s="75">
        <v>232.42000000000002</v>
      </c>
      <c r="AE42" s="75">
        <v>110</v>
      </c>
      <c r="AF42" s="75">
        <f t="shared" ref="AF42:AF72" si="1">((20/365.24)*15)*E42</f>
        <v>219.03679772204578</v>
      </c>
    </row>
    <row r="43" spans="1:32" s="75" customFormat="1" ht="12.75" x14ac:dyDescent="0.2">
      <c r="A43" s="75" t="s">
        <v>323</v>
      </c>
      <c r="B43" s="75" t="s">
        <v>324</v>
      </c>
      <c r="C43" s="75">
        <v>15</v>
      </c>
      <c r="D43" s="75">
        <v>0</v>
      </c>
      <c r="E43" s="75">
        <v>266.67</v>
      </c>
      <c r="F43" s="75">
        <v>282.81</v>
      </c>
      <c r="G43" s="75">
        <v>4000.05</v>
      </c>
      <c r="H43" s="75">
        <v>0</v>
      </c>
      <c r="I43" s="75">
        <v>0</v>
      </c>
      <c r="J43" s="75">
        <v>4000.05</v>
      </c>
      <c r="L43" s="75">
        <v>0</v>
      </c>
      <c r="M43" s="75">
        <v>0</v>
      </c>
      <c r="N43" s="75">
        <v>0</v>
      </c>
      <c r="O43" s="75">
        <v>313.87</v>
      </c>
      <c r="P43" s="75">
        <v>102.51</v>
      </c>
      <c r="Q43" s="75">
        <v>0</v>
      </c>
      <c r="R43" s="75">
        <v>0</v>
      </c>
      <c r="S43" s="76">
        <v>7.0000000000000007E-2</v>
      </c>
      <c r="T43" s="75">
        <v>416.45</v>
      </c>
      <c r="U43" s="75">
        <v>3583.6</v>
      </c>
      <c r="V43" s="75">
        <v>74.239999999999995</v>
      </c>
      <c r="W43" s="75">
        <v>133.63</v>
      </c>
      <c r="X43" s="75">
        <v>337.62</v>
      </c>
      <c r="Y43" s="75">
        <v>274.84000000000003</v>
      </c>
      <c r="Z43" s="75">
        <v>80</v>
      </c>
      <c r="AA43" s="75">
        <v>33.79</v>
      </c>
      <c r="AB43" s="75">
        <v>545.49</v>
      </c>
      <c r="AC43" s="75">
        <v>212.11</v>
      </c>
      <c r="AD43" s="75">
        <v>232.42000000000002</v>
      </c>
      <c r="AE43" s="75">
        <v>110</v>
      </c>
      <c r="AF43" s="75">
        <f t="shared" si="1"/>
        <v>219.03679772204578</v>
      </c>
    </row>
    <row r="44" spans="1:32" s="75" customFormat="1" ht="12.75" x14ac:dyDescent="0.2">
      <c r="A44" s="75" t="s">
        <v>269</v>
      </c>
      <c r="B44" s="75" t="s">
        <v>270</v>
      </c>
      <c r="C44" s="75">
        <v>15</v>
      </c>
      <c r="D44" s="75">
        <v>0</v>
      </c>
      <c r="E44" s="75">
        <v>266.67</v>
      </c>
      <c r="F44" s="75">
        <v>282.81</v>
      </c>
      <c r="G44" s="75">
        <v>4000.05</v>
      </c>
      <c r="H44" s="75">
        <v>0</v>
      </c>
      <c r="I44" s="75">
        <v>0</v>
      </c>
      <c r="J44" s="75">
        <v>4000.05</v>
      </c>
      <c r="L44" s="75">
        <v>0</v>
      </c>
      <c r="M44" s="75">
        <v>0</v>
      </c>
      <c r="N44" s="75">
        <v>0</v>
      </c>
      <c r="O44" s="75">
        <v>313.87</v>
      </c>
      <c r="P44" s="75">
        <v>102.51</v>
      </c>
      <c r="Q44" s="75">
        <v>0</v>
      </c>
      <c r="R44" s="75">
        <v>0</v>
      </c>
      <c r="S44" s="75">
        <v>7.0000000000000007E-2</v>
      </c>
      <c r="T44" s="75">
        <v>416.45</v>
      </c>
      <c r="U44" s="75">
        <v>3583.6</v>
      </c>
      <c r="V44" s="75">
        <v>74.239999999999995</v>
      </c>
      <c r="W44" s="75">
        <v>133.63</v>
      </c>
      <c r="X44" s="75">
        <v>337.62</v>
      </c>
      <c r="Y44" s="75">
        <v>274.84000000000003</v>
      </c>
      <c r="Z44" s="75">
        <v>80</v>
      </c>
      <c r="AA44" s="75">
        <v>33.79</v>
      </c>
      <c r="AB44" s="75">
        <v>545.49</v>
      </c>
      <c r="AC44" s="75">
        <v>212.11</v>
      </c>
      <c r="AD44" s="75">
        <v>232.42000000000002</v>
      </c>
      <c r="AE44" s="75">
        <v>110</v>
      </c>
      <c r="AF44" s="75">
        <f t="shared" si="1"/>
        <v>219.03679772204578</v>
      </c>
    </row>
    <row r="45" spans="1:32" s="75" customFormat="1" ht="12.75" x14ac:dyDescent="0.2">
      <c r="A45" s="75" t="s">
        <v>196</v>
      </c>
      <c r="B45" s="75" t="s">
        <v>197</v>
      </c>
      <c r="C45" s="75">
        <v>15</v>
      </c>
      <c r="D45" s="75">
        <v>0</v>
      </c>
      <c r="E45" s="75">
        <v>266.67</v>
      </c>
      <c r="F45" s="75">
        <v>278.72000000000003</v>
      </c>
      <c r="G45" s="75">
        <v>4000.05</v>
      </c>
      <c r="H45" s="75">
        <v>0</v>
      </c>
      <c r="I45" s="75">
        <v>0</v>
      </c>
      <c r="J45" s="75">
        <v>4000.05</v>
      </c>
      <c r="L45" s="75">
        <v>0</v>
      </c>
      <c r="M45" s="75">
        <v>0</v>
      </c>
      <c r="N45" s="75">
        <v>0</v>
      </c>
      <c r="O45" s="75">
        <v>313.87</v>
      </c>
      <c r="P45" s="75">
        <v>100.81</v>
      </c>
      <c r="Q45" s="75">
        <v>0</v>
      </c>
      <c r="R45" s="75">
        <v>0</v>
      </c>
      <c r="S45" s="76">
        <v>-0.03</v>
      </c>
      <c r="T45" s="75">
        <v>414.65</v>
      </c>
      <c r="U45" s="75">
        <v>3585.4</v>
      </c>
      <c r="V45" s="75">
        <v>73.17</v>
      </c>
      <c r="W45" s="75">
        <v>131.69999999999999</v>
      </c>
      <c r="X45" s="75">
        <v>335.88</v>
      </c>
      <c r="Y45" s="75">
        <v>273.62</v>
      </c>
      <c r="Z45" s="75">
        <v>80</v>
      </c>
      <c r="AA45" s="75">
        <v>33.299999999999997</v>
      </c>
      <c r="AB45" s="75">
        <v>540.75</v>
      </c>
      <c r="AC45" s="75">
        <v>209.04</v>
      </c>
      <c r="AD45" s="75">
        <v>231.81</v>
      </c>
      <c r="AE45" s="75">
        <v>110</v>
      </c>
      <c r="AF45" s="75">
        <f t="shared" si="1"/>
        <v>219.03679772204578</v>
      </c>
    </row>
    <row r="46" spans="1:32" s="75" customFormat="1" ht="12.75" x14ac:dyDescent="0.2">
      <c r="A46" s="75" t="s">
        <v>308</v>
      </c>
      <c r="B46" s="75" t="s">
        <v>309</v>
      </c>
      <c r="C46" s="75">
        <v>15</v>
      </c>
      <c r="D46" s="75">
        <v>0</v>
      </c>
      <c r="E46" s="75">
        <v>266.67</v>
      </c>
      <c r="F46" s="75">
        <v>278.72000000000003</v>
      </c>
      <c r="G46" s="75">
        <v>4000.05</v>
      </c>
      <c r="H46" s="75">
        <v>0</v>
      </c>
      <c r="I46" s="75">
        <v>0</v>
      </c>
      <c r="J46" s="75">
        <v>4000.05</v>
      </c>
      <c r="L46" s="75">
        <v>0</v>
      </c>
      <c r="M46" s="75">
        <v>0</v>
      </c>
      <c r="N46" s="75">
        <v>0</v>
      </c>
      <c r="O46" s="75">
        <v>313.87</v>
      </c>
      <c r="P46" s="75">
        <v>100.81</v>
      </c>
      <c r="Q46" s="75">
        <v>0</v>
      </c>
      <c r="R46" s="75">
        <v>0</v>
      </c>
      <c r="S46" s="76">
        <v>-0.03</v>
      </c>
      <c r="T46" s="75">
        <v>414.65</v>
      </c>
      <c r="U46" s="75">
        <v>3585.4</v>
      </c>
      <c r="V46" s="75">
        <v>73.17</v>
      </c>
      <c r="W46" s="75">
        <v>131.69999999999999</v>
      </c>
      <c r="X46" s="75">
        <v>335.88</v>
      </c>
      <c r="Y46" s="75">
        <v>273.62</v>
      </c>
      <c r="Z46" s="75">
        <v>80</v>
      </c>
      <c r="AA46" s="75">
        <v>33.299999999999997</v>
      </c>
      <c r="AB46" s="75">
        <v>540.75</v>
      </c>
      <c r="AC46" s="75">
        <v>209.04</v>
      </c>
      <c r="AD46" s="75">
        <v>231.81</v>
      </c>
      <c r="AE46" s="75">
        <v>110</v>
      </c>
      <c r="AF46" s="75">
        <f t="shared" si="1"/>
        <v>219.03679772204578</v>
      </c>
    </row>
    <row r="47" spans="1:32" s="75" customFormat="1" ht="12.75" x14ac:dyDescent="0.2">
      <c r="A47" s="75" t="s">
        <v>193</v>
      </c>
      <c r="B47" s="75" t="s">
        <v>194</v>
      </c>
      <c r="C47" s="75">
        <v>15</v>
      </c>
      <c r="D47" s="75">
        <v>0</v>
      </c>
      <c r="E47" s="75">
        <v>220.83</v>
      </c>
      <c r="F47" s="75">
        <v>234.2</v>
      </c>
      <c r="G47" s="75">
        <v>3312.45</v>
      </c>
      <c r="H47" s="75">
        <v>0</v>
      </c>
      <c r="I47" s="75">
        <v>0</v>
      </c>
      <c r="J47" s="75">
        <v>3312.45</v>
      </c>
      <c r="L47" s="75">
        <v>2017.96</v>
      </c>
      <c r="M47" s="75">
        <v>0</v>
      </c>
      <c r="N47" s="75">
        <v>0</v>
      </c>
      <c r="O47" s="75">
        <v>113.96</v>
      </c>
      <c r="P47" s="75">
        <v>83.43</v>
      </c>
      <c r="Q47" s="75">
        <v>0</v>
      </c>
      <c r="R47" s="75">
        <v>0</v>
      </c>
      <c r="S47" s="76">
        <v>-0.1</v>
      </c>
      <c r="T47" s="75">
        <v>2215.25</v>
      </c>
      <c r="U47" s="75">
        <v>1097.2</v>
      </c>
      <c r="V47" s="75">
        <v>61.48</v>
      </c>
      <c r="W47" s="75">
        <v>110.66</v>
      </c>
      <c r="X47" s="75">
        <v>320.02</v>
      </c>
      <c r="Y47" s="75">
        <v>260.26</v>
      </c>
      <c r="Z47" s="75">
        <v>66.25</v>
      </c>
      <c r="AA47" s="75">
        <v>27.98</v>
      </c>
      <c r="AB47" s="75">
        <v>492.16</v>
      </c>
      <c r="AC47" s="75">
        <v>175.65</v>
      </c>
      <c r="AD47" s="75">
        <v>225.13</v>
      </c>
      <c r="AE47" s="75">
        <v>110</v>
      </c>
      <c r="AF47" s="75">
        <f t="shared" si="1"/>
        <v>181.3848428430621</v>
      </c>
    </row>
    <row r="48" spans="1:32" s="75" customFormat="1" ht="12.75" x14ac:dyDescent="0.2">
      <c r="A48" s="75" t="s">
        <v>259</v>
      </c>
      <c r="B48" s="75" t="s">
        <v>260</v>
      </c>
      <c r="C48" s="75">
        <v>15</v>
      </c>
      <c r="D48" s="75">
        <v>0</v>
      </c>
      <c r="E48" s="75">
        <v>150</v>
      </c>
      <c r="F48" s="75">
        <v>156.78</v>
      </c>
      <c r="G48" s="75">
        <v>2250</v>
      </c>
      <c r="H48" s="75">
        <v>0</v>
      </c>
      <c r="I48" s="75">
        <v>0</v>
      </c>
      <c r="J48" s="75">
        <v>2250</v>
      </c>
      <c r="L48" s="75">
        <v>0</v>
      </c>
      <c r="M48" s="75">
        <v>763.43</v>
      </c>
      <c r="N48" s="76">
        <v>-43.57</v>
      </c>
      <c r="O48" s="75">
        <v>0</v>
      </c>
      <c r="P48" s="75">
        <v>55.86</v>
      </c>
      <c r="Q48" s="75">
        <v>0</v>
      </c>
      <c r="R48" s="75">
        <v>0</v>
      </c>
      <c r="S48" s="75">
        <v>-0.12</v>
      </c>
      <c r="T48" s="75">
        <v>775.6</v>
      </c>
      <c r="U48" s="75">
        <v>1474.4</v>
      </c>
      <c r="V48" s="75">
        <v>41.15</v>
      </c>
      <c r="W48" s="75">
        <v>74.08</v>
      </c>
      <c r="X48" s="75">
        <v>299.69</v>
      </c>
      <c r="Y48" s="75">
        <v>237.03</v>
      </c>
      <c r="Z48" s="75">
        <v>45</v>
      </c>
      <c r="AA48" s="75">
        <v>18.73</v>
      </c>
      <c r="AB48" s="75">
        <v>414.92</v>
      </c>
      <c r="AC48" s="75">
        <v>117.58</v>
      </c>
      <c r="AD48" s="75">
        <v>213.52</v>
      </c>
      <c r="AE48" s="75">
        <v>110</v>
      </c>
      <c r="AF48" s="75">
        <f t="shared" si="1"/>
        <v>123.2066586354178</v>
      </c>
    </row>
    <row r="49" spans="1:32" s="75" customFormat="1" ht="12.75" x14ac:dyDescent="0.2">
      <c r="A49" s="75" t="s">
        <v>254</v>
      </c>
      <c r="B49" s="75" t="s">
        <v>255</v>
      </c>
      <c r="C49" s="75">
        <v>15</v>
      </c>
      <c r="D49" s="75">
        <v>0</v>
      </c>
      <c r="E49" s="75">
        <v>150</v>
      </c>
      <c r="F49" s="75">
        <v>156.78</v>
      </c>
      <c r="G49" s="75">
        <v>2250</v>
      </c>
      <c r="H49" s="75">
        <v>0</v>
      </c>
      <c r="I49" s="75">
        <v>0</v>
      </c>
      <c r="J49" s="75">
        <v>2250</v>
      </c>
      <c r="L49" s="75">
        <v>0</v>
      </c>
      <c r="M49" s="75">
        <v>0</v>
      </c>
      <c r="N49" s="76">
        <v>-43.57</v>
      </c>
      <c r="O49" s="75">
        <v>0</v>
      </c>
      <c r="P49" s="75">
        <v>55.86</v>
      </c>
      <c r="Q49" s="75">
        <v>0</v>
      </c>
      <c r="R49" s="75">
        <v>0</v>
      </c>
      <c r="S49" s="76">
        <v>0.11</v>
      </c>
      <c r="T49" s="75">
        <v>12.4</v>
      </c>
      <c r="U49" s="75">
        <v>2237.6</v>
      </c>
      <c r="V49" s="75">
        <v>41.15</v>
      </c>
      <c r="W49" s="75">
        <v>74.08</v>
      </c>
      <c r="X49" s="75">
        <v>299.69</v>
      </c>
      <c r="Y49" s="75">
        <v>237.03</v>
      </c>
      <c r="Z49" s="75">
        <v>45</v>
      </c>
      <c r="AA49" s="75">
        <v>18.73</v>
      </c>
      <c r="AB49" s="75">
        <v>414.92</v>
      </c>
      <c r="AC49" s="75">
        <v>117.58</v>
      </c>
      <c r="AD49" s="75">
        <v>213.52</v>
      </c>
      <c r="AE49" s="75">
        <v>110</v>
      </c>
      <c r="AF49" s="75">
        <f t="shared" si="1"/>
        <v>123.2066586354178</v>
      </c>
    </row>
    <row r="50" spans="1:32" s="75" customFormat="1" ht="12.75" x14ac:dyDescent="0.2">
      <c r="A50" s="75" t="s">
        <v>169</v>
      </c>
      <c r="B50" s="75" t="s">
        <v>170</v>
      </c>
      <c r="C50" s="75">
        <v>15</v>
      </c>
      <c r="D50" s="75">
        <v>0</v>
      </c>
      <c r="E50" s="75">
        <v>233.33</v>
      </c>
      <c r="F50" s="75">
        <v>243.88</v>
      </c>
      <c r="G50" s="75">
        <v>3499.95</v>
      </c>
      <c r="H50" s="75">
        <v>0</v>
      </c>
      <c r="I50" s="75">
        <v>0</v>
      </c>
      <c r="J50" s="75">
        <v>3499.95</v>
      </c>
      <c r="L50" s="75">
        <v>0</v>
      </c>
      <c r="M50" s="75">
        <v>0</v>
      </c>
      <c r="N50" s="75">
        <v>0</v>
      </c>
      <c r="O50" s="75">
        <v>134.36000000000001</v>
      </c>
      <c r="P50" s="75">
        <v>86.88</v>
      </c>
      <c r="Q50" s="75">
        <v>0</v>
      </c>
      <c r="R50" s="75">
        <v>0</v>
      </c>
      <c r="S50" s="75">
        <v>0.11</v>
      </c>
      <c r="T50" s="75">
        <v>221.35</v>
      </c>
      <c r="U50" s="75">
        <v>3278.6</v>
      </c>
      <c r="V50" s="75">
        <v>64.02</v>
      </c>
      <c r="W50" s="75">
        <v>115.23</v>
      </c>
      <c r="X50" s="75">
        <v>322.56</v>
      </c>
      <c r="Y50" s="75">
        <v>263.15999999999997</v>
      </c>
      <c r="Z50" s="75">
        <v>70</v>
      </c>
      <c r="AA50" s="75">
        <v>29.14</v>
      </c>
      <c r="AB50" s="75">
        <v>501.81</v>
      </c>
      <c r="AC50" s="75">
        <v>182.91</v>
      </c>
      <c r="AD50" s="75">
        <v>226.57999999999998</v>
      </c>
      <c r="AE50" s="75">
        <v>110</v>
      </c>
      <c r="AF50" s="75">
        <f t="shared" si="1"/>
        <v>191.65206439601357</v>
      </c>
    </row>
    <row r="51" spans="1:32" s="75" customFormat="1" ht="12.75" x14ac:dyDescent="0.2">
      <c r="A51" s="75" t="s">
        <v>127</v>
      </c>
      <c r="B51" s="75" t="s">
        <v>128</v>
      </c>
      <c r="C51" s="75">
        <v>15</v>
      </c>
      <c r="D51" s="75">
        <v>0</v>
      </c>
      <c r="E51" s="75">
        <v>233.33</v>
      </c>
      <c r="F51" s="75">
        <v>243.88</v>
      </c>
      <c r="G51" s="75">
        <v>3499.95</v>
      </c>
      <c r="H51" s="75">
        <v>0</v>
      </c>
      <c r="I51" s="75">
        <v>0</v>
      </c>
      <c r="J51" s="75">
        <v>3499.95</v>
      </c>
      <c r="L51" s="75">
        <v>0</v>
      </c>
      <c r="M51" s="75">
        <v>0</v>
      </c>
      <c r="N51" s="75">
        <v>0</v>
      </c>
      <c r="O51" s="75">
        <v>134.36000000000001</v>
      </c>
      <c r="P51" s="75">
        <v>86.88</v>
      </c>
      <c r="Q51" s="75">
        <v>0</v>
      </c>
      <c r="R51" s="75">
        <v>0</v>
      </c>
      <c r="S51" s="76">
        <v>-0.09</v>
      </c>
      <c r="T51" s="75">
        <v>221.15</v>
      </c>
      <c r="U51" s="75">
        <v>3278.8</v>
      </c>
      <c r="V51" s="75">
        <v>64.02</v>
      </c>
      <c r="W51" s="75">
        <v>115.23</v>
      </c>
      <c r="X51" s="75">
        <v>322.56</v>
      </c>
      <c r="Y51" s="75">
        <v>263.15999999999997</v>
      </c>
      <c r="Z51" s="75">
        <v>70</v>
      </c>
      <c r="AA51" s="75">
        <v>29.14</v>
      </c>
      <c r="AB51" s="75">
        <v>501.81</v>
      </c>
      <c r="AC51" s="75">
        <v>182.91</v>
      </c>
      <c r="AD51" s="75">
        <v>226.57999999999998</v>
      </c>
      <c r="AE51" s="75">
        <v>110</v>
      </c>
      <c r="AF51" s="75">
        <f t="shared" si="1"/>
        <v>191.65206439601357</v>
      </c>
    </row>
    <row r="52" spans="1:32" s="75" customFormat="1" ht="12.75" x14ac:dyDescent="0.2">
      <c r="A52" s="75" t="s">
        <v>237</v>
      </c>
      <c r="B52" s="75" t="s">
        <v>238</v>
      </c>
      <c r="C52" s="75">
        <v>15</v>
      </c>
      <c r="D52" s="75">
        <v>0</v>
      </c>
      <c r="E52" s="75">
        <v>312.87</v>
      </c>
      <c r="F52" s="75">
        <v>327.01</v>
      </c>
      <c r="G52" s="75">
        <v>4693.05</v>
      </c>
      <c r="H52" s="75">
        <v>0</v>
      </c>
      <c r="I52" s="75">
        <v>0</v>
      </c>
      <c r="J52" s="75">
        <v>4693.05</v>
      </c>
      <c r="L52" s="75">
        <v>1865.85</v>
      </c>
      <c r="M52" s="75">
        <v>0</v>
      </c>
      <c r="N52" s="75">
        <v>0</v>
      </c>
      <c r="O52" s="75">
        <v>411.56</v>
      </c>
      <c r="P52" s="75">
        <v>120.9</v>
      </c>
      <c r="Q52" s="75">
        <v>0</v>
      </c>
      <c r="R52" s="75">
        <v>0</v>
      </c>
      <c r="S52" s="76">
        <v>0.14000000000000001</v>
      </c>
      <c r="T52" s="75">
        <v>2398.4499999999998</v>
      </c>
      <c r="U52" s="75">
        <v>2294.6</v>
      </c>
      <c r="V52" s="75">
        <v>85.84</v>
      </c>
      <c r="W52" s="75">
        <v>154.51</v>
      </c>
      <c r="X52" s="75">
        <v>356.51</v>
      </c>
      <c r="Y52" s="75">
        <v>288.10000000000002</v>
      </c>
      <c r="Z52" s="75">
        <v>93.86</v>
      </c>
      <c r="AA52" s="75">
        <v>39.07</v>
      </c>
      <c r="AB52" s="75">
        <v>596.86</v>
      </c>
      <c r="AC52" s="75">
        <v>245.26</v>
      </c>
      <c r="AD52" s="75">
        <v>239.05</v>
      </c>
      <c r="AE52" s="75">
        <v>110</v>
      </c>
      <c r="AF52" s="75">
        <f t="shared" si="1"/>
        <v>256.98444858175446</v>
      </c>
    </row>
    <row r="53" spans="1:32" s="75" customFormat="1" ht="12.75" x14ac:dyDescent="0.2">
      <c r="A53" s="75" t="s">
        <v>246</v>
      </c>
      <c r="B53" s="75" t="s">
        <v>247</v>
      </c>
      <c r="C53" s="75">
        <v>15</v>
      </c>
      <c r="D53" s="75">
        <v>0</v>
      </c>
      <c r="E53" s="75">
        <v>312.87</v>
      </c>
      <c r="F53" s="75">
        <v>327.01</v>
      </c>
      <c r="G53" s="75">
        <v>4693.05</v>
      </c>
      <c r="H53" s="75">
        <v>0</v>
      </c>
      <c r="I53" s="75">
        <v>0</v>
      </c>
      <c r="J53" s="75">
        <v>4693.05</v>
      </c>
      <c r="L53" s="75">
        <v>2160.15</v>
      </c>
      <c r="M53" s="75">
        <v>0</v>
      </c>
      <c r="N53" s="75">
        <v>0</v>
      </c>
      <c r="O53" s="75">
        <v>411.56</v>
      </c>
      <c r="P53" s="75">
        <v>120.9</v>
      </c>
      <c r="Q53" s="75">
        <v>0</v>
      </c>
      <c r="R53" s="75">
        <v>395.82</v>
      </c>
      <c r="S53" s="76">
        <v>-0.18</v>
      </c>
      <c r="T53" s="75">
        <v>3088.25</v>
      </c>
      <c r="U53" s="75">
        <v>1604.8</v>
      </c>
      <c r="V53" s="75">
        <v>85.84</v>
      </c>
      <c r="W53" s="75">
        <v>154.51</v>
      </c>
      <c r="X53" s="75">
        <v>356.51</v>
      </c>
      <c r="Y53" s="75">
        <v>288.10000000000002</v>
      </c>
      <c r="Z53" s="75">
        <v>93.86</v>
      </c>
      <c r="AA53" s="75">
        <v>39.07</v>
      </c>
      <c r="AB53" s="75">
        <v>596.86</v>
      </c>
      <c r="AC53" s="75">
        <v>245.26</v>
      </c>
      <c r="AD53" s="75">
        <v>239.05</v>
      </c>
      <c r="AE53" s="75">
        <v>110</v>
      </c>
      <c r="AF53" s="75">
        <f t="shared" si="1"/>
        <v>256.98444858175446</v>
      </c>
    </row>
    <row r="54" spans="1:32" s="75" customFormat="1" ht="12.75" x14ac:dyDescent="0.2">
      <c r="A54" s="75" t="s">
        <v>318</v>
      </c>
      <c r="B54" s="75" t="s">
        <v>319</v>
      </c>
      <c r="C54" s="75">
        <v>15</v>
      </c>
      <c r="D54" s="75">
        <v>0</v>
      </c>
      <c r="E54" s="75">
        <v>238.84</v>
      </c>
      <c r="F54" s="75">
        <v>249.64</v>
      </c>
      <c r="G54" s="75">
        <v>3582.6</v>
      </c>
      <c r="H54" s="75">
        <v>0</v>
      </c>
      <c r="I54" s="75">
        <v>0</v>
      </c>
      <c r="J54" s="75">
        <v>3582.6</v>
      </c>
      <c r="L54" s="75">
        <v>0</v>
      </c>
      <c r="M54" s="75">
        <v>0</v>
      </c>
      <c r="N54" s="75">
        <v>0</v>
      </c>
      <c r="O54" s="75">
        <v>161.08000000000001</v>
      </c>
      <c r="P54" s="75">
        <v>88.93</v>
      </c>
      <c r="Q54" s="75">
        <v>0</v>
      </c>
      <c r="R54" s="75">
        <v>0</v>
      </c>
      <c r="S54" s="76">
        <v>-0.01</v>
      </c>
      <c r="T54" s="75">
        <v>250</v>
      </c>
      <c r="U54" s="75">
        <v>3332.6</v>
      </c>
      <c r="V54" s="75">
        <v>65.53</v>
      </c>
      <c r="W54" s="75">
        <v>117.95</v>
      </c>
      <c r="X54" s="75">
        <v>324.07</v>
      </c>
      <c r="Y54" s="75">
        <v>264.89</v>
      </c>
      <c r="Z54" s="75">
        <v>71.650000000000006</v>
      </c>
      <c r="AA54" s="75">
        <v>29.83</v>
      </c>
      <c r="AB54" s="75">
        <v>507.55</v>
      </c>
      <c r="AC54" s="75">
        <v>187.23</v>
      </c>
      <c r="AD54" s="75">
        <v>227.45</v>
      </c>
      <c r="AE54" s="75">
        <v>110</v>
      </c>
      <c r="AF54" s="75">
        <f t="shared" si="1"/>
        <v>196.17785565655458</v>
      </c>
    </row>
    <row r="55" spans="1:32" s="75" customFormat="1" ht="12.75" x14ac:dyDescent="0.2">
      <c r="A55" s="75" t="s">
        <v>326</v>
      </c>
      <c r="B55" s="75" t="s">
        <v>327</v>
      </c>
      <c r="C55" s="75">
        <v>15</v>
      </c>
      <c r="D55" s="75">
        <v>0</v>
      </c>
      <c r="E55" s="75">
        <v>238.84</v>
      </c>
      <c r="F55" s="75">
        <v>249.64</v>
      </c>
      <c r="G55" s="75">
        <v>3582.6</v>
      </c>
      <c r="H55" s="75">
        <v>0</v>
      </c>
      <c r="I55" s="75">
        <v>0</v>
      </c>
      <c r="J55" s="75">
        <v>3582.6</v>
      </c>
      <c r="L55" s="75">
        <v>1191.26</v>
      </c>
      <c r="M55" s="75">
        <v>0</v>
      </c>
      <c r="N55" s="75">
        <v>0</v>
      </c>
      <c r="O55" s="75">
        <v>161.08000000000001</v>
      </c>
      <c r="P55" s="75">
        <v>88.93</v>
      </c>
      <c r="Q55" s="75">
        <v>0</v>
      </c>
      <c r="R55" s="75">
        <v>0</v>
      </c>
      <c r="S55" s="76">
        <v>-7.0000000000000007E-2</v>
      </c>
      <c r="T55" s="75">
        <v>1441.2</v>
      </c>
      <c r="U55" s="75">
        <v>2141.4</v>
      </c>
      <c r="V55" s="75">
        <v>65.53</v>
      </c>
      <c r="W55" s="75">
        <v>117.95</v>
      </c>
      <c r="X55" s="75">
        <v>324.07</v>
      </c>
      <c r="Y55" s="75">
        <v>264.89</v>
      </c>
      <c r="Z55" s="75">
        <v>71.650000000000006</v>
      </c>
      <c r="AA55" s="75">
        <v>29.83</v>
      </c>
      <c r="AB55" s="75">
        <v>507.55</v>
      </c>
      <c r="AC55" s="75">
        <v>187.23</v>
      </c>
      <c r="AD55" s="75">
        <v>227.45</v>
      </c>
      <c r="AE55" s="75">
        <v>110</v>
      </c>
      <c r="AF55" s="75">
        <f t="shared" si="1"/>
        <v>196.17785565655458</v>
      </c>
    </row>
    <row r="56" spans="1:32" s="75" customFormat="1" ht="12.75" x14ac:dyDescent="0.2">
      <c r="A56" s="75" t="s">
        <v>315</v>
      </c>
      <c r="B56" s="75" t="s">
        <v>316</v>
      </c>
      <c r="C56" s="75">
        <v>12</v>
      </c>
      <c r="D56" s="75">
        <v>3</v>
      </c>
      <c r="E56" s="75">
        <v>238.84</v>
      </c>
      <c r="F56" s="75">
        <v>249.64</v>
      </c>
      <c r="G56" s="75">
        <v>2866.08</v>
      </c>
      <c r="H56" s="75">
        <v>716.52</v>
      </c>
      <c r="I56" s="75">
        <v>214.96</v>
      </c>
      <c r="J56" s="75">
        <v>3797.56</v>
      </c>
      <c r="L56" s="75">
        <v>0</v>
      </c>
      <c r="M56" s="75">
        <v>1230.6500000000001</v>
      </c>
      <c r="N56" s="75">
        <v>0</v>
      </c>
      <c r="O56" s="75">
        <v>161.08000000000001</v>
      </c>
      <c r="P56" s="75">
        <v>88.93</v>
      </c>
      <c r="Q56" s="75">
        <v>0</v>
      </c>
      <c r="R56" s="75">
        <v>170.67</v>
      </c>
      <c r="S56" s="75">
        <v>-0.17</v>
      </c>
      <c r="T56" s="75">
        <v>1651.16</v>
      </c>
      <c r="U56" s="75">
        <v>2146.4</v>
      </c>
      <c r="V56" s="75">
        <v>65.53</v>
      </c>
      <c r="W56" s="75">
        <v>117.95</v>
      </c>
      <c r="X56" s="75">
        <v>324.07</v>
      </c>
      <c r="Y56" s="75">
        <v>264.89</v>
      </c>
      <c r="Z56" s="75">
        <v>75.95</v>
      </c>
      <c r="AA56" s="75">
        <v>29.83</v>
      </c>
      <c r="AB56" s="75">
        <v>507.55</v>
      </c>
      <c r="AC56" s="75">
        <v>187.23</v>
      </c>
      <c r="AD56" s="75">
        <v>227.45</v>
      </c>
      <c r="AE56" s="75">
        <v>110</v>
      </c>
      <c r="AF56" s="75">
        <f t="shared" si="1"/>
        <v>196.17785565655458</v>
      </c>
    </row>
    <row r="57" spans="1:32" s="75" customFormat="1" ht="12.75" x14ac:dyDescent="0.2">
      <c r="A57" s="75" t="s">
        <v>133</v>
      </c>
      <c r="B57" s="75" t="s">
        <v>134</v>
      </c>
      <c r="C57" s="75">
        <v>15</v>
      </c>
      <c r="D57" s="75">
        <v>0</v>
      </c>
      <c r="E57" s="75">
        <v>238.84</v>
      </c>
      <c r="F57" s="75">
        <v>249.64</v>
      </c>
      <c r="G57" s="75">
        <v>3582.6</v>
      </c>
      <c r="H57" s="75">
        <v>0</v>
      </c>
      <c r="I57" s="75">
        <v>0</v>
      </c>
      <c r="J57" s="75">
        <v>3582.6</v>
      </c>
      <c r="L57" s="75">
        <v>0</v>
      </c>
      <c r="M57" s="75">
        <v>0</v>
      </c>
      <c r="N57" s="75">
        <v>0</v>
      </c>
      <c r="O57" s="75">
        <v>161.08000000000001</v>
      </c>
      <c r="P57" s="75">
        <v>88.93</v>
      </c>
      <c r="Q57" s="75">
        <v>0</v>
      </c>
      <c r="R57" s="75">
        <v>0</v>
      </c>
      <c r="S57" s="76">
        <v>-0.01</v>
      </c>
      <c r="T57" s="75">
        <v>250</v>
      </c>
      <c r="U57" s="75">
        <v>3332.6</v>
      </c>
      <c r="V57" s="75">
        <v>65.53</v>
      </c>
      <c r="W57" s="75">
        <v>117.95</v>
      </c>
      <c r="X57" s="75">
        <v>324.07</v>
      </c>
      <c r="Y57" s="75">
        <v>264.89</v>
      </c>
      <c r="Z57" s="75">
        <v>71.650000000000006</v>
      </c>
      <c r="AA57" s="75">
        <v>29.83</v>
      </c>
      <c r="AB57" s="75">
        <v>507.55</v>
      </c>
      <c r="AC57" s="75">
        <v>187.23</v>
      </c>
      <c r="AD57" s="75">
        <v>227.45</v>
      </c>
      <c r="AE57" s="75">
        <v>110</v>
      </c>
      <c r="AF57" s="75">
        <f t="shared" si="1"/>
        <v>196.17785565655458</v>
      </c>
    </row>
    <row r="58" spans="1:32" s="75" customFormat="1" ht="12.75" x14ac:dyDescent="0.2">
      <c r="A58" s="75" t="s">
        <v>177</v>
      </c>
      <c r="B58" s="75" t="s">
        <v>178</v>
      </c>
      <c r="C58" s="75">
        <v>15</v>
      </c>
      <c r="D58" s="75">
        <v>0</v>
      </c>
      <c r="E58" s="75">
        <v>200</v>
      </c>
      <c r="F58" s="75">
        <v>212.11</v>
      </c>
      <c r="G58" s="75">
        <v>3000</v>
      </c>
      <c r="H58" s="75">
        <v>0</v>
      </c>
      <c r="I58" s="75">
        <v>0</v>
      </c>
      <c r="J58" s="75">
        <v>3000</v>
      </c>
      <c r="L58" s="75">
        <v>0</v>
      </c>
      <c r="M58" s="75">
        <v>0</v>
      </c>
      <c r="N58" s="75">
        <v>0</v>
      </c>
      <c r="O58" s="75">
        <v>59.69</v>
      </c>
      <c r="P58" s="75">
        <v>75.56</v>
      </c>
      <c r="Q58" s="75">
        <v>0</v>
      </c>
      <c r="R58" s="75">
        <v>385</v>
      </c>
      <c r="S58" s="76">
        <v>0.15</v>
      </c>
      <c r="T58" s="75">
        <v>520.4</v>
      </c>
      <c r="U58" s="75">
        <v>2479.6</v>
      </c>
      <c r="V58" s="75">
        <v>55.68</v>
      </c>
      <c r="W58" s="75">
        <v>100.22</v>
      </c>
      <c r="X58" s="75">
        <v>314.22000000000003</v>
      </c>
      <c r="Y58" s="75">
        <v>253.63</v>
      </c>
      <c r="Z58" s="75">
        <v>60</v>
      </c>
      <c r="AA58" s="75">
        <v>25.34</v>
      </c>
      <c r="AB58" s="75">
        <v>470.12</v>
      </c>
      <c r="AC58" s="75">
        <v>159.08000000000001</v>
      </c>
      <c r="AD58" s="75">
        <v>221.82</v>
      </c>
      <c r="AE58" s="75">
        <v>110</v>
      </c>
      <c r="AF58" s="75">
        <f t="shared" si="1"/>
        <v>164.27554484722373</v>
      </c>
    </row>
    <row r="59" spans="1:32" s="75" customFormat="1" ht="12.75" x14ac:dyDescent="0.2">
      <c r="A59" s="75" t="s">
        <v>153</v>
      </c>
      <c r="B59" s="75" t="s">
        <v>154</v>
      </c>
      <c r="C59" s="75">
        <v>15</v>
      </c>
      <c r="D59" s="75">
        <v>0</v>
      </c>
      <c r="E59" s="75">
        <v>238.84</v>
      </c>
      <c r="F59" s="75">
        <v>249.64</v>
      </c>
      <c r="G59" s="75">
        <v>3582.6</v>
      </c>
      <c r="H59" s="75">
        <v>0</v>
      </c>
      <c r="I59" s="75">
        <v>0</v>
      </c>
      <c r="J59" s="75">
        <v>3582.6</v>
      </c>
      <c r="L59" s="75">
        <v>684.91</v>
      </c>
      <c r="M59" s="75">
        <v>0</v>
      </c>
      <c r="N59" s="75">
        <v>0</v>
      </c>
      <c r="O59" s="75">
        <v>161.08000000000001</v>
      </c>
      <c r="P59" s="75">
        <v>88.93</v>
      </c>
      <c r="Q59" s="75">
        <v>0</v>
      </c>
      <c r="R59" s="75">
        <v>0</v>
      </c>
      <c r="S59" s="76">
        <v>-0.12</v>
      </c>
      <c r="T59" s="75">
        <v>934.8</v>
      </c>
      <c r="U59" s="75">
        <v>2647.8</v>
      </c>
      <c r="V59" s="75">
        <v>65.53</v>
      </c>
      <c r="W59" s="75">
        <v>117.95</v>
      </c>
      <c r="X59" s="75">
        <v>324.07</v>
      </c>
      <c r="Y59" s="75">
        <v>264.89</v>
      </c>
      <c r="Z59" s="75">
        <v>71.650000000000006</v>
      </c>
      <c r="AA59" s="75">
        <v>29.83</v>
      </c>
      <c r="AB59" s="75">
        <v>507.55</v>
      </c>
      <c r="AC59" s="75">
        <v>187.23</v>
      </c>
      <c r="AD59" s="75">
        <v>227.45</v>
      </c>
      <c r="AE59" s="75">
        <v>110</v>
      </c>
      <c r="AF59" s="75">
        <f t="shared" si="1"/>
        <v>196.17785565655458</v>
      </c>
    </row>
    <row r="60" spans="1:32" s="75" customFormat="1" ht="12.75" x14ac:dyDescent="0.2">
      <c r="A60" s="75" t="s">
        <v>240</v>
      </c>
      <c r="B60" s="75" t="s">
        <v>241</v>
      </c>
      <c r="C60" s="75">
        <v>15</v>
      </c>
      <c r="D60" s="75">
        <v>0</v>
      </c>
      <c r="E60" s="75">
        <v>166.67</v>
      </c>
      <c r="F60" s="75">
        <v>174.2</v>
      </c>
      <c r="G60" s="75">
        <v>2500.0500000000002</v>
      </c>
      <c r="H60" s="75">
        <v>0</v>
      </c>
      <c r="I60" s="75">
        <v>0</v>
      </c>
      <c r="J60" s="75">
        <v>2500.0500000000002</v>
      </c>
      <c r="L60" s="75">
        <v>0</v>
      </c>
      <c r="M60" s="75">
        <v>0</v>
      </c>
      <c r="N60" s="76">
        <v>-9.6199999999999992</v>
      </c>
      <c r="O60" s="75">
        <v>0</v>
      </c>
      <c r="P60" s="75">
        <v>62.06</v>
      </c>
      <c r="Q60" s="75">
        <v>0</v>
      </c>
      <c r="R60" s="75">
        <v>0</v>
      </c>
      <c r="S60" s="75">
        <v>0.01</v>
      </c>
      <c r="T60" s="75">
        <v>52.45</v>
      </c>
      <c r="U60" s="75">
        <v>2447.6</v>
      </c>
      <c r="V60" s="75">
        <v>45.73</v>
      </c>
      <c r="W60" s="75">
        <v>82.31</v>
      </c>
      <c r="X60" s="75">
        <v>304.27</v>
      </c>
      <c r="Y60" s="75">
        <v>242.26</v>
      </c>
      <c r="Z60" s="75">
        <v>50</v>
      </c>
      <c r="AA60" s="75">
        <v>20.81</v>
      </c>
      <c r="AB60" s="75">
        <v>432.31</v>
      </c>
      <c r="AC60" s="75">
        <v>130.65</v>
      </c>
      <c r="AD60" s="75">
        <v>216.13</v>
      </c>
      <c r="AE60" s="75">
        <v>110</v>
      </c>
      <c r="AF60" s="75">
        <f t="shared" si="1"/>
        <v>136.89902529843388</v>
      </c>
    </row>
    <row r="61" spans="1:32" s="75" customFormat="1" ht="12.75" x14ac:dyDescent="0.2">
      <c r="A61" s="75" t="s">
        <v>231</v>
      </c>
      <c r="B61" s="75" t="s">
        <v>232</v>
      </c>
      <c r="C61" s="75">
        <v>15</v>
      </c>
      <c r="D61" s="75">
        <v>0</v>
      </c>
      <c r="E61" s="75">
        <v>195.38</v>
      </c>
      <c r="F61" s="75">
        <v>204.21</v>
      </c>
      <c r="G61" s="75">
        <v>2930.7</v>
      </c>
      <c r="H61" s="75">
        <v>0</v>
      </c>
      <c r="I61" s="75">
        <v>0</v>
      </c>
      <c r="J61" s="75">
        <v>2930.7</v>
      </c>
      <c r="L61" s="75">
        <v>878.36</v>
      </c>
      <c r="M61" s="75">
        <v>0</v>
      </c>
      <c r="N61" s="75">
        <v>0</v>
      </c>
      <c r="O61" s="75">
        <v>52.15</v>
      </c>
      <c r="P61" s="75">
        <v>72.75</v>
      </c>
      <c r="Q61" s="75">
        <v>0</v>
      </c>
      <c r="R61" s="75">
        <v>0</v>
      </c>
      <c r="S61" s="76">
        <v>0.04</v>
      </c>
      <c r="T61" s="75">
        <v>1003.3</v>
      </c>
      <c r="U61" s="75">
        <v>1927.4</v>
      </c>
      <c r="V61" s="75">
        <v>53.61</v>
      </c>
      <c r="W61" s="75">
        <v>96.49</v>
      </c>
      <c r="X61" s="75">
        <v>312.14</v>
      </c>
      <c r="Y61" s="75">
        <v>251.26</v>
      </c>
      <c r="Z61" s="75">
        <v>58.61</v>
      </c>
      <c r="AA61" s="75">
        <v>24.4</v>
      </c>
      <c r="AB61" s="75">
        <v>462.24</v>
      </c>
      <c r="AC61" s="75">
        <v>153.16</v>
      </c>
      <c r="AD61" s="75">
        <v>220.63</v>
      </c>
      <c r="AE61" s="75">
        <v>110</v>
      </c>
      <c r="AF61" s="75">
        <f t="shared" si="1"/>
        <v>160.48077976125285</v>
      </c>
    </row>
    <row r="62" spans="1:32" s="75" customFormat="1" ht="12.75" x14ac:dyDescent="0.2">
      <c r="A62" s="75" t="s">
        <v>292</v>
      </c>
      <c r="B62" s="75" t="s">
        <v>293</v>
      </c>
      <c r="C62" s="75">
        <v>15</v>
      </c>
      <c r="D62" s="75">
        <v>0</v>
      </c>
      <c r="E62" s="75">
        <v>195.38</v>
      </c>
      <c r="F62" s="75">
        <v>204.21</v>
      </c>
      <c r="G62" s="75">
        <v>2930.7</v>
      </c>
      <c r="H62" s="75">
        <v>0</v>
      </c>
      <c r="I62" s="75">
        <v>0</v>
      </c>
      <c r="J62" s="75">
        <v>2930.7</v>
      </c>
      <c r="L62" s="75">
        <v>899.86</v>
      </c>
      <c r="M62" s="75">
        <v>0</v>
      </c>
      <c r="N62" s="75">
        <v>0</v>
      </c>
      <c r="O62" s="75">
        <v>52.15</v>
      </c>
      <c r="P62" s="75">
        <v>72.75</v>
      </c>
      <c r="Q62" s="75">
        <v>0</v>
      </c>
      <c r="R62" s="75">
        <v>789.08</v>
      </c>
      <c r="S62" s="76">
        <v>0.06</v>
      </c>
      <c r="T62" s="75">
        <v>1813.9</v>
      </c>
      <c r="U62" s="75">
        <v>1116.8</v>
      </c>
      <c r="V62" s="75">
        <v>53.61</v>
      </c>
      <c r="W62" s="75">
        <v>96.49</v>
      </c>
      <c r="X62" s="75">
        <v>312.14</v>
      </c>
      <c r="Y62" s="75">
        <v>251.26</v>
      </c>
      <c r="Z62" s="75">
        <v>58.61</v>
      </c>
      <c r="AA62" s="75">
        <v>24.4</v>
      </c>
      <c r="AB62" s="75">
        <v>462.24</v>
      </c>
      <c r="AC62" s="75">
        <v>153.16</v>
      </c>
      <c r="AD62" s="75">
        <v>220.63</v>
      </c>
      <c r="AE62" s="75">
        <v>110</v>
      </c>
      <c r="AF62" s="75">
        <f t="shared" si="1"/>
        <v>160.48077976125285</v>
      </c>
    </row>
    <row r="63" spans="1:32" s="75" customFormat="1" ht="12.75" x14ac:dyDescent="0.2">
      <c r="A63" s="75" t="s">
        <v>249</v>
      </c>
      <c r="B63" s="75" t="s">
        <v>424</v>
      </c>
      <c r="C63" s="75">
        <v>15</v>
      </c>
      <c r="D63" s="75">
        <v>0</v>
      </c>
      <c r="E63" s="75">
        <v>166.67</v>
      </c>
      <c r="F63" s="75">
        <v>176.76</v>
      </c>
      <c r="G63" s="75">
        <v>2500.0500000000002</v>
      </c>
      <c r="H63" s="75">
        <v>0</v>
      </c>
      <c r="I63" s="75">
        <v>0</v>
      </c>
      <c r="J63" s="75">
        <v>2500.0500000000002</v>
      </c>
      <c r="L63" s="75">
        <v>0</v>
      </c>
      <c r="M63" s="75">
        <v>0</v>
      </c>
      <c r="N63" s="76">
        <v>-9.6199999999999992</v>
      </c>
      <c r="O63" s="75">
        <v>0</v>
      </c>
      <c r="P63" s="75">
        <v>62.97</v>
      </c>
      <c r="Q63" s="75">
        <v>0</v>
      </c>
      <c r="R63" s="75">
        <v>0</v>
      </c>
      <c r="S63" s="75">
        <v>0.1</v>
      </c>
      <c r="T63" s="75">
        <v>53.45</v>
      </c>
      <c r="U63" s="75">
        <v>2446.6</v>
      </c>
      <c r="V63" s="75">
        <v>46.4</v>
      </c>
      <c r="W63" s="75">
        <v>83.52</v>
      </c>
      <c r="X63" s="75">
        <v>304.94</v>
      </c>
      <c r="Y63" s="75">
        <v>243.03</v>
      </c>
      <c r="Z63" s="75">
        <v>50</v>
      </c>
      <c r="AA63" s="75">
        <v>21.12</v>
      </c>
      <c r="AB63" s="75">
        <v>434.86</v>
      </c>
      <c r="AC63" s="75">
        <v>132.57</v>
      </c>
      <c r="AD63" s="75">
        <v>216.51</v>
      </c>
      <c r="AE63" s="75">
        <v>110</v>
      </c>
      <c r="AF63" s="75">
        <f t="shared" si="1"/>
        <v>136.89902529843388</v>
      </c>
    </row>
    <row r="64" spans="1:32" s="75" customFormat="1" ht="12.75" x14ac:dyDescent="0.2">
      <c r="A64" s="75" t="s">
        <v>130</v>
      </c>
      <c r="B64" s="75" t="s">
        <v>131</v>
      </c>
      <c r="C64" s="75">
        <v>15</v>
      </c>
      <c r="D64" s="75">
        <v>0</v>
      </c>
      <c r="E64" s="75">
        <v>166.67</v>
      </c>
      <c r="F64" s="75">
        <v>177.03</v>
      </c>
      <c r="G64" s="75">
        <v>2500.0500000000002</v>
      </c>
      <c r="H64" s="75">
        <v>0</v>
      </c>
      <c r="I64" s="75">
        <v>0</v>
      </c>
      <c r="J64" s="75">
        <v>2500.0500000000002</v>
      </c>
      <c r="L64" s="75">
        <v>0</v>
      </c>
      <c r="M64" s="75">
        <v>0</v>
      </c>
      <c r="N64" s="76">
        <v>-9.6199999999999992</v>
      </c>
      <c r="O64" s="75">
        <v>0</v>
      </c>
      <c r="P64" s="75">
        <v>63.07</v>
      </c>
      <c r="Q64" s="75">
        <v>0</v>
      </c>
      <c r="R64" s="75">
        <v>0</v>
      </c>
      <c r="S64" s="75">
        <v>0</v>
      </c>
      <c r="T64" s="75">
        <v>53.45</v>
      </c>
      <c r="U64" s="75">
        <v>2446.6</v>
      </c>
      <c r="V64" s="75">
        <v>46.47</v>
      </c>
      <c r="W64" s="75">
        <v>83.65</v>
      </c>
      <c r="X64" s="75">
        <v>305.01</v>
      </c>
      <c r="Y64" s="75">
        <v>243.11</v>
      </c>
      <c r="Z64" s="75">
        <v>50</v>
      </c>
      <c r="AA64" s="75">
        <v>21.15</v>
      </c>
      <c r="AB64" s="75">
        <v>435.13</v>
      </c>
      <c r="AC64" s="75">
        <v>132.77000000000001</v>
      </c>
      <c r="AD64" s="75">
        <v>216.55</v>
      </c>
      <c r="AE64" s="75">
        <v>110</v>
      </c>
      <c r="AF64" s="75">
        <f t="shared" si="1"/>
        <v>136.89902529843388</v>
      </c>
    </row>
    <row r="65" spans="1:32" s="75" customFormat="1" ht="12.75" x14ac:dyDescent="0.2">
      <c r="A65" s="75" t="s">
        <v>190</v>
      </c>
      <c r="B65" s="75" t="s">
        <v>425</v>
      </c>
      <c r="C65" s="75">
        <v>15</v>
      </c>
      <c r="D65" s="75">
        <v>0</v>
      </c>
      <c r="E65" s="75">
        <v>200</v>
      </c>
      <c r="F65" s="75">
        <v>209.04</v>
      </c>
      <c r="G65" s="75">
        <v>3000</v>
      </c>
      <c r="H65" s="75">
        <v>0</v>
      </c>
      <c r="I65" s="75">
        <v>0</v>
      </c>
      <c r="J65" s="75">
        <v>3000</v>
      </c>
      <c r="L65" s="75">
        <v>0</v>
      </c>
      <c r="M65" s="75">
        <v>0</v>
      </c>
      <c r="N65" s="75">
        <v>0</v>
      </c>
      <c r="O65" s="75">
        <v>59.69</v>
      </c>
      <c r="P65" s="75">
        <v>74.48</v>
      </c>
      <c r="Q65" s="75">
        <v>0</v>
      </c>
      <c r="R65" s="75">
        <v>253.77</v>
      </c>
      <c r="S65" s="75">
        <v>-0.14000000000000001</v>
      </c>
      <c r="T65" s="75">
        <v>387.8</v>
      </c>
      <c r="U65" s="75">
        <v>2612.1999999999998</v>
      </c>
      <c r="V65" s="75">
        <v>54.87</v>
      </c>
      <c r="W65" s="75">
        <v>98.77</v>
      </c>
      <c r="X65" s="75">
        <v>313.41000000000003</v>
      </c>
      <c r="Y65" s="75">
        <v>252.71</v>
      </c>
      <c r="Z65" s="75">
        <v>60</v>
      </c>
      <c r="AA65" s="75">
        <v>24.98</v>
      </c>
      <c r="AB65" s="75">
        <v>467.05</v>
      </c>
      <c r="AC65" s="75">
        <v>156.78</v>
      </c>
      <c r="AD65" s="75">
        <v>221.36</v>
      </c>
      <c r="AE65" s="75">
        <v>110</v>
      </c>
      <c r="AF65" s="75">
        <f t="shared" si="1"/>
        <v>164.27554484722373</v>
      </c>
    </row>
    <row r="66" spans="1:32" s="75" customFormat="1" ht="12.75" x14ac:dyDescent="0.2">
      <c r="A66" s="75" t="s">
        <v>209</v>
      </c>
      <c r="B66" s="75" t="s">
        <v>210</v>
      </c>
      <c r="C66" s="75">
        <v>15</v>
      </c>
      <c r="D66" s="75">
        <v>0</v>
      </c>
      <c r="E66" s="75">
        <v>166.67</v>
      </c>
      <c r="F66" s="75">
        <v>175.8</v>
      </c>
      <c r="G66" s="75">
        <v>2500.0500000000002</v>
      </c>
      <c r="H66" s="75">
        <v>0</v>
      </c>
      <c r="I66" s="75">
        <v>0</v>
      </c>
      <c r="J66" s="75">
        <v>2500.0500000000002</v>
      </c>
      <c r="L66" s="75">
        <v>0</v>
      </c>
      <c r="M66" s="75">
        <v>0</v>
      </c>
      <c r="N66" s="76">
        <v>-9.6199999999999992</v>
      </c>
      <c r="O66" s="75">
        <v>0</v>
      </c>
      <c r="P66" s="75">
        <v>62.63</v>
      </c>
      <c r="Q66" s="75">
        <v>0</v>
      </c>
      <c r="R66" s="75">
        <v>0</v>
      </c>
      <c r="S66" s="76">
        <v>0.04</v>
      </c>
      <c r="T66" s="75">
        <v>53.05</v>
      </c>
      <c r="U66" s="75">
        <v>2447</v>
      </c>
      <c r="V66" s="75">
        <v>46.15</v>
      </c>
      <c r="W66" s="75">
        <v>83.07</v>
      </c>
      <c r="X66" s="75">
        <v>304.69</v>
      </c>
      <c r="Y66" s="75">
        <v>242.74</v>
      </c>
      <c r="Z66" s="75">
        <v>50</v>
      </c>
      <c r="AA66" s="75">
        <v>21.01</v>
      </c>
      <c r="AB66" s="75">
        <v>433.91</v>
      </c>
      <c r="AC66" s="75">
        <v>131.85</v>
      </c>
      <c r="AD66" s="75">
        <v>216.37</v>
      </c>
      <c r="AE66" s="75">
        <v>110</v>
      </c>
      <c r="AF66" s="75">
        <f t="shared" si="1"/>
        <v>136.89902529843388</v>
      </c>
    </row>
    <row r="67" spans="1:32" s="75" customFormat="1" ht="12.75" x14ac:dyDescent="0.2">
      <c r="A67" s="75" t="s">
        <v>251</v>
      </c>
      <c r="B67" s="75" t="s">
        <v>252</v>
      </c>
      <c r="C67" s="75">
        <v>15</v>
      </c>
      <c r="D67" s="75">
        <v>0</v>
      </c>
      <c r="E67" s="75">
        <v>166.66</v>
      </c>
      <c r="F67" s="75">
        <v>174.19</v>
      </c>
      <c r="G67" s="75">
        <v>2499.9</v>
      </c>
      <c r="H67" s="75">
        <v>0</v>
      </c>
      <c r="I67" s="75">
        <v>0</v>
      </c>
      <c r="J67" s="75">
        <v>2499.9</v>
      </c>
      <c r="L67" s="75">
        <v>410.23</v>
      </c>
      <c r="M67" s="75">
        <v>0</v>
      </c>
      <c r="N67" s="76">
        <v>-9.64</v>
      </c>
      <c r="O67" s="75">
        <v>0</v>
      </c>
      <c r="P67" s="75">
        <v>62.06</v>
      </c>
      <c r="Q67" s="75">
        <v>0</v>
      </c>
      <c r="R67" s="75">
        <v>0</v>
      </c>
      <c r="S67" s="76">
        <v>0.05</v>
      </c>
      <c r="T67" s="75">
        <v>462.7</v>
      </c>
      <c r="U67" s="75">
        <v>2037.2</v>
      </c>
      <c r="V67" s="75">
        <v>45.73</v>
      </c>
      <c r="W67" s="75">
        <v>82.31</v>
      </c>
      <c r="X67" s="75">
        <v>304.27</v>
      </c>
      <c r="Y67" s="75">
        <v>242.26</v>
      </c>
      <c r="Z67" s="75">
        <v>50</v>
      </c>
      <c r="AA67" s="75">
        <v>20.81</v>
      </c>
      <c r="AB67" s="75">
        <v>432.31</v>
      </c>
      <c r="AC67" s="75">
        <v>130.65</v>
      </c>
      <c r="AD67" s="75">
        <v>216.13</v>
      </c>
      <c r="AE67" s="75">
        <v>110</v>
      </c>
      <c r="AF67" s="75">
        <f t="shared" si="1"/>
        <v>136.89081152119152</v>
      </c>
    </row>
    <row r="68" spans="1:32" s="75" customFormat="1" ht="12.75" x14ac:dyDescent="0.2">
      <c r="A68" s="75" t="s">
        <v>218</v>
      </c>
      <c r="B68" s="75" t="s">
        <v>219</v>
      </c>
      <c r="C68" s="75">
        <v>15</v>
      </c>
      <c r="D68" s="75">
        <v>0</v>
      </c>
      <c r="E68" s="75">
        <v>256.67</v>
      </c>
      <c r="F68" s="75">
        <v>272.20999999999998</v>
      </c>
      <c r="G68" s="75">
        <v>3850.05</v>
      </c>
      <c r="H68" s="75">
        <v>0</v>
      </c>
      <c r="I68" s="75">
        <v>0</v>
      </c>
      <c r="J68" s="75">
        <v>3850.05</v>
      </c>
      <c r="L68" s="75">
        <v>0</v>
      </c>
      <c r="M68" s="75">
        <v>0</v>
      </c>
      <c r="N68" s="75">
        <v>0</v>
      </c>
      <c r="O68" s="75">
        <v>297.55</v>
      </c>
      <c r="P68" s="75">
        <v>98.1</v>
      </c>
      <c r="Q68" s="75">
        <v>0</v>
      </c>
      <c r="R68" s="75">
        <v>298.60000000000002</v>
      </c>
      <c r="S68" s="75">
        <v>0</v>
      </c>
      <c r="T68" s="75">
        <v>694.25</v>
      </c>
      <c r="U68" s="75">
        <v>3155.8</v>
      </c>
      <c r="V68" s="75">
        <v>71.459999999999994</v>
      </c>
      <c r="W68" s="75">
        <v>128.62</v>
      </c>
      <c r="X68" s="75">
        <v>333.08</v>
      </c>
      <c r="Y68" s="75">
        <v>271.65999999999997</v>
      </c>
      <c r="Z68" s="75">
        <v>77</v>
      </c>
      <c r="AA68" s="75">
        <v>32.53</v>
      </c>
      <c r="AB68" s="75">
        <v>533.16</v>
      </c>
      <c r="AC68" s="75">
        <v>204.16</v>
      </c>
      <c r="AD68" s="75">
        <v>230.82999999999998</v>
      </c>
      <c r="AE68" s="75">
        <v>110</v>
      </c>
      <c r="AF68" s="75">
        <f t="shared" si="1"/>
        <v>210.8230204796846</v>
      </c>
    </row>
    <row r="69" spans="1:32" s="75" customFormat="1" ht="12.75" x14ac:dyDescent="0.2">
      <c r="A69" s="75" t="s">
        <v>288</v>
      </c>
      <c r="B69" s="75" t="s">
        <v>289</v>
      </c>
      <c r="C69" s="75">
        <v>15</v>
      </c>
      <c r="D69" s="75">
        <v>0</v>
      </c>
      <c r="E69" s="75">
        <v>166.67</v>
      </c>
      <c r="F69" s="75">
        <v>174.2</v>
      </c>
      <c r="G69" s="75">
        <v>2500.0500000000002</v>
      </c>
      <c r="H69" s="75">
        <v>0</v>
      </c>
      <c r="I69" s="75">
        <v>0</v>
      </c>
      <c r="J69" s="75">
        <v>2500.0500000000002</v>
      </c>
      <c r="L69" s="75">
        <v>0</v>
      </c>
      <c r="M69" s="75">
        <v>0</v>
      </c>
      <c r="N69" s="76">
        <v>-9.6199999999999992</v>
      </c>
      <c r="O69" s="75">
        <v>0</v>
      </c>
      <c r="P69" s="75">
        <v>62.06</v>
      </c>
      <c r="Q69" s="75">
        <v>0</v>
      </c>
      <c r="R69" s="75">
        <v>0</v>
      </c>
      <c r="S69" s="75">
        <v>0.01</v>
      </c>
      <c r="T69" s="75">
        <v>52.45</v>
      </c>
      <c r="U69" s="75">
        <v>2447.6</v>
      </c>
      <c r="V69" s="75">
        <v>45.73</v>
      </c>
      <c r="W69" s="75">
        <v>82.31</v>
      </c>
      <c r="X69" s="75">
        <v>304.27</v>
      </c>
      <c r="Y69" s="75">
        <v>242.26</v>
      </c>
      <c r="Z69" s="75">
        <v>50</v>
      </c>
      <c r="AA69" s="75">
        <v>20.82</v>
      </c>
      <c r="AB69" s="75">
        <v>432.31</v>
      </c>
      <c r="AC69" s="75">
        <v>130.65</v>
      </c>
      <c r="AD69" s="75">
        <v>216.13</v>
      </c>
      <c r="AE69" s="75">
        <v>110</v>
      </c>
      <c r="AF69" s="75">
        <f t="shared" si="1"/>
        <v>136.89902529843388</v>
      </c>
    </row>
    <row r="70" spans="1:32" s="75" customFormat="1" ht="12.75" x14ac:dyDescent="0.2">
      <c r="A70" s="75" t="s">
        <v>302</v>
      </c>
      <c r="B70" s="75" t="s">
        <v>303</v>
      </c>
      <c r="C70" s="75">
        <v>15</v>
      </c>
      <c r="D70" s="75">
        <v>0</v>
      </c>
      <c r="E70" s="75">
        <v>233.33</v>
      </c>
      <c r="F70" s="75">
        <v>243.88</v>
      </c>
      <c r="G70" s="75">
        <v>3499.95</v>
      </c>
      <c r="H70" s="75">
        <v>0</v>
      </c>
      <c r="I70" s="75">
        <v>0</v>
      </c>
      <c r="J70" s="75">
        <v>3499.95</v>
      </c>
      <c r="L70" s="75">
        <v>0</v>
      </c>
      <c r="M70" s="75">
        <v>0</v>
      </c>
      <c r="N70" s="75">
        <v>0</v>
      </c>
      <c r="O70" s="75">
        <v>134.36000000000001</v>
      </c>
      <c r="P70" s="75">
        <v>86.88</v>
      </c>
      <c r="Q70" s="75">
        <v>0</v>
      </c>
      <c r="R70" s="75">
        <v>0</v>
      </c>
      <c r="S70" s="76">
        <v>-0.09</v>
      </c>
      <c r="T70" s="75">
        <v>221.15</v>
      </c>
      <c r="U70" s="75">
        <v>3278.8</v>
      </c>
      <c r="V70" s="75">
        <v>64.02</v>
      </c>
      <c r="W70" s="75">
        <v>115.23</v>
      </c>
      <c r="X70" s="75">
        <v>322.56</v>
      </c>
      <c r="Y70" s="75">
        <v>263.15999999999997</v>
      </c>
      <c r="Z70" s="75">
        <v>70</v>
      </c>
      <c r="AA70" s="75">
        <v>29.14</v>
      </c>
      <c r="AB70" s="75">
        <v>501.81</v>
      </c>
      <c r="AC70" s="75">
        <v>182.91</v>
      </c>
      <c r="AD70" s="75">
        <v>226.57999999999998</v>
      </c>
      <c r="AE70" s="75">
        <v>110</v>
      </c>
      <c r="AF70" s="75">
        <f t="shared" si="1"/>
        <v>191.65206439601357</v>
      </c>
    </row>
    <row r="71" spans="1:32" s="75" customFormat="1" ht="12.75" x14ac:dyDescent="0.2">
      <c r="A71" s="75" t="s">
        <v>203</v>
      </c>
      <c r="B71" s="75" t="s">
        <v>204</v>
      </c>
      <c r="C71" s="75">
        <v>15</v>
      </c>
      <c r="D71" s="75">
        <v>0</v>
      </c>
      <c r="E71" s="75">
        <v>233.33</v>
      </c>
      <c r="F71" s="75">
        <v>247.46</v>
      </c>
      <c r="G71" s="75">
        <v>3499.95</v>
      </c>
      <c r="H71" s="75">
        <v>0</v>
      </c>
      <c r="I71" s="75">
        <v>0</v>
      </c>
      <c r="J71" s="75">
        <v>3499.95</v>
      </c>
      <c r="L71" s="75">
        <v>1432.66</v>
      </c>
      <c r="M71" s="75">
        <v>0</v>
      </c>
      <c r="N71" s="75">
        <v>0</v>
      </c>
      <c r="O71" s="75">
        <v>134.36000000000001</v>
      </c>
      <c r="P71" s="75">
        <v>88.16</v>
      </c>
      <c r="Q71" s="75">
        <v>0</v>
      </c>
      <c r="R71" s="75">
        <v>0</v>
      </c>
      <c r="S71" s="75">
        <v>-0.03</v>
      </c>
      <c r="T71" s="75">
        <v>1655.15</v>
      </c>
      <c r="U71" s="75">
        <v>1844.8</v>
      </c>
      <c r="V71" s="75">
        <v>64.959999999999994</v>
      </c>
      <c r="W71" s="75">
        <v>116.92</v>
      </c>
      <c r="X71" s="75">
        <v>323.5</v>
      </c>
      <c r="Y71" s="75">
        <v>264.24</v>
      </c>
      <c r="Z71" s="75">
        <v>70</v>
      </c>
      <c r="AA71" s="75">
        <v>29.57</v>
      </c>
      <c r="AB71" s="75">
        <v>505.38</v>
      </c>
      <c r="AC71" s="75">
        <v>185.6</v>
      </c>
      <c r="AD71" s="75">
        <v>227.12</v>
      </c>
      <c r="AE71" s="75">
        <v>110</v>
      </c>
      <c r="AF71" s="75">
        <f t="shared" si="1"/>
        <v>191.65206439601357</v>
      </c>
    </row>
    <row r="72" spans="1:32" s="75" customFormat="1" ht="12.75" x14ac:dyDescent="0.2">
      <c r="A72" s="75" t="s">
        <v>282</v>
      </c>
      <c r="B72" s="75" t="s">
        <v>283</v>
      </c>
      <c r="C72" s="75">
        <v>15</v>
      </c>
      <c r="D72" s="75">
        <v>0</v>
      </c>
      <c r="E72" s="75">
        <v>210</v>
      </c>
      <c r="F72" s="75">
        <v>222.72</v>
      </c>
      <c r="G72" s="75">
        <v>3150</v>
      </c>
      <c r="H72" s="75">
        <v>0</v>
      </c>
      <c r="I72" s="75">
        <v>0</v>
      </c>
      <c r="J72" s="75">
        <v>3150</v>
      </c>
      <c r="L72" s="75">
        <v>0</v>
      </c>
      <c r="M72" s="75">
        <v>0</v>
      </c>
      <c r="N72" s="75">
        <v>0</v>
      </c>
      <c r="O72" s="75">
        <v>96.29</v>
      </c>
      <c r="P72" s="75">
        <v>79.34</v>
      </c>
      <c r="Q72" s="75">
        <v>0</v>
      </c>
      <c r="R72" s="75">
        <v>0</v>
      </c>
      <c r="S72" s="75">
        <v>-0.03</v>
      </c>
      <c r="T72" s="75">
        <v>175.6</v>
      </c>
      <c r="U72" s="75">
        <v>2974.4</v>
      </c>
      <c r="V72" s="75">
        <v>58.46</v>
      </c>
      <c r="W72" s="75">
        <v>105.24</v>
      </c>
      <c r="X72" s="75">
        <v>317.01</v>
      </c>
      <c r="Y72" s="75">
        <v>256.82</v>
      </c>
      <c r="Z72" s="75">
        <v>63</v>
      </c>
      <c r="AA72" s="75">
        <v>26.61</v>
      </c>
      <c r="AB72" s="75">
        <v>480.71</v>
      </c>
      <c r="AC72" s="75">
        <v>167.04</v>
      </c>
      <c r="AD72" s="75">
        <v>223.41</v>
      </c>
      <c r="AE72" s="75">
        <v>110</v>
      </c>
      <c r="AF72" s="75">
        <f t="shared" si="1"/>
        <v>172.48932208958493</v>
      </c>
    </row>
    <row r="73" spans="1:32" s="75" customFormat="1" ht="12.75" x14ac:dyDescent="0.2">
      <c r="A73" s="75" t="s">
        <v>212</v>
      </c>
      <c r="B73" s="75" t="s">
        <v>213</v>
      </c>
      <c r="C73" s="75">
        <v>15</v>
      </c>
      <c r="D73" s="75">
        <v>0</v>
      </c>
      <c r="E73" s="75">
        <v>210</v>
      </c>
      <c r="F73" s="75">
        <v>222.72</v>
      </c>
      <c r="G73" s="75">
        <v>3150</v>
      </c>
      <c r="H73" s="75">
        <v>0</v>
      </c>
      <c r="I73" s="75">
        <v>0</v>
      </c>
      <c r="J73" s="75">
        <v>3150</v>
      </c>
      <c r="L73" s="75">
        <v>0</v>
      </c>
      <c r="M73" s="75">
        <v>310.29000000000002</v>
      </c>
      <c r="N73" s="75">
        <v>0</v>
      </c>
      <c r="O73" s="75">
        <v>96.29</v>
      </c>
      <c r="P73" s="75">
        <v>79.34</v>
      </c>
      <c r="Q73" s="75">
        <v>0</v>
      </c>
      <c r="R73" s="75">
        <v>0</v>
      </c>
      <c r="S73" s="75">
        <v>-0.12</v>
      </c>
      <c r="T73" s="75">
        <v>485.8</v>
      </c>
      <c r="U73" s="75">
        <v>2664.2</v>
      </c>
      <c r="V73" s="75">
        <v>58.46</v>
      </c>
      <c r="W73" s="75">
        <v>105.24</v>
      </c>
      <c r="X73" s="75">
        <v>317.01</v>
      </c>
      <c r="Y73" s="75">
        <v>256.82</v>
      </c>
      <c r="Z73" s="75">
        <v>63</v>
      </c>
      <c r="AA73" s="75">
        <v>26.61</v>
      </c>
      <c r="AB73" s="75">
        <v>480.71</v>
      </c>
      <c r="AC73" s="75">
        <v>167.04</v>
      </c>
      <c r="AD73" s="75">
        <v>223.41</v>
      </c>
      <c r="AE73" s="75">
        <v>110</v>
      </c>
      <c r="AF73" s="75">
        <f t="shared" ref="AF73:AF88" si="2">((20/365.24)*15)*E73</f>
        <v>172.48932208958493</v>
      </c>
    </row>
    <row r="74" spans="1:32" s="75" customFormat="1" ht="12.75" x14ac:dyDescent="0.2">
      <c r="A74" s="75" t="s">
        <v>98</v>
      </c>
      <c r="B74" s="75" t="s">
        <v>99</v>
      </c>
      <c r="C74" s="75">
        <v>15</v>
      </c>
      <c r="D74" s="75">
        <v>0</v>
      </c>
      <c r="E74" s="75">
        <v>210</v>
      </c>
      <c r="F74" s="75">
        <v>222.72</v>
      </c>
      <c r="G74" s="75">
        <v>3150</v>
      </c>
      <c r="H74" s="75">
        <v>0</v>
      </c>
      <c r="I74" s="75">
        <v>0</v>
      </c>
      <c r="J74" s="75">
        <v>3150</v>
      </c>
      <c r="L74" s="75">
        <v>0</v>
      </c>
      <c r="M74" s="75">
        <v>0</v>
      </c>
      <c r="N74" s="75">
        <v>0</v>
      </c>
      <c r="O74" s="75">
        <v>96.29</v>
      </c>
      <c r="P74" s="75">
        <v>79.34</v>
      </c>
      <c r="Q74" s="75">
        <v>0</v>
      </c>
      <c r="R74" s="75">
        <v>0</v>
      </c>
      <c r="S74" s="76">
        <v>-0.03</v>
      </c>
      <c r="T74" s="75">
        <v>175.6</v>
      </c>
      <c r="U74" s="75">
        <v>2974.4</v>
      </c>
      <c r="V74" s="75">
        <v>58.46</v>
      </c>
      <c r="W74" s="75">
        <v>105.24</v>
      </c>
      <c r="X74" s="75">
        <v>317.01</v>
      </c>
      <c r="Y74" s="75">
        <v>256.82</v>
      </c>
      <c r="Z74" s="75">
        <v>63</v>
      </c>
      <c r="AA74" s="75">
        <v>26.61</v>
      </c>
      <c r="AB74" s="75">
        <v>480.71</v>
      </c>
      <c r="AC74" s="75">
        <v>167.04</v>
      </c>
      <c r="AD74" s="75">
        <v>223.41</v>
      </c>
      <c r="AE74" s="75">
        <v>110</v>
      </c>
      <c r="AF74" s="75">
        <f t="shared" si="2"/>
        <v>172.48932208958493</v>
      </c>
    </row>
    <row r="75" spans="1:32" s="75" customFormat="1" ht="12.75" x14ac:dyDescent="0.2">
      <c r="A75" s="75" t="s">
        <v>117</v>
      </c>
      <c r="B75" s="75" t="s">
        <v>118</v>
      </c>
      <c r="C75" s="75">
        <v>15</v>
      </c>
      <c r="D75" s="75">
        <v>0</v>
      </c>
      <c r="E75" s="75">
        <v>210</v>
      </c>
      <c r="F75" s="75">
        <v>222.72</v>
      </c>
      <c r="G75" s="75">
        <v>3150</v>
      </c>
      <c r="H75" s="75">
        <v>0</v>
      </c>
      <c r="I75" s="75">
        <v>0</v>
      </c>
      <c r="J75" s="75">
        <v>3150</v>
      </c>
      <c r="L75" s="75">
        <v>0</v>
      </c>
      <c r="M75" s="75">
        <v>963.28</v>
      </c>
      <c r="N75" s="75">
        <v>0</v>
      </c>
      <c r="O75" s="75">
        <v>96.29</v>
      </c>
      <c r="P75" s="75">
        <v>79.34</v>
      </c>
      <c r="Q75" s="75">
        <v>0</v>
      </c>
      <c r="R75" s="75">
        <v>0</v>
      </c>
      <c r="S75" s="75">
        <v>0.09</v>
      </c>
      <c r="T75" s="75">
        <v>1139</v>
      </c>
      <c r="U75" s="75">
        <v>2011</v>
      </c>
      <c r="V75" s="75">
        <v>58.46</v>
      </c>
      <c r="W75" s="75">
        <v>105.24</v>
      </c>
      <c r="X75" s="75">
        <v>317.01</v>
      </c>
      <c r="Y75" s="75">
        <v>256.82</v>
      </c>
      <c r="Z75" s="75">
        <v>63</v>
      </c>
      <c r="AA75" s="75">
        <v>26.61</v>
      </c>
      <c r="AB75" s="75">
        <v>480.71</v>
      </c>
      <c r="AC75" s="75">
        <v>167.04</v>
      </c>
      <c r="AD75" s="75">
        <v>223.41</v>
      </c>
      <c r="AE75" s="75">
        <v>110</v>
      </c>
      <c r="AF75" s="75">
        <f t="shared" si="2"/>
        <v>172.48932208958493</v>
      </c>
    </row>
    <row r="76" spans="1:32" s="75" customFormat="1" ht="12.75" x14ac:dyDescent="0.2">
      <c r="A76" s="75" t="s">
        <v>160</v>
      </c>
      <c r="B76" s="75" t="s">
        <v>161</v>
      </c>
      <c r="C76" s="75">
        <v>15</v>
      </c>
      <c r="D76" s="75">
        <v>0</v>
      </c>
      <c r="E76" s="75">
        <v>200</v>
      </c>
      <c r="F76" s="75">
        <v>209.04</v>
      </c>
      <c r="G76" s="75">
        <v>3000</v>
      </c>
      <c r="H76" s="75">
        <v>0</v>
      </c>
      <c r="I76" s="75">
        <v>0</v>
      </c>
      <c r="J76" s="75">
        <v>3000</v>
      </c>
      <c r="L76" s="75">
        <v>0</v>
      </c>
      <c r="M76" s="75">
        <v>1610.6</v>
      </c>
      <c r="N76" s="75">
        <v>0</v>
      </c>
      <c r="O76" s="75">
        <v>59.69</v>
      </c>
      <c r="P76" s="75">
        <v>74.48</v>
      </c>
      <c r="Q76" s="75">
        <v>0</v>
      </c>
      <c r="R76" s="75">
        <v>0</v>
      </c>
      <c r="S76" s="75">
        <v>-0.17</v>
      </c>
      <c r="T76" s="75">
        <v>1744.6</v>
      </c>
      <c r="U76" s="75">
        <v>1255.4000000000001</v>
      </c>
      <c r="V76" s="75">
        <v>54.87</v>
      </c>
      <c r="W76" s="75">
        <v>98.77</v>
      </c>
      <c r="X76" s="75">
        <v>313.41000000000003</v>
      </c>
      <c r="Y76" s="75">
        <v>252.71</v>
      </c>
      <c r="Z76" s="75">
        <v>60</v>
      </c>
      <c r="AA76" s="75">
        <v>24.98</v>
      </c>
      <c r="AB76" s="75">
        <v>467.05</v>
      </c>
      <c r="AC76" s="75">
        <v>156.78</v>
      </c>
      <c r="AD76" s="75">
        <v>221.36</v>
      </c>
      <c r="AE76" s="75">
        <v>110</v>
      </c>
      <c r="AF76" s="75">
        <f t="shared" si="2"/>
        <v>164.27554484722373</v>
      </c>
    </row>
    <row r="77" spans="1:32" s="75" customFormat="1" ht="12.75" x14ac:dyDescent="0.2">
      <c r="A77" s="75" t="s">
        <v>181</v>
      </c>
      <c r="B77" s="75" t="s">
        <v>182</v>
      </c>
      <c r="C77" s="75">
        <v>15</v>
      </c>
      <c r="D77" s="75">
        <v>0</v>
      </c>
      <c r="E77" s="75">
        <v>200</v>
      </c>
      <c r="F77" s="75">
        <v>209.04</v>
      </c>
      <c r="G77" s="75">
        <v>3000</v>
      </c>
      <c r="H77" s="75">
        <v>0</v>
      </c>
      <c r="I77" s="75">
        <v>0</v>
      </c>
      <c r="J77" s="75">
        <v>3000</v>
      </c>
      <c r="L77" s="75">
        <v>0</v>
      </c>
      <c r="M77" s="75">
        <v>0</v>
      </c>
      <c r="N77" s="75">
        <v>0</v>
      </c>
      <c r="O77" s="75">
        <v>59.69</v>
      </c>
      <c r="P77" s="75">
        <v>74.48</v>
      </c>
      <c r="Q77" s="75">
        <v>0</v>
      </c>
      <c r="R77" s="75">
        <v>472</v>
      </c>
      <c r="S77" s="75">
        <v>0.03</v>
      </c>
      <c r="T77" s="75">
        <v>606.20000000000005</v>
      </c>
      <c r="U77" s="75">
        <v>2393.8000000000002</v>
      </c>
      <c r="V77" s="75">
        <v>54.87</v>
      </c>
      <c r="W77" s="75">
        <v>98.77</v>
      </c>
      <c r="X77" s="75">
        <v>313.41000000000003</v>
      </c>
      <c r="Y77" s="75">
        <v>252.71</v>
      </c>
      <c r="Z77" s="75">
        <v>60</v>
      </c>
      <c r="AA77" s="75">
        <v>24.98</v>
      </c>
      <c r="AB77" s="75">
        <v>467.05</v>
      </c>
      <c r="AC77" s="75">
        <v>156.78</v>
      </c>
      <c r="AD77" s="75">
        <v>221.36</v>
      </c>
      <c r="AE77" s="75">
        <v>110</v>
      </c>
      <c r="AF77" s="75">
        <f t="shared" si="2"/>
        <v>164.27554484722373</v>
      </c>
    </row>
    <row r="78" spans="1:32" s="75" customFormat="1" ht="12.75" x14ac:dyDescent="0.2">
      <c r="A78" s="75" t="s">
        <v>101</v>
      </c>
      <c r="B78" s="75" t="s">
        <v>102</v>
      </c>
      <c r="C78" s="75">
        <v>15</v>
      </c>
      <c r="D78" s="75">
        <v>0</v>
      </c>
      <c r="E78" s="75">
        <v>200</v>
      </c>
      <c r="F78" s="75">
        <v>212.11</v>
      </c>
      <c r="G78" s="75">
        <v>3000</v>
      </c>
      <c r="H78" s="75">
        <v>0</v>
      </c>
      <c r="I78" s="75">
        <v>0</v>
      </c>
      <c r="J78" s="75">
        <v>3000</v>
      </c>
      <c r="L78" s="75">
        <v>0</v>
      </c>
      <c r="M78" s="75">
        <v>476.65</v>
      </c>
      <c r="N78" s="75">
        <v>0</v>
      </c>
      <c r="O78" s="75">
        <v>59.69</v>
      </c>
      <c r="P78" s="75">
        <v>75.56</v>
      </c>
      <c r="Q78" s="75">
        <v>0</v>
      </c>
      <c r="R78" s="75">
        <v>0</v>
      </c>
      <c r="S78" s="75">
        <v>-0.1</v>
      </c>
      <c r="T78" s="75">
        <v>611.79999999999995</v>
      </c>
      <c r="U78" s="75">
        <v>2388.1999999999998</v>
      </c>
      <c r="V78" s="75">
        <v>55.68</v>
      </c>
      <c r="W78" s="75">
        <v>100.22</v>
      </c>
      <c r="X78" s="75">
        <v>314.22000000000003</v>
      </c>
      <c r="Y78" s="75">
        <v>253.63</v>
      </c>
      <c r="Z78" s="75">
        <v>60</v>
      </c>
      <c r="AA78" s="75">
        <v>25.34</v>
      </c>
      <c r="AB78" s="75">
        <v>470.12</v>
      </c>
      <c r="AC78" s="75">
        <v>159.08000000000001</v>
      </c>
      <c r="AD78" s="75">
        <v>221.82</v>
      </c>
      <c r="AE78" s="75">
        <v>110</v>
      </c>
      <c r="AF78" s="75">
        <f t="shared" si="2"/>
        <v>164.27554484722373</v>
      </c>
    </row>
    <row r="79" spans="1:32" s="75" customFormat="1" ht="12.75" x14ac:dyDescent="0.2">
      <c r="A79" s="75" t="s">
        <v>200</v>
      </c>
      <c r="B79" s="75" t="s">
        <v>201</v>
      </c>
      <c r="C79" s="75">
        <v>15</v>
      </c>
      <c r="D79" s="75">
        <v>0</v>
      </c>
      <c r="E79" s="75">
        <v>116.67</v>
      </c>
      <c r="F79" s="75">
        <v>123.73</v>
      </c>
      <c r="G79" s="75">
        <v>1750.05</v>
      </c>
      <c r="H79" s="75">
        <v>0</v>
      </c>
      <c r="I79" s="75">
        <v>0</v>
      </c>
      <c r="J79" s="75">
        <v>1750.05</v>
      </c>
      <c r="L79" s="75">
        <v>0</v>
      </c>
      <c r="M79" s="75">
        <v>855.09</v>
      </c>
      <c r="N79" s="76">
        <v>-89.5</v>
      </c>
      <c r="O79" s="75">
        <v>0</v>
      </c>
      <c r="P79" s="75">
        <v>44.08</v>
      </c>
      <c r="Q79" s="75">
        <v>0</v>
      </c>
      <c r="R79" s="75">
        <v>0</v>
      </c>
      <c r="S79" s="76">
        <v>-0.02</v>
      </c>
      <c r="T79" s="75">
        <v>809.65</v>
      </c>
      <c r="U79" s="75">
        <v>940.4</v>
      </c>
      <c r="V79" s="75">
        <v>32.479999999999997</v>
      </c>
      <c r="W79" s="75">
        <v>58.46</v>
      </c>
      <c r="X79" s="75">
        <v>291.02</v>
      </c>
      <c r="Y79" s="75">
        <v>227.12</v>
      </c>
      <c r="Z79" s="75">
        <v>35</v>
      </c>
      <c r="AA79" s="75">
        <v>14.78</v>
      </c>
      <c r="AB79" s="75">
        <v>381.96</v>
      </c>
      <c r="AC79" s="75">
        <v>92.8</v>
      </c>
      <c r="AD79" s="75">
        <v>208.56</v>
      </c>
      <c r="AE79" s="75">
        <v>110</v>
      </c>
      <c r="AF79" s="75">
        <f t="shared" si="2"/>
        <v>95.830139086627966</v>
      </c>
    </row>
    <row r="80" spans="1:32" s="75" customFormat="1" ht="12.75" x14ac:dyDescent="0.2">
      <c r="A80" s="75" t="s">
        <v>311</v>
      </c>
      <c r="B80" s="75" t="s">
        <v>312</v>
      </c>
      <c r="C80" s="75">
        <v>15</v>
      </c>
      <c r="D80" s="75">
        <v>0</v>
      </c>
      <c r="E80" s="75">
        <v>116.67</v>
      </c>
      <c r="F80" s="75">
        <v>123.73</v>
      </c>
      <c r="G80" s="75">
        <v>1750.05</v>
      </c>
      <c r="H80" s="75">
        <v>0</v>
      </c>
      <c r="I80" s="75">
        <v>0</v>
      </c>
      <c r="J80" s="75">
        <v>1750.05</v>
      </c>
      <c r="L80" s="75">
        <v>911.41</v>
      </c>
      <c r="M80" s="75">
        <v>0</v>
      </c>
      <c r="N80" s="76">
        <v>-89.5</v>
      </c>
      <c r="O80" s="75">
        <v>0</v>
      </c>
      <c r="P80" s="75">
        <v>44.08</v>
      </c>
      <c r="Q80" s="75">
        <v>0</v>
      </c>
      <c r="R80" s="75">
        <v>0</v>
      </c>
      <c r="S80" s="76">
        <v>0.06</v>
      </c>
      <c r="T80" s="75">
        <v>866.05</v>
      </c>
      <c r="U80" s="75">
        <v>884</v>
      </c>
      <c r="V80" s="75">
        <v>32.479999999999997</v>
      </c>
      <c r="W80" s="75">
        <v>58.46</v>
      </c>
      <c r="X80" s="75">
        <v>291.02</v>
      </c>
      <c r="Y80" s="75">
        <v>227.12</v>
      </c>
      <c r="Z80" s="75">
        <v>35</v>
      </c>
      <c r="AA80" s="75">
        <v>14.78</v>
      </c>
      <c r="AB80" s="75">
        <v>381.96</v>
      </c>
      <c r="AC80" s="75">
        <v>92.8</v>
      </c>
      <c r="AD80" s="75">
        <v>208.56</v>
      </c>
      <c r="AE80" s="75">
        <v>110</v>
      </c>
      <c r="AF80" s="75">
        <f t="shared" si="2"/>
        <v>95.830139086627966</v>
      </c>
    </row>
    <row r="81" spans="1:35" s="75" customFormat="1" ht="12.75" x14ac:dyDescent="0.2">
      <c r="A81" s="75" t="s">
        <v>266</v>
      </c>
      <c r="B81" s="75" t="s">
        <v>267</v>
      </c>
      <c r="C81" s="75">
        <v>15</v>
      </c>
      <c r="D81" s="75">
        <v>0</v>
      </c>
      <c r="E81" s="75">
        <v>210</v>
      </c>
      <c r="F81" s="75">
        <v>222.72</v>
      </c>
      <c r="G81" s="75">
        <v>3150</v>
      </c>
      <c r="H81" s="75">
        <v>0</v>
      </c>
      <c r="I81" s="75">
        <v>0</v>
      </c>
      <c r="J81" s="75">
        <v>3150</v>
      </c>
      <c r="L81" s="75">
        <v>0</v>
      </c>
      <c r="M81" s="75">
        <v>0</v>
      </c>
      <c r="N81" s="75">
        <v>0</v>
      </c>
      <c r="O81" s="75">
        <v>96.29</v>
      </c>
      <c r="P81" s="75">
        <v>79.34</v>
      </c>
      <c r="Q81" s="75">
        <v>0</v>
      </c>
      <c r="R81" s="75">
        <v>0</v>
      </c>
      <c r="S81" s="75">
        <v>-0.03</v>
      </c>
      <c r="T81" s="75">
        <v>175.6</v>
      </c>
      <c r="U81" s="75">
        <v>2974.4</v>
      </c>
      <c r="V81" s="75">
        <v>58.46</v>
      </c>
      <c r="W81" s="75">
        <v>105.24</v>
      </c>
      <c r="X81" s="75">
        <v>317.01</v>
      </c>
      <c r="Y81" s="75">
        <v>256.82</v>
      </c>
      <c r="Z81" s="75">
        <v>63</v>
      </c>
      <c r="AA81" s="75">
        <v>26.61</v>
      </c>
      <c r="AB81" s="75">
        <v>480.71</v>
      </c>
      <c r="AC81" s="75">
        <v>167.04</v>
      </c>
      <c r="AD81" s="75">
        <v>223.41</v>
      </c>
      <c r="AE81" s="75">
        <v>110</v>
      </c>
      <c r="AF81" s="75">
        <f t="shared" si="2"/>
        <v>172.48932208958493</v>
      </c>
    </row>
    <row r="82" spans="1:35" s="75" customFormat="1" ht="12.75" x14ac:dyDescent="0.2">
      <c r="A82" s="75" t="s">
        <v>136</v>
      </c>
      <c r="B82" s="75" t="s">
        <v>137</v>
      </c>
      <c r="C82" s="75">
        <v>15</v>
      </c>
      <c r="D82" s="75">
        <v>0</v>
      </c>
      <c r="E82" s="75">
        <v>233.33</v>
      </c>
      <c r="F82" s="75">
        <v>247.46</v>
      </c>
      <c r="G82" s="75">
        <v>3499.95</v>
      </c>
      <c r="H82" s="75">
        <v>0</v>
      </c>
      <c r="I82" s="75">
        <v>0</v>
      </c>
      <c r="J82" s="75">
        <v>3499.95</v>
      </c>
      <c r="L82" s="75">
        <v>0</v>
      </c>
      <c r="M82" s="75">
        <v>0</v>
      </c>
      <c r="N82" s="75">
        <v>0</v>
      </c>
      <c r="O82" s="75">
        <v>134.36000000000001</v>
      </c>
      <c r="P82" s="75">
        <v>88.16</v>
      </c>
      <c r="Q82" s="75">
        <v>0</v>
      </c>
      <c r="R82" s="75">
        <v>0</v>
      </c>
      <c r="S82" s="75">
        <v>0.03</v>
      </c>
      <c r="T82" s="75">
        <v>222.55</v>
      </c>
      <c r="U82" s="75">
        <v>3277.4</v>
      </c>
      <c r="V82" s="75">
        <v>64.959999999999994</v>
      </c>
      <c r="W82" s="75">
        <v>116.92</v>
      </c>
      <c r="X82" s="75">
        <v>323.5</v>
      </c>
      <c r="Y82" s="75">
        <v>264.24</v>
      </c>
      <c r="Z82" s="75">
        <v>70</v>
      </c>
      <c r="AA82" s="75">
        <v>29.57</v>
      </c>
      <c r="AB82" s="75">
        <v>505.38</v>
      </c>
      <c r="AC82" s="75">
        <v>185.6</v>
      </c>
      <c r="AD82" s="75">
        <v>227.12</v>
      </c>
      <c r="AE82" s="75">
        <v>110</v>
      </c>
      <c r="AF82" s="75">
        <f t="shared" si="2"/>
        <v>191.65206439601357</v>
      </c>
    </row>
    <row r="83" spans="1:35" s="75" customFormat="1" ht="12.75" x14ac:dyDescent="0.2">
      <c r="A83" s="75" t="s">
        <v>163</v>
      </c>
      <c r="B83" s="75" t="s">
        <v>164</v>
      </c>
      <c r="C83" s="75">
        <v>15</v>
      </c>
      <c r="D83" s="75">
        <v>0</v>
      </c>
      <c r="E83" s="75">
        <v>210</v>
      </c>
      <c r="F83" s="75">
        <v>219.49</v>
      </c>
      <c r="G83" s="75">
        <v>3150</v>
      </c>
      <c r="H83" s="75">
        <v>0</v>
      </c>
      <c r="I83" s="75">
        <v>0</v>
      </c>
      <c r="J83" s="75">
        <v>3150</v>
      </c>
      <c r="L83" s="75">
        <v>1183.26</v>
      </c>
      <c r="M83" s="75">
        <v>0</v>
      </c>
      <c r="N83" s="75">
        <v>0</v>
      </c>
      <c r="O83" s="75">
        <v>96.29</v>
      </c>
      <c r="P83" s="75">
        <v>78.2</v>
      </c>
      <c r="Q83" s="75">
        <v>0</v>
      </c>
      <c r="R83" s="75">
        <v>0</v>
      </c>
      <c r="S83" s="76">
        <v>-0.15</v>
      </c>
      <c r="T83" s="75">
        <v>1357.6</v>
      </c>
      <c r="U83" s="75">
        <v>1792.4</v>
      </c>
      <c r="V83" s="75">
        <v>57.62</v>
      </c>
      <c r="W83" s="75">
        <v>103.71</v>
      </c>
      <c r="X83" s="75">
        <v>316.16000000000003</v>
      </c>
      <c r="Y83" s="75">
        <v>255.85</v>
      </c>
      <c r="Z83" s="75">
        <v>63</v>
      </c>
      <c r="AA83" s="75">
        <v>26.23</v>
      </c>
      <c r="AB83" s="75">
        <v>477.49</v>
      </c>
      <c r="AC83" s="75">
        <v>164.62</v>
      </c>
      <c r="AD83" s="75">
        <v>222.92000000000002</v>
      </c>
      <c r="AE83" s="75">
        <v>110</v>
      </c>
      <c r="AF83" s="75">
        <f t="shared" si="2"/>
        <v>172.48932208958493</v>
      </c>
    </row>
    <row r="84" spans="1:35" s="75" customFormat="1" ht="12.75" x14ac:dyDescent="0.2">
      <c r="A84" s="75" t="s">
        <v>93</v>
      </c>
      <c r="B84" s="75" t="s">
        <v>95</v>
      </c>
      <c r="C84" s="75">
        <v>15</v>
      </c>
      <c r="D84" s="75">
        <v>0</v>
      </c>
      <c r="E84" s="75">
        <v>200</v>
      </c>
      <c r="F84" s="75">
        <v>212.11</v>
      </c>
      <c r="G84" s="75">
        <v>3000</v>
      </c>
      <c r="H84" s="75">
        <v>0</v>
      </c>
      <c r="I84" s="75">
        <v>0</v>
      </c>
      <c r="J84" s="75">
        <v>3000</v>
      </c>
      <c r="L84" s="75">
        <v>0</v>
      </c>
      <c r="M84" s="75">
        <v>0</v>
      </c>
      <c r="N84" s="75">
        <v>0</v>
      </c>
      <c r="O84" s="75">
        <v>59.69</v>
      </c>
      <c r="P84" s="75">
        <v>75.56</v>
      </c>
      <c r="Q84" s="75">
        <v>0</v>
      </c>
      <c r="R84" s="75">
        <v>0</v>
      </c>
      <c r="S84" s="76">
        <v>-0.05</v>
      </c>
      <c r="T84" s="75">
        <v>135.19999999999999</v>
      </c>
      <c r="U84" s="75">
        <v>2864.8</v>
      </c>
      <c r="V84" s="75">
        <v>55.68</v>
      </c>
      <c r="W84" s="75">
        <v>100.22</v>
      </c>
      <c r="X84" s="75">
        <v>314.22000000000003</v>
      </c>
      <c r="Y84" s="75">
        <v>253.63</v>
      </c>
      <c r="Z84" s="75">
        <v>60</v>
      </c>
      <c r="AA84" s="75">
        <v>25.34</v>
      </c>
      <c r="AB84" s="75">
        <v>470.12</v>
      </c>
      <c r="AC84" s="75">
        <v>159.08000000000001</v>
      </c>
      <c r="AD84" s="75">
        <v>221.82</v>
      </c>
      <c r="AE84" s="75">
        <v>110</v>
      </c>
      <c r="AF84" s="75">
        <f t="shared" si="2"/>
        <v>164.27554484722373</v>
      </c>
    </row>
    <row r="85" spans="1:35" s="75" customFormat="1" ht="12.75" x14ac:dyDescent="0.2">
      <c r="A85" s="75" t="s">
        <v>332</v>
      </c>
      <c r="B85" s="75" t="s">
        <v>333</v>
      </c>
      <c r="C85" s="75">
        <v>15</v>
      </c>
      <c r="D85" s="75">
        <v>0</v>
      </c>
      <c r="E85" s="75">
        <v>200</v>
      </c>
      <c r="F85" s="75">
        <v>212.11</v>
      </c>
      <c r="G85" s="75">
        <v>3000</v>
      </c>
      <c r="H85" s="75">
        <v>0</v>
      </c>
      <c r="I85" s="75">
        <v>0</v>
      </c>
      <c r="J85" s="75">
        <v>3000</v>
      </c>
      <c r="L85" s="75">
        <v>652.17999999999995</v>
      </c>
      <c r="M85" s="75">
        <v>0</v>
      </c>
      <c r="N85" s="75">
        <v>0</v>
      </c>
      <c r="O85" s="75">
        <v>59.69</v>
      </c>
      <c r="P85" s="75">
        <v>75.56</v>
      </c>
      <c r="Q85" s="75">
        <v>636.6</v>
      </c>
      <c r="R85" s="75">
        <v>0</v>
      </c>
      <c r="S85" s="76">
        <v>-0.03</v>
      </c>
      <c r="T85" s="75">
        <v>1424</v>
      </c>
      <c r="U85" s="75">
        <v>1576</v>
      </c>
      <c r="V85" s="75">
        <v>55.68</v>
      </c>
      <c r="W85" s="75">
        <v>100.22</v>
      </c>
      <c r="X85" s="75">
        <v>314.22000000000003</v>
      </c>
      <c r="Y85" s="75">
        <v>253.63</v>
      </c>
      <c r="Z85" s="75">
        <v>60</v>
      </c>
      <c r="AA85" s="75">
        <v>25.34</v>
      </c>
      <c r="AB85" s="75">
        <v>470.12</v>
      </c>
      <c r="AC85" s="75">
        <v>159.08000000000001</v>
      </c>
      <c r="AD85" s="75">
        <v>221.82</v>
      </c>
      <c r="AE85" s="75">
        <v>110</v>
      </c>
      <c r="AF85" s="75">
        <f t="shared" si="2"/>
        <v>164.27554484722373</v>
      </c>
    </row>
    <row r="86" spans="1:35" s="75" customFormat="1" ht="12.75" x14ac:dyDescent="0.2">
      <c r="A86" s="75" t="s">
        <v>371</v>
      </c>
      <c r="B86" s="75" t="s">
        <v>339</v>
      </c>
      <c r="C86" s="75">
        <v>15</v>
      </c>
      <c r="D86" s="75">
        <v>0</v>
      </c>
      <c r="E86" s="75">
        <v>166.67</v>
      </c>
      <c r="F86" s="75">
        <v>176.76</v>
      </c>
      <c r="G86" s="75">
        <v>2500.0500000000002</v>
      </c>
      <c r="H86" s="75">
        <v>0</v>
      </c>
      <c r="I86" s="75">
        <v>0</v>
      </c>
      <c r="J86" s="75">
        <v>2500.0500000000002</v>
      </c>
      <c r="L86" s="75">
        <v>0</v>
      </c>
      <c r="M86" s="75">
        <v>0</v>
      </c>
      <c r="N86" s="76">
        <v>-9.6199999999999992</v>
      </c>
      <c r="O86" s="75">
        <v>0</v>
      </c>
      <c r="P86" s="75">
        <v>62.97</v>
      </c>
      <c r="Q86" s="75">
        <v>0</v>
      </c>
      <c r="R86" s="75">
        <v>0</v>
      </c>
      <c r="S86" s="75">
        <v>0.1</v>
      </c>
      <c r="T86" s="75">
        <v>53.45</v>
      </c>
      <c r="U86" s="75">
        <v>2446.6</v>
      </c>
      <c r="V86" s="75">
        <v>46.4</v>
      </c>
      <c r="W86" s="75">
        <v>83.52</v>
      </c>
      <c r="X86" s="75">
        <v>304.94</v>
      </c>
      <c r="Y86" s="75">
        <v>243.03</v>
      </c>
      <c r="Z86" s="75">
        <v>50</v>
      </c>
      <c r="AA86" s="75">
        <v>21.12</v>
      </c>
      <c r="AB86" s="75">
        <v>434.86</v>
      </c>
      <c r="AC86" s="75">
        <v>132.57</v>
      </c>
      <c r="AD86" s="75">
        <v>216.51</v>
      </c>
      <c r="AE86" s="75">
        <v>110</v>
      </c>
      <c r="AF86" s="75">
        <f t="shared" si="2"/>
        <v>136.89902529843388</v>
      </c>
    </row>
    <row r="87" spans="1:35" s="75" customFormat="1" ht="12.75" x14ac:dyDescent="0.2">
      <c r="A87" s="75" t="s">
        <v>372</v>
      </c>
      <c r="B87" s="75" t="s">
        <v>341</v>
      </c>
      <c r="C87" s="75">
        <v>15</v>
      </c>
      <c r="D87" s="75">
        <v>0</v>
      </c>
      <c r="E87" s="75">
        <v>200</v>
      </c>
      <c r="F87" s="75">
        <v>209.04</v>
      </c>
      <c r="G87" s="75">
        <v>3000</v>
      </c>
      <c r="H87" s="75">
        <v>0</v>
      </c>
      <c r="I87" s="75">
        <v>0</v>
      </c>
      <c r="J87" s="75">
        <v>3000</v>
      </c>
      <c r="L87" s="75">
        <v>0</v>
      </c>
      <c r="M87" s="75">
        <v>0</v>
      </c>
      <c r="N87" s="75">
        <v>0</v>
      </c>
      <c r="O87" s="75">
        <v>59.69</v>
      </c>
      <c r="P87" s="75">
        <v>74.48</v>
      </c>
      <c r="Q87" s="75">
        <v>0</v>
      </c>
      <c r="R87" s="75">
        <v>0</v>
      </c>
      <c r="S87" s="75">
        <v>0.03</v>
      </c>
      <c r="T87" s="75">
        <v>134.19999999999999</v>
      </c>
      <c r="U87" s="75">
        <v>2865.8</v>
      </c>
      <c r="V87" s="75">
        <v>54.87</v>
      </c>
      <c r="W87" s="75">
        <v>98.77</v>
      </c>
      <c r="X87" s="75">
        <v>313.41000000000003</v>
      </c>
      <c r="Y87" s="75">
        <v>252.71</v>
      </c>
      <c r="Z87" s="75">
        <v>60</v>
      </c>
      <c r="AA87" s="75">
        <v>24.98</v>
      </c>
      <c r="AB87" s="75">
        <v>467.05</v>
      </c>
      <c r="AC87" s="75">
        <v>156.78</v>
      </c>
      <c r="AD87" s="75">
        <v>221.36</v>
      </c>
      <c r="AE87" s="75">
        <v>110</v>
      </c>
      <c r="AF87" s="75">
        <f t="shared" si="2"/>
        <v>164.27554484722373</v>
      </c>
    </row>
    <row r="88" spans="1:35" s="75" customFormat="1" ht="12.75" x14ac:dyDescent="0.2">
      <c r="A88" s="75" t="s">
        <v>426</v>
      </c>
      <c r="B88" s="75" t="s">
        <v>427</v>
      </c>
      <c r="C88" s="75">
        <v>15</v>
      </c>
      <c r="D88" s="75">
        <v>0</v>
      </c>
      <c r="E88" s="75">
        <v>210</v>
      </c>
      <c r="F88" s="75">
        <v>219.83</v>
      </c>
      <c r="G88" s="75">
        <v>3150</v>
      </c>
      <c r="H88" s="75">
        <v>0</v>
      </c>
      <c r="I88" s="75">
        <v>0</v>
      </c>
      <c r="J88" s="75">
        <v>3150</v>
      </c>
      <c r="L88" s="75">
        <v>0</v>
      </c>
      <c r="M88" s="75">
        <v>0</v>
      </c>
      <c r="N88" s="76">
        <v>0</v>
      </c>
      <c r="O88" s="75">
        <v>96.29</v>
      </c>
      <c r="P88" s="75">
        <v>78.319999999999993</v>
      </c>
      <c r="Q88" s="75">
        <v>0</v>
      </c>
      <c r="R88" s="75">
        <v>0</v>
      </c>
      <c r="S88" s="75">
        <v>-0.01</v>
      </c>
      <c r="T88" s="75">
        <v>174.6</v>
      </c>
      <c r="U88" s="75">
        <v>2975.4</v>
      </c>
      <c r="V88" s="75">
        <v>57.71</v>
      </c>
      <c r="W88" s="75">
        <v>103.87</v>
      </c>
      <c r="X88" s="75">
        <v>316.24</v>
      </c>
      <c r="Y88" s="75">
        <v>255.95</v>
      </c>
      <c r="Z88" s="75">
        <v>63</v>
      </c>
      <c r="AA88" s="75">
        <v>26.27</v>
      </c>
      <c r="AB88" s="75">
        <v>477.82</v>
      </c>
      <c r="AC88" s="75">
        <v>164.87</v>
      </c>
      <c r="AD88" s="75">
        <v>222.97</v>
      </c>
      <c r="AE88" s="75">
        <v>110</v>
      </c>
      <c r="AF88" s="75">
        <f t="shared" si="2"/>
        <v>172.48932208958493</v>
      </c>
    </row>
    <row r="89" spans="1:35" s="75" customFormat="1" ht="12.75" x14ac:dyDescent="0.2">
      <c r="A89" s="18" t="s">
        <v>428</v>
      </c>
      <c r="B89" s="18" t="s">
        <v>429</v>
      </c>
      <c r="C89" s="75">
        <v>15</v>
      </c>
      <c r="D89" s="75">
        <v>0</v>
      </c>
      <c r="E89" s="75">
        <v>210</v>
      </c>
      <c r="F89" s="75">
        <v>219.49</v>
      </c>
      <c r="G89" s="75">
        <v>3150</v>
      </c>
      <c r="H89" s="75">
        <v>0</v>
      </c>
      <c r="I89" s="75">
        <v>0</v>
      </c>
      <c r="J89" s="75">
        <v>3150</v>
      </c>
      <c r="L89" s="75">
        <v>0</v>
      </c>
      <c r="M89" s="75">
        <v>0</v>
      </c>
      <c r="N89" s="76">
        <v>0</v>
      </c>
      <c r="O89" s="75">
        <v>96.29</v>
      </c>
      <c r="P89" s="75">
        <v>78.2</v>
      </c>
      <c r="Q89" s="75">
        <v>0</v>
      </c>
      <c r="R89" s="75">
        <v>0</v>
      </c>
      <c r="S89" s="75">
        <v>0.11</v>
      </c>
      <c r="T89" s="75">
        <v>174.6</v>
      </c>
      <c r="U89" s="75">
        <v>2975.4</v>
      </c>
      <c r="V89" s="75">
        <v>57.62</v>
      </c>
      <c r="W89" s="75">
        <v>103.71</v>
      </c>
      <c r="X89" s="75">
        <v>316.16000000000003</v>
      </c>
      <c r="Y89" s="75">
        <v>255.85</v>
      </c>
      <c r="Z89" s="75">
        <v>63</v>
      </c>
      <c r="AA89" s="75">
        <v>26.23</v>
      </c>
      <c r="AB89" s="75">
        <v>477.49</v>
      </c>
      <c r="AC89" s="75">
        <v>164.62</v>
      </c>
      <c r="AD89" s="75">
        <v>222.92000000000002</v>
      </c>
      <c r="AE89" s="90">
        <v>110</v>
      </c>
      <c r="AF89" s="75">
        <f t="shared" ref="AF89:AF91" si="3">((20/365.24)*15)*E89</f>
        <v>172.48932208958493</v>
      </c>
    </row>
    <row r="90" spans="1:35" s="75" customFormat="1" ht="12.75" x14ac:dyDescent="0.2">
      <c r="A90" s="18" t="s">
        <v>430</v>
      </c>
      <c r="B90" s="18" t="s">
        <v>431</v>
      </c>
      <c r="C90" s="75">
        <v>15</v>
      </c>
      <c r="D90" s="75">
        <v>0</v>
      </c>
      <c r="E90" s="75">
        <v>200</v>
      </c>
      <c r="F90" s="75">
        <v>209.04</v>
      </c>
      <c r="G90" s="75">
        <v>3000</v>
      </c>
      <c r="H90" s="75">
        <v>0</v>
      </c>
      <c r="I90" s="75">
        <v>0</v>
      </c>
      <c r="J90" s="75">
        <v>3000</v>
      </c>
      <c r="L90" s="75">
        <v>0</v>
      </c>
      <c r="M90" s="75">
        <v>0</v>
      </c>
      <c r="N90" s="76">
        <v>0</v>
      </c>
      <c r="O90" s="75">
        <v>59.69</v>
      </c>
      <c r="P90" s="75">
        <v>74.48</v>
      </c>
      <c r="Q90" s="75">
        <v>0</v>
      </c>
      <c r="R90" s="75">
        <v>0</v>
      </c>
      <c r="S90" s="75">
        <v>0.03</v>
      </c>
      <c r="T90" s="75">
        <v>134.19999999999999</v>
      </c>
      <c r="U90" s="75">
        <v>2865.8</v>
      </c>
      <c r="V90" s="75">
        <v>54.87</v>
      </c>
      <c r="W90" s="75">
        <v>98.77</v>
      </c>
      <c r="X90" s="75">
        <v>313.41000000000003</v>
      </c>
      <c r="Y90" s="75">
        <v>252.71</v>
      </c>
      <c r="Z90" s="75">
        <v>60</v>
      </c>
      <c r="AA90" s="75">
        <v>24.98</v>
      </c>
      <c r="AB90" s="75">
        <v>467.05</v>
      </c>
      <c r="AC90" s="75">
        <v>156.78</v>
      </c>
      <c r="AD90" s="75">
        <v>221.36</v>
      </c>
      <c r="AE90" s="90">
        <v>110</v>
      </c>
      <c r="AF90" s="75">
        <f t="shared" si="3"/>
        <v>164.27554484722373</v>
      </c>
    </row>
    <row r="91" spans="1:35" s="75" customFormat="1" ht="12.75" x14ac:dyDescent="0.2">
      <c r="A91" s="75" t="s">
        <v>156</v>
      </c>
      <c r="B91" s="75" t="s">
        <v>157</v>
      </c>
      <c r="C91" s="75">
        <v>15</v>
      </c>
      <c r="D91" s="75">
        <v>0</v>
      </c>
      <c r="E91" s="75">
        <v>266.67</v>
      </c>
      <c r="F91" s="75">
        <v>282.81</v>
      </c>
      <c r="G91" s="75">
        <v>4000.05</v>
      </c>
      <c r="H91" s="75">
        <v>0</v>
      </c>
      <c r="I91" s="75">
        <v>0</v>
      </c>
      <c r="J91" s="75">
        <v>4000.05</v>
      </c>
      <c r="L91" s="75">
        <v>0</v>
      </c>
      <c r="M91" s="75">
        <v>0</v>
      </c>
      <c r="N91" s="75">
        <v>0</v>
      </c>
      <c r="O91" s="75">
        <v>313.87</v>
      </c>
      <c r="P91" s="75">
        <v>102.51</v>
      </c>
      <c r="Q91" s="75">
        <v>0</v>
      </c>
      <c r="R91" s="75">
        <v>0</v>
      </c>
      <c r="S91" s="76">
        <v>7.0000000000000007E-2</v>
      </c>
      <c r="T91" s="75">
        <v>416.45</v>
      </c>
      <c r="U91" s="75">
        <v>3583.6</v>
      </c>
      <c r="V91" s="75">
        <v>74.239999999999995</v>
      </c>
      <c r="W91" s="75">
        <v>133.63</v>
      </c>
      <c r="X91" s="75">
        <v>337.62</v>
      </c>
      <c r="Y91" s="75">
        <v>274.84000000000003</v>
      </c>
      <c r="Z91" s="75">
        <v>80</v>
      </c>
      <c r="AA91" s="75">
        <v>33.79</v>
      </c>
      <c r="AB91" s="75">
        <v>545.49</v>
      </c>
      <c r="AC91" s="75">
        <v>212.11</v>
      </c>
      <c r="AD91" s="75">
        <v>232.42000000000002</v>
      </c>
      <c r="AE91" s="75">
        <v>110</v>
      </c>
      <c r="AF91" s="75">
        <f t="shared" si="3"/>
        <v>219.03679772204578</v>
      </c>
    </row>
    <row r="92" spans="1:35" s="79" customFormat="1" ht="12.75" x14ac:dyDescent="0.2">
      <c r="C92" s="79" t="s">
        <v>74</v>
      </c>
      <c r="D92" s="79" t="s">
        <v>74</v>
      </c>
      <c r="E92" s="79" t="s">
        <v>74</v>
      </c>
      <c r="F92" s="79" t="s">
        <v>74</v>
      </c>
      <c r="G92" s="79" t="s">
        <v>74</v>
      </c>
      <c r="H92" s="79" t="s">
        <v>74</v>
      </c>
      <c r="I92" s="79" t="s">
        <v>74</v>
      </c>
      <c r="J92" s="79" t="s">
        <v>74</v>
      </c>
      <c r="K92" s="79" t="s">
        <v>74</v>
      </c>
      <c r="L92" s="79" t="s">
        <v>74</v>
      </c>
      <c r="M92" s="79" t="s">
        <v>74</v>
      </c>
      <c r="N92" s="79" t="s">
        <v>74</v>
      </c>
      <c r="O92" s="79" t="s">
        <v>74</v>
      </c>
      <c r="P92" s="79" t="s">
        <v>74</v>
      </c>
      <c r="Q92" s="79" t="s">
        <v>74</v>
      </c>
      <c r="R92" s="79" t="s">
        <v>74</v>
      </c>
      <c r="S92" s="79" t="s">
        <v>74</v>
      </c>
      <c r="T92" s="79" t="s">
        <v>74</v>
      </c>
      <c r="U92" s="79" t="s">
        <v>74</v>
      </c>
      <c r="V92" s="79" t="s">
        <v>74</v>
      </c>
      <c r="W92" s="79" t="s">
        <v>74</v>
      </c>
      <c r="X92" s="79" t="s">
        <v>74</v>
      </c>
      <c r="Y92" s="79" t="s">
        <v>74</v>
      </c>
      <c r="Z92" s="79" t="s">
        <v>74</v>
      </c>
      <c r="AA92" s="79" t="s">
        <v>74</v>
      </c>
      <c r="AB92" s="79" t="s">
        <v>74</v>
      </c>
      <c r="AC92" s="79" t="s">
        <v>74</v>
      </c>
      <c r="AD92" s="79" t="s">
        <v>74</v>
      </c>
      <c r="AE92" s="79" t="s">
        <v>74</v>
      </c>
      <c r="AF92" s="79" t="s">
        <v>74</v>
      </c>
      <c r="AG92" s="75"/>
      <c r="AH92" s="75"/>
      <c r="AI92" s="75"/>
    </row>
    <row r="93" spans="1:35" s="75" customFormat="1" ht="12.75" x14ac:dyDescent="0.2">
      <c r="A93" s="80" t="s">
        <v>75</v>
      </c>
      <c r="B93" s="75" t="s">
        <v>76</v>
      </c>
      <c r="C93" s="81">
        <f t="shared" ref="C93:AE93" si="4">SUM(C10:C91)</f>
        <v>1222</v>
      </c>
      <c r="D93" s="81">
        <f t="shared" si="4"/>
        <v>7</v>
      </c>
      <c r="E93" s="81">
        <f t="shared" si="4"/>
        <v>19720.609999999993</v>
      </c>
      <c r="F93" s="81">
        <f t="shared" si="4"/>
        <v>20791.330000000009</v>
      </c>
      <c r="G93" s="119">
        <f t="shared" si="4"/>
        <v>293892.72999999992</v>
      </c>
      <c r="H93" s="119">
        <f t="shared" si="4"/>
        <v>1716.52</v>
      </c>
      <c r="I93" s="119">
        <f t="shared" si="4"/>
        <v>514.96</v>
      </c>
      <c r="J93" s="120">
        <f t="shared" si="4"/>
        <v>296124.2099999999</v>
      </c>
      <c r="K93" s="118">
        <f t="shared" si="4"/>
        <v>0</v>
      </c>
      <c r="L93" s="118">
        <f t="shared" si="4"/>
        <v>20829.72</v>
      </c>
      <c r="M93" s="118">
        <f t="shared" si="4"/>
        <v>11863.15</v>
      </c>
      <c r="N93" s="118">
        <f t="shared" si="4"/>
        <v>-382.85</v>
      </c>
      <c r="O93" s="118">
        <f t="shared" si="4"/>
        <v>17000.850000000009</v>
      </c>
      <c r="P93" s="140">
        <f t="shared" si="4"/>
        <v>7533.5500000000029</v>
      </c>
      <c r="Q93" s="81">
        <f t="shared" si="4"/>
        <v>1236.5999999999999</v>
      </c>
      <c r="R93" s="81">
        <f t="shared" si="4"/>
        <v>5372.6100000000015</v>
      </c>
      <c r="S93" s="81">
        <f t="shared" si="4"/>
        <v>-1.9999999999999976E-2</v>
      </c>
      <c r="T93" s="81">
        <f t="shared" si="4"/>
        <v>63453.61</v>
      </c>
      <c r="U93" s="141">
        <f>SUM(U10:U91)</f>
        <v>232670.59999999992</v>
      </c>
      <c r="V93" s="140">
        <f t="shared" si="4"/>
        <v>5457.78</v>
      </c>
      <c r="W93" s="140">
        <f t="shared" si="4"/>
        <v>9823.9499999999953</v>
      </c>
      <c r="X93" s="140">
        <f t="shared" si="4"/>
        <v>27016.499999999996</v>
      </c>
      <c r="Y93" s="140">
        <f t="shared" si="4"/>
        <v>21817.359999999997</v>
      </c>
      <c r="Z93" s="81">
        <f t="shared" si="4"/>
        <v>5922.44</v>
      </c>
      <c r="AA93" s="140">
        <f t="shared" si="4"/>
        <v>2484.2200000000003</v>
      </c>
      <c r="AB93" s="81">
        <f t="shared" si="4"/>
        <v>42298.230000000018</v>
      </c>
      <c r="AC93" s="140">
        <f t="shared" si="4"/>
        <v>15593.540000000005</v>
      </c>
      <c r="AD93" s="140">
        <f t="shared" si="4"/>
        <v>18698.739999999994</v>
      </c>
      <c r="AE93" s="81">
        <f t="shared" si="4"/>
        <v>9020</v>
      </c>
      <c r="AF93" s="81">
        <f>SUM(AF10:AF91)</f>
        <v>16198.069762348034</v>
      </c>
    </row>
    <row r="94" spans="1:35" s="78" customFormat="1" ht="12.75" x14ac:dyDescent="0.2">
      <c r="A94" s="77"/>
      <c r="G94" s="121"/>
      <c r="H94" s="121"/>
      <c r="I94" s="121"/>
      <c r="J94" s="121"/>
    </row>
    <row r="95" spans="1:35" s="78" customFormat="1" ht="13.5" thickBot="1" x14ac:dyDescent="0.25">
      <c r="A95" s="49">
        <v>83</v>
      </c>
      <c r="B95" s="49" t="s">
        <v>433</v>
      </c>
      <c r="H95" s="78" t="s">
        <v>76</v>
      </c>
      <c r="I95" s="78" t="s">
        <v>76</v>
      </c>
      <c r="J95" s="78" t="s">
        <v>76</v>
      </c>
      <c r="K95" s="78" t="s">
        <v>76</v>
      </c>
      <c r="L95" s="78" t="s">
        <v>76</v>
      </c>
      <c r="M95" s="78" t="s">
        <v>76</v>
      </c>
      <c r="N95" s="78" t="s">
        <v>76</v>
      </c>
      <c r="O95" s="78" t="s">
        <v>76</v>
      </c>
      <c r="P95" s="78" t="s">
        <v>76</v>
      </c>
      <c r="Q95" s="78" t="s">
        <v>76</v>
      </c>
      <c r="R95" s="78" t="s">
        <v>76</v>
      </c>
      <c r="S95" s="78" t="s">
        <v>76</v>
      </c>
      <c r="T95" s="78" t="s">
        <v>76</v>
      </c>
      <c r="U95" s="78" t="s">
        <v>76</v>
      </c>
      <c r="V95" s="78" t="s">
        <v>76</v>
      </c>
      <c r="W95" s="78" t="s">
        <v>76</v>
      </c>
      <c r="X95" s="78" t="s">
        <v>76</v>
      </c>
      <c r="Y95" s="78" t="s">
        <v>76</v>
      </c>
      <c r="Z95" s="78" t="s">
        <v>76</v>
      </c>
      <c r="AA95" s="78" t="s">
        <v>76</v>
      </c>
      <c r="AB95" s="78" t="s">
        <v>76</v>
      </c>
      <c r="AC95" s="78" t="s">
        <v>76</v>
      </c>
      <c r="AD95" s="78" t="s">
        <v>76</v>
      </c>
      <c r="AE95" s="78" t="s">
        <v>76</v>
      </c>
    </row>
    <row r="96" spans="1:35" s="78" customFormat="1" ht="13.5" thickBot="1" x14ac:dyDescent="0.25">
      <c r="A96" s="49">
        <v>0</v>
      </c>
      <c r="B96" s="49" t="s">
        <v>434</v>
      </c>
      <c r="G96" s="82"/>
      <c r="H96" s="82"/>
      <c r="I96" s="178" t="s">
        <v>408</v>
      </c>
      <c r="J96" s="178"/>
      <c r="K96" s="139" t="s">
        <v>440</v>
      </c>
      <c r="L96" s="131" t="s">
        <v>439</v>
      </c>
      <c r="M96" s="138" t="s">
        <v>441</v>
      </c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</row>
    <row r="97" spans="1:15" s="78" customFormat="1" ht="12.75" x14ac:dyDescent="0.2">
      <c r="A97" s="49">
        <v>1</v>
      </c>
      <c r="B97" s="49" t="s">
        <v>435</v>
      </c>
      <c r="I97" s="71" t="s">
        <v>397</v>
      </c>
      <c r="J97" s="72">
        <f>+U93</f>
        <v>232670.59999999992</v>
      </c>
      <c r="K97" s="134">
        <f>U13</f>
        <v>1314.8</v>
      </c>
      <c r="L97" s="134">
        <v>0</v>
      </c>
      <c r="M97" s="135">
        <f>J97-L97-K97</f>
        <v>231355.79999999993</v>
      </c>
    </row>
    <row r="98" spans="1:15" s="78" customFormat="1" ht="12.75" x14ac:dyDescent="0.2">
      <c r="A98" s="49">
        <f>+A95+A96-A97</f>
        <v>82</v>
      </c>
      <c r="B98" s="49" t="s">
        <v>436</v>
      </c>
      <c r="D98" s="75"/>
      <c r="G98" s="18"/>
      <c r="I98" s="71" t="s">
        <v>398</v>
      </c>
      <c r="J98" s="72">
        <f>+R93-R77</f>
        <v>4900.6100000000015</v>
      </c>
      <c r="K98" s="130"/>
      <c r="L98" s="130"/>
      <c r="M98" s="136">
        <f>J98</f>
        <v>4900.6100000000015</v>
      </c>
    </row>
    <row r="99" spans="1:15" s="78" customFormat="1" ht="12.75" x14ac:dyDescent="0.2">
      <c r="A99" s="77"/>
      <c r="D99" s="75"/>
      <c r="G99" s="18"/>
      <c r="I99" s="193" t="s">
        <v>399</v>
      </c>
      <c r="J99" s="72">
        <f>+K93+L93+M93</f>
        <v>32692.870000000003</v>
      </c>
      <c r="K99" s="137">
        <f>L13</f>
        <v>977.57</v>
      </c>
      <c r="L99" s="137">
        <v>0</v>
      </c>
      <c r="M99" s="136">
        <f>J99-K99</f>
        <v>31715.300000000003</v>
      </c>
    </row>
    <row r="100" spans="1:15" s="78" customFormat="1" ht="12.75" x14ac:dyDescent="0.2">
      <c r="A100" s="77"/>
      <c r="G100" s="18"/>
      <c r="I100" s="71" t="s">
        <v>400</v>
      </c>
      <c r="J100" s="72">
        <f>+Q93</f>
        <v>1236.5999999999999</v>
      </c>
      <c r="K100" s="130"/>
      <c r="L100" s="130"/>
      <c r="M100" s="136">
        <f>J100</f>
        <v>1236.5999999999999</v>
      </c>
    </row>
    <row r="101" spans="1:15" s="78" customFormat="1" ht="12.75" x14ac:dyDescent="0.2">
      <c r="A101" s="77"/>
      <c r="G101" s="18"/>
      <c r="I101" s="71" t="s">
        <v>401</v>
      </c>
      <c r="J101" s="72">
        <f>SUM(J97:J100)</f>
        <v>271500.67999999993</v>
      </c>
      <c r="K101" s="137">
        <f>SUM(K97:K100)</f>
        <v>2292.37</v>
      </c>
      <c r="L101" s="137">
        <f t="shared" ref="L101" si="5">SUM(L97:L100)</f>
        <v>0</v>
      </c>
      <c r="M101" s="136">
        <f>SUM(M97:M100)</f>
        <v>269208.30999999994</v>
      </c>
    </row>
    <row r="102" spans="1:15" s="78" customFormat="1" ht="12.75" x14ac:dyDescent="0.2">
      <c r="A102" s="77"/>
      <c r="G102" s="18"/>
      <c r="I102" s="193" t="s">
        <v>402</v>
      </c>
      <c r="J102" s="72">
        <f>+J101*2%</f>
        <v>5430.0135999999984</v>
      </c>
      <c r="K102" s="137">
        <f>K101*2%</f>
        <v>45.8474</v>
      </c>
      <c r="L102" s="137">
        <f t="shared" ref="L102" si="6">L101*2%</f>
        <v>0</v>
      </c>
      <c r="M102" s="136">
        <f>M101*2%</f>
        <v>5384.1661999999988</v>
      </c>
    </row>
    <row r="103" spans="1:15" s="78" customFormat="1" ht="12.75" x14ac:dyDescent="0.2">
      <c r="A103" s="77"/>
      <c r="G103" s="18"/>
      <c r="I103" s="71" t="s">
        <v>403</v>
      </c>
      <c r="J103" s="72">
        <f>+J101+J102</f>
        <v>276930.69359999994</v>
      </c>
      <c r="K103" s="137">
        <f>K102+K101</f>
        <v>2338.2174</v>
      </c>
      <c r="L103" s="137">
        <f t="shared" ref="L103" si="7">L102+L101</f>
        <v>0</v>
      </c>
      <c r="M103" s="136">
        <f>M102+M101</f>
        <v>274592.47619999992</v>
      </c>
    </row>
    <row r="104" spans="1:15" s="78" customFormat="1" ht="12.75" x14ac:dyDescent="0.2">
      <c r="A104" s="77"/>
      <c r="G104" s="18"/>
      <c r="I104" s="193" t="s">
        <v>404</v>
      </c>
      <c r="J104" s="72">
        <f>+P93+V93+W93+X93+Y93+AA93+AC93+AD93</f>
        <v>108425.64</v>
      </c>
      <c r="K104" s="137">
        <f>P13+V13+W13+X13+Y13+AA13+AC13+AD13</f>
        <v>1068.81</v>
      </c>
      <c r="L104" s="137">
        <v>0</v>
      </c>
      <c r="M104" s="136">
        <f>J104-K104-L104</f>
        <v>107356.83</v>
      </c>
    </row>
    <row r="105" spans="1:15" s="78" customFormat="1" ht="12.75" x14ac:dyDescent="0.2">
      <c r="A105" s="77"/>
      <c r="G105" s="18"/>
      <c r="I105" s="193" t="s">
        <v>405</v>
      </c>
      <c r="J105" s="72">
        <f>+J93*2%</f>
        <v>5922.4841999999981</v>
      </c>
      <c r="K105" s="137">
        <f>J13*2%</f>
        <v>46.2</v>
      </c>
      <c r="L105" s="130">
        <v>0</v>
      </c>
      <c r="M105" s="136">
        <f>J105-L105-K105</f>
        <v>5876.2841999999982</v>
      </c>
    </row>
    <row r="106" spans="1:15" s="78" customFormat="1" ht="12.75" x14ac:dyDescent="0.2">
      <c r="A106" s="77"/>
      <c r="G106" s="18"/>
      <c r="I106" s="71" t="s">
        <v>406</v>
      </c>
      <c r="J106" s="72">
        <f>+J103+J104+J105</f>
        <v>391278.81779999996</v>
      </c>
      <c r="K106" s="137">
        <f>K105+K104+K103</f>
        <v>3453.2273999999998</v>
      </c>
      <c r="L106" s="137">
        <v>0</v>
      </c>
      <c r="M106" s="136">
        <f>M105+M104+M103</f>
        <v>387825.59039999993</v>
      </c>
    </row>
    <row r="107" spans="1:15" s="78" customFormat="1" ht="12.75" x14ac:dyDescent="0.2">
      <c r="A107" s="77"/>
      <c r="G107" s="18"/>
      <c r="I107" s="71" t="s">
        <v>30</v>
      </c>
      <c r="J107" s="72">
        <f>+J106*16%</f>
        <v>62604.610847999997</v>
      </c>
      <c r="K107" s="137">
        <f>K106*0.16</f>
        <v>552.51638400000002</v>
      </c>
      <c r="L107" s="137">
        <f t="shared" ref="L107" si="8">L106*0.16</f>
        <v>0</v>
      </c>
      <c r="M107" s="136">
        <f>M106*0.16</f>
        <v>62052.094463999987</v>
      </c>
    </row>
    <row r="108" spans="1:15" s="78" customFormat="1" ht="13.5" thickBot="1" x14ac:dyDescent="0.25">
      <c r="A108" s="77"/>
      <c r="G108" s="18"/>
      <c r="I108" s="71" t="s">
        <v>87</v>
      </c>
      <c r="J108" s="72">
        <f>+J106+J107</f>
        <v>453883.42864799994</v>
      </c>
      <c r="K108" s="143">
        <f>K107+K106</f>
        <v>4005.7437839999998</v>
      </c>
      <c r="L108" s="143">
        <f t="shared" ref="L108:M108" si="9">L107+L106</f>
        <v>0</v>
      </c>
      <c r="M108" s="144">
        <f t="shared" si="9"/>
        <v>449877.68486399989</v>
      </c>
    </row>
    <row r="109" spans="1:15" s="78" customFormat="1" ht="12.75" x14ac:dyDescent="0.2">
      <c r="A109" s="77"/>
      <c r="G109" s="18"/>
      <c r="I109" s="18"/>
      <c r="J109" s="18"/>
      <c r="K109" s="18">
        <f>K106-K102</f>
        <v>3407.3799999999997</v>
      </c>
      <c r="L109" s="18">
        <f t="shared" ref="L109" si="10">L106-L102</f>
        <v>0</v>
      </c>
      <c r="M109" s="18">
        <f>M106-M102</f>
        <v>382441.42419999995</v>
      </c>
    </row>
    <row r="110" spans="1:15" s="78" customFormat="1" ht="12.75" x14ac:dyDescent="0.2">
      <c r="A110" s="77"/>
      <c r="G110" s="18"/>
      <c r="I110" s="179" t="s">
        <v>407</v>
      </c>
      <c r="J110" s="179"/>
    </row>
    <row r="111" spans="1:15" s="78" customFormat="1" ht="12.75" x14ac:dyDescent="0.2">
      <c r="A111" s="77"/>
      <c r="G111" s="18"/>
      <c r="I111" s="170" t="s">
        <v>408</v>
      </c>
      <c r="J111" s="170"/>
    </row>
    <row r="112" spans="1:15" s="78" customFormat="1" ht="15" x14ac:dyDescent="0.25">
      <c r="A112" s="77"/>
      <c r="G112" s="18"/>
      <c r="I112" s="71" t="s">
        <v>401</v>
      </c>
      <c r="J112" s="72">
        <f>+AF93</f>
        <v>16198.069762348034</v>
      </c>
      <c r="L112" s="128">
        <v>0.73</v>
      </c>
      <c r="M112" s="128">
        <v>0.11</v>
      </c>
      <c r="N112" s="128">
        <v>0.12</v>
      </c>
      <c r="O112" s="128">
        <v>0.04</v>
      </c>
    </row>
    <row r="113" spans="1:15" s="78" customFormat="1" ht="12.75" x14ac:dyDescent="0.2">
      <c r="A113" s="77"/>
      <c r="G113" s="18"/>
      <c r="I113" s="71" t="s">
        <v>402</v>
      </c>
      <c r="J113" s="72">
        <f>+J112*2%</f>
        <v>323.96139524696071</v>
      </c>
      <c r="L113" s="127" t="s">
        <v>443</v>
      </c>
      <c r="M113" s="127" t="s">
        <v>444</v>
      </c>
      <c r="N113" s="127" t="s">
        <v>446</v>
      </c>
      <c r="O113" s="127" t="s">
        <v>445</v>
      </c>
    </row>
    <row r="114" spans="1:15" s="78" customFormat="1" ht="12.75" x14ac:dyDescent="0.2">
      <c r="A114" s="77"/>
      <c r="G114" s="18"/>
      <c r="I114" s="71" t="s">
        <v>403</v>
      </c>
      <c r="J114" s="72">
        <f>+J112+J113</f>
        <v>16522.031157594993</v>
      </c>
      <c r="K114" s="123" t="s">
        <v>441</v>
      </c>
      <c r="L114" s="145">
        <f>M109*$L$112</f>
        <v>279182.23966599995</v>
      </c>
      <c r="M114" s="145">
        <f>M109*$M$112</f>
        <v>42068.556661999995</v>
      </c>
      <c r="N114" s="145">
        <f>M109*$N$112</f>
        <v>45892.970903999994</v>
      </c>
      <c r="O114" s="145">
        <f>M109*$O$112</f>
        <v>15297.656967999998</v>
      </c>
    </row>
    <row r="115" spans="1:15" s="78" customFormat="1" ht="12.75" x14ac:dyDescent="0.2">
      <c r="A115" s="77"/>
      <c r="G115" s="18"/>
      <c r="I115" s="71" t="s">
        <v>405</v>
      </c>
      <c r="J115" s="72">
        <f>+J112*2%</f>
        <v>323.96139524696071</v>
      </c>
      <c r="K115" s="124" t="s">
        <v>439</v>
      </c>
      <c r="L115" s="145">
        <f>K111*$P$46</f>
        <v>0</v>
      </c>
      <c r="M115" s="145">
        <f>K111*$Q$46</f>
        <v>0</v>
      </c>
      <c r="N115" s="145">
        <f>K111*$R$46</f>
        <v>0</v>
      </c>
      <c r="O115" s="145">
        <f>K111*$S$46</f>
        <v>0</v>
      </c>
    </row>
    <row r="116" spans="1:15" s="78" customFormat="1" ht="12.75" x14ac:dyDescent="0.2">
      <c r="A116" s="77"/>
      <c r="G116" s="18"/>
      <c r="I116" s="71" t="s">
        <v>406</v>
      </c>
      <c r="J116" s="72">
        <f>+J114+J115</f>
        <v>16845.992552841952</v>
      </c>
      <c r="K116" s="125" t="s">
        <v>440</v>
      </c>
      <c r="L116" s="145">
        <f>K109*$L$112</f>
        <v>2487.3873999999996</v>
      </c>
      <c r="M116" s="145">
        <f>K109*$M$112</f>
        <v>374.81179999999995</v>
      </c>
      <c r="N116" s="145">
        <f>K109*$N$112</f>
        <v>408.88559999999995</v>
      </c>
      <c r="O116" s="145">
        <f>K109*$O$112</f>
        <v>136.29519999999999</v>
      </c>
    </row>
    <row r="117" spans="1:15" s="78" customFormat="1" ht="12.75" x14ac:dyDescent="0.2">
      <c r="A117" s="77"/>
      <c r="G117" s="18"/>
      <c r="I117" s="71" t="s">
        <v>30</v>
      </c>
      <c r="J117" s="72">
        <f>+J116*16%</f>
        <v>2695.3588084547123</v>
      </c>
      <c r="K117" s="126" t="s">
        <v>85</v>
      </c>
      <c r="L117" s="145">
        <f>J102*$L$112</f>
        <v>3963.9099279999987</v>
      </c>
      <c r="M117" s="145">
        <f>J102*$M$112</f>
        <v>597.30149599999982</v>
      </c>
      <c r="N117" s="145">
        <f>J102*$N$112</f>
        <v>651.60163199999977</v>
      </c>
      <c r="O117" s="145">
        <f>J102*$O$112</f>
        <v>217.20054399999995</v>
      </c>
    </row>
    <row r="118" spans="1:15" s="78" customFormat="1" ht="12.75" x14ac:dyDescent="0.2">
      <c r="A118" s="77"/>
      <c r="G118" s="18"/>
      <c r="I118" s="71" t="s">
        <v>87</v>
      </c>
      <c r="J118" s="72">
        <f>+J116+J117</f>
        <v>19541.351361296664</v>
      </c>
      <c r="K118" s="122" t="s">
        <v>393</v>
      </c>
      <c r="L118" s="146">
        <f>SUM(L114:L117)</f>
        <v>285633.53699399997</v>
      </c>
      <c r="M118" s="146">
        <f>SUM(M114:M117)</f>
        <v>43040.669957999999</v>
      </c>
      <c r="N118" s="146">
        <f>SUM(N114:N117)</f>
        <v>46953.458135999994</v>
      </c>
      <c r="O118" s="146">
        <f>SUM(O114:O117)</f>
        <v>15651.152711999997</v>
      </c>
    </row>
    <row r="119" spans="1:15" s="78" customFormat="1" ht="12.75" x14ac:dyDescent="0.2">
      <c r="A119" s="77"/>
      <c r="G119" s="18"/>
      <c r="K119" s="122" t="s">
        <v>442</v>
      </c>
      <c r="L119" s="146">
        <f>L118*16%</f>
        <v>45701.365919039992</v>
      </c>
      <c r="M119" s="146">
        <f>M118*16%</f>
        <v>6886.5071932800001</v>
      </c>
      <c r="N119" s="146">
        <f>N118*16%</f>
        <v>7512.5533017599992</v>
      </c>
      <c r="O119" s="146">
        <f>O118*16%</f>
        <v>2504.1844339199997</v>
      </c>
    </row>
    <row r="120" spans="1:15" s="78" customFormat="1" ht="15" x14ac:dyDescent="0.25">
      <c r="A120" s="77"/>
      <c r="G120" s="18"/>
      <c r="K120" s="122" t="s">
        <v>87</v>
      </c>
      <c r="L120" s="147">
        <f>L119+L118</f>
        <v>331334.90291303996</v>
      </c>
      <c r="M120" s="147">
        <f>M119+M118</f>
        <v>49927.177151279997</v>
      </c>
      <c r="N120" s="147">
        <f>N119+N118</f>
        <v>54466.011437759997</v>
      </c>
      <c r="O120" s="147">
        <f>O119+O118</f>
        <v>18155.337145919999</v>
      </c>
    </row>
    <row r="121" spans="1:15" s="78" customFormat="1" ht="12.75" x14ac:dyDescent="0.2">
      <c r="A121" s="77"/>
      <c r="G121" s="18"/>
      <c r="K121" s="1"/>
      <c r="L121" s="1"/>
      <c r="M121" s="1"/>
      <c r="N121" s="1"/>
      <c r="O121" s="1"/>
    </row>
    <row r="122" spans="1:15" s="78" customFormat="1" ht="12.75" x14ac:dyDescent="0.2">
      <c r="A122" s="77"/>
      <c r="G122" s="18"/>
    </row>
    <row r="123" spans="1:15" s="78" customFormat="1" ht="12.75" x14ac:dyDescent="0.2">
      <c r="A123" s="77"/>
      <c r="G123" s="18"/>
    </row>
    <row r="124" spans="1:15" s="78" customFormat="1" ht="12.75" x14ac:dyDescent="0.2">
      <c r="A124" s="77"/>
      <c r="G124" s="18"/>
    </row>
    <row r="125" spans="1:15" s="78" customFormat="1" ht="12.75" x14ac:dyDescent="0.2">
      <c r="A125" s="77"/>
      <c r="G125" s="18"/>
    </row>
    <row r="126" spans="1:15" s="78" customFormat="1" ht="12.75" x14ac:dyDescent="0.2">
      <c r="A126" s="77"/>
      <c r="G126" s="18"/>
    </row>
    <row r="127" spans="1:15" s="78" customFormat="1" ht="12.75" x14ac:dyDescent="0.2">
      <c r="A127" s="77"/>
      <c r="G127" s="18"/>
    </row>
    <row r="128" spans="1:15" s="78" customFormat="1" ht="12.75" x14ac:dyDescent="0.2">
      <c r="A128" s="77"/>
      <c r="G128" s="18"/>
    </row>
    <row r="129" spans="1:7" s="78" customFormat="1" ht="12.75" x14ac:dyDescent="0.2">
      <c r="A129" s="77"/>
      <c r="G129" s="18"/>
    </row>
    <row r="130" spans="1:7" s="78" customFormat="1" ht="12.75" x14ac:dyDescent="0.2">
      <c r="A130" s="77"/>
      <c r="G130" s="18"/>
    </row>
    <row r="131" spans="1:7" s="78" customFormat="1" ht="12.75" x14ac:dyDescent="0.2">
      <c r="A131" s="77"/>
      <c r="G131" s="18"/>
    </row>
    <row r="132" spans="1:7" s="78" customFormat="1" ht="12.75" x14ac:dyDescent="0.2">
      <c r="A132" s="77"/>
      <c r="G132" s="18"/>
    </row>
    <row r="133" spans="1:7" s="78" customFormat="1" ht="12.75" x14ac:dyDescent="0.2">
      <c r="A133" s="77"/>
      <c r="G133" s="18"/>
    </row>
    <row r="134" spans="1:7" s="78" customFormat="1" ht="12.75" x14ac:dyDescent="0.2">
      <c r="A134" s="77"/>
      <c r="G134" s="18"/>
    </row>
    <row r="135" spans="1:7" s="78" customFormat="1" ht="12.75" x14ac:dyDescent="0.2">
      <c r="A135" s="77"/>
      <c r="G135" s="18"/>
    </row>
    <row r="136" spans="1:7" s="78" customFormat="1" ht="12.75" x14ac:dyDescent="0.2">
      <c r="A136" s="77"/>
      <c r="G136" s="18"/>
    </row>
    <row r="137" spans="1:7" s="78" customFormat="1" ht="12.75" x14ac:dyDescent="0.2">
      <c r="A137" s="77"/>
      <c r="G137" s="18"/>
    </row>
    <row r="138" spans="1:7" s="78" customFormat="1" ht="12.75" x14ac:dyDescent="0.2">
      <c r="A138" s="77"/>
      <c r="G138" s="18"/>
    </row>
    <row r="139" spans="1:7" s="78" customFormat="1" ht="12.75" x14ac:dyDescent="0.2">
      <c r="A139" s="77"/>
      <c r="G139" s="18"/>
    </row>
    <row r="140" spans="1:7" s="78" customFormat="1" ht="12.75" x14ac:dyDescent="0.2">
      <c r="A140" s="77"/>
      <c r="G140" s="18"/>
    </row>
    <row r="141" spans="1:7" s="78" customFormat="1" ht="12.75" x14ac:dyDescent="0.2">
      <c r="A141" s="77"/>
      <c r="G141" s="18"/>
    </row>
    <row r="142" spans="1:7" s="78" customFormat="1" ht="12.75" x14ac:dyDescent="0.2">
      <c r="A142" s="77"/>
      <c r="G142" s="18"/>
    </row>
    <row r="143" spans="1:7" s="78" customFormat="1" ht="12.75" x14ac:dyDescent="0.2">
      <c r="A143" s="77"/>
      <c r="G143" s="18"/>
    </row>
    <row r="144" spans="1:7" s="78" customFormat="1" ht="12.75" x14ac:dyDescent="0.2">
      <c r="A144" s="77"/>
      <c r="G144" s="18"/>
    </row>
    <row r="145" spans="1:7" s="78" customFormat="1" ht="12.75" x14ac:dyDescent="0.2">
      <c r="A145" s="77"/>
      <c r="G145" s="18"/>
    </row>
    <row r="146" spans="1:7" s="78" customFormat="1" ht="12.75" x14ac:dyDescent="0.2">
      <c r="A146" s="77"/>
      <c r="G146" s="18"/>
    </row>
    <row r="147" spans="1:7" s="78" customFormat="1" ht="12.75" x14ac:dyDescent="0.2">
      <c r="A147" s="77"/>
      <c r="G147" s="18"/>
    </row>
    <row r="148" spans="1:7" s="78" customFormat="1" ht="12.75" x14ac:dyDescent="0.2">
      <c r="A148" s="77"/>
      <c r="G148" s="18"/>
    </row>
    <row r="149" spans="1:7" s="78" customFormat="1" ht="12.75" x14ac:dyDescent="0.2">
      <c r="A149" s="77"/>
      <c r="G149" s="18"/>
    </row>
    <row r="150" spans="1:7" s="78" customFormat="1" ht="12.75" x14ac:dyDescent="0.2">
      <c r="A150" s="77"/>
      <c r="G150" s="18"/>
    </row>
    <row r="151" spans="1:7" s="78" customFormat="1" ht="12.75" x14ac:dyDescent="0.2">
      <c r="A151" s="77"/>
      <c r="G151" s="18"/>
    </row>
    <row r="152" spans="1:7" s="78" customFormat="1" ht="12.75" x14ac:dyDescent="0.2">
      <c r="A152" s="77"/>
      <c r="G152" s="18"/>
    </row>
    <row r="153" spans="1:7" s="78" customFormat="1" ht="12.75" x14ac:dyDescent="0.2">
      <c r="A153" s="77"/>
      <c r="G153" s="18"/>
    </row>
    <row r="154" spans="1:7" s="78" customFormat="1" ht="12.75" x14ac:dyDescent="0.2">
      <c r="A154" s="77"/>
      <c r="G154" s="18"/>
    </row>
    <row r="155" spans="1:7" s="78" customFormat="1" ht="12.75" x14ac:dyDescent="0.2">
      <c r="A155" s="77"/>
      <c r="G155" s="18"/>
    </row>
    <row r="156" spans="1:7" s="78" customFormat="1" ht="12.75" x14ac:dyDescent="0.2">
      <c r="A156" s="77"/>
      <c r="G156" s="18"/>
    </row>
    <row r="157" spans="1:7" s="78" customFormat="1" ht="12.75" x14ac:dyDescent="0.2">
      <c r="A157" s="77"/>
      <c r="G157" s="18"/>
    </row>
    <row r="158" spans="1:7" s="78" customFormat="1" ht="12.75" x14ac:dyDescent="0.2">
      <c r="A158" s="77"/>
      <c r="G158" s="18"/>
    </row>
    <row r="159" spans="1:7" s="78" customFormat="1" ht="12.75" x14ac:dyDescent="0.2">
      <c r="A159" s="77"/>
      <c r="G159" s="18"/>
    </row>
    <row r="160" spans="1:7" s="78" customFormat="1" ht="12.75" x14ac:dyDescent="0.2">
      <c r="A160" s="77"/>
      <c r="G160" s="18"/>
    </row>
    <row r="161" spans="1:7" s="78" customFormat="1" ht="12.75" x14ac:dyDescent="0.2">
      <c r="A161" s="77"/>
      <c r="G161" s="18"/>
    </row>
    <row r="162" spans="1:7" s="78" customFormat="1" ht="12.75" x14ac:dyDescent="0.2">
      <c r="A162" s="77"/>
      <c r="G162" s="18"/>
    </row>
    <row r="163" spans="1:7" s="78" customFormat="1" ht="12.75" x14ac:dyDescent="0.2">
      <c r="A163" s="77"/>
      <c r="G163" s="18"/>
    </row>
    <row r="164" spans="1:7" s="78" customFormat="1" ht="12.75" x14ac:dyDescent="0.2">
      <c r="A164" s="77"/>
      <c r="G164" s="18"/>
    </row>
    <row r="165" spans="1:7" s="78" customFormat="1" ht="12.75" x14ac:dyDescent="0.2">
      <c r="A165" s="77"/>
      <c r="G165" s="18"/>
    </row>
    <row r="166" spans="1:7" s="78" customFormat="1" ht="12.75" x14ac:dyDescent="0.2">
      <c r="A166" s="77"/>
      <c r="G166" s="18"/>
    </row>
    <row r="167" spans="1:7" s="78" customFormat="1" ht="12.75" x14ac:dyDescent="0.2">
      <c r="A167" s="77"/>
      <c r="G167" s="18"/>
    </row>
    <row r="168" spans="1:7" s="78" customFormat="1" ht="12.75" x14ac:dyDescent="0.2">
      <c r="A168" s="77"/>
      <c r="G168" s="18"/>
    </row>
    <row r="169" spans="1:7" s="78" customFormat="1" ht="12.75" x14ac:dyDescent="0.2">
      <c r="A169" s="77"/>
      <c r="G169" s="18"/>
    </row>
    <row r="170" spans="1:7" s="78" customFormat="1" ht="12.75" x14ac:dyDescent="0.2">
      <c r="A170" s="77"/>
      <c r="G170" s="18"/>
    </row>
    <row r="171" spans="1:7" s="78" customFormat="1" ht="12.75" x14ac:dyDescent="0.2">
      <c r="A171" s="77"/>
      <c r="G171" s="18"/>
    </row>
    <row r="172" spans="1:7" s="78" customFormat="1" ht="12.75" x14ac:dyDescent="0.2">
      <c r="A172" s="77"/>
      <c r="G172" s="18"/>
    </row>
    <row r="173" spans="1:7" s="78" customFormat="1" ht="12.75" x14ac:dyDescent="0.2">
      <c r="A173" s="77"/>
      <c r="G173" s="18"/>
    </row>
    <row r="174" spans="1:7" s="78" customFormat="1" ht="12.75" x14ac:dyDescent="0.2">
      <c r="A174" s="77"/>
      <c r="G174" s="18"/>
    </row>
    <row r="175" spans="1:7" x14ac:dyDescent="0.2">
      <c r="G175" s="73"/>
    </row>
    <row r="176" spans="1:7" x14ac:dyDescent="0.2">
      <c r="G176" s="73"/>
    </row>
    <row r="177" spans="7:7" x14ac:dyDescent="0.2">
      <c r="G177" s="73"/>
    </row>
    <row r="178" spans="7:7" x14ac:dyDescent="0.2">
      <c r="G178" s="73"/>
    </row>
    <row r="179" spans="7:7" x14ac:dyDescent="0.2">
      <c r="G179" s="73"/>
    </row>
  </sheetData>
  <mergeCells count="3">
    <mergeCell ref="I111:J111"/>
    <mergeCell ref="I96:J96"/>
    <mergeCell ref="I110:J1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2"/>
  <sheetViews>
    <sheetView showGridLines="0" zoomScale="90" zoomScaleNormal="90" zoomScaleSheetLayoutView="50" workbookViewId="0">
      <pane xSplit="3" ySplit="2" topLeftCell="E102" activePane="bottomRight" state="frozen"/>
      <selection activeCell="E31" sqref="E31"/>
      <selection pane="topRight" activeCell="E31" sqref="E31"/>
      <selection pane="bottomLeft" activeCell="E31" sqref="E31"/>
      <selection pane="bottomRight" activeCell="I133" sqref="I133"/>
    </sheetView>
  </sheetViews>
  <sheetFormatPr baseColWidth="10" defaultColWidth="11.42578125" defaultRowHeight="12.75" x14ac:dyDescent="0.2"/>
  <cols>
    <col min="1" max="1" width="10.85546875" style="6" hidden="1" customWidth="1"/>
    <col min="2" max="2" width="15.28515625" style="6" customWidth="1"/>
    <col min="3" max="3" width="36.5703125" style="6" customWidth="1"/>
    <col min="4" max="6" width="15" style="6" customWidth="1"/>
    <col min="7" max="7" width="19.28515625" style="6" customWidth="1"/>
    <col min="8" max="8" width="17.140625" style="6" customWidth="1"/>
    <col min="9" max="9" width="3.7109375" style="7" customWidth="1"/>
    <col min="10" max="10" width="16" style="6" customWidth="1"/>
    <col min="11" max="13" width="15.85546875" style="6" customWidth="1"/>
    <col min="14" max="14" width="19.140625" style="6" customWidth="1"/>
    <col min="15" max="15" width="11.42578125" style="6"/>
    <col min="16" max="17" width="0" style="6" hidden="1" customWidth="1"/>
    <col min="18" max="16384" width="11.42578125" style="6"/>
  </cols>
  <sheetData>
    <row r="1" spans="1:18" x14ac:dyDescent="0.2">
      <c r="D1" s="180" t="s">
        <v>78</v>
      </c>
      <c r="E1" s="180"/>
      <c r="F1" s="180"/>
      <c r="G1" s="180"/>
      <c r="H1" s="180"/>
      <c r="J1" s="180" t="s">
        <v>79</v>
      </c>
      <c r="K1" s="180"/>
      <c r="L1" s="180"/>
      <c r="M1" s="180"/>
      <c r="N1" s="180"/>
    </row>
    <row r="2" spans="1:18" ht="26.25" thickBot="1" x14ac:dyDescent="0.25">
      <c r="A2" s="8" t="s">
        <v>80</v>
      </c>
      <c r="B2" s="8" t="s">
        <v>81</v>
      </c>
      <c r="C2" s="8" t="s">
        <v>82</v>
      </c>
      <c r="D2" s="8" t="s">
        <v>83</v>
      </c>
      <c r="E2" s="8" t="s">
        <v>84</v>
      </c>
      <c r="F2" s="8" t="s">
        <v>85</v>
      </c>
      <c r="G2" s="8" t="s">
        <v>86</v>
      </c>
      <c r="H2" s="9" t="s">
        <v>87</v>
      </c>
      <c r="I2" s="10"/>
      <c r="J2" s="11" t="s">
        <v>88</v>
      </c>
      <c r="K2" s="8" t="s">
        <v>89</v>
      </c>
      <c r="L2" s="8" t="s">
        <v>90</v>
      </c>
      <c r="M2" s="8" t="s">
        <v>91</v>
      </c>
      <c r="N2" s="8" t="s">
        <v>92</v>
      </c>
    </row>
    <row r="3" spans="1:18" ht="13.5" thickTop="1" x14ac:dyDescent="0.2">
      <c r="A3" s="14" t="s">
        <v>48</v>
      </c>
      <c r="B3" s="6" t="s">
        <v>107</v>
      </c>
      <c r="C3" s="6" t="s">
        <v>49</v>
      </c>
      <c r="D3" s="6">
        <v>1558.02</v>
      </c>
      <c r="E3" s="6">
        <v>420</v>
      </c>
      <c r="F3" s="6">
        <v>0</v>
      </c>
      <c r="G3" s="6">
        <f t="shared" ref="G3:G20" si="0">+N3</f>
        <v>0</v>
      </c>
      <c r="H3" s="6">
        <f t="shared" ref="H3:H34" si="1">SUM(D3:G3)</f>
        <v>1978.02</v>
      </c>
      <c r="J3" s="6">
        <f>VLOOKUP($C3,'CPD PITSS'!$B$10:$V$27,3,0)</f>
        <v>0</v>
      </c>
      <c r="K3" s="13">
        <v>10150</v>
      </c>
      <c r="L3" s="6">
        <f t="shared" ref="L3:L33" si="2">(((+K3/30)*J3)*30%)</f>
        <v>0</v>
      </c>
      <c r="M3" s="6">
        <f>VLOOKUP($C3,'CPD PITSS'!$B$10:$V$27,8,0)</f>
        <v>0</v>
      </c>
      <c r="N3" s="6">
        <f t="shared" ref="N3:N33" si="3">+L3-M3</f>
        <v>0</v>
      </c>
      <c r="O3" s="6" t="s">
        <v>108</v>
      </c>
      <c r="P3" s="6">
        <f>VLOOKUP(C3,'RESUMEN PITS'!$C$3:$V$102,20,0)</f>
        <v>-56.562641666666423</v>
      </c>
      <c r="Q3" s="6">
        <f t="shared" ref="Q3:Q34" si="4">+D3+P3</f>
        <v>1501.4573583333336</v>
      </c>
    </row>
    <row r="4" spans="1:18" x14ac:dyDescent="0.2">
      <c r="A4" s="6" t="s">
        <v>58</v>
      </c>
      <c r="B4" s="6" t="s">
        <v>107</v>
      </c>
      <c r="C4" s="6" t="s">
        <v>59</v>
      </c>
      <c r="D4" s="6">
        <v>2102.7200000000003</v>
      </c>
      <c r="F4" s="6">
        <v>0</v>
      </c>
      <c r="G4" s="6">
        <f t="shared" si="0"/>
        <v>0</v>
      </c>
      <c r="H4" s="6">
        <f t="shared" si="1"/>
        <v>2102.7200000000003</v>
      </c>
      <c r="J4" s="6">
        <f>VLOOKUP($C4,'CPD PITSS'!$B$10:$V$27,3,0)</f>
        <v>0</v>
      </c>
      <c r="K4" s="13">
        <v>13000</v>
      </c>
      <c r="L4" s="6">
        <f t="shared" si="2"/>
        <v>0</v>
      </c>
      <c r="M4" s="6">
        <f>VLOOKUP($C4,'CPD PITSS'!$B$10:$V$27,8,0)</f>
        <v>0</v>
      </c>
      <c r="N4" s="6">
        <f t="shared" si="3"/>
        <v>0</v>
      </c>
      <c r="O4" s="6" t="s">
        <v>109</v>
      </c>
      <c r="P4" s="6">
        <f>VLOOKUP(C4,'RESUMEN PITS'!$C$3:$V$102,20,0)</f>
        <v>-56.562641666666423</v>
      </c>
      <c r="Q4" s="6">
        <f t="shared" si="4"/>
        <v>2046.1573583333338</v>
      </c>
    </row>
    <row r="5" spans="1:18" x14ac:dyDescent="0.2">
      <c r="A5" s="6" t="s">
        <v>113</v>
      </c>
      <c r="B5" s="6" t="s">
        <v>107</v>
      </c>
      <c r="C5" s="15" t="s">
        <v>71</v>
      </c>
      <c r="D5" s="6">
        <v>16803.400000000001</v>
      </c>
      <c r="F5" s="12">
        <v>0</v>
      </c>
      <c r="G5" s="6">
        <f t="shared" si="0"/>
        <v>0</v>
      </c>
      <c r="H5" s="6">
        <f t="shared" si="1"/>
        <v>16803.400000000001</v>
      </c>
      <c r="J5" s="6">
        <f>VLOOKUP($C5,'CPD PITSS'!$B$10:$V$27,3,0)</f>
        <v>0</v>
      </c>
      <c r="K5" s="13">
        <v>40000</v>
      </c>
      <c r="L5" s="6">
        <f t="shared" si="2"/>
        <v>0</v>
      </c>
      <c r="M5" s="6">
        <f>VLOOKUP($C5,'CPD PITSS'!$B$10:$V$27,8,0)</f>
        <v>0</v>
      </c>
      <c r="N5" s="6">
        <f t="shared" si="3"/>
        <v>0</v>
      </c>
      <c r="O5" s="6" t="s">
        <v>114</v>
      </c>
      <c r="P5" s="6">
        <f>VLOOKUP(C5,'RESUMEN PITS'!$C$3:$V$102,20,0)</f>
        <v>-56.562641666667332</v>
      </c>
      <c r="Q5" s="6">
        <f t="shared" si="4"/>
        <v>16746.837358333334</v>
      </c>
    </row>
    <row r="6" spans="1:18" x14ac:dyDescent="0.2">
      <c r="A6" s="6" t="s">
        <v>52</v>
      </c>
      <c r="B6" s="6" t="s">
        <v>107</v>
      </c>
      <c r="C6" s="6" t="s">
        <v>53</v>
      </c>
      <c r="D6" s="6">
        <v>1558.1099999999997</v>
      </c>
      <c r="E6" s="6">
        <v>210</v>
      </c>
      <c r="F6" s="12">
        <v>0</v>
      </c>
      <c r="G6" s="6">
        <f t="shared" si="0"/>
        <v>274.51</v>
      </c>
      <c r="H6" s="6">
        <f t="shared" si="1"/>
        <v>2042.6199999999997</v>
      </c>
      <c r="J6" s="6">
        <f>VLOOKUP($C6,'CPD PITSS'!$B$10:$V$27,3,0)</f>
        <v>6</v>
      </c>
      <c r="K6" s="13">
        <v>10150</v>
      </c>
      <c r="L6" s="6">
        <f t="shared" si="2"/>
        <v>609</v>
      </c>
      <c r="M6" s="6">
        <f>VLOOKUP($C6,'CPD PITSS'!$B$10:$V$27,8,0)</f>
        <v>334.49</v>
      </c>
      <c r="N6" s="6">
        <f t="shared" si="3"/>
        <v>274.51</v>
      </c>
      <c r="O6" s="6" t="s">
        <v>115</v>
      </c>
      <c r="P6" s="6">
        <f>VLOOKUP(C6,'RESUMEN PITS'!$C$3:$V$102,20,0)</f>
        <v>-56.562641666666423</v>
      </c>
      <c r="Q6" s="6">
        <f t="shared" si="4"/>
        <v>1501.5473583333332</v>
      </c>
    </row>
    <row r="7" spans="1:18" x14ac:dyDescent="0.2">
      <c r="A7" s="6" t="s">
        <v>68</v>
      </c>
      <c r="B7" s="6" t="s">
        <v>107</v>
      </c>
      <c r="C7" s="6" t="s">
        <v>69</v>
      </c>
      <c r="D7" s="6">
        <v>1608.0599999999995</v>
      </c>
      <c r="E7" s="12">
        <v>210</v>
      </c>
      <c r="F7" s="12">
        <v>0</v>
      </c>
      <c r="G7" s="6">
        <f t="shared" si="0"/>
        <v>280.51</v>
      </c>
      <c r="H7" s="6">
        <f t="shared" si="1"/>
        <v>2098.5699999999997</v>
      </c>
      <c r="J7" s="6">
        <f>VLOOKUP($C7,'CPD PITSS'!$B$10:$V$27,3,0)</f>
        <v>6</v>
      </c>
      <c r="K7" s="13">
        <v>10250</v>
      </c>
      <c r="L7" s="6">
        <f t="shared" si="2"/>
        <v>615</v>
      </c>
      <c r="M7" s="6">
        <f>VLOOKUP($C7,'CPD PITSS'!$B$10:$V$27,8,0)</f>
        <v>334.49</v>
      </c>
      <c r="N7" s="6">
        <f t="shared" si="3"/>
        <v>280.51</v>
      </c>
      <c r="O7" s="6" t="s">
        <v>116</v>
      </c>
      <c r="P7" s="6">
        <f>VLOOKUP(C7,'RESUMEN PITS'!$C$3:$V$102,20,0)</f>
        <v>-56.562641666666423</v>
      </c>
      <c r="Q7" s="6">
        <f t="shared" si="4"/>
        <v>1551.4973583333331</v>
      </c>
    </row>
    <row r="8" spans="1:18" x14ac:dyDescent="0.2">
      <c r="A8" s="6" t="s">
        <v>54</v>
      </c>
      <c r="B8" s="6" t="s">
        <v>107</v>
      </c>
      <c r="C8" s="15" t="s">
        <v>55</v>
      </c>
      <c r="D8" s="6">
        <v>1891.17</v>
      </c>
      <c r="F8" s="12">
        <v>0</v>
      </c>
      <c r="G8" s="6">
        <f t="shared" si="0"/>
        <v>107.5</v>
      </c>
      <c r="H8" s="6">
        <f t="shared" si="1"/>
        <v>1998.67</v>
      </c>
      <c r="J8" s="6">
        <f>VLOOKUP($C8,'CPD PITSS'!$B$10:$V$27,3,0)</f>
        <v>2</v>
      </c>
      <c r="K8" s="13">
        <v>12000</v>
      </c>
      <c r="L8" s="6">
        <f t="shared" si="2"/>
        <v>240</v>
      </c>
      <c r="M8" s="6">
        <f>VLOOKUP($C8,'CPD PITSS'!$B$10:$V$27,8,0)</f>
        <v>132.5</v>
      </c>
      <c r="N8" s="6">
        <f t="shared" si="3"/>
        <v>107.5</v>
      </c>
      <c r="O8" s="6" t="s">
        <v>120</v>
      </c>
      <c r="P8" s="6">
        <f>VLOOKUP(C8,'RESUMEN PITS'!$C$3:$V$102,20,0)</f>
        <v>-56.562641666666423</v>
      </c>
      <c r="Q8" s="6">
        <f t="shared" si="4"/>
        <v>1834.6073583333337</v>
      </c>
    </row>
    <row r="9" spans="1:18" x14ac:dyDescent="0.2">
      <c r="A9" s="6" t="s">
        <v>66</v>
      </c>
      <c r="B9" s="6" t="s">
        <v>107</v>
      </c>
      <c r="C9" s="6" t="s">
        <v>67</v>
      </c>
      <c r="D9" s="6">
        <v>1557.9499999999998</v>
      </c>
      <c r="E9" s="6">
        <v>60</v>
      </c>
      <c r="F9" s="12">
        <v>0</v>
      </c>
      <c r="G9" s="6">
        <f t="shared" si="0"/>
        <v>45.749999999999986</v>
      </c>
      <c r="H9" s="6">
        <f t="shared" si="1"/>
        <v>1663.6999999999998</v>
      </c>
      <c r="J9" s="6">
        <f>VLOOKUP($C9,'CPD PITSS'!$B$10:$V$27,3,0)</f>
        <v>1</v>
      </c>
      <c r="K9" s="13">
        <v>10150</v>
      </c>
      <c r="L9" s="6">
        <f t="shared" si="2"/>
        <v>101.49999999999999</v>
      </c>
      <c r="M9" s="6">
        <f>VLOOKUP($C9,'CPD PITSS'!$B$10:$V$27,8,0)</f>
        <v>55.75</v>
      </c>
      <c r="N9" s="6">
        <f t="shared" si="3"/>
        <v>45.749999999999986</v>
      </c>
      <c r="O9" s="6" t="s">
        <v>159</v>
      </c>
      <c r="P9" s="6">
        <f>VLOOKUP(C9,'RESUMEN PITS'!$C$3:$V$102,20,0)</f>
        <v>-56.562641666666423</v>
      </c>
      <c r="Q9" s="6">
        <f t="shared" si="4"/>
        <v>1501.3873583333334</v>
      </c>
    </row>
    <row r="10" spans="1:18" x14ac:dyDescent="0.2">
      <c r="A10" s="6" t="s">
        <v>50</v>
      </c>
      <c r="B10" s="6" t="s">
        <v>107</v>
      </c>
      <c r="C10" s="6" t="s">
        <v>51</v>
      </c>
      <c r="D10" s="6">
        <v>2600.1999999999998</v>
      </c>
      <c r="F10" s="12">
        <v>0</v>
      </c>
      <c r="G10" s="6">
        <f t="shared" si="0"/>
        <v>0</v>
      </c>
      <c r="H10" s="6">
        <f t="shared" si="1"/>
        <v>2600.1999999999998</v>
      </c>
      <c r="J10" s="6">
        <f>VLOOKUP($C10,'CPD PITSS'!$B$10:$V$27,3,0)</f>
        <v>0</v>
      </c>
      <c r="K10" s="13">
        <v>15000</v>
      </c>
      <c r="L10" s="6">
        <f t="shared" si="2"/>
        <v>0</v>
      </c>
      <c r="M10" s="6">
        <f>VLOOKUP($C10,'CPD PITSS'!$B$10:$V$27,8,0)</f>
        <v>0</v>
      </c>
      <c r="N10" s="6">
        <f t="shared" si="3"/>
        <v>0</v>
      </c>
      <c r="O10" s="6" t="s">
        <v>180</v>
      </c>
      <c r="P10" s="6">
        <f>VLOOKUP(C10,'RESUMEN PITS'!$C$3:$V$102,20,0)</f>
        <v>-1417.0416416666667</v>
      </c>
      <c r="Q10" s="6">
        <f t="shared" si="4"/>
        <v>1183.1583583333331</v>
      </c>
    </row>
    <row r="11" spans="1:18" s="12" customFormat="1" x14ac:dyDescent="0.2">
      <c r="A11" s="6" t="s">
        <v>38</v>
      </c>
      <c r="B11" s="6" t="s">
        <v>107</v>
      </c>
      <c r="C11" s="6" t="s">
        <v>39</v>
      </c>
      <c r="D11" s="6">
        <v>1475.6</v>
      </c>
      <c r="E11" s="6"/>
      <c r="F11" s="12">
        <v>0</v>
      </c>
      <c r="G11" s="6">
        <f t="shared" si="0"/>
        <v>0</v>
      </c>
      <c r="H11" s="6">
        <f t="shared" si="1"/>
        <v>1475.6</v>
      </c>
      <c r="I11" s="7"/>
      <c r="J11" s="6">
        <f>VLOOKUP($C11,'CPD PITSS'!$B$10:$V$27,3,0)</f>
        <v>0</v>
      </c>
      <c r="K11" s="13">
        <v>8500</v>
      </c>
      <c r="L11" s="6">
        <f t="shared" si="2"/>
        <v>0</v>
      </c>
      <c r="M11" s="6">
        <f>VLOOKUP($C11,'CPD PITSS'!$B$10:$V$27,8,0)</f>
        <v>0</v>
      </c>
      <c r="N11" s="6">
        <f t="shared" si="3"/>
        <v>0</v>
      </c>
      <c r="O11" s="6" t="s">
        <v>192</v>
      </c>
      <c r="P11" s="6">
        <f>VLOOKUP(C11,'RESUMEN PITS'!$C$3:$V$102,20,0)</f>
        <v>-1417.0416416666667</v>
      </c>
      <c r="Q11" s="6">
        <f t="shared" si="4"/>
        <v>58.558358333333217</v>
      </c>
      <c r="R11" s="6"/>
    </row>
    <row r="12" spans="1:18" x14ac:dyDescent="0.2">
      <c r="A12" s="6" t="s">
        <v>60</v>
      </c>
      <c r="B12" s="6" t="s">
        <v>107</v>
      </c>
      <c r="C12" s="6" t="s">
        <v>61</v>
      </c>
      <c r="D12" s="6">
        <v>2600.1999999999998</v>
      </c>
      <c r="E12" s="6">
        <v>337.5</v>
      </c>
      <c r="F12" s="12">
        <v>0</v>
      </c>
      <c r="G12" s="6">
        <f t="shared" si="0"/>
        <v>0</v>
      </c>
      <c r="H12" s="6">
        <f t="shared" si="1"/>
        <v>2937.7</v>
      </c>
      <c r="J12" s="6">
        <f>VLOOKUP($C12,'CPD PITSS'!$B$10:$V$27,3,0)</f>
        <v>0</v>
      </c>
      <c r="K12" s="13">
        <v>15000</v>
      </c>
      <c r="L12" s="6">
        <f t="shared" si="2"/>
        <v>0</v>
      </c>
      <c r="M12" s="6">
        <f>VLOOKUP($C12,'CPD PITSS'!$B$10:$V$27,8,0)</f>
        <v>0</v>
      </c>
      <c r="N12" s="6">
        <f t="shared" si="3"/>
        <v>0</v>
      </c>
      <c r="O12" s="6" t="s">
        <v>199</v>
      </c>
      <c r="P12" s="6">
        <f>VLOOKUP(C12,'RESUMEN PITS'!$C$3:$V$102,20,0)</f>
        <v>-1417.0416416666667</v>
      </c>
      <c r="Q12" s="6">
        <f t="shared" si="4"/>
        <v>1183.1583583333331</v>
      </c>
    </row>
    <row r="13" spans="1:18" x14ac:dyDescent="0.2">
      <c r="A13" s="6" t="s">
        <v>56</v>
      </c>
      <c r="B13" s="6" t="s">
        <v>107</v>
      </c>
      <c r="C13" s="6" t="s">
        <v>57</v>
      </c>
      <c r="D13" s="6">
        <v>2751.08</v>
      </c>
      <c r="F13" s="12">
        <v>0</v>
      </c>
      <c r="G13" s="6">
        <f t="shared" si="0"/>
        <v>0</v>
      </c>
      <c r="H13" s="6">
        <f t="shared" si="1"/>
        <v>2751.08</v>
      </c>
      <c r="J13" s="6">
        <f>VLOOKUP($C13,'CPD PITSS'!$B$10:$V$27,3,0)</f>
        <v>0</v>
      </c>
      <c r="K13" s="13">
        <v>15000</v>
      </c>
      <c r="L13" s="6">
        <f t="shared" si="2"/>
        <v>0</v>
      </c>
      <c r="M13" s="6">
        <f>VLOOKUP($C13,'CPD PITSS'!$B$10:$V$27,8,0)</f>
        <v>0</v>
      </c>
      <c r="N13" s="6">
        <f t="shared" si="3"/>
        <v>0</v>
      </c>
      <c r="O13" s="6" t="s">
        <v>224</v>
      </c>
      <c r="P13" s="6">
        <f>VLOOKUP(C13,'RESUMEN PITS'!$C$3:$V$102,20,0)</f>
        <v>-1915.953641666667</v>
      </c>
      <c r="Q13" s="6">
        <f t="shared" si="4"/>
        <v>835.12635833333297</v>
      </c>
    </row>
    <row r="14" spans="1:18" s="152" customFormat="1" x14ac:dyDescent="0.2">
      <c r="A14" s="152" t="s">
        <v>42</v>
      </c>
      <c r="B14" s="152" t="s">
        <v>107</v>
      </c>
      <c r="C14" s="152" t="s">
        <v>43</v>
      </c>
      <c r="D14" s="152">
        <v>2464</v>
      </c>
      <c r="E14" s="152">
        <v>1000</v>
      </c>
      <c r="F14" s="152">
        <v>0</v>
      </c>
      <c r="G14" s="152">
        <f t="shared" si="0"/>
        <v>195</v>
      </c>
      <c r="H14" s="152">
        <f t="shared" si="1"/>
        <v>3659</v>
      </c>
      <c r="I14" s="153"/>
      <c r="J14" s="152">
        <f>VLOOKUP($C14,'CPD PITSS'!$B$10:$V$27,3,0)</f>
        <v>3</v>
      </c>
      <c r="K14" s="154">
        <v>13000</v>
      </c>
      <c r="L14" s="152">
        <f t="shared" si="2"/>
        <v>390</v>
      </c>
      <c r="M14" s="152">
        <f>VLOOKUP($C14,'CPD PITSS'!$B$10:$V$27,8,0)</f>
        <v>195</v>
      </c>
      <c r="N14" s="152">
        <f t="shared" si="3"/>
        <v>195</v>
      </c>
      <c r="O14" s="152" t="s">
        <v>265</v>
      </c>
      <c r="P14" s="152">
        <f>VLOOKUP(C14,'RESUMEN PITS'!$C$3:$V$102,20,0)</f>
        <v>-1915.953641666667</v>
      </c>
      <c r="Q14" s="152">
        <f t="shared" si="4"/>
        <v>548.04635833333305</v>
      </c>
    </row>
    <row r="15" spans="1:18" x14ac:dyDescent="0.2">
      <c r="A15" s="6" t="s">
        <v>46</v>
      </c>
      <c r="B15" s="6" t="s">
        <v>107</v>
      </c>
      <c r="C15" s="6" t="s">
        <v>47</v>
      </c>
      <c r="D15" s="6">
        <v>2600.25</v>
      </c>
      <c r="E15" s="6">
        <v>75</v>
      </c>
      <c r="F15" s="12">
        <v>0</v>
      </c>
      <c r="G15" s="6">
        <f t="shared" si="0"/>
        <v>0</v>
      </c>
      <c r="H15" s="6">
        <f t="shared" si="1"/>
        <v>2675.25</v>
      </c>
      <c r="J15" s="6">
        <f>VLOOKUP($C15,'CPD PITSS'!$B$10:$V$27,3,0)</f>
        <v>0</v>
      </c>
      <c r="K15" s="13">
        <v>15000</v>
      </c>
      <c r="L15" s="6">
        <f t="shared" si="2"/>
        <v>0</v>
      </c>
      <c r="M15" s="6">
        <f>VLOOKUP($C15,'CPD PITSS'!$B$10:$V$27,8,0)</f>
        <v>0</v>
      </c>
      <c r="N15" s="6">
        <f t="shared" si="3"/>
        <v>0</v>
      </c>
      <c r="O15" s="6" t="s">
        <v>272</v>
      </c>
      <c r="P15" s="6">
        <f>VLOOKUP(C15,'RESUMEN PITS'!$C$3:$V$102,20,0)</f>
        <v>-1344.8726416666668</v>
      </c>
      <c r="Q15" s="6">
        <f t="shared" si="4"/>
        <v>1255.3773583333332</v>
      </c>
    </row>
    <row r="16" spans="1:18" x14ac:dyDescent="0.2">
      <c r="A16" s="6" t="s">
        <v>62</v>
      </c>
      <c r="B16" s="6" t="s">
        <v>107</v>
      </c>
      <c r="C16" s="6" t="s">
        <v>63</v>
      </c>
      <c r="D16" s="6">
        <v>1483.15</v>
      </c>
      <c r="E16" s="6">
        <v>30</v>
      </c>
      <c r="F16" s="12">
        <v>0</v>
      </c>
      <c r="G16" s="6">
        <f t="shared" si="0"/>
        <v>0</v>
      </c>
      <c r="H16" s="6">
        <f t="shared" si="1"/>
        <v>1513.15</v>
      </c>
      <c r="J16" s="6">
        <f>VLOOKUP($C16,'CPD PITSS'!$B$10:$V$27,3,0)</f>
        <v>0</v>
      </c>
      <c r="K16" s="13">
        <v>10000</v>
      </c>
      <c r="L16" s="6">
        <f t="shared" si="2"/>
        <v>0</v>
      </c>
      <c r="M16" s="6">
        <f>VLOOKUP($C16,'CPD PITSS'!$B$10:$V$27,8,0)</f>
        <v>0</v>
      </c>
      <c r="N16" s="6">
        <f t="shared" si="3"/>
        <v>0</v>
      </c>
      <c r="O16" s="6" t="s">
        <v>281</v>
      </c>
      <c r="P16" s="6">
        <f>VLOOKUP(C16,'RESUMEN PITS'!$C$3:$V$102,20,0)</f>
        <v>-1344.8726416666659</v>
      </c>
      <c r="Q16" s="6">
        <f t="shared" si="4"/>
        <v>138.27735833333418</v>
      </c>
    </row>
    <row r="17" spans="1:18" x14ac:dyDescent="0.2">
      <c r="A17" s="6" t="s">
        <v>40</v>
      </c>
      <c r="B17" s="6" t="s">
        <v>107</v>
      </c>
      <c r="C17" s="6" t="s">
        <v>41</v>
      </c>
      <c r="D17" s="6">
        <v>1588.1999999999998</v>
      </c>
      <c r="E17" s="6">
        <v>400</v>
      </c>
      <c r="F17" s="12">
        <v>0</v>
      </c>
      <c r="G17" s="6">
        <f t="shared" si="0"/>
        <v>0</v>
      </c>
      <c r="H17" s="6">
        <f t="shared" si="1"/>
        <v>1988.1999999999998</v>
      </c>
      <c r="J17" s="6">
        <f>VLOOKUP($C17,'CPD PITSS'!$B$10:$V$27,3,0)</f>
        <v>0</v>
      </c>
      <c r="K17" s="13">
        <v>9000</v>
      </c>
      <c r="L17" s="6">
        <f t="shared" si="2"/>
        <v>0</v>
      </c>
      <c r="M17" s="6">
        <f>VLOOKUP($C17,'CPD PITSS'!$B$10:$V$27,8,0)</f>
        <v>0</v>
      </c>
      <c r="N17" s="6">
        <f t="shared" si="3"/>
        <v>0</v>
      </c>
      <c r="O17" s="6" t="s">
        <v>291</v>
      </c>
      <c r="P17" s="6">
        <f>VLOOKUP(C17,'RESUMEN PITS'!$C$3:$V$102,20,0)</f>
        <v>-1344.8726416666659</v>
      </c>
      <c r="Q17" s="6">
        <f t="shared" si="4"/>
        <v>243.3273583333339</v>
      </c>
    </row>
    <row r="18" spans="1:18" s="149" customFormat="1" x14ac:dyDescent="0.2">
      <c r="A18" s="149" t="s">
        <v>64</v>
      </c>
      <c r="B18" s="149" t="s">
        <v>107</v>
      </c>
      <c r="C18" s="149" t="s">
        <v>65</v>
      </c>
      <c r="D18" s="149">
        <v>12613.2</v>
      </c>
      <c r="F18" s="149">
        <v>0</v>
      </c>
      <c r="G18" s="149">
        <f t="shared" si="0"/>
        <v>0</v>
      </c>
      <c r="H18" s="149">
        <f t="shared" si="1"/>
        <v>12613.2</v>
      </c>
      <c r="I18" s="150"/>
      <c r="J18" s="149">
        <f>VLOOKUP($C18,'CPD PITSS'!$B$10:$V$27,3,0)</f>
        <v>0</v>
      </c>
      <c r="K18" s="151">
        <v>60000</v>
      </c>
      <c r="L18" s="149">
        <f t="shared" si="2"/>
        <v>0</v>
      </c>
      <c r="M18" s="149">
        <f>VLOOKUP($C18,'CPD PITSS'!$B$10:$V$27,8,0)</f>
        <v>0</v>
      </c>
      <c r="N18" s="149">
        <f t="shared" si="3"/>
        <v>0</v>
      </c>
      <c r="O18" s="149" t="s">
        <v>301</v>
      </c>
      <c r="P18" s="149">
        <f>VLOOKUP(C18,'RESUMEN PITS'!$C$3:$V$102,20,0)</f>
        <v>-1344.8726416666614</v>
      </c>
      <c r="Q18" s="149">
        <f t="shared" si="4"/>
        <v>11268.327358333339</v>
      </c>
    </row>
    <row r="19" spans="1:18" s="152" customFormat="1" x14ac:dyDescent="0.2">
      <c r="A19" s="152" t="s">
        <v>72</v>
      </c>
      <c r="B19" s="152" t="s">
        <v>107</v>
      </c>
      <c r="C19" s="152" t="s">
        <v>73</v>
      </c>
      <c r="D19" s="152">
        <v>2463.8000000000002</v>
      </c>
      <c r="E19" s="152">
        <v>1000</v>
      </c>
      <c r="F19" s="152">
        <v>0</v>
      </c>
      <c r="G19" s="152">
        <f t="shared" si="0"/>
        <v>0</v>
      </c>
      <c r="H19" s="152">
        <f t="shared" si="1"/>
        <v>3463.8</v>
      </c>
      <c r="I19" s="153"/>
      <c r="J19" s="152">
        <f>VLOOKUP($C19,'CPD PITSS'!$B$10:$V$27,3,0)</f>
        <v>0</v>
      </c>
      <c r="K19" s="154">
        <v>13000</v>
      </c>
      <c r="L19" s="152">
        <f t="shared" si="2"/>
        <v>0</v>
      </c>
      <c r="M19" s="152">
        <f>VLOOKUP($C19,'CPD PITSS'!$B$10:$V$27,8,0)</f>
        <v>0</v>
      </c>
      <c r="N19" s="152">
        <f t="shared" si="3"/>
        <v>0</v>
      </c>
      <c r="O19" s="152" t="s">
        <v>314</v>
      </c>
      <c r="P19" s="152">
        <f>VLOOKUP(C19,'RESUMEN PITS'!$C$3:$V$102,20,0)</f>
        <v>-1344.8726416666659</v>
      </c>
      <c r="Q19" s="152">
        <f t="shared" si="4"/>
        <v>1118.9273583333343</v>
      </c>
    </row>
    <row r="20" spans="1:18" s="152" customFormat="1" x14ac:dyDescent="0.2">
      <c r="A20" s="152" t="s">
        <v>44</v>
      </c>
      <c r="B20" s="152" t="s">
        <v>107</v>
      </c>
      <c r="C20" s="152" t="s">
        <v>45</v>
      </c>
      <c r="D20" s="152">
        <v>4176</v>
      </c>
      <c r="E20" s="152">
        <v>750</v>
      </c>
      <c r="F20" s="152">
        <v>0</v>
      </c>
      <c r="G20" s="152">
        <f t="shared" si="0"/>
        <v>0</v>
      </c>
      <c r="H20" s="152">
        <f t="shared" si="1"/>
        <v>4926</v>
      </c>
      <c r="I20" s="153"/>
      <c r="J20" s="152">
        <f>VLOOKUP($C20,'CPD PITSS'!$B$10:$V$27,3,0)</f>
        <v>0</v>
      </c>
      <c r="K20" s="154">
        <v>18500</v>
      </c>
      <c r="L20" s="152">
        <f t="shared" si="2"/>
        <v>0</v>
      </c>
      <c r="M20" s="152">
        <f>VLOOKUP($C20,'CPD PITSS'!$B$10:$V$27,8,0)</f>
        <v>0</v>
      </c>
      <c r="N20" s="152">
        <f t="shared" si="3"/>
        <v>0</v>
      </c>
      <c r="O20" s="152" t="s">
        <v>335</v>
      </c>
      <c r="P20" s="152">
        <f>VLOOKUP(C20,'RESUMEN PITS'!$C$3:$V$102,20,0)</f>
        <v>-1537.7236416666692</v>
      </c>
      <c r="Q20" s="152">
        <f t="shared" si="4"/>
        <v>2638.2763583333308</v>
      </c>
    </row>
    <row r="21" spans="1:18" x14ac:dyDescent="0.2">
      <c r="A21" s="6" t="s">
        <v>93</v>
      </c>
      <c r="B21" s="6" t="s">
        <v>94</v>
      </c>
      <c r="C21" s="6" t="s">
        <v>95</v>
      </c>
      <c r="D21" s="6">
        <v>135.19999999999982</v>
      </c>
      <c r="F21" s="12">
        <v>0</v>
      </c>
      <c r="H21" s="6">
        <f t="shared" si="1"/>
        <v>135.19999999999982</v>
      </c>
      <c r="J21" s="6">
        <f>VLOOKUP(C21,'IP PITSS'!$B$10:$U$91,3,0)</f>
        <v>0</v>
      </c>
      <c r="K21" s="13">
        <v>6000</v>
      </c>
      <c r="L21" s="6">
        <f t="shared" si="2"/>
        <v>0</v>
      </c>
      <c r="M21" s="6">
        <f>VLOOKUP(C21,'IP PITSS'!$B$10:$I$91,8,0)</f>
        <v>0</v>
      </c>
      <c r="N21" s="6">
        <f t="shared" si="3"/>
        <v>0</v>
      </c>
      <c r="O21" s="6" t="s">
        <v>96</v>
      </c>
      <c r="P21" s="6">
        <f>VLOOKUP(C21,'RESUMEN PITS'!$C$3:$V$102,20,0)</f>
        <v>-56.562641666666423</v>
      </c>
      <c r="Q21" s="6">
        <f t="shared" si="4"/>
        <v>78.637358333333395</v>
      </c>
    </row>
    <row r="22" spans="1:18" x14ac:dyDescent="0.2">
      <c r="A22" s="6" t="s">
        <v>98</v>
      </c>
      <c r="B22" s="6" t="s">
        <v>94</v>
      </c>
      <c r="C22" s="6" t="s">
        <v>99</v>
      </c>
      <c r="D22" s="6">
        <v>175.59999999999991</v>
      </c>
      <c r="E22" s="12">
        <v>900</v>
      </c>
      <c r="F22" s="12">
        <v>0</v>
      </c>
      <c r="G22" s="6">
        <f t="shared" ref="G22:G50" si="5">+N22</f>
        <v>0</v>
      </c>
      <c r="H22" s="6">
        <f t="shared" si="1"/>
        <v>1075.5999999999999</v>
      </c>
      <c r="J22" s="6">
        <f>VLOOKUP(C22,'IP PITSS'!$B$10:$U$91,3,0)</f>
        <v>0</v>
      </c>
      <c r="K22" s="13">
        <v>6300</v>
      </c>
      <c r="L22" s="6">
        <f t="shared" si="2"/>
        <v>0</v>
      </c>
      <c r="M22" s="6">
        <f>VLOOKUP(C22,'IP PITSS'!$B$10:$I$91,8,0)</f>
        <v>0</v>
      </c>
      <c r="N22" s="6">
        <f t="shared" si="3"/>
        <v>0</v>
      </c>
      <c r="O22" s="6" t="s">
        <v>100</v>
      </c>
      <c r="P22" s="6">
        <f>VLOOKUP(C22,'RESUMEN PITS'!$C$3:$V$102,20,0)</f>
        <v>-56.562641666666423</v>
      </c>
      <c r="Q22" s="6">
        <f t="shared" si="4"/>
        <v>119.03735833333349</v>
      </c>
    </row>
    <row r="23" spans="1:18" x14ac:dyDescent="0.2">
      <c r="A23" s="6" t="s">
        <v>101</v>
      </c>
      <c r="B23" s="6" t="s">
        <v>94</v>
      </c>
      <c r="C23" s="6" t="s">
        <v>102</v>
      </c>
      <c r="D23" s="6">
        <v>3135.15</v>
      </c>
      <c r="E23" s="6">
        <v>750</v>
      </c>
      <c r="F23" s="12">
        <v>0</v>
      </c>
      <c r="G23" s="6">
        <f t="shared" si="5"/>
        <v>0</v>
      </c>
      <c r="H23" s="6">
        <f t="shared" si="1"/>
        <v>3885.15</v>
      </c>
      <c r="J23" s="6">
        <f>VLOOKUP(C23,'IP PITSS'!$B$10:$U$91,3,0)</f>
        <v>0</v>
      </c>
      <c r="K23" s="13">
        <v>12000</v>
      </c>
      <c r="L23" s="6">
        <f t="shared" si="2"/>
        <v>0</v>
      </c>
      <c r="M23" s="6">
        <f>VLOOKUP(C23,'IP PITSS'!$B$10:$I$91,8,0)</f>
        <v>0</v>
      </c>
      <c r="N23" s="6">
        <f t="shared" si="3"/>
        <v>0</v>
      </c>
      <c r="O23" s="6" t="s">
        <v>103</v>
      </c>
      <c r="P23" s="6">
        <f>VLOOKUP(C23,'RESUMEN PITS'!$C$3:$V$102,20,0)</f>
        <v>-56.562641666666423</v>
      </c>
      <c r="Q23" s="6">
        <f t="shared" si="4"/>
        <v>3078.5873583333337</v>
      </c>
    </row>
    <row r="24" spans="1:18" x14ac:dyDescent="0.2">
      <c r="A24" s="6" t="s">
        <v>104</v>
      </c>
      <c r="B24" s="6" t="s">
        <v>94</v>
      </c>
      <c r="C24" s="6" t="s">
        <v>105</v>
      </c>
      <c r="D24" s="6">
        <f>309.8-210+150</f>
        <v>249.8</v>
      </c>
      <c r="E24" s="6">
        <v>1000</v>
      </c>
      <c r="F24" s="12">
        <v>0</v>
      </c>
      <c r="G24" s="6">
        <f t="shared" si="5"/>
        <v>3</v>
      </c>
      <c r="H24" s="6">
        <f t="shared" si="1"/>
        <v>1252.8</v>
      </c>
      <c r="J24" s="6">
        <f>VLOOKUP(C24,'IP PITSS'!$B$10:$U$91,3,0)</f>
        <v>1</v>
      </c>
      <c r="K24" s="13">
        <v>6300</v>
      </c>
      <c r="L24" s="6">
        <f>(((+K24/30)*J24)*30%)</f>
        <v>63</v>
      </c>
      <c r="M24" s="6">
        <f>VLOOKUP(C24,'IP PITSS'!$B$10:$I$91,8,0)</f>
        <v>60</v>
      </c>
      <c r="N24" s="6">
        <f t="shared" si="3"/>
        <v>3</v>
      </c>
      <c r="O24" s="6" t="s">
        <v>106</v>
      </c>
      <c r="P24" s="6">
        <f>VLOOKUP(C24,'RESUMEN PITS'!$C$3:$V$102,20,0)</f>
        <v>153.43735833333358</v>
      </c>
      <c r="Q24" s="6">
        <f t="shared" si="4"/>
        <v>403.23735833333359</v>
      </c>
    </row>
    <row r="25" spans="1:18" x14ac:dyDescent="0.2">
      <c r="A25" s="6" t="s">
        <v>110</v>
      </c>
      <c r="B25" s="6" t="s">
        <v>94</v>
      </c>
      <c r="C25" s="6" t="s">
        <v>111</v>
      </c>
      <c r="D25" s="6">
        <v>416.40000000000009</v>
      </c>
      <c r="E25" s="6">
        <v>510</v>
      </c>
      <c r="F25" s="12">
        <v>0</v>
      </c>
      <c r="G25" s="6">
        <f t="shared" si="5"/>
        <v>0</v>
      </c>
      <c r="H25" s="6">
        <f t="shared" si="1"/>
        <v>926.40000000000009</v>
      </c>
      <c r="J25" s="6">
        <f>VLOOKUP(C25,'IP PITSS'!$B$10:$U$91,3,0)</f>
        <v>0</v>
      </c>
      <c r="K25" s="13">
        <v>8000</v>
      </c>
      <c r="L25" s="6">
        <f t="shared" si="2"/>
        <v>0</v>
      </c>
      <c r="M25" s="6">
        <f>VLOOKUP(C25,'IP PITSS'!$B$10:$I$91,8,0)</f>
        <v>0</v>
      </c>
      <c r="N25" s="6">
        <f t="shared" si="3"/>
        <v>0</v>
      </c>
      <c r="O25" s="6" t="s">
        <v>112</v>
      </c>
      <c r="P25" s="6">
        <f>VLOOKUP(C25,'RESUMEN PITS'!$C$3:$V$102,20,0)</f>
        <v>-56.562641666666423</v>
      </c>
      <c r="Q25" s="6">
        <f t="shared" si="4"/>
        <v>359.83735833333367</v>
      </c>
    </row>
    <row r="26" spans="1:18" x14ac:dyDescent="0.2">
      <c r="A26" s="6" t="s">
        <v>117</v>
      </c>
      <c r="B26" s="6" t="s">
        <v>94</v>
      </c>
      <c r="C26" s="6" t="s">
        <v>118</v>
      </c>
      <c r="D26" s="6">
        <v>175.72000000000025</v>
      </c>
      <c r="E26" s="12">
        <v>1350</v>
      </c>
      <c r="F26" s="12">
        <v>0</v>
      </c>
      <c r="G26" s="6">
        <f t="shared" si="5"/>
        <v>0</v>
      </c>
      <c r="H26" s="6">
        <f t="shared" si="1"/>
        <v>1525.7200000000003</v>
      </c>
      <c r="J26" s="6">
        <f>VLOOKUP(C26,'IP PITSS'!$B$10:$U$91,3,0)</f>
        <v>0</v>
      </c>
      <c r="K26" s="13">
        <v>6300</v>
      </c>
      <c r="L26" s="6">
        <f t="shared" si="2"/>
        <v>0</v>
      </c>
      <c r="M26" s="6">
        <f>VLOOKUP(C26,'IP PITSS'!$B$10:$I$91,8,0)</f>
        <v>0</v>
      </c>
      <c r="N26" s="6">
        <f t="shared" si="3"/>
        <v>0</v>
      </c>
      <c r="O26" s="6" t="s">
        <v>119</v>
      </c>
      <c r="P26" s="6">
        <f>VLOOKUP(C26,'RESUMEN PITS'!$C$3:$V$102,20,0)</f>
        <v>-56.562641666666423</v>
      </c>
      <c r="Q26" s="6">
        <f t="shared" si="4"/>
        <v>119.15735833333383</v>
      </c>
    </row>
    <row r="27" spans="1:18" x14ac:dyDescent="0.2">
      <c r="A27" s="6" t="s">
        <v>121</v>
      </c>
      <c r="B27" s="6" t="s">
        <v>94</v>
      </c>
      <c r="C27" s="6" t="s">
        <v>122</v>
      </c>
      <c r="D27" s="6">
        <v>384.78499999999985</v>
      </c>
      <c r="E27" s="6">
        <v>70</v>
      </c>
      <c r="F27" s="12">
        <v>0</v>
      </c>
      <c r="G27" s="6">
        <f t="shared" si="5"/>
        <v>0</v>
      </c>
      <c r="H27" s="6">
        <f t="shared" si="1"/>
        <v>454.78499999999985</v>
      </c>
      <c r="J27" s="6">
        <f>VLOOKUP(C27,'IP PITSS'!$B$10:$U$91,3,0)</f>
        <v>0</v>
      </c>
      <c r="K27" s="13">
        <v>7505.99</v>
      </c>
      <c r="L27" s="6">
        <f t="shared" si="2"/>
        <v>0</v>
      </c>
      <c r="M27" s="6">
        <f>VLOOKUP(C27,'IP PITSS'!$B$10:$I$91,8,0)</f>
        <v>0</v>
      </c>
      <c r="N27" s="6">
        <f t="shared" si="3"/>
        <v>0</v>
      </c>
      <c r="O27" s="6" t="s">
        <v>123</v>
      </c>
      <c r="P27" s="6">
        <f>VLOOKUP(C27,'RESUMEN PITS'!$C$3:$V$102,20,0)</f>
        <v>-56.562641666666423</v>
      </c>
      <c r="Q27" s="6">
        <f t="shared" si="4"/>
        <v>328.22235833333343</v>
      </c>
    </row>
    <row r="28" spans="1:18" x14ac:dyDescent="0.2">
      <c r="A28" s="12" t="s">
        <v>124</v>
      </c>
      <c r="B28" s="6" t="s">
        <v>94</v>
      </c>
      <c r="C28" s="12" t="s">
        <v>125</v>
      </c>
      <c r="D28" s="6">
        <f>135.2+150</f>
        <v>285.2</v>
      </c>
      <c r="E28" s="6">
        <v>800</v>
      </c>
      <c r="F28" s="12">
        <v>0</v>
      </c>
      <c r="G28" s="6">
        <f t="shared" si="5"/>
        <v>0</v>
      </c>
      <c r="H28" s="6">
        <f t="shared" si="1"/>
        <v>1085.2</v>
      </c>
      <c r="J28" s="6">
        <f>VLOOKUP(C28,'IP PITSS'!$B$10:$U$91,3,0)</f>
        <v>0</v>
      </c>
      <c r="K28" s="13">
        <v>6300</v>
      </c>
      <c r="L28" s="6">
        <f t="shared" si="2"/>
        <v>0</v>
      </c>
      <c r="M28" s="6">
        <f>VLOOKUP(C28,'IP PITSS'!$B$10:$I$91,8,0)</f>
        <v>0</v>
      </c>
      <c r="N28" s="6">
        <f t="shared" si="3"/>
        <v>0</v>
      </c>
      <c r="O28" s="6" t="s">
        <v>126</v>
      </c>
      <c r="P28" s="6">
        <f>VLOOKUP(C28,'RESUMEN PITS'!$C$3:$V$102,20,0)</f>
        <v>-56.562641666666423</v>
      </c>
      <c r="Q28" s="6">
        <f t="shared" si="4"/>
        <v>228.63735833333357</v>
      </c>
    </row>
    <row r="29" spans="1:18" s="12" customFormat="1" x14ac:dyDescent="0.2">
      <c r="A29" s="6" t="s">
        <v>127</v>
      </c>
      <c r="B29" s="6" t="s">
        <v>94</v>
      </c>
      <c r="C29" s="6" t="s">
        <v>128</v>
      </c>
      <c r="D29" s="6">
        <v>3721.2</v>
      </c>
      <c r="E29" s="6">
        <v>281.25</v>
      </c>
      <c r="F29" s="12">
        <v>0</v>
      </c>
      <c r="G29" s="6">
        <f t="shared" si="5"/>
        <v>0</v>
      </c>
      <c r="H29" s="6">
        <f t="shared" si="1"/>
        <v>4002.45</v>
      </c>
      <c r="I29" s="7"/>
      <c r="J29" s="6">
        <f>VLOOKUP(C29,'IP PITSS'!$B$10:$U$91,3,0)</f>
        <v>0</v>
      </c>
      <c r="K29" s="13">
        <v>14000</v>
      </c>
      <c r="L29" s="6">
        <f t="shared" si="2"/>
        <v>0</v>
      </c>
      <c r="M29" s="6">
        <f>VLOOKUP(C29,'IP PITSS'!$B$10:$I$91,8,0)</f>
        <v>0</v>
      </c>
      <c r="N29" s="6">
        <f t="shared" si="3"/>
        <v>0</v>
      </c>
      <c r="O29" s="6" t="s">
        <v>129</v>
      </c>
      <c r="P29" s="6">
        <f>VLOOKUP(C29,'RESUMEN PITS'!$C$3:$V$102,20,0)</f>
        <v>-56.562641666666423</v>
      </c>
      <c r="Q29" s="6">
        <f t="shared" si="4"/>
        <v>3664.6373583333334</v>
      </c>
      <c r="R29" s="6"/>
    </row>
    <row r="30" spans="1:18" x14ac:dyDescent="0.2">
      <c r="A30" s="6" t="s">
        <v>130</v>
      </c>
      <c r="B30" s="6" t="s">
        <v>94</v>
      </c>
      <c r="C30" s="6" t="s">
        <v>131</v>
      </c>
      <c r="D30" s="6">
        <v>2553.4</v>
      </c>
      <c r="E30" s="6">
        <v>400</v>
      </c>
      <c r="F30" s="12">
        <v>0</v>
      </c>
      <c r="G30" s="6">
        <f t="shared" si="5"/>
        <v>0</v>
      </c>
      <c r="H30" s="6">
        <f t="shared" si="1"/>
        <v>2953.4</v>
      </c>
      <c r="J30" s="6">
        <f>VLOOKUP(C30,'IP PITSS'!$B$10:$U$91,3,0)</f>
        <v>0</v>
      </c>
      <c r="K30" s="13">
        <v>10000</v>
      </c>
      <c r="L30" s="6">
        <f t="shared" si="2"/>
        <v>0</v>
      </c>
      <c r="M30" s="6">
        <f>VLOOKUP(C30,'IP PITSS'!$B$10:$I$91,8,0)</f>
        <v>0</v>
      </c>
      <c r="N30" s="6">
        <f t="shared" si="3"/>
        <v>0</v>
      </c>
      <c r="O30" s="6" t="s">
        <v>132</v>
      </c>
      <c r="P30" s="6">
        <f>VLOOKUP(C30,'RESUMEN PITS'!$C$3:$V$102,20,0)</f>
        <v>-56.562641666666423</v>
      </c>
      <c r="Q30" s="6">
        <f t="shared" si="4"/>
        <v>2496.8373583333337</v>
      </c>
    </row>
    <row r="31" spans="1:18" x14ac:dyDescent="0.2">
      <c r="A31" s="6" t="s">
        <v>133</v>
      </c>
      <c r="B31" s="6" t="s">
        <v>94</v>
      </c>
      <c r="C31" s="6" t="s">
        <v>134</v>
      </c>
      <c r="D31" s="6">
        <v>2667.3999999999996</v>
      </c>
      <c r="E31" s="6">
        <v>500</v>
      </c>
      <c r="F31" s="12">
        <v>0</v>
      </c>
      <c r="G31" s="6">
        <f t="shared" si="5"/>
        <v>0</v>
      </c>
      <c r="H31" s="6">
        <f t="shared" si="1"/>
        <v>3167.3999999999996</v>
      </c>
      <c r="J31" s="6">
        <f>VLOOKUP(C31,'IP PITSS'!$B$10:$U$91,3,0)</f>
        <v>0</v>
      </c>
      <c r="K31" s="13">
        <v>12000</v>
      </c>
      <c r="L31" s="6">
        <f t="shared" si="2"/>
        <v>0</v>
      </c>
      <c r="M31" s="6">
        <f>VLOOKUP(C31,'IP PITSS'!$B$10:$I$91,8,0)</f>
        <v>0</v>
      </c>
      <c r="N31" s="6">
        <f t="shared" si="3"/>
        <v>0</v>
      </c>
      <c r="O31" s="6" t="s">
        <v>135</v>
      </c>
      <c r="P31" s="6">
        <f>VLOOKUP(C31,'RESUMEN PITS'!$C$3:$V$102,20,0)</f>
        <v>-56.562641666666423</v>
      </c>
      <c r="Q31" s="6">
        <f t="shared" si="4"/>
        <v>2610.8373583333332</v>
      </c>
    </row>
    <row r="32" spans="1:18" x14ac:dyDescent="0.2">
      <c r="A32" s="6" t="s">
        <v>136</v>
      </c>
      <c r="B32" s="6" t="s">
        <v>94</v>
      </c>
      <c r="C32" s="6" t="s">
        <v>137</v>
      </c>
      <c r="D32" s="6">
        <v>222.59999999999991</v>
      </c>
      <c r="E32" s="6">
        <v>187.5</v>
      </c>
      <c r="F32" s="12">
        <v>0</v>
      </c>
      <c r="G32" s="6">
        <f t="shared" si="5"/>
        <v>0</v>
      </c>
      <c r="H32" s="6">
        <f t="shared" si="1"/>
        <v>410.09999999999991</v>
      </c>
      <c r="J32" s="6">
        <f>VLOOKUP(C32,'IP PITSS'!$B$10:$U$91,3,0)</f>
        <v>0</v>
      </c>
      <c r="K32" s="13">
        <v>7000</v>
      </c>
      <c r="L32" s="6">
        <f t="shared" si="2"/>
        <v>0</v>
      </c>
      <c r="M32" s="6">
        <f>VLOOKUP(C32,'IP PITSS'!$B$10:$I$91,8,0)</f>
        <v>0</v>
      </c>
      <c r="N32" s="6">
        <f t="shared" si="3"/>
        <v>0</v>
      </c>
      <c r="O32" s="6" t="s">
        <v>138</v>
      </c>
      <c r="P32" s="6">
        <f>VLOOKUP(C32,'RESUMEN PITS'!$C$3:$V$102,20,0)</f>
        <v>-56.562641666666423</v>
      </c>
      <c r="Q32" s="6">
        <f t="shared" si="4"/>
        <v>166.03735833333349</v>
      </c>
    </row>
    <row r="33" spans="1:18" x14ac:dyDescent="0.2">
      <c r="A33" s="6" t="s">
        <v>72</v>
      </c>
      <c r="B33" s="6" t="s">
        <v>94</v>
      </c>
      <c r="C33" s="6" t="s">
        <v>139</v>
      </c>
      <c r="D33" s="6">
        <v>1047.8000000000002</v>
      </c>
      <c r="E33" s="6">
        <v>312.5</v>
      </c>
      <c r="F33" s="12">
        <v>0</v>
      </c>
      <c r="G33" s="6">
        <f t="shared" si="5"/>
        <v>0</v>
      </c>
      <c r="H33" s="6">
        <f t="shared" si="1"/>
        <v>1360.3000000000002</v>
      </c>
      <c r="J33" s="6">
        <f>VLOOKUP(C33,'IP PITSS'!$B$10:$U$91,3,0)</f>
        <v>0</v>
      </c>
      <c r="K33" s="13">
        <v>14000</v>
      </c>
      <c r="L33" s="6">
        <f t="shared" si="2"/>
        <v>0</v>
      </c>
      <c r="M33" s="6">
        <f>VLOOKUP(C33,'IP PITSS'!$B$10:$I$91,8,0)</f>
        <v>0</v>
      </c>
      <c r="N33" s="6">
        <f t="shared" si="3"/>
        <v>0</v>
      </c>
      <c r="O33" s="6" t="s">
        <v>140</v>
      </c>
      <c r="P33" s="6">
        <f>VLOOKUP(C33,'RESUMEN PITS'!$C$3:$V$102,20,0)</f>
        <v>-56.562641666666423</v>
      </c>
      <c r="Q33" s="6">
        <f t="shared" si="4"/>
        <v>991.23735833333376</v>
      </c>
    </row>
    <row r="34" spans="1:18" x14ac:dyDescent="0.2">
      <c r="A34" s="6" t="s">
        <v>141</v>
      </c>
      <c r="B34" s="6" t="s">
        <v>94</v>
      </c>
      <c r="C34" s="6" t="s">
        <v>142</v>
      </c>
      <c r="D34" s="6">
        <v>414.59999999999991</v>
      </c>
      <c r="E34" s="6">
        <v>600</v>
      </c>
      <c r="F34" s="12">
        <v>0</v>
      </c>
      <c r="G34" s="6">
        <f t="shared" si="5"/>
        <v>0</v>
      </c>
      <c r="H34" s="6">
        <f t="shared" si="1"/>
        <v>1014.5999999999999</v>
      </c>
      <c r="J34" s="6">
        <f>VLOOKUP(C34,'IP PITSS'!$B$10:$U$91,3,0)</f>
        <v>0</v>
      </c>
      <c r="K34" s="13">
        <v>8000</v>
      </c>
      <c r="L34" s="6">
        <f t="shared" ref="L34:L63" si="6">(((+K34/30)*J34)*30%)</f>
        <v>0</v>
      </c>
      <c r="M34" s="6">
        <f>VLOOKUP(C34,'IP PITSS'!$B$10:$I$91,8,0)</f>
        <v>0</v>
      </c>
      <c r="N34" s="6">
        <f t="shared" ref="N34:N63" si="7">+L34-M34</f>
        <v>0</v>
      </c>
      <c r="O34" s="6" t="s">
        <v>143</v>
      </c>
      <c r="P34" s="6">
        <f>VLOOKUP(C34,'RESUMEN PITS'!$C$3:$V$102,20,0)</f>
        <v>-56.562641666666423</v>
      </c>
      <c r="Q34" s="6">
        <f t="shared" si="4"/>
        <v>358.03735833333349</v>
      </c>
    </row>
    <row r="35" spans="1:18" x14ac:dyDescent="0.2">
      <c r="A35" s="6" t="s">
        <v>144</v>
      </c>
      <c r="B35" s="6" t="s">
        <v>94</v>
      </c>
      <c r="C35" s="6" t="s">
        <v>145</v>
      </c>
      <c r="D35" s="6">
        <v>593.60000000000036</v>
      </c>
      <c r="E35" s="6">
        <v>60</v>
      </c>
      <c r="F35" s="12">
        <v>0</v>
      </c>
      <c r="G35" s="6">
        <f t="shared" si="5"/>
        <v>0</v>
      </c>
      <c r="H35" s="6">
        <f t="shared" ref="H35:H66" si="8">SUM(D35:G35)</f>
        <v>653.60000000000036</v>
      </c>
      <c r="J35" s="6">
        <f>VLOOKUP(C35,'IP PITSS'!$B$10:$U$91,3,0)</f>
        <v>0</v>
      </c>
      <c r="K35" s="13">
        <v>10000</v>
      </c>
      <c r="L35" s="6">
        <f t="shared" si="6"/>
        <v>0</v>
      </c>
      <c r="M35" s="6">
        <f>VLOOKUP(C35,'IP PITSS'!$B$10:$I$91,8,0)</f>
        <v>0</v>
      </c>
      <c r="N35" s="6">
        <f t="shared" si="7"/>
        <v>0</v>
      </c>
      <c r="O35" s="6" t="s">
        <v>146</v>
      </c>
      <c r="P35" s="6">
        <f>VLOOKUP(C35,'RESUMEN PITS'!$C$3:$V$102,20,0)</f>
        <v>-56.562641666666423</v>
      </c>
      <c r="Q35" s="6">
        <f t="shared" ref="Q35:Q66" si="9">+D35+P35</f>
        <v>537.03735833333394</v>
      </c>
    </row>
    <row r="36" spans="1:18" x14ac:dyDescent="0.2">
      <c r="A36" s="6" t="s">
        <v>147</v>
      </c>
      <c r="B36" s="6" t="s">
        <v>94</v>
      </c>
      <c r="C36" s="6" t="s">
        <v>148</v>
      </c>
      <c r="D36" s="6">
        <v>134</v>
      </c>
      <c r="E36" s="6">
        <v>337.5</v>
      </c>
      <c r="F36" s="12">
        <v>0</v>
      </c>
      <c r="G36" s="6">
        <f t="shared" si="5"/>
        <v>0</v>
      </c>
      <c r="H36" s="6">
        <f t="shared" si="8"/>
        <v>471.5</v>
      </c>
      <c r="J36" s="6">
        <f>VLOOKUP(C36,'IP PITSS'!$B$10:$U$91,3,0)</f>
        <v>0</v>
      </c>
      <c r="K36" s="13">
        <v>6000</v>
      </c>
      <c r="L36" s="6">
        <f t="shared" si="6"/>
        <v>0</v>
      </c>
      <c r="M36" s="6">
        <f>VLOOKUP(C36,'IP PITSS'!$B$10:$I$91,8,0)</f>
        <v>0</v>
      </c>
      <c r="N36" s="6">
        <f t="shared" si="7"/>
        <v>0</v>
      </c>
      <c r="O36" s="6" t="s">
        <v>149</v>
      </c>
      <c r="P36" s="6">
        <f>VLOOKUP(C36,'RESUMEN PITS'!$C$3:$V$102,20,0)</f>
        <v>-56.562641666666423</v>
      </c>
      <c r="Q36" s="6">
        <f t="shared" si="9"/>
        <v>77.437358333333577</v>
      </c>
    </row>
    <row r="37" spans="1:18" x14ac:dyDescent="0.2">
      <c r="A37" s="6" t="s">
        <v>150</v>
      </c>
      <c r="B37" s="6" t="s">
        <v>94</v>
      </c>
      <c r="C37" s="6" t="s">
        <v>151</v>
      </c>
      <c r="D37" s="6">
        <v>52.400000000000091</v>
      </c>
      <c r="E37" s="6">
        <v>250</v>
      </c>
      <c r="F37" s="12">
        <v>2800</v>
      </c>
      <c r="G37" s="6">
        <f t="shared" si="5"/>
        <v>0</v>
      </c>
      <c r="H37" s="6">
        <f t="shared" si="8"/>
        <v>3102.4</v>
      </c>
      <c r="J37" s="6">
        <f>VLOOKUP(C37,'IP PITSS'!$B$10:$U$91,3,0)</f>
        <v>0</v>
      </c>
      <c r="K37" s="13">
        <v>5000</v>
      </c>
      <c r="L37" s="6">
        <f t="shared" si="6"/>
        <v>0</v>
      </c>
      <c r="M37" s="6">
        <f>VLOOKUP(C37,'IP PITSS'!$B$10:$I$91,8,0)</f>
        <v>0</v>
      </c>
      <c r="N37" s="6">
        <f t="shared" si="7"/>
        <v>0</v>
      </c>
      <c r="O37" s="6" t="s">
        <v>152</v>
      </c>
      <c r="P37" s="6">
        <f>VLOOKUP(C37,'RESUMEN PITS'!$C$3:$V$102,20,0)</f>
        <v>-56.562641666666423</v>
      </c>
      <c r="Q37" s="6">
        <f t="shared" si="9"/>
        <v>-4.1626416666663317</v>
      </c>
    </row>
    <row r="38" spans="1:18" x14ac:dyDescent="0.2">
      <c r="A38" s="6" t="s">
        <v>153</v>
      </c>
      <c r="B38" s="6" t="s">
        <v>94</v>
      </c>
      <c r="C38" s="6" t="s">
        <v>154</v>
      </c>
      <c r="D38" s="6">
        <v>1667.29</v>
      </c>
      <c r="E38" s="6">
        <v>90</v>
      </c>
      <c r="F38" s="12">
        <v>0</v>
      </c>
      <c r="G38" s="6">
        <f t="shared" si="5"/>
        <v>0</v>
      </c>
      <c r="H38" s="6">
        <f t="shared" si="8"/>
        <v>1757.29</v>
      </c>
      <c r="J38" s="6">
        <f>VLOOKUP(C38,'IP PITSS'!$B$10:$U$91,3,0)</f>
        <v>0</v>
      </c>
      <c r="K38" s="13">
        <v>10000</v>
      </c>
      <c r="L38" s="6">
        <f t="shared" si="6"/>
        <v>0</v>
      </c>
      <c r="M38" s="6">
        <f>VLOOKUP(C38,'IP PITSS'!$B$10:$I$91,8,0)</f>
        <v>0</v>
      </c>
      <c r="N38" s="6">
        <f t="shared" si="7"/>
        <v>0</v>
      </c>
      <c r="O38" s="6" t="s">
        <v>155</v>
      </c>
      <c r="P38" s="6">
        <f>VLOOKUP(C38,'RESUMEN PITS'!$C$3:$V$102,20,0)</f>
        <v>-56.562641666666423</v>
      </c>
      <c r="Q38" s="6">
        <f t="shared" si="9"/>
        <v>1610.7273583333335</v>
      </c>
    </row>
    <row r="39" spans="1:18" x14ac:dyDescent="0.2">
      <c r="A39" s="6" t="s">
        <v>156</v>
      </c>
      <c r="B39" s="6" t="s">
        <v>94</v>
      </c>
      <c r="C39" s="6" t="s">
        <v>157</v>
      </c>
      <c r="D39" s="6">
        <v>416.40000000000009</v>
      </c>
      <c r="E39" s="6">
        <v>570</v>
      </c>
      <c r="F39" s="12">
        <v>0</v>
      </c>
      <c r="G39" s="6">
        <f t="shared" si="5"/>
        <v>0</v>
      </c>
      <c r="H39" s="6">
        <f t="shared" si="8"/>
        <v>986.40000000000009</v>
      </c>
      <c r="J39" s="6">
        <f>VLOOKUP(C39,'IP PITSS'!$B$10:$U$91,3,0)</f>
        <v>0</v>
      </c>
      <c r="K39" s="13">
        <v>8000</v>
      </c>
      <c r="L39" s="6">
        <f t="shared" si="6"/>
        <v>0</v>
      </c>
      <c r="M39" s="6">
        <f>VLOOKUP(C39,'IP PITSS'!$B$10:$I$91,8,0)</f>
        <v>0</v>
      </c>
      <c r="N39" s="6">
        <f t="shared" si="7"/>
        <v>0</v>
      </c>
      <c r="O39" s="6" t="s">
        <v>158</v>
      </c>
      <c r="P39" s="6">
        <f>VLOOKUP(C39,'RESUMEN PITS'!$C$3:$V$102,20,0)</f>
        <v>-56.562641666666423</v>
      </c>
      <c r="Q39" s="6">
        <f t="shared" si="9"/>
        <v>359.83735833333367</v>
      </c>
    </row>
    <row r="40" spans="1:18" x14ac:dyDescent="0.2">
      <c r="A40" s="6" t="s">
        <v>160</v>
      </c>
      <c r="B40" s="6" t="s">
        <v>94</v>
      </c>
      <c r="C40" s="6" t="s">
        <v>161</v>
      </c>
      <c r="D40" s="6">
        <v>134</v>
      </c>
      <c r="E40" s="12">
        <v>363.75</v>
      </c>
      <c r="F40" s="12">
        <v>0</v>
      </c>
      <c r="G40" s="6">
        <f t="shared" si="5"/>
        <v>0</v>
      </c>
      <c r="H40" s="6">
        <f t="shared" si="8"/>
        <v>497.75</v>
      </c>
      <c r="J40" s="6">
        <f>VLOOKUP(C40,'IP PITSS'!$B$10:$U$91,3,0)</f>
        <v>0</v>
      </c>
      <c r="K40" s="13">
        <v>6000</v>
      </c>
      <c r="L40" s="6">
        <f t="shared" si="6"/>
        <v>0</v>
      </c>
      <c r="M40" s="6">
        <f>VLOOKUP(C40,'IP PITSS'!$B$10:$I$91,8,0)</f>
        <v>0</v>
      </c>
      <c r="N40" s="6">
        <f t="shared" si="7"/>
        <v>0</v>
      </c>
      <c r="O40" s="6" t="s">
        <v>162</v>
      </c>
      <c r="P40" s="6">
        <f>VLOOKUP(C40,'RESUMEN PITS'!$C$3:$V$102,20,0)</f>
        <v>-56.562641666666423</v>
      </c>
      <c r="Q40" s="6">
        <f t="shared" si="9"/>
        <v>77.437358333333577</v>
      </c>
    </row>
    <row r="41" spans="1:18" x14ac:dyDescent="0.2">
      <c r="A41" s="6" t="s">
        <v>163</v>
      </c>
      <c r="B41" s="6" t="s">
        <v>94</v>
      </c>
      <c r="C41" s="6" t="s">
        <v>164</v>
      </c>
      <c r="D41" s="6">
        <v>174.34000000000015</v>
      </c>
      <c r="E41" s="6">
        <v>56.25</v>
      </c>
      <c r="F41" s="12">
        <v>0</v>
      </c>
      <c r="G41" s="6">
        <f t="shared" si="5"/>
        <v>0</v>
      </c>
      <c r="H41" s="6">
        <f t="shared" si="8"/>
        <v>230.59000000000015</v>
      </c>
      <c r="J41" s="6">
        <f>VLOOKUP(C41,'IP PITSS'!$B$10:$U$91,3,0)</f>
        <v>0</v>
      </c>
      <c r="K41" s="13">
        <v>6300</v>
      </c>
      <c r="L41" s="6">
        <f t="shared" si="6"/>
        <v>0</v>
      </c>
      <c r="M41" s="6">
        <f>VLOOKUP(C41,'IP PITSS'!$B$10:$I$91,8,0)</f>
        <v>0</v>
      </c>
      <c r="N41" s="6">
        <f t="shared" si="7"/>
        <v>0</v>
      </c>
      <c r="O41" s="6" t="s">
        <v>165</v>
      </c>
      <c r="P41" s="6">
        <f>VLOOKUP(C41,'RESUMEN PITS'!$C$3:$V$102,20,0)</f>
        <v>-56.562641666666423</v>
      </c>
      <c r="Q41" s="6">
        <f t="shared" si="9"/>
        <v>117.77735833333372</v>
      </c>
    </row>
    <row r="42" spans="1:18" x14ac:dyDescent="0.2">
      <c r="A42" s="6" t="s">
        <v>166</v>
      </c>
      <c r="B42" s="6" t="s">
        <v>94</v>
      </c>
      <c r="C42" s="6" t="s">
        <v>167</v>
      </c>
      <c r="D42" s="6">
        <v>1416.33</v>
      </c>
      <c r="E42" s="6">
        <v>1087.5</v>
      </c>
      <c r="F42" s="12">
        <v>0</v>
      </c>
      <c r="G42" s="6">
        <f t="shared" si="5"/>
        <v>0</v>
      </c>
      <c r="H42" s="6">
        <f t="shared" si="8"/>
        <v>2503.83</v>
      </c>
      <c r="J42" s="6">
        <f>VLOOKUP(C42,'IP PITSS'!$B$10:$U$91,3,0)</f>
        <v>0</v>
      </c>
      <c r="K42" s="13">
        <v>10000</v>
      </c>
      <c r="L42" s="6">
        <f t="shared" si="6"/>
        <v>0</v>
      </c>
      <c r="M42" s="6">
        <f>VLOOKUP(C42,'IP PITSS'!$B$10:$I$91,8,0)</f>
        <v>0</v>
      </c>
      <c r="N42" s="6">
        <f t="shared" si="7"/>
        <v>0</v>
      </c>
      <c r="O42" s="6" t="s">
        <v>168</v>
      </c>
      <c r="P42" s="6">
        <f>VLOOKUP(C42,'RESUMEN PITS'!$C$3:$V$102,20,0)</f>
        <v>-56.562641666666423</v>
      </c>
      <c r="Q42" s="6">
        <f t="shared" si="9"/>
        <v>1359.7673583333335</v>
      </c>
    </row>
    <row r="43" spans="1:18" x14ac:dyDescent="0.2">
      <c r="A43" s="6" t="s">
        <v>169</v>
      </c>
      <c r="B43" s="6" t="s">
        <v>94</v>
      </c>
      <c r="C43" s="6" t="s">
        <v>170</v>
      </c>
      <c r="D43" s="6">
        <v>3721.4</v>
      </c>
      <c r="E43" s="6">
        <v>125</v>
      </c>
      <c r="F43" s="12">
        <v>0</v>
      </c>
      <c r="G43" s="6">
        <f t="shared" si="5"/>
        <v>0</v>
      </c>
      <c r="H43" s="6">
        <f t="shared" si="8"/>
        <v>3846.4</v>
      </c>
      <c r="J43" s="6">
        <f>VLOOKUP(C43,'IP PITSS'!$B$10:$U$91,3,0)</f>
        <v>0</v>
      </c>
      <c r="K43" s="13">
        <v>14000</v>
      </c>
      <c r="L43" s="6">
        <f t="shared" si="6"/>
        <v>0</v>
      </c>
      <c r="M43" s="6">
        <f>VLOOKUP(C43,'IP PITSS'!$B$10:$I$91,8,0)</f>
        <v>0</v>
      </c>
      <c r="N43" s="6">
        <f t="shared" si="7"/>
        <v>0</v>
      </c>
      <c r="O43" s="6" t="s">
        <v>171</v>
      </c>
      <c r="P43" s="6">
        <f>VLOOKUP(C43,'RESUMEN PITS'!$C$3:$V$102,20,0)</f>
        <v>-1417.0416416666667</v>
      </c>
      <c r="Q43" s="6">
        <f t="shared" si="9"/>
        <v>2304.3583583333334</v>
      </c>
    </row>
    <row r="44" spans="1:18" s="12" customFormat="1" x14ac:dyDescent="0.2">
      <c r="A44" s="6" t="s">
        <v>37</v>
      </c>
      <c r="B44" s="6" t="s">
        <v>94</v>
      </c>
      <c r="C44" s="6" t="s">
        <v>172</v>
      </c>
      <c r="D44" s="6">
        <v>416.40000000000009</v>
      </c>
      <c r="E44" s="16">
        <v>130</v>
      </c>
      <c r="F44" s="12">
        <v>0</v>
      </c>
      <c r="G44" s="6">
        <f t="shared" si="5"/>
        <v>0</v>
      </c>
      <c r="H44" s="6">
        <f t="shared" si="8"/>
        <v>546.40000000000009</v>
      </c>
      <c r="I44" s="7"/>
      <c r="J44" s="6">
        <f>VLOOKUP(C44,'IP PITSS'!$B$10:$U$91,3,0)</f>
        <v>0</v>
      </c>
      <c r="K44" s="13">
        <v>8000</v>
      </c>
      <c r="L44" s="6">
        <f t="shared" si="6"/>
        <v>0</v>
      </c>
      <c r="M44" s="6">
        <f>VLOOKUP(C44,'IP PITSS'!$B$10:$I$91,8,0)</f>
        <v>0</v>
      </c>
      <c r="N44" s="6">
        <f t="shared" si="7"/>
        <v>0</v>
      </c>
      <c r="O44" s="6" t="s">
        <v>173</v>
      </c>
      <c r="P44" s="6">
        <f>VLOOKUP(C44,'RESUMEN PITS'!$C$3:$V$102,20,0)</f>
        <v>-1417.0416416666667</v>
      </c>
      <c r="Q44" s="6">
        <f t="shared" si="9"/>
        <v>-1000.6416416666666</v>
      </c>
      <c r="R44" s="6"/>
    </row>
    <row r="45" spans="1:18" x14ac:dyDescent="0.2">
      <c r="A45" s="6" t="s">
        <v>174</v>
      </c>
      <c r="B45" s="6" t="s">
        <v>94</v>
      </c>
      <c r="C45" s="6" t="s">
        <v>175</v>
      </c>
      <c r="D45" s="6">
        <v>451.00500000000011</v>
      </c>
      <c r="E45" s="6">
        <v>162.5</v>
      </c>
      <c r="F45" s="12">
        <v>0</v>
      </c>
      <c r="G45" s="6">
        <f t="shared" si="5"/>
        <v>0</v>
      </c>
      <c r="H45" s="6">
        <f t="shared" si="8"/>
        <v>613.50500000000011</v>
      </c>
      <c r="J45" s="6">
        <f>VLOOKUP(C45,'IP PITSS'!$B$10:$U$91,3,0)</f>
        <v>0</v>
      </c>
      <c r="K45" s="13">
        <v>8500.01</v>
      </c>
      <c r="L45" s="6">
        <f t="shared" si="6"/>
        <v>0</v>
      </c>
      <c r="M45" s="6">
        <f>VLOOKUP(C45,'IP PITSS'!$B$10:$I$91,8,0)</f>
        <v>0</v>
      </c>
      <c r="N45" s="6">
        <f t="shared" si="7"/>
        <v>0</v>
      </c>
      <c r="O45" s="6" t="s">
        <v>176</v>
      </c>
      <c r="P45" s="6">
        <f>VLOOKUP(C45,'RESUMEN PITS'!$C$3:$V$102,20,0)</f>
        <v>-1417.0416416666667</v>
      </c>
      <c r="Q45" s="6">
        <f t="shared" si="9"/>
        <v>-966.03664166666658</v>
      </c>
    </row>
    <row r="46" spans="1:18" x14ac:dyDescent="0.2">
      <c r="A46" s="6" t="s">
        <v>177</v>
      </c>
      <c r="B46" s="6" t="s">
        <v>94</v>
      </c>
      <c r="C46" s="6" t="s">
        <v>178</v>
      </c>
      <c r="D46" s="6">
        <v>3135.4</v>
      </c>
      <c r="F46" s="12">
        <v>0</v>
      </c>
      <c r="G46" s="6">
        <f t="shared" si="5"/>
        <v>0</v>
      </c>
      <c r="H46" s="6">
        <f t="shared" si="8"/>
        <v>3135.4</v>
      </c>
      <c r="J46" s="6">
        <f>VLOOKUP(C46,'IP PITSS'!$B$10:$U$91,3,0)</f>
        <v>0</v>
      </c>
      <c r="K46" s="13">
        <v>12000</v>
      </c>
      <c r="L46" s="6">
        <f t="shared" si="6"/>
        <v>0</v>
      </c>
      <c r="M46" s="6">
        <f>VLOOKUP(C46,'IP PITSS'!$B$10:$I$91,8,0)</f>
        <v>0</v>
      </c>
      <c r="N46" s="6">
        <f t="shared" si="7"/>
        <v>0</v>
      </c>
      <c r="O46" s="6" t="s">
        <v>179</v>
      </c>
      <c r="P46" s="6">
        <f>VLOOKUP(C46,'RESUMEN PITS'!$C$3:$V$102,20,0)</f>
        <v>-1417.0416416666667</v>
      </c>
      <c r="Q46" s="6">
        <f t="shared" si="9"/>
        <v>1718.3583583333334</v>
      </c>
    </row>
    <row r="47" spans="1:18" x14ac:dyDescent="0.2">
      <c r="A47" s="6" t="s">
        <v>181</v>
      </c>
      <c r="B47" s="6" t="s">
        <v>94</v>
      </c>
      <c r="C47" s="6" t="s">
        <v>182</v>
      </c>
      <c r="D47" s="6">
        <v>134.19999999999982</v>
      </c>
      <c r="E47" s="6">
        <v>292.5</v>
      </c>
      <c r="F47" s="12">
        <v>0</v>
      </c>
      <c r="G47" s="6">
        <f t="shared" si="5"/>
        <v>0</v>
      </c>
      <c r="H47" s="6">
        <f t="shared" si="8"/>
        <v>426.69999999999982</v>
      </c>
      <c r="J47" s="6">
        <f>VLOOKUP(C47,'IP PITSS'!$B$10:$U$91,3,0)</f>
        <v>0</v>
      </c>
      <c r="K47" s="13">
        <v>6000</v>
      </c>
      <c r="L47" s="6">
        <f t="shared" si="6"/>
        <v>0</v>
      </c>
      <c r="M47" s="6">
        <f>VLOOKUP(C47,'IP PITSS'!$B$10:$I$91,8,0)</f>
        <v>0</v>
      </c>
      <c r="N47" s="6">
        <f t="shared" si="7"/>
        <v>0</v>
      </c>
      <c r="O47" s="6" t="s">
        <v>183</v>
      </c>
      <c r="P47" s="6">
        <f>VLOOKUP(C47,'RESUMEN PITS'!$C$3:$V$102,20,0)</f>
        <v>-1417.0416416666658</v>
      </c>
      <c r="Q47" s="6">
        <f t="shared" si="9"/>
        <v>-1282.841641666666</v>
      </c>
    </row>
    <row r="48" spans="1:18" x14ac:dyDescent="0.2">
      <c r="A48" s="6" t="s">
        <v>184</v>
      </c>
      <c r="B48" s="6" t="s">
        <v>94</v>
      </c>
      <c r="C48" s="6" t="s">
        <v>185</v>
      </c>
      <c r="D48" s="6">
        <v>0</v>
      </c>
      <c r="E48" s="6">
        <v>937.5</v>
      </c>
      <c r="F48" s="12">
        <v>0</v>
      </c>
      <c r="G48" s="6">
        <f t="shared" si="5"/>
        <v>0</v>
      </c>
      <c r="H48" s="6">
        <f t="shared" si="8"/>
        <v>937.5</v>
      </c>
      <c r="J48" s="6">
        <f>VLOOKUP(C48,'IP PITSS'!$B$10:$U$91,3,0)</f>
        <v>0</v>
      </c>
      <c r="K48" s="17">
        <v>13125</v>
      </c>
      <c r="L48" s="6">
        <f t="shared" si="6"/>
        <v>0</v>
      </c>
      <c r="M48" s="6">
        <f>VLOOKUP(C48,'IP PITSS'!$B$10:$I$91,8,0)</f>
        <v>0</v>
      </c>
      <c r="N48" s="6">
        <f t="shared" si="7"/>
        <v>0</v>
      </c>
      <c r="O48" s="6" t="s">
        <v>186</v>
      </c>
      <c r="P48" s="6">
        <f>VLOOKUP(C48,'RESUMEN PITS'!$C$3:$V$102,20,0)</f>
        <v>-1431.3416416666669</v>
      </c>
      <c r="Q48" s="6">
        <f t="shared" si="9"/>
        <v>-1431.3416416666669</v>
      </c>
    </row>
    <row r="49" spans="1:18" x14ac:dyDescent="0.2">
      <c r="A49" s="6" t="s">
        <v>187</v>
      </c>
      <c r="B49" s="6" t="s">
        <v>94</v>
      </c>
      <c r="C49" s="6" t="s">
        <v>188</v>
      </c>
      <c r="D49" s="6">
        <v>416.40000000000009</v>
      </c>
      <c r="E49" s="6">
        <v>225</v>
      </c>
      <c r="F49" s="12">
        <v>0</v>
      </c>
      <c r="G49" s="6">
        <f t="shared" si="5"/>
        <v>0</v>
      </c>
      <c r="H49" s="6">
        <f t="shared" si="8"/>
        <v>641.40000000000009</v>
      </c>
      <c r="J49" s="6">
        <f>VLOOKUP(C49,'IP PITSS'!$B$10:$U$91,3,0)</f>
        <v>0</v>
      </c>
      <c r="K49" s="13">
        <v>8000</v>
      </c>
      <c r="L49" s="6">
        <f t="shared" si="6"/>
        <v>0</v>
      </c>
      <c r="M49" s="6">
        <f>VLOOKUP(C49,'IP PITSS'!$B$10:$I$91,8,0)</f>
        <v>0</v>
      </c>
      <c r="N49" s="6">
        <f t="shared" si="7"/>
        <v>0</v>
      </c>
      <c r="O49" s="6" t="s">
        <v>189</v>
      </c>
      <c r="P49" s="6">
        <f>VLOOKUP(C49,'RESUMEN PITS'!$C$3:$V$102,20,0)</f>
        <v>-1417.0416416666667</v>
      </c>
      <c r="Q49" s="6">
        <f t="shared" si="9"/>
        <v>-1000.6416416666666</v>
      </c>
    </row>
    <row r="50" spans="1:18" x14ac:dyDescent="0.2">
      <c r="A50" s="6" t="s">
        <v>190</v>
      </c>
      <c r="B50" s="6" t="s">
        <v>94</v>
      </c>
      <c r="C50" s="75" t="s">
        <v>425</v>
      </c>
      <c r="D50" s="6">
        <v>284.0300000000002</v>
      </c>
      <c r="E50" s="6">
        <v>281.25</v>
      </c>
      <c r="F50" s="12">
        <v>0</v>
      </c>
      <c r="G50" s="6">
        <f t="shared" si="5"/>
        <v>0</v>
      </c>
      <c r="H50" s="6">
        <f t="shared" si="8"/>
        <v>565.2800000000002</v>
      </c>
      <c r="J50" s="6">
        <f>VLOOKUP(C50,'IP PITSS'!$B$10:$U$91,3,0)</f>
        <v>0</v>
      </c>
      <c r="K50" s="13">
        <v>6300</v>
      </c>
      <c r="L50" s="6">
        <f t="shared" si="6"/>
        <v>0</v>
      </c>
      <c r="M50" s="6">
        <v>0</v>
      </c>
      <c r="N50" s="6">
        <f t="shared" si="7"/>
        <v>0</v>
      </c>
      <c r="O50" s="6" t="s">
        <v>191</v>
      </c>
      <c r="P50" s="6">
        <f>VLOOKUP(C50,'RESUMEN PITS'!$C$3:$V$102,20,0)</f>
        <v>-1417.0416416666658</v>
      </c>
      <c r="Q50" s="6">
        <f t="shared" si="9"/>
        <v>-1133.0116416666656</v>
      </c>
    </row>
    <row r="51" spans="1:18" x14ac:dyDescent="0.2">
      <c r="A51" s="6" t="s">
        <v>193</v>
      </c>
      <c r="B51" s="6" t="s">
        <v>94</v>
      </c>
      <c r="C51" s="6" t="s">
        <v>194</v>
      </c>
      <c r="D51" s="6">
        <v>2884.84</v>
      </c>
      <c r="E51" s="6">
        <v>300</v>
      </c>
      <c r="F51" s="12">
        <v>0</v>
      </c>
      <c r="G51" s="6">
        <f t="shared" ref="G51:G73" si="10">+N51</f>
        <v>0</v>
      </c>
      <c r="H51" s="6">
        <f t="shared" si="8"/>
        <v>3184.84</v>
      </c>
      <c r="J51" s="6">
        <f>VLOOKUP(C51,'IP PITSS'!$B$10:$U$91,3,0)</f>
        <v>0</v>
      </c>
      <c r="K51" s="13">
        <v>12000</v>
      </c>
      <c r="L51" s="6">
        <f t="shared" si="6"/>
        <v>0</v>
      </c>
      <c r="M51" s="6">
        <f>VLOOKUP(C51,'IP PITSS'!$B$10:$I$91,8,0)</f>
        <v>0</v>
      </c>
      <c r="N51" s="6">
        <f t="shared" si="7"/>
        <v>0</v>
      </c>
      <c r="O51" s="6" t="s">
        <v>195</v>
      </c>
      <c r="P51" s="6">
        <f>VLOOKUP(C51,'RESUMEN PITS'!$C$3:$V$102,20,0)</f>
        <v>-1417.0416416666667</v>
      </c>
      <c r="Q51" s="6">
        <f t="shared" si="9"/>
        <v>1467.7983583333335</v>
      </c>
    </row>
    <row r="52" spans="1:18" x14ac:dyDescent="0.2">
      <c r="A52" s="6" t="s">
        <v>196</v>
      </c>
      <c r="B52" s="6" t="s">
        <v>94</v>
      </c>
      <c r="C52" s="6" t="s">
        <v>197</v>
      </c>
      <c r="D52" s="6">
        <v>414.59999999999991</v>
      </c>
      <c r="E52" s="6">
        <v>255</v>
      </c>
      <c r="F52" s="12">
        <v>0</v>
      </c>
      <c r="G52" s="6">
        <f t="shared" si="10"/>
        <v>0</v>
      </c>
      <c r="H52" s="6">
        <f t="shared" si="8"/>
        <v>669.59999999999991</v>
      </c>
      <c r="J52" s="6">
        <f>VLOOKUP(C52,'IP PITSS'!$B$10:$U$91,3,0)</f>
        <v>0</v>
      </c>
      <c r="K52" s="13">
        <v>8000</v>
      </c>
      <c r="L52" s="6">
        <f t="shared" si="6"/>
        <v>0</v>
      </c>
      <c r="M52" s="6">
        <f>VLOOKUP(C52,'IP PITSS'!$B$10:$I$91,8,0)</f>
        <v>0</v>
      </c>
      <c r="N52" s="6">
        <f t="shared" si="7"/>
        <v>0</v>
      </c>
      <c r="O52" s="6" t="s">
        <v>198</v>
      </c>
      <c r="P52" s="6">
        <f>VLOOKUP(C52,'RESUMEN PITS'!$C$3:$V$102,20,0)</f>
        <v>-1417.0416416666667</v>
      </c>
      <c r="Q52" s="6">
        <f t="shared" si="9"/>
        <v>-1002.4416416666668</v>
      </c>
    </row>
    <row r="53" spans="1:18" s="12" customFormat="1" x14ac:dyDescent="0.2">
      <c r="A53" s="6" t="s">
        <v>200</v>
      </c>
      <c r="B53" s="6" t="s">
        <v>94</v>
      </c>
      <c r="C53" s="6" t="s">
        <v>201</v>
      </c>
      <c r="D53" s="6">
        <v>1704.5099999999998</v>
      </c>
      <c r="E53" s="6"/>
      <c r="F53" s="12">
        <v>0</v>
      </c>
      <c r="G53" s="6">
        <f t="shared" si="10"/>
        <v>0</v>
      </c>
      <c r="H53" s="6">
        <f t="shared" si="8"/>
        <v>1704.5099999999998</v>
      </c>
      <c r="I53" s="7"/>
      <c r="J53" s="6">
        <f>VLOOKUP(C53,'IP PITSS'!$B$10:$U$91,3,0)</f>
        <v>0</v>
      </c>
      <c r="K53" s="13">
        <v>7000</v>
      </c>
      <c r="L53" s="6">
        <f t="shared" si="6"/>
        <v>0</v>
      </c>
      <c r="M53" s="6">
        <f>VLOOKUP(C53,'IP PITSS'!$B$10:$I$91,8,0)</f>
        <v>0</v>
      </c>
      <c r="N53" s="6">
        <f t="shared" si="7"/>
        <v>0</v>
      </c>
      <c r="O53" s="6" t="s">
        <v>202</v>
      </c>
      <c r="P53" s="6">
        <f>VLOOKUP(C53,'RESUMEN PITS'!$C$3:$V$102,20,0)</f>
        <v>-1417.0416416666667</v>
      </c>
      <c r="Q53" s="6">
        <f t="shared" si="9"/>
        <v>287.46835833333307</v>
      </c>
      <c r="R53" s="6"/>
    </row>
    <row r="54" spans="1:18" x14ac:dyDescent="0.2">
      <c r="A54" s="6" t="s">
        <v>203</v>
      </c>
      <c r="B54" s="6" t="s">
        <v>94</v>
      </c>
      <c r="C54" s="6" t="s">
        <v>204</v>
      </c>
      <c r="D54" s="6">
        <v>222.53999999999996</v>
      </c>
      <c r="E54" s="12">
        <v>100</v>
      </c>
      <c r="F54" s="12">
        <v>0</v>
      </c>
      <c r="G54" s="6">
        <f t="shared" si="10"/>
        <v>0</v>
      </c>
      <c r="H54" s="6">
        <f t="shared" si="8"/>
        <v>322.53999999999996</v>
      </c>
      <c r="J54" s="6">
        <f>VLOOKUP(C54,'IP PITSS'!$B$10:$U$91,3,0)</f>
        <v>0</v>
      </c>
      <c r="K54" s="13">
        <v>7000</v>
      </c>
      <c r="L54" s="6">
        <f t="shared" si="6"/>
        <v>0</v>
      </c>
      <c r="M54" s="6">
        <f>VLOOKUP(C54,'IP PITSS'!$B$10:$I$91,8,0)</f>
        <v>0</v>
      </c>
      <c r="N54" s="6">
        <f t="shared" si="7"/>
        <v>0</v>
      </c>
      <c r="O54" s="6" t="s">
        <v>205</v>
      </c>
      <c r="P54" s="6">
        <f>VLOOKUP(C54,'RESUMEN PITS'!$C$3:$V$102,20,0)</f>
        <v>-2859.2916416666658</v>
      </c>
      <c r="Q54" s="6">
        <f t="shared" si="9"/>
        <v>-2636.7516416666658</v>
      </c>
    </row>
    <row r="55" spans="1:18" x14ac:dyDescent="0.2">
      <c r="A55" s="6" t="s">
        <v>206</v>
      </c>
      <c r="B55" s="6" t="s">
        <v>94</v>
      </c>
      <c r="C55" s="6" t="s">
        <v>207</v>
      </c>
      <c r="D55" s="6">
        <v>1451.0500000000002</v>
      </c>
      <c r="E55" s="6">
        <v>112.5</v>
      </c>
      <c r="F55" s="12">
        <v>0</v>
      </c>
      <c r="G55" s="6">
        <f t="shared" si="10"/>
        <v>0</v>
      </c>
      <c r="H55" s="6">
        <f t="shared" si="8"/>
        <v>1563.5500000000002</v>
      </c>
      <c r="J55" s="6">
        <f>VLOOKUP(C55,'IP PITSS'!$B$10:$U$91,3,0)</f>
        <v>0</v>
      </c>
      <c r="K55" s="13">
        <v>8500.01</v>
      </c>
      <c r="L55" s="6">
        <f t="shared" si="6"/>
        <v>0</v>
      </c>
      <c r="M55" s="6">
        <f>VLOOKUP(C55,'IP PITSS'!$B$10:$I$91,8,0)</f>
        <v>0</v>
      </c>
      <c r="N55" s="6">
        <f t="shared" si="7"/>
        <v>0</v>
      </c>
      <c r="O55" s="6" t="s">
        <v>208</v>
      </c>
      <c r="P55" s="6">
        <f>VLOOKUP(C55,'RESUMEN PITS'!$C$3:$V$102,20,0)</f>
        <v>-1915.953641666667</v>
      </c>
      <c r="Q55" s="6">
        <f t="shared" si="9"/>
        <v>-464.90364166666677</v>
      </c>
    </row>
    <row r="56" spans="1:18" x14ac:dyDescent="0.2">
      <c r="A56" s="6" t="s">
        <v>209</v>
      </c>
      <c r="B56" s="6" t="s">
        <v>94</v>
      </c>
      <c r="C56" s="6" t="s">
        <v>210</v>
      </c>
      <c r="D56" s="6">
        <v>53</v>
      </c>
      <c r="E56" s="6">
        <v>160</v>
      </c>
      <c r="F56" s="12">
        <v>0</v>
      </c>
      <c r="G56" s="6">
        <f t="shared" si="10"/>
        <v>0</v>
      </c>
      <c r="H56" s="6">
        <f t="shared" si="8"/>
        <v>213</v>
      </c>
      <c r="J56" s="6">
        <f>VLOOKUP(C56,'IP PITSS'!$B$10:$U$91,3,0)</f>
        <v>0</v>
      </c>
      <c r="K56" s="13">
        <v>5000</v>
      </c>
      <c r="L56" s="6">
        <f t="shared" si="6"/>
        <v>0</v>
      </c>
      <c r="M56" s="6">
        <f>VLOOKUP(C56,'IP PITSS'!$B$10:$I$91,8,0)</f>
        <v>0</v>
      </c>
      <c r="N56" s="6">
        <f t="shared" si="7"/>
        <v>0</v>
      </c>
      <c r="O56" s="6" t="s">
        <v>211</v>
      </c>
      <c r="P56" s="6">
        <f>VLOOKUP(C56,'RESUMEN PITS'!$C$3:$V$102,20,0)</f>
        <v>-1915.953641666667</v>
      </c>
      <c r="Q56" s="6">
        <f t="shared" si="9"/>
        <v>-1862.953641666667</v>
      </c>
    </row>
    <row r="57" spans="1:18" x14ac:dyDescent="0.2">
      <c r="A57" s="6" t="s">
        <v>212</v>
      </c>
      <c r="B57" s="6" t="s">
        <v>94</v>
      </c>
      <c r="C57" s="6" t="s">
        <v>213</v>
      </c>
      <c r="D57" s="6">
        <v>175.51000000000022</v>
      </c>
      <c r="E57" s="12"/>
      <c r="F57" s="12">
        <v>0</v>
      </c>
      <c r="G57" s="6">
        <f t="shared" si="10"/>
        <v>0</v>
      </c>
      <c r="H57" s="6">
        <f t="shared" si="8"/>
        <v>175.51000000000022</v>
      </c>
      <c r="J57" s="6">
        <f>VLOOKUP(C57,'IP PITSS'!$B$10:$U$91,3,0)</f>
        <v>0</v>
      </c>
      <c r="K57" s="13">
        <v>6300</v>
      </c>
      <c r="L57" s="6">
        <f t="shared" si="6"/>
        <v>0</v>
      </c>
      <c r="M57" s="6">
        <f>VLOOKUP(C57,'IP PITSS'!$B$10:$I$91,8,0)</f>
        <v>0</v>
      </c>
      <c r="N57" s="6">
        <f t="shared" si="7"/>
        <v>0</v>
      </c>
      <c r="O57" s="6" t="s">
        <v>214</v>
      </c>
      <c r="P57" s="6">
        <f>VLOOKUP(C57,'RESUMEN PITS'!$C$3:$V$102,20,0)</f>
        <v>-1915.953641666667</v>
      </c>
      <c r="Q57" s="6">
        <f t="shared" si="9"/>
        <v>-1740.4436416666667</v>
      </c>
    </row>
    <row r="58" spans="1:18" x14ac:dyDescent="0.2">
      <c r="A58" s="12" t="s">
        <v>215</v>
      </c>
      <c r="B58" s="6" t="s">
        <v>94</v>
      </c>
      <c r="C58" s="12" t="s">
        <v>216</v>
      </c>
      <c r="D58" s="6">
        <v>1047.8000000000002</v>
      </c>
      <c r="E58" s="12">
        <v>187.5</v>
      </c>
      <c r="F58" s="12">
        <v>0</v>
      </c>
      <c r="G58" s="6">
        <f t="shared" si="10"/>
        <v>0</v>
      </c>
      <c r="H58" s="6">
        <f t="shared" si="8"/>
        <v>1235.3000000000002</v>
      </c>
      <c r="J58" s="6">
        <f>VLOOKUP(C58,'IP PITSS'!$B$10:$U$91,3,0)</f>
        <v>0</v>
      </c>
      <c r="K58" s="13">
        <v>14000</v>
      </c>
      <c r="L58" s="12">
        <f t="shared" si="6"/>
        <v>0</v>
      </c>
      <c r="M58" s="6">
        <f>VLOOKUP(C58,'IP PITSS'!$B$10:$I$91,8,0)</f>
        <v>0</v>
      </c>
      <c r="N58" s="6">
        <f t="shared" si="7"/>
        <v>0</v>
      </c>
      <c r="O58" s="6" t="s">
        <v>217</v>
      </c>
      <c r="P58" s="6">
        <f>VLOOKUP(C58,'RESUMEN PITS'!$C$3:$V$102,20,0)</f>
        <v>-1915.953641666667</v>
      </c>
      <c r="Q58" s="6">
        <f t="shared" si="9"/>
        <v>-868.15364166666677</v>
      </c>
    </row>
    <row r="59" spans="1:18" x14ac:dyDescent="0.2">
      <c r="A59" s="6" t="s">
        <v>218</v>
      </c>
      <c r="B59" s="6" t="s">
        <v>94</v>
      </c>
      <c r="C59" s="12" t="s">
        <v>219</v>
      </c>
      <c r="D59" s="6">
        <v>6520.6</v>
      </c>
      <c r="E59" s="6">
        <v>2223</v>
      </c>
      <c r="F59" s="12">
        <v>0</v>
      </c>
      <c r="G59" s="6">
        <f t="shared" si="10"/>
        <v>0</v>
      </c>
      <c r="H59" s="6">
        <f t="shared" si="8"/>
        <v>8743.6</v>
      </c>
      <c r="J59" s="6">
        <f>VLOOKUP(C59,'IP PITSS'!$B$10:$U$91,3,0)</f>
        <v>0</v>
      </c>
      <c r="K59" s="13">
        <v>19950</v>
      </c>
      <c r="L59" s="6">
        <f t="shared" si="6"/>
        <v>0</v>
      </c>
      <c r="M59" s="6">
        <f>VLOOKUP(C59,'IP PITSS'!$B$10:$I$91,8,0)</f>
        <v>0</v>
      </c>
      <c r="N59" s="6">
        <f t="shared" si="7"/>
        <v>0</v>
      </c>
      <c r="O59" s="6" t="s">
        <v>220</v>
      </c>
      <c r="P59" s="6">
        <f>VLOOKUP(C59,'RESUMEN PITS'!$C$3:$V$102,20,0)</f>
        <v>-1915.9536416666688</v>
      </c>
      <c r="Q59" s="6">
        <f t="shared" si="9"/>
        <v>4604.6463583333316</v>
      </c>
    </row>
    <row r="60" spans="1:18" x14ac:dyDescent="0.2">
      <c r="A60" s="6" t="s">
        <v>221</v>
      </c>
      <c r="B60" s="6" t="s">
        <v>94</v>
      </c>
      <c r="C60" s="15" t="s">
        <v>222</v>
      </c>
      <c r="D60" s="6">
        <v>414.59999999999991</v>
      </c>
      <c r="E60" s="6">
        <v>220</v>
      </c>
      <c r="F60" s="12">
        <v>0</v>
      </c>
      <c r="G60" s="6">
        <f t="shared" si="10"/>
        <v>0</v>
      </c>
      <c r="H60" s="6">
        <f t="shared" si="8"/>
        <v>634.59999999999991</v>
      </c>
      <c r="J60" s="6">
        <f>VLOOKUP(C60,'IP PITSS'!$B$10:$U$91,3,0)</f>
        <v>0</v>
      </c>
      <c r="K60" s="13">
        <v>8000</v>
      </c>
      <c r="L60" s="6">
        <f t="shared" si="6"/>
        <v>0</v>
      </c>
      <c r="M60" s="6">
        <f>VLOOKUP(C60,'IP PITSS'!$B$10:$I$91,8,0)</f>
        <v>0</v>
      </c>
      <c r="N60" s="6">
        <f t="shared" si="7"/>
        <v>0</v>
      </c>
      <c r="O60" s="6" t="s">
        <v>223</v>
      </c>
      <c r="P60" s="6">
        <f>VLOOKUP(C60,'RESUMEN PITS'!$C$3:$V$102,20,0)</f>
        <v>-1915.953641666667</v>
      </c>
      <c r="Q60" s="6">
        <f t="shared" si="9"/>
        <v>-1501.353641666667</v>
      </c>
    </row>
    <row r="61" spans="1:18" x14ac:dyDescent="0.2">
      <c r="A61" s="12" t="s">
        <v>225</v>
      </c>
      <c r="B61" s="6" t="s">
        <v>94</v>
      </c>
      <c r="C61" s="12" t="s">
        <v>226</v>
      </c>
      <c r="D61" s="6">
        <v>416.40000000000009</v>
      </c>
      <c r="E61" s="6">
        <v>150</v>
      </c>
      <c r="F61" s="12">
        <v>0</v>
      </c>
      <c r="G61" s="6">
        <f t="shared" si="10"/>
        <v>0</v>
      </c>
      <c r="H61" s="6">
        <f t="shared" si="8"/>
        <v>566.40000000000009</v>
      </c>
      <c r="J61" s="6">
        <f>VLOOKUP(C61,'IP PITSS'!$B$10:$U$91,3,0)</f>
        <v>0</v>
      </c>
      <c r="K61" s="13">
        <v>8000</v>
      </c>
      <c r="L61" s="6">
        <f t="shared" si="6"/>
        <v>0</v>
      </c>
      <c r="M61" s="6">
        <f>VLOOKUP(C61,'IP PITSS'!$B$10:$I$91,8,0)</f>
        <v>0</v>
      </c>
      <c r="N61" s="6">
        <f t="shared" si="7"/>
        <v>0</v>
      </c>
      <c r="O61" s="6" t="s">
        <v>227</v>
      </c>
      <c r="P61" s="6">
        <f>VLOOKUP(C61,'RESUMEN PITS'!$C$3:$V$102,20,0)</f>
        <v>-1915.953641666667</v>
      </c>
      <c r="Q61" s="6">
        <f t="shared" si="9"/>
        <v>-1499.5536416666669</v>
      </c>
    </row>
    <row r="62" spans="1:18" s="15" customFormat="1" x14ac:dyDescent="0.2">
      <c r="A62" s="6" t="s">
        <v>228</v>
      </c>
      <c r="B62" s="6" t="s">
        <v>94</v>
      </c>
      <c r="C62" s="6" t="s">
        <v>229</v>
      </c>
      <c r="D62" s="6">
        <v>416.40000000000009</v>
      </c>
      <c r="E62" s="6">
        <v>120</v>
      </c>
      <c r="F62" s="12">
        <v>0</v>
      </c>
      <c r="G62" s="6">
        <f t="shared" si="10"/>
        <v>0</v>
      </c>
      <c r="H62" s="6">
        <f t="shared" si="8"/>
        <v>536.40000000000009</v>
      </c>
      <c r="I62" s="7"/>
      <c r="J62" s="6">
        <f>VLOOKUP(C62,'IP PITSS'!$B$10:$U$91,3,0)</f>
        <v>0</v>
      </c>
      <c r="K62" s="13">
        <v>8000</v>
      </c>
      <c r="L62" s="6">
        <f t="shared" si="6"/>
        <v>0</v>
      </c>
      <c r="M62" s="6">
        <f>VLOOKUP(C62,'IP PITSS'!$B$10:$I$91,8,0)</f>
        <v>0</v>
      </c>
      <c r="N62" s="6">
        <f t="shared" si="7"/>
        <v>0</v>
      </c>
      <c r="O62" s="6" t="s">
        <v>230</v>
      </c>
      <c r="P62" s="6">
        <f>VLOOKUP(C62,'RESUMEN PITS'!$C$3:$V$102,20,0)</f>
        <v>-1915.953641666667</v>
      </c>
      <c r="Q62" s="6">
        <f t="shared" si="9"/>
        <v>-1499.5536416666669</v>
      </c>
      <c r="R62" s="6"/>
    </row>
    <row r="63" spans="1:18" x14ac:dyDescent="0.2">
      <c r="A63" s="6" t="s">
        <v>231</v>
      </c>
      <c r="B63" s="6" t="s">
        <v>94</v>
      </c>
      <c r="C63" s="6" t="s">
        <v>232</v>
      </c>
      <c r="D63" s="6">
        <v>1694.2399999999998</v>
      </c>
      <c r="E63" s="6">
        <v>262.5</v>
      </c>
      <c r="F63" s="12">
        <v>0</v>
      </c>
      <c r="G63" s="6">
        <f t="shared" si="10"/>
        <v>0</v>
      </c>
      <c r="H63" s="6">
        <f t="shared" si="8"/>
        <v>1956.7399999999998</v>
      </c>
      <c r="J63" s="6">
        <f>VLOOKUP(C63,'IP PITSS'!$B$10:$U$91,3,0)</f>
        <v>0</v>
      </c>
      <c r="K63" s="13">
        <v>9000</v>
      </c>
      <c r="L63" s="6">
        <f t="shared" si="6"/>
        <v>0</v>
      </c>
      <c r="M63" s="6">
        <f>VLOOKUP(C63,'IP PITSS'!$B$10:$I$91,8,0)</f>
        <v>0</v>
      </c>
      <c r="N63" s="6">
        <f t="shared" si="7"/>
        <v>0</v>
      </c>
      <c r="O63" s="6" t="s">
        <v>233</v>
      </c>
      <c r="P63" s="6">
        <f>VLOOKUP(C63,'RESUMEN PITS'!$C$3:$V$102,20,0)</f>
        <v>-1915.953641666667</v>
      </c>
      <c r="Q63" s="6">
        <f t="shared" si="9"/>
        <v>-221.71364166666717</v>
      </c>
    </row>
    <row r="64" spans="1:18" x14ac:dyDescent="0.2">
      <c r="A64" s="6" t="s">
        <v>234</v>
      </c>
      <c r="B64" s="6" t="s">
        <v>94</v>
      </c>
      <c r="C64" s="6" t="s">
        <v>235</v>
      </c>
      <c r="D64" s="6">
        <v>1047.6000000000004</v>
      </c>
      <c r="E64" s="19">
        <v>562.5</v>
      </c>
      <c r="F64" s="12">
        <v>0</v>
      </c>
      <c r="G64" s="6">
        <f t="shared" si="10"/>
        <v>0</v>
      </c>
      <c r="H64" s="6">
        <f t="shared" si="8"/>
        <v>1610.1000000000004</v>
      </c>
      <c r="J64" s="6">
        <f>VLOOKUP(C64,'IP PITSS'!$B$10:$U$91,3,0)</f>
        <v>0</v>
      </c>
      <c r="K64" s="13">
        <v>14000</v>
      </c>
      <c r="L64" s="6">
        <f t="shared" ref="L64:L78" si="11">(((+K64/30)*J64)*30%)</f>
        <v>0</v>
      </c>
      <c r="M64" s="6">
        <f>VLOOKUP(C64,'IP PITSS'!$B$10:$I$91,8,0)</f>
        <v>0</v>
      </c>
      <c r="N64" s="6">
        <f t="shared" ref="N64:N78" si="12">+L64-M64</f>
        <v>0</v>
      </c>
      <c r="O64" s="6" t="s">
        <v>236</v>
      </c>
      <c r="P64" s="6">
        <f>VLOOKUP(C64,'RESUMEN PITS'!$C$3:$V$102,20,0)</f>
        <v>-1915.953641666667</v>
      </c>
      <c r="Q64" s="6">
        <f t="shared" si="9"/>
        <v>-868.35364166666659</v>
      </c>
    </row>
    <row r="65" spans="1:17" x14ac:dyDescent="0.2">
      <c r="A65" s="6" t="s">
        <v>237</v>
      </c>
      <c r="B65" s="6" t="s">
        <v>94</v>
      </c>
      <c r="C65" s="6" t="s">
        <v>238</v>
      </c>
      <c r="D65" s="6">
        <v>3339.55</v>
      </c>
      <c r="E65" s="6">
        <v>262.5</v>
      </c>
      <c r="F65" s="12">
        <v>0</v>
      </c>
      <c r="G65" s="6">
        <f t="shared" si="10"/>
        <v>0</v>
      </c>
      <c r="H65" s="6">
        <f t="shared" si="8"/>
        <v>3602.05</v>
      </c>
      <c r="J65" s="6">
        <f>VLOOKUP(C65,'IP PITSS'!$B$10:$U$91,3,0)</f>
        <v>0</v>
      </c>
      <c r="K65" s="13">
        <v>15000</v>
      </c>
      <c r="L65" s="6">
        <f t="shared" si="11"/>
        <v>0</v>
      </c>
      <c r="M65" s="6">
        <f>VLOOKUP(C65,'IP PITSS'!$B$10:$I$91,8,0)</f>
        <v>0</v>
      </c>
      <c r="N65" s="6">
        <f t="shared" si="12"/>
        <v>0</v>
      </c>
      <c r="O65" s="6" t="s">
        <v>239</v>
      </c>
      <c r="P65" s="6">
        <f>VLOOKUP(C65,'RESUMEN PITS'!$C$3:$V$102,20,0)</f>
        <v>-1915.953641666667</v>
      </c>
      <c r="Q65" s="6">
        <f t="shared" si="9"/>
        <v>1423.5963583333332</v>
      </c>
    </row>
    <row r="66" spans="1:17" x14ac:dyDescent="0.2">
      <c r="A66" s="6" t="s">
        <v>240</v>
      </c>
      <c r="B66" s="6" t="s">
        <v>94</v>
      </c>
      <c r="C66" s="6" t="s">
        <v>241</v>
      </c>
      <c r="D66" s="6">
        <v>2552.4</v>
      </c>
      <c r="E66" s="6">
        <v>250</v>
      </c>
      <c r="F66" s="12">
        <v>0</v>
      </c>
      <c r="G66" s="6">
        <f t="shared" si="10"/>
        <v>0</v>
      </c>
      <c r="H66" s="6">
        <f t="shared" si="8"/>
        <v>2802.4</v>
      </c>
      <c r="J66" s="6">
        <f>VLOOKUP(C66,'IP PITSS'!$B$10:$U$91,3,0)</f>
        <v>0</v>
      </c>
      <c r="K66" s="13">
        <v>10000</v>
      </c>
      <c r="L66" s="6">
        <f t="shared" si="11"/>
        <v>0</v>
      </c>
      <c r="M66" s="6">
        <f>VLOOKUP(C66,'IP PITSS'!$B$10:$I$91,8,0)</f>
        <v>0</v>
      </c>
      <c r="N66" s="6">
        <f t="shared" si="12"/>
        <v>0</v>
      </c>
      <c r="O66" s="6" t="s">
        <v>242</v>
      </c>
      <c r="P66" s="6">
        <f>VLOOKUP(C66,'RESUMEN PITS'!$C$3:$V$102,20,0)</f>
        <v>-1915.953641666667</v>
      </c>
      <c r="Q66" s="6">
        <f t="shared" si="9"/>
        <v>636.44635833333314</v>
      </c>
    </row>
    <row r="67" spans="1:17" x14ac:dyDescent="0.2">
      <c r="A67" s="6" t="s">
        <v>243</v>
      </c>
      <c r="B67" s="6" t="s">
        <v>94</v>
      </c>
      <c r="C67" s="6" t="s">
        <v>244</v>
      </c>
      <c r="D67" s="6">
        <v>549.875</v>
      </c>
      <c r="E67" s="6">
        <v>375</v>
      </c>
      <c r="F67" s="12">
        <v>0</v>
      </c>
      <c r="G67" s="6">
        <f t="shared" si="10"/>
        <v>0</v>
      </c>
      <c r="H67" s="6">
        <f t="shared" ref="H67:H71" si="13">SUM(D67:G67)</f>
        <v>924.875</v>
      </c>
      <c r="J67" s="6">
        <f>VLOOKUP(C67,'IP PITSS'!$B$10:$U$91,3,0)</f>
        <v>0</v>
      </c>
      <c r="K67" s="13">
        <v>9550.01</v>
      </c>
      <c r="L67" s="6">
        <f t="shared" si="11"/>
        <v>0</v>
      </c>
      <c r="M67" s="6">
        <f>VLOOKUP(C67,'IP PITSS'!$B$10:$I$91,8,0)</f>
        <v>0</v>
      </c>
      <c r="N67" s="6">
        <f t="shared" si="12"/>
        <v>0</v>
      </c>
      <c r="O67" s="6" t="s">
        <v>245</v>
      </c>
      <c r="P67" s="6">
        <f>VLOOKUP(C67,'RESUMEN PITS'!$C$3:$V$102,20,0)</f>
        <v>-1915.953641666666</v>
      </c>
      <c r="Q67" s="6">
        <f t="shared" ref="Q67:Q98" si="14">+D67+P67</f>
        <v>-1366.078641666666</v>
      </c>
    </row>
    <row r="68" spans="1:17" x14ac:dyDescent="0.2">
      <c r="A68" s="6" t="s">
        <v>246</v>
      </c>
      <c r="B68" s="6" t="s">
        <v>94</v>
      </c>
      <c r="C68" s="6" t="s">
        <v>247</v>
      </c>
      <c r="D68" s="6">
        <v>4339.2300000000005</v>
      </c>
      <c r="E68" s="6">
        <v>281.25</v>
      </c>
      <c r="F68" s="12">
        <v>0</v>
      </c>
      <c r="G68" s="6">
        <f t="shared" si="10"/>
        <v>0</v>
      </c>
      <c r="H68" s="6">
        <f t="shared" si="13"/>
        <v>4620.4800000000005</v>
      </c>
      <c r="J68" s="6">
        <f>VLOOKUP(C68,'IP PITSS'!$B$10:$U$91,3,0)</f>
        <v>0</v>
      </c>
      <c r="K68" s="13">
        <v>17000</v>
      </c>
      <c r="L68" s="6">
        <f t="shared" si="11"/>
        <v>0</v>
      </c>
      <c r="M68" s="6">
        <f>VLOOKUP(C68,'IP PITSS'!$B$10:$I$91,8,0)</f>
        <v>0</v>
      </c>
      <c r="N68" s="6">
        <f t="shared" si="12"/>
        <v>0</v>
      </c>
      <c r="O68" s="6" t="s">
        <v>248</v>
      </c>
      <c r="P68" s="6">
        <f>VLOOKUP(C68,'RESUMEN PITS'!$C$3:$V$102,20,0)</f>
        <v>-1915.953641666667</v>
      </c>
      <c r="Q68" s="6">
        <f t="shared" si="14"/>
        <v>2423.2763583333335</v>
      </c>
    </row>
    <row r="69" spans="1:17" x14ac:dyDescent="0.2">
      <c r="A69" s="6" t="s">
        <v>249</v>
      </c>
      <c r="B69" s="6" t="s">
        <v>94</v>
      </c>
      <c r="C69" s="75" t="s">
        <v>424</v>
      </c>
      <c r="D69" s="6">
        <v>3553.4</v>
      </c>
      <c r="E69" s="6">
        <v>187.5</v>
      </c>
      <c r="F69" s="12">
        <v>0</v>
      </c>
      <c r="G69" s="6">
        <f t="shared" si="10"/>
        <v>0</v>
      </c>
      <c r="H69" s="6">
        <f t="shared" si="13"/>
        <v>3740.9</v>
      </c>
      <c r="J69" s="6">
        <f>VLOOKUP(C69,'IP PITSS'!$B$10:$U$91,3,0)</f>
        <v>0</v>
      </c>
      <c r="K69" s="13">
        <v>12000</v>
      </c>
      <c r="L69" s="6">
        <f t="shared" si="11"/>
        <v>0</v>
      </c>
      <c r="M69" s="6">
        <v>0</v>
      </c>
      <c r="N69" s="6">
        <f t="shared" si="12"/>
        <v>0</v>
      </c>
      <c r="O69" s="6" t="s">
        <v>250</v>
      </c>
      <c r="P69" s="6">
        <f>VLOOKUP(C69,'RESUMEN PITS'!$C$3:$V$102,20,0)</f>
        <v>-1915.953641666667</v>
      </c>
      <c r="Q69" s="6">
        <f t="shared" si="14"/>
        <v>1637.4463583333331</v>
      </c>
    </row>
    <row r="70" spans="1:17" x14ac:dyDescent="0.2">
      <c r="A70" s="6" t="s">
        <v>251</v>
      </c>
      <c r="B70" s="6" t="s">
        <v>94</v>
      </c>
      <c r="C70" s="6" t="s">
        <v>252</v>
      </c>
      <c r="D70" s="6">
        <v>52.570000000000164</v>
      </c>
      <c r="E70" s="6">
        <v>250</v>
      </c>
      <c r="F70" s="12">
        <v>0</v>
      </c>
      <c r="G70" s="6">
        <f t="shared" si="10"/>
        <v>0</v>
      </c>
      <c r="H70" s="6">
        <f t="shared" si="13"/>
        <v>302.57000000000016</v>
      </c>
      <c r="J70" s="6">
        <f>VLOOKUP(C70,'IP PITSS'!$B$10:$U$91,3,0)</f>
        <v>0</v>
      </c>
      <c r="K70" s="13">
        <v>5000</v>
      </c>
      <c r="L70" s="6">
        <f t="shared" si="11"/>
        <v>0</v>
      </c>
      <c r="M70" s="6">
        <f>VLOOKUP(C70,'IP PITSS'!$B$10:$I$91,8,0)</f>
        <v>0</v>
      </c>
      <c r="N70" s="6">
        <f t="shared" si="12"/>
        <v>0</v>
      </c>
      <c r="O70" s="6" t="s">
        <v>253</v>
      </c>
      <c r="P70" s="6">
        <f>VLOOKUP(C70,'RESUMEN PITS'!$C$3:$V$102,20,0)</f>
        <v>-1915.9536416666679</v>
      </c>
      <c r="Q70" s="6">
        <f t="shared" si="14"/>
        <v>-1863.3836416666677</v>
      </c>
    </row>
    <row r="71" spans="1:17" x14ac:dyDescent="0.2">
      <c r="A71" s="6" t="s">
        <v>254</v>
      </c>
      <c r="B71" s="6" t="s">
        <v>94</v>
      </c>
      <c r="C71" s="6" t="s">
        <v>255</v>
      </c>
      <c r="D71" s="6">
        <v>2262.4</v>
      </c>
      <c r="F71" s="12">
        <v>0</v>
      </c>
      <c r="G71" s="6">
        <f t="shared" si="10"/>
        <v>0</v>
      </c>
      <c r="H71" s="6">
        <f t="shared" si="13"/>
        <v>2262.4</v>
      </c>
      <c r="J71" s="6">
        <f>VLOOKUP(C71,'IP PITSS'!$B$10:$U$91,3,0)</f>
        <v>0</v>
      </c>
      <c r="K71" s="13">
        <v>9000</v>
      </c>
      <c r="L71" s="6">
        <f t="shared" si="11"/>
        <v>0</v>
      </c>
      <c r="M71" s="6">
        <f>VLOOKUP(C71,'IP PITSS'!$B$10:$I$91,8,0)</f>
        <v>0</v>
      </c>
      <c r="N71" s="6">
        <f t="shared" si="12"/>
        <v>0</v>
      </c>
      <c r="O71" s="6" t="s">
        <v>256</v>
      </c>
      <c r="P71" s="6">
        <f>VLOOKUP(C71,'RESUMEN PITS'!$C$3:$V$102,20,0)</f>
        <v>-1915.953641666667</v>
      </c>
      <c r="Q71" s="6">
        <f t="shared" si="14"/>
        <v>346.44635833333314</v>
      </c>
    </row>
    <row r="72" spans="1:17" x14ac:dyDescent="0.2">
      <c r="B72" s="6" t="s">
        <v>94</v>
      </c>
      <c r="C72" s="6" t="s">
        <v>257</v>
      </c>
      <c r="D72" s="6">
        <v>707</v>
      </c>
      <c r="E72" s="12">
        <v>500</v>
      </c>
      <c r="F72" s="12">
        <v>0</v>
      </c>
      <c r="G72" s="6">
        <f t="shared" si="10"/>
        <v>0</v>
      </c>
      <c r="H72" s="12">
        <f>+D72+E72+F72+G72</f>
        <v>1207</v>
      </c>
      <c r="J72" s="6">
        <f>VLOOKUP(C72,'IP PITSS'!$B$10:$U$91,3,0)</f>
        <v>0</v>
      </c>
      <c r="K72" s="21">
        <v>8800</v>
      </c>
      <c r="L72" s="6">
        <f t="shared" si="11"/>
        <v>0</v>
      </c>
      <c r="M72" s="6">
        <f>VLOOKUP(C72,'IP PITSS'!$B$10:$I$91,8,0)</f>
        <v>0</v>
      </c>
      <c r="N72" s="6">
        <f t="shared" si="12"/>
        <v>0</v>
      </c>
      <c r="O72" s="6" t="s">
        <v>258</v>
      </c>
      <c r="P72" s="6">
        <f>VLOOKUP(C72,'RESUMEN PITS'!$C$3:$V$102,20,0)</f>
        <v>-1915.953641666667</v>
      </c>
      <c r="Q72" s="6">
        <f t="shared" si="14"/>
        <v>-1208.953641666667</v>
      </c>
    </row>
    <row r="73" spans="1:17" x14ac:dyDescent="0.2">
      <c r="A73" s="6" t="s">
        <v>259</v>
      </c>
      <c r="B73" s="6" t="s">
        <v>94</v>
      </c>
      <c r="C73" s="6" t="s">
        <v>260</v>
      </c>
      <c r="D73" s="6">
        <v>2262.17</v>
      </c>
      <c r="E73" s="6">
        <v>400</v>
      </c>
      <c r="F73" s="12">
        <v>0</v>
      </c>
      <c r="G73" s="6">
        <f t="shared" si="10"/>
        <v>0</v>
      </c>
      <c r="H73" s="6">
        <f t="shared" ref="H73:H103" si="15">SUM(D73:G73)</f>
        <v>2662.17</v>
      </c>
      <c r="J73" s="6">
        <f>VLOOKUP(C73,'IP PITSS'!$B$10:$U$91,3,0)</f>
        <v>0</v>
      </c>
      <c r="K73" s="13">
        <v>9000</v>
      </c>
      <c r="L73" s="6">
        <f t="shared" si="11"/>
        <v>0</v>
      </c>
      <c r="M73" s="6">
        <f>VLOOKUP(C73,'IP PITSS'!$B$10:$I$91,8,0)</f>
        <v>0</v>
      </c>
      <c r="N73" s="6">
        <f t="shared" si="12"/>
        <v>0</v>
      </c>
      <c r="O73" s="6" t="s">
        <v>261</v>
      </c>
      <c r="P73" s="6">
        <f>VLOOKUP(C73,'RESUMEN PITS'!$C$3:$V$102,20,0)</f>
        <v>-1915.953641666667</v>
      </c>
      <c r="Q73" s="6">
        <f t="shared" si="14"/>
        <v>346.21635833333312</v>
      </c>
    </row>
    <row r="74" spans="1:17" x14ac:dyDescent="0.2">
      <c r="A74" s="6" t="s">
        <v>262</v>
      </c>
      <c r="B74" s="6" t="s">
        <v>94</v>
      </c>
      <c r="C74" s="15" t="s">
        <v>263</v>
      </c>
      <c r="D74" s="6">
        <v>414.80000000000018</v>
      </c>
      <c r="E74" s="6">
        <v>175</v>
      </c>
      <c r="F74" s="12">
        <v>0</v>
      </c>
      <c r="G74" s="6">
        <v>0</v>
      </c>
      <c r="H74" s="6">
        <f t="shared" si="15"/>
        <v>589.80000000000018</v>
      </c>
      <c r="J74" s="6">
        <f>VLOOKUP(C74,'IP PITSS'!$B$10:$U$91,3,0)</f>
        <v>0</v>
      </c>
      <c r="K74" s="13">
        <v>8000</v>
      </c>
      <c r="L74" s="6">
        <f t="shared" si="11"/>
        <v>0</v>
      </c>
      <c r="M74" s="6">
        <f>VLOOKUP(C74,'IP PITSS'!$B$10:$I$91,8,0)</f>
        <v>0</v>
      </c>
      <c r="N74" s="6">
        <f t="shared" si="12"/>
        <v>0</v>
      </c>
      <c r="O74" s="6" t="s">
        <v>264</v>
      </c>
      <c r="P74" s="6">
        <f>VLOOKUP(C74,'RESUMEN PITS'!$C$3:$V$102,20,0)</f>
        <v>-1915.953641666667</v>
      </c>
      <c r="Q74" s="6">
        <f t="shared" si="14"/>
        <v>-1501.1536416666668</v>
      </c>
    </row>
    <row r="75" spans="1:17" x14ac:dyDescent="0.2">
      <c r="A75" s="6" t="s">
        <v>266</v>
      </c>
      <c r="B75" s="6" t="s">
        <v>94</v>
      </c>
      <c r="C75" s="6" t="s">
        <v>267</v>
      </c>
      <c r="D75" s="6">
        <v>175.59999999999991</v>
      </c>
      <c r="E75" s="6">
        <v>843.75</v>
      </c>
      <c r="F75" s="12">
        <v>0</v>
      </c>
      <c r="G75" s="6">
        <f t="shared" ref="G75:G99" si="16">+N75</f>
        <v>0</v>
      </c>
      <c r="H75" s="6">
        <f t="shared" si="15"/>
        <v>1019.3499999999999</v>
      </c>
      <c r="J75" s="6">
        <f>VLOOKUP(C75,'IP PITSS'!$B$10:$U$91,3,0)</f>
        <v>0</v>
      </c>
      <c r="K75" s="13">
        <v>6300</v>
      </c>
      <c r="L75" s="6">
        <f t="shared" si="11"/>
        <v>0</v>
      </c>
      <c r="M75" s="6">
        <f>VLOOKUP(C75,'IP PITSS'!$B$10:$I$91,8,0)</f>
        <v>0</v>
      </c>
      <c r="N75" s="6">
        <f t="shared" si="12"/>
        <v>0</v>
      </c>
      <c r="O75" s="6" t="s">
        <v>268</v>
      </c>
      <c r="P75" s="6">
        <f>VLOOKUP(C75,'RESUMEN PITS'!$C$3:$V$102,20,0)</f>
        <v>-1353.4926416666667</v>
      </c>
      <c r="Q75" s="6">
        <f t="shared" si="14"/>
        <v>-1177.8926416666668</v>
      </c>
    </row>
    <row r="76" spans="1:17" x14ac:dyDescent="0.2">
      <c r="A76" s="6" t="s">
        <v>269</v>
      </c>
      <c r="B76" s="6" t="s">
        <v>94</v>
      </c>
      <c r="C76" s="6" t="s">
        <v>270</v>
      </c>
      <c r="D76" s="6">
        <v>416.40000000000009</v>
      </c>
      <c r="E76" s="6">
        <v>687.5</v>
      </c>
      <c r="F76" s="12">
        <v>0</v>
      </c>
      <c r="G76" s="6">
        <f t="shared" si="16"/>
        <v>0</v>
      </c>
      <c r="H76" s="6">
        <f t="shared" si="15"/>
        <v>1103.9000000000001</v>
      </c>
      <c r="J76" s="6">
        <f>VLOOKUP(C76,'IP PITSS'!$B$10:$U$91,3,0)</f>
        <v>0</v>
      </c>
      <c r="K76" s="13">
        <v>8000</v>
      </c>
      <c r="L76" s="6">
        <f t="shared" si="11"/>
        <v>0</v>
      </c>
      <c r="M76" s="6">
        <f>VLOOKUP(C76,'IP PITSS'!$B$10:$I$91,8,0)</f>
        <v>0</v>
      </c>
      <c r="N76" s="6">
        <f t="shared" si="12"/>
        <v>0</v>
      </c>
      <c r="O76" s="6" t="s">
        <v>271</v>
      </c>
      <c r="P76" s="6">
        <f>VLOOKUP(C76,'RESUMEN PITS'!$C$3:$V$102,20,0)</f>
        <v>-1344.8726416666659</v>
      </c>
      <c r="Q76" s="6">
        <f t="shared" si="14"/>
        <v>-928.47264166666582</v>
      </c>
    </row>
    <row r="77" spans="1:17" x14ac:dyDescent="0.2">
      <c r="A77" s="6" t="s">
        <v>273</v>
      </c>
      <c r="B77" s="6" t="s">
        <v>94</v>
      </c>
      <c r="C77" s="6" t="s">
        <v>274</v>
      </c>
      <c r="D77" s="6">
        <v>414.75999999999976</v>
      </c>
      <c r="E77" s="6">
        <v>250</v>
      </c>
      <c r="F77" s="12">
        <v>0</v>
      </c>
      <c r="G77" s="6">
        <f t="shared" si="16"/>
        <v>0</v>
      </c>
      <c r="H77" s="6">
        <f t="shared" si="15"/>
        <v>664.75999999999976</v>
      </c>
      <c r="J77" s="6">
        <f>VLOOKUP(C77,'IP PITSS'!$B$10:$U$91,3,0)</f>
        <v>0</v>
      </c>
      <c r="K77" s="13">
        <v>8000</v>
      </c>
      <c r="L77" s="6">
        <f t="shared" si="11"/>
        <v>0</v>
      </c>
      <c r="M77" s="6">
        <f>VLOOKUP(C77,'IP PITSS'!$B$10:$I$91,8,0)</f>
        <v>0</v>
      </c>
      <c r="N77" s="6">
        <f t="shared" si="12"/>
        <v>0</v>
      </c>
      <c r="O77" s="6" t="s">
        <v>275</v>
      </c>
      <c r="P77" s="6">
        <f>VLOOKUP(C77,'RESUMEN PITS'!$C$3:$V$102,20,0)</f>
        <v>-1344.8726416666659</v>
      </c>
      <c r="Q77" s="6">
        <f t="shared" si="14"/>
        <v>-930.11264166666615</v>
      </c>
    </row>
    <row r="78" spans="1:17" x14ac:dyDescent="0.2">
      <c r="A78" s="6" t="s">
        <v>276</v>
      </c>
      <c r="B78" s="6" t="s">
        <v>94</v>
      </c>
      <c r="C78" s="6" t="s">
        <v>277</v>
      </c>
      <c r="D78" s="6">
        <v>593.60000000000036</v>
      </c>
      <c r="E78" s="6">
        <v>150</v>
      </c>
      <c r="F78" s="12">
        <v>0</v>
      </c>
      <c r="G78" s="6">
        <f t="shared" si="16"/>
        <v>0</v>
      </c>
      <c r="H78" s="6">
        <f t="shared" si="15"/>
        <v>743.60000000000036</v>
      </c>
      <c r="J78" s="6">
        <f>VLOOKUP(C78,'IP PITSS'!$B$10:$U$91,3,0)</f>
        <v>0</v>
      </c>
      <c r="K78" s="13">
        <v>10000</v>
      </c>
      <c r="L78" s="6">
        <f t="shared" si="11"/>
        <v>0</v>
      </c>
      <c r="M78" s="6">
        <f>VLOOKUP(C78,'IP PITSS'!$B$10:$I$91,8,0)</f>
        <v>0</v>
      </c>
      <c r="N78" s="6">
        <f t="shared" si="12"/>
        <v>0</v>
      </c>
      <c r="O78" s="6" t="s">
        <v>278</v>
      </c>
      <c r="P78" s="6">
        <f>VLOOKUP(C78,'RESUMEN PITS'!$C$3:$V$102,20,0)</f>
        <v>-1344.8726416666659</v>
      </c>
      <c r="Q78" s="6">
        <f t="shared" si="14"/>
        <v>-751.27264166666555</v>
      </c>
    </row>
    <row r="79" spans="1:17" s="149" customFormat="1" x14ac:dyDescent="0.2">
      <c r="B79" s="149" t="s">
        <v>94</v>
      </c>
      <c r="C79" s="149" t="s">
        <v>279</v>
      </c>
      <c r="D79" s="149">
        <v>207.63000000000011</v>
      </c>
      <c r="E79" s="149">
        <v>3503.7</v>
      </c>
      <c r="F79" s="149">
        <v>0</v>
      </c>
      <c r="G79" s="149">
        <f t="shared" si="16"/>
        <v>0</v>
      </c>
      <c r="H79" s="149">
        <f t="shared" si="15"/>
        <v>3711.33</v>
      </c>
      <c r="I79" s="150"/>
      <c r="J79" s="149">
        <f>VLOOKUP(C79,'IP PITSS'!$B$10:$U$91,3,0)</f>
        <v>0</v>
      </c>
      <c r="K79" s="151">
        <v>5000</v>
      </c>
      <c r="M79" s="149">
        <f>VLOOKUP(C79,'IP PITSS'!$B$10:$I$91,8,0)</f>
        <v>0</v>
      </c>
      <c r="O79" s="149" t="s">
        <v>280</v>
      </c>
      <c r="P79" s="149">
        <f>VLOOKUP(C79,'RESUMEN PITS'!$C$3:$V$102,20,0)</f>
        <v>-1344.8726416666668</v>
      </c>
      <c r="Q79" s="149">
        <f t="shared" si="14"/>
        <v>-1137.2426416666667</v>
      </c>
    </row>
    <row r="80" spans="1:17" x14ac:dyDescent="0.2">
      <c r="A80" s="6" t="s">
        <v>282</v>
      </c>
      <c r="B80" s="6" t="s">
        <v>94</v>
      </c>
      <c r="C80" s="6" t="s">
        <v>283</v>
      </c>
      <c r="D80" s="6">
        <v>175.59999999999991</v>
      </c>
      <c r="E80" s="12">
        <v>900</v>
      </c>
      <c r="F80" s="12">
        <v>0</v>
      </c>
      <c r="G80" s="6">
        <f t="shared" si="16"/>
        <v>0</v>
      </c>
      <c r="H80" s="6">
        <f t="shared" si="15"/>
        <v>1075.5999999999999</v>
      </c>
      <c r="J80" s="6">
        <f>VLOOKUP(C80,'IP PITSS'!$B$10:$U$91,3,0)</f>
        <v>0</v>
      </c>
      <c r="K80" s="13">
        <v>6300</v>
      </c>
      <c r="L80" s="6">
        <f t="shared" ref="L80:L99" si="17">(((+K80/30)*J80)*30%)</f>
        <v>0</v>
      </c>
      <c r="M80" s="6">
        <f>VLOOKUP(C80,'IP PITSS'!$B$10:$I$91,8,0)</f>
        <v>0</v>
      </c>
      <c r="N80" s="6">
        <f t="shared" ref="N80:N99" si="18">+L80-M80</f>
        <v>0</v>
      </c>
      <c r="O80" s="6" t="s">
        <v>284</v>
      </c>
      <c r="P80" s="6">
        <f>VLOOKUP(C80,'RESUMEN PITS'!$C$3:$V$102,20,0)</f>
        <v>-1344.8726416666659</v>
      </c>
      <c r="Q80" s="6">
        <f t="shared" si="14"/>
        <v>-1169.272641666666</v>
      </c>
    </row>
    <row r="81" spans="1:17" x14ac:dyDescent="0.2">
      <c r="A81" s="6" t="s">
        <v>285</v>
      </c>
      <c r="B81" s="6" t="s">
        <v>94</v>
      </c>
      <c r="C81" s="6" t="s">
        <v>286</v>
      </c>
      <c r="D81" s="6">
        <v>416.39999999999964</v>
      </c>
      <c r="E81" s="6">
        <v>210</v>
      </c>
      <c r="F81" s="12">
        <v>0</v>
      </c>
      <c r="G81" s="6">
        <f t="shared" si="16"/>
        <v>0</v>
      </c>
      <c r="H81" s="6">
        <f t="shared" si="15"/>
        <v>626.39999999999964</v>
      </c>
      <c r="J81" s="6">
        <f>VLOOKUP(C81,'IP PITSS'!$B$10:$U$91,3,0)</f>
        <v>0</v>
      </c>
      <c r="K81" s="13">
        <v>8000</v>
      </c>
      <c r="L81" s="6">
        <f t="shared" si="17"/>
        <v>0</v>
      </c>
      <c r="M81" s="6">
        <f>VLOOKUP(C81,'IP PITSS'!$B$10:$I$91,8,0)</f>
        <v>0</v>
      </c>
      <c r="N81" s="6">
        <f t="shared" si="18"/>
        <v>0</v>
      </c>
      <c r="O81" s="6" t="s">
        <v>287</v>
      </c>
      <c r="P81" s="6">
        <f>VLOOKUP(C81,'RESUMEN PITS'!$C$3:$V$102,20,0)</f>
        <v>-1344.8726416666659</v>
      </c>
      <c r="Q81" s="6">
        <f t="shared" si="14"/>
        <v>-928.47264166666628</v>
      </c>
    </row>
    <row r="82" spans="1:17" x14ac:dyDescent="0.2">
      <c r="A82" s="6" t="s">
        <v>288</v>
      </c>
      <c r="B82" s="6" t="s">
        <v>94</v>
      </c>
      <c r="C82" s="12" t="s">
        <v>289</v>
      </c>
      <c r="D82" s="6">
        <v>52.400000000000091</v>
      </c>
      <c r="E82" s="12">
        <v>140</v>
      </c>
      <c r="F82" s="12">
        <v>0</v>
      </c>
      <c r="G82" s="6">
        <f t="shared" si="16"/>
        <v>0</v>
      </c>
      <c r="H82" s="6">
        <f t="shared" si="15"/>
        <v>192.40000000000009</v>
      </c>
      <c r="J82" s="6">
        <f>VLOOKUP(C82,'IP PITSS'!$B$10:$U$91,3,0)</f>
        <v>0</v>
      </c>
      <c r="K82" s="13">
        <v>5000</v>
      </c>
      <c r="L82" s="6">
        <f t="shared" si="17"/>
        <v>0</v>
      </c>
      <c r="M82" s="6">
        <f>VLOOKUP(C82,'IP PITSS'!$B$10:$I$91,8,0)</f>
        <v>0</v>
      </c>
      <c r="N82" s="6">
        <f t="shared" si="18"/>
        <v>0</v>
      </c>
      <c r="O82" s="6" t="s">
        <v>290</v>
      </c>
      <c r="P82" s="6">
        <f>VLOOKUP(C82,'RESUMEN PITS'!$C$3:$V$102,20,0)</f>
        <v>-1344.8726416666659</v>
      </c>
      <c r="Q82" s="6">
        <f t="shared" si="14"/>
        <v>-1292.4726416666658</v>
      </c>
    </row>
    <row r="83" spans="1:17" x14ac:dyDescent="0.2">
      <c r="A83" s="6" t="s">
        <v>292</v>
      </c>
      <c r="B83" s="6" t="s">
        <v>94</v>
      </c>
      <c r="C83" s="6" t="s">
        <v>293</v>
      </c>
      <c r="D83" s="6">
        <v>2194.2600000000002</v>
      </c>
      <c r="E83" s="6">
        <v>110</v>
      </c>
      <c r="F83" s="12">
        <v>0</v>
      </c>
      <c r="G83" s="6">
        <f t="shared" si="16"/>
        <v>0</v>
      </c>
      <c r="H83" s="6">
        <f t="shared" si="15"/>
        <v>2304.2600000000002</v>
      </c>
      <c r="J83" s="6">
        <f>VLOOKUP(C83,'IP PITSS'!$B$10:$U$91,3,0)</f>
        <v>0</v>
      </c>
      <c r="K83" s="13">
        <v>10000</v>
      </c>
      <c r="L83" s="6">
        <f t="shared" si="17"/>
        <v>0</v>
      </c>
      <c r="M83" s="6">
        <f>VLOOKUP(C83,'IP PITSS'!$B$10:$I$91,8,0)</f>
        <v>0</v>
      </c>
      <c r="N83" s="6">
        <f t="shared" si="18"/>
        <v>0</v>
      </c>
      <c r="O83" s="6" t="s">
        <v>294</v>
      </c>
      <c r="P83" s="6">
        <f>VLOOKUP(C83,'RESUMEN PITS'!$C$3:$V$102,20,0)</f>
        <v>-1344.8726416666659</v>
      </c>
      <c r="Q83" s="6">
        <f t="shared" si="14"/>
        <v>849.3873583333343</v>
      </c>
    </row>
    <row r="84" spans="1:17" x14ac:dyDescent="0.2">
      <c r="A84" s="6" t="s">
        <v>295</v>
      </c>
      <c r="B84" s="6" t="s">
        <v>94</v>
      </c>
      <c r="C84" s="6" t="s">
        <v>296</v>
      </c>
      <c r="D84" s="6">
        <v>416.39999999999964</v>
      </c>
      <c r="E84" s="6">
        <v>315</v>
      </c>
      <c r="F84" s="12">
        <v>0</v>
      </c>
      <c r="G84" s="6">
        <f t="shared" si="16"/>
        <v>0</v>
      </c>
      <c r="H84" s="6">
        <f t="shared" si="15"/>
        <v>731.39999999999964</v>
      </c>
      <c r="J84" s="6">
        <f>VLOOKUP(C84,'IP PITSS'!$B$10:$U$91,3,0)</f>
        <v>3</v>
      </c>
      <c r="K84" s="13">
        <v>8000</v>
      </c>
      <c r="L84" s="6">
        <f t="shared" si="17"/>
        <v>240</v>
      </c>
      <c r="M84" s="6">
        <f>VLOOKUP(C84,'IP PITSS'!$B$10:$I$91,8,0)</f>
        <v>240</v>
      </c>
      <c r="N84" s="6">
        <f t="shared" si="18"/>
        <v>0</v>
      </c>
      <c r="O84" s="6" t="s">
        <v>297</v>
      </c>
      <c r="P84" s="6">
        <f>VLOOKUP(C84,'RESUMEN PITS'!$C$3:$V$102,20,0)</f>
        <v>-1344.8726416666659</v>
      </c>
      <c r="Q84" s="6">
        <f t="shared" si="14"/>
        <v>-928.47264166666628</v>
      </c>
    </row>
    <row r="85" spans="1:17" x14ac:dyDescent="0.2">
      <c r="A85" s="6" t="s">
        <v>298</v>
      </c>
      <c r="B85" s="6" t="s">
        <v>94</v>
      </c>
      <c r="C85" s="6" t="s">
        <v>299</v>
      </c>
      <c r="D85" s="6">
        <v>222.59999999999991</v>
      </c>
      <c r="E85" s="12">
        <v>131.25</v>
      </c>
      <c r="F85" s="12">
        <v>0</v>
      </c>
      <c r="G85" s="6">
        <f t="shared" si="16"/>
        <v>0</v>
      </c>
      <c r="H85" s="6">
        <f t="shared" si="15"/>
        <v>353.84999999999991</v>
      </c>
      <c r="J85" s="6">
        <f>VLOOKUP(C85,'IP PITSS'!$B$10:$U$91,3,0)</f>
        <v>0</v>
      </c>
      <c r="K85" s="13">
        <v>7000</v>
      </c>
      <c r="L85" s="6">
        <f t="shared" si="17"/>
        <v>0</v>
      </c>
      <c r="M85" s="6">
        <f>VLOOKUP(C85,'IP PITSS'!$B$10:$I$91,8,0)</f>
        <v>0</v>
      </c>
      <c r="N85" s="6">
        <f t="shared" si="18"/>
        <v>0</v>
      </c>
      <c r="O85" s="6" t="s">
        <v>300</v>
      </c>
      <c r="P85" s="6">
        <f>VLOOKUP(C85,'RESUMEN PITS'!$C$3:$V$102,20,0)</f>
        <v>-1344.8726416666659</v>
      </c>
      <c r="Q85" s="6">
        <f t="shared" si="14"/>
        <v>-1122.272641666666</v>
      </c>
    </row>
    <row r="86" spans="1:17" x14ac:dyDescent="0.2">
      <c r="A86" s="6" t="s">
        <v>302</v>
      </c>
      <c r="B86" s="6" t="s">
        <v>94</v>
      </c>
      <c r="C86" s="6" t="s">
        <v>303</v>
      </c>
      <c r="D86" s="6">
        <v>221.19999999999982</v>
      </c>
      <c r="E86" s="12"/>
      <c r="F86" s="12">
        <v>0</v>
      </c>
      <c r="G86" s="6">
        <f t="shared" si="16"/>
        <v>0</v>
      </c>
      <c r="H86" s="6">
        <f t="shared" si="15"/>
        <v>221.19999999999982</v>
      </c>
      <c r="J86" s="6">
        <f>VLOOKUP(C86,'IP PITSS'!$B$10:$U$91,3,0)</f>
        <v>0</v>
      </c>
      <c r="K86" s="13">
        <v>7000</v>
      </c>
      <c r="L86" s="6">
        <f t="shared" si="17"/>
        <v>0</v>
      </c>
      <c r="M86" s="6">
        <f>VLOOKUP(C86,'IP PITSS'!$B$10:$I$91,8,0)</f>
        <v>0</v>
      </c>
      <c r="N86" s="6">
        <f t="shared" si="18"/>
        <v>0</v>
      </c>
      <c r="O86" s="6" t="s">
        <v>304</v>
      </c>
      <c r="P86" s="6">
        <f>VLOOKUP(C86,'RESUMEN PITS'!$C$3:$V$102,20,0)</f>
        <v>-1344.8726416666659</v>
      </c>
      <c r="Q86" s="6">
        <f t="shared" si="14"/>
        <v>-1123.6726416666661</v>
      </c>
    </row>
    <row r="87" spans="1:17" x14ac:dyDescent="0.2">
      <c r="A87" s="6" t="s">
        <v>305</v>
      </c>
      <c r="B87" s="6" t="s">
        <v>94</v>
      </c>
      <c r="C87" s="6" t="s">
        <v>306</v>
      </c>
      <c r="D87" s="6">
        <v>416.19999999999982</v>
      </c>
      <c r="E87" s="6">
        <v>180</v>
      </c>
      <c r="F87" s="12">
        <v>0</v>
      </c>
      <c r="G87" s="6">
        <f t="shared" si="16"/>
        <v>0</v>
      </c>
      <c r="H87" s="6">
        <f t="shared" si="15"/>
        <v>596.19999999999982</v>
      </c>
      <c r="J87" s="6">
        <f>VLOOKUP(C87,'IP PITSS'!$B$10:$U$91,3,0)</f>
        <v>0</v>
      </c>
      <c r="K87" s="13">
        <v>8000</v>
      </c>
      <c r="L87" s="6">
        <f t="shared" si="17"/>
        <v>0</v>
      </c>
      <c r="M87" s="6">
        <f>VLOOKUP(C87,'IP PITSS'!$B$10:$I$91,8,0)</f>
        <v>0</v>
      </c>
      <c r="N87" s="6">
        <f t="shared" si="18"/>
        <v>0</v>
      </c>
      <c r="O87" s="6" t="s">
        <v>307</v>
      </c>
      <c r="P87" s="6">
        <f>VLOOKUP(C87,'RESUMEN PITS'!$C$3:$V$102,20,0)</f>
        <v>-1344.8726416666659</v>
      </c>
      <c r="Q87" s="6">
        <f t="shared" si="14"/>
        <v>-928.6726416666661</v>
      </c>
    </row>
    <row r="88" spans="1:17" x14ac:dyDescent="0.2">
      <c r="A88" s="6" t="s">
        <v>308</v>
      </c>
      <c r="B88" s="6" t="s">
        <v>94</v>
      </c>
      <c r="C88" s="6" t="s">
        <v>309</v>
      </c>
      <c r="D88" s="6">
        <v>414.60000000000036</v>
      </c>
      <c r="E88" s="6">
        <v>510</v>
      </c>
      <c r="F88" s="12">
        <v>0</v>
      </c>
      <c r="G88" s="6">
        <f t="shared" si="16"/>
        <v>0</v>
      </c>
      <c r="H88" s="6">
        <f t="shared" si="15"/>
        <v>924.60000000000036</v>
      </c>
      <c r="J88" s="6">
        <f>VLOOKUP(C88,'IP PITSS'!$B$10:$U$91,3,0)</f>
        <v>0</v>
      </c>
      <c r="K88" s="13">
        <v>8000</v>
      </c>
      <c r="L88" s="6">
        <f t="shared" si="17"/>
        <v>0</v>
      </c>
      <c r="M88" s="6">
        <f>VLOOKUP(C88,'IP PITSS'!$B$10:$I$91,8,0)</f>
        <v>0</v>
      </c>
      <c r="N88" s="6">
        <f t="shared" si="18"/>
        <v>0</v>
      </c>
      <c r="O88" s="6" t="s">
        <v>310</v>
      </c>
      <c r="P88" s="6">
        <f>VLOOKUP(C88,'RESUMEN PITS'!$C$3:$V$102,20,0)</f>
        <v>-1344.8726416666659</v>
      </c>
      <c r="Q88" s="6">
        <f t="shared" si="14"/>
        <v>-930.27264166666555</v>
      </c>
    </row>
    <row r="89" spans="1:17" x14ac:dyDescent="0.2">
      <c r="A89" s="6" t="s">
        <v>311</v>
      </c>
      <c r="B89" s="6" t="s">
        <v>94</v>
      </c>
      <c r="C89" s="6" t="s">
        <v>312</v>
      </c>
      <c r="D89" s="6">
        <v>1704.5900000000001</v>
      </c>
      <c r="E89" s="6">
        <v>437.5</v>
      </c>
      <c r="F89" s="12">
        <v>0</v>
      </c>
      <c r="G89" s="6">
        <f t="shared" si="16"/>
        <v>0</v>
      </c>
      <c r="H89" s="6">
        <f t="shared" si="15"/>
        <v>2142.09</v>
      </c>
      <c r="J89" s="6">
        <f>VLOOKUP(C89,'IP PITSS'!$B$10:$U$91,3,0)</f>
        <v>0</v>
      </c>
      <c r="K89" s="13">
        <v>7000</v>
      </c>
      <c r="L89" s="6">
        <f t="shared" si="17"/>
        <v>0</v>
      </c>
      <c r="M89" s="6">
        <f>VLOOKUP(C89,'IP PITSS'!$B$10:$I$91,8,0)</f>
        <v>0</v>
      </c>
      <c r="N89" s="6">
        <f t="shared" si="18"/>
        <v>0</v>
      </c>
      <c r="O89" s="6" t="s">
        <v>313</v>
      </c>
      <c r="P89" s="6">
        <f>VLOOKUP(C89,'RESUMEN PITS'!$C$3:$V$102,20,0)</f>
        <v>-1344.8726416666659</v>
      </c>
      <c r="Q89" s="6">
        <f t="shared" si="14"/>
        <v>359.71735833333423</v>
      </c>
    </row>
    <row r="90" spans="1:17" x14ac:dyDescent="0.2">
      <c r="A90" s="6" t="s">
        <v>315</v>
      </c>
      <c r="B90" s="6" t="s">
        <v>94</v>
      </c>
      <c r="C90" s="6" t="s">
        <v>316</v>
      </c>
      <c r="D90" s="6">
        <v>1667.2399999999998</v>
      </c>
      <c r="E90" s="6">
        <v>285</v>
      </c>
      <c r="F90" s="12">
        <v>0</v>
      </c>
      <c r="G90" s="6">
        <f t="shared" si="16"/>
        <v>85.039999999999992</v>
      </c>
      <c r="H90" s="6">
        <f t="shared" si="15"/>
        <v>2037.2799999999997</v>
      </c>
      <c r="J90" s="6">
        <f>VLOOKUP(C90,'IP PITSS'!$B$10:$U$91,3,0)</f>
        <v>3</v>
      </c>
      <c r="K90" s="13">
        <v>10000</v>
      </c>
      <c r="L90" s="6">
        <f t="shared" si="17"/>
        <v>300</v>
      </c>
      <c r="M90" s="6">
        <f>VLOOKUP(C90,'IP PITSS'!$B$10:$I$91,8,0)</f>
        <v>214.96</v>
      </c>
      <c r="N90" s="6">
        <f t="shared" si="18"/>
        <v>85.039999999999992</v>
      </c>
      <c r="O90" s="6" t="s">
        <v>317</v>
      </c>
      <c r="P90" s="6">
        <f>VLOOKUP(C90,'RESUMEN PITS'!$C$3:$V$102,20,0)</f>
        <v>-1344.8726416666659</v>
      </c>
      <c r="Q90" s="6">
        <f t="shared" si="14"/>
        <v>322.36735833333387</v>
      </c>
    </row>
    <row r="91" spans="1:17" x14ac:dyDescent="0.2">
      <c r="A91" s="6" t="s">
        <v>318</v>
      </c>
      <c r="B91" s="6" t="s">
        <v>94</v>
      </c>
      <c r="C91" s="6" t="s">
        <v>319</v>
      </c>
      <c r="D91" s="6">
        <v>1917.4</v>
      </c>
      <c r="E91" s="6">
        <v>1406.25</v>
      </c>
      <c r="F91" s="12">
        <v>0</v>
      </c>
      <c r="G91" s="6">
        <f t="shared" si="16"/>
        <v>0</v>
      </c>
      <c r="H91" s="6">
        <f t="shared" si="15"/>
        <v>3323.65</v>
      </c>
      <c r="J91" s="6">
        <f>VLOOKUP(C91,'IP PITSS'!$B$10:$U$91,3,0)</f>
        <v>0</v>
      </c>
      <c r="K91" s="13">
        <v>10500</v>
      </c>
      <c r="L91" s="6">
        <f t="shared" si="17"/>
        <v>0</v>
      </c>
      <c r="M91" s="6">
        <f>VLOOKUP(C91,'IP PITSS'!$B$10:$I$91,8,0)</f>
        <v>0</v>
      </c>
      <c r="N91" s="6">
        <f t="shared" si="18"/>
        <v>0</v>
      </c>
      <c r="O91" s="6" t="s">
        <v>320</v>
      </c>
      <c r="P91" s="6">
        <f>VLOOKUP(C91,'RESUMEN PITS'!$C$3:$V$102,20,0)</f>
        <v>-1344.8726416666659</v>
      </c>
      <c r="Q91" s="6">
        <f t="shared" si="14"/>
        <v>572.52735833333418</v>
      </c>
    </row>
    <row r="92" spans="1:17" x14ac:dyDescent="0.2">
      <c r="A92" s="6" t="s">
        <v>36</v>
      </c>
      <c r="B92" s="6" t="s">
        <v>94</v>
      </c>
      <c r="C92" s="6" t="s">
        <v>321</v>
      </c>
      <c r="D92" s="6">
        <v>414.60000000000036</v>
      </c>
      <c r="E92" s="6">
        <v>175</v>
      </c>
      <c r="F92" s="12">
        <v>0</v>
      </c>
      <c r="G92" s="6">
        <f t="shared" si="16"/>
        <v>0</v>
      </c>
      <c r="H92" s="6">
        <f t="shared" si="15"/>
        <v>589.60000000000036</v>
      </c>
      <c r="J92" s="6">
        <f>VLOOKUP(C92,'IP PITSS'!$B$10:$U$91,3,0)</f>
        <v>0</v>
      </c>
      <c r="K92" s="13">
        <v>8000</v>
      </c>
      <c r="L92" s="6">
        <f t="shared" si="17"/>
        <v>0</v>
      </c>
      <c r="M92" s="6">
        <f>VLOOKUP(C92,'IP PITSS'!$B$10:$I$91,8,0)</f>
        <v>0</v>
      </c>
      <c r="N92" s="6">
        <f t="shared" si="18"/>
        <v>0</v>
      </c>
      <c r="O92" s="6" t="s">
        <v>322</v>
      </c>
      <c r="P92" s="6">
        <f>VLOOKUP(C92,'RESUMEN PITS'!$C$3:$V$102,20,0)</f>
        <v>-1344.8726416666659</v>
      </c>
      <c r="Q92" s="6">
        <f t="shared" si="14"/>
        <v>-930.27264166666555</v>
      </c>
    </row>
    <row r="93" spans="1:17" x14ac:dyDescent="0.2">
      <c r="A93" s="6" t="s">
        <v>323</v>
      </c>
      <c r="B93" s="6" t="s">
        <v>94</v>
      </c>
      <c r="C93" s="6" t="s">
        <v>324</v>
      </c>
      <c r="D93" s="6">
        <v>416.40000000000009</v>
      </c>
      <c r="E93" s="6">
        <v>360</v>
      </c>
      <c r="F93" s="12">
        <v>0</v>
      </c>
      <c r="G93" s="6">
        <f t="shared" si="16"/>
        <v>0</v>
      </c>
      <c r="H93" s="6">
        <f t="shared" si="15"/>
        <v>776.40000000000009</v>
      </c>
      <c r="J93" s="6">
        <f>VLOOKUP(C93,'IP PITSS'!$B$10:$U$91,3,0)</f>
        <v>0</v>
      </c>
      <c r="K93" s="13">
        <v>8000</v>
      </c>
      <c r="L93" s="6">
        <f t="shared" si="17"/>
        <v>0</v>
      </c>
      <c r="M93" s="6">
        <f>VLOOKUP(C93,'IP PITSS'!$B$10:$I$91,8,0)</f>
        <v>0</v>
      </c>
      <c r="N93" s="6">
        <f t="shared" si="18"/>
        <v>0</v>
      </c>
      <c r="O93" s="6" t="s">
        <v>325</v>
      </c>
      <c r="P93" s="6">
        <f>VLOOKUP(C93,'RESUMEN PITS'!$C$3:$V$102,20,0)</f>
        <v>-1344.8726416666659</v>
      </c>
      <c r="Q93" s="6">
        <f t="shared" si="14"/>
        <v>-928.47264166666582</v>
      </c>
    </row>
    <row r="94" spans="1:17" x14ac:dyDescent="0.2">
      <c r="A94" s="6" t="s">
        <v>326</v>
      </c>
      <c r="B94" s="6" t="s">
        <v>94</v>
      </c>
      <c r="C94" s="6" t="s">
        <v>327</v>
      </c>
      <c r="D94" s="6">
        <v>2667.34</v>
      </c>
      <c r="F94" s="12">
        <v>0</v>
      </c>
      <c r="G94" s="6">
        <f t="shared" si="16"/>
        <v>0</v>
      </c>
      <c r="H94" s="6">
        <f t="shared" si="15"/>
        <v>2667.34</v>
      </c>
      <c r="J94" s="6">
        <f>VLOOKUP(C94,'IP PITSS'!$B$10:$U$91,3,0)</f>
        <v>0</v>
      </c>
      <c r="K94" s="13">
        <v>12000</v>
      </c>
      <c r="L94" s="6">
        <f t="shared" si="17"/>
        <v>0</v>
      </c>
      <c r="M94" s="6">
        <f>VLOOKUP(C94,'IP PITSS'!$B$10:$I$91,8,0)</f>
        <v>0</v>
      </c>
      <c r="N94" s="6">
        <f t="shared" si="18"/>
        <v>0</v>
      </c>
      <c r="O94" s="6" t="s">
        <v>328</v>
      </c>
      <c r="P94" s="6">
        <f>VLOOKUP(C94,'RESUMEN PITS'!$C$3:$V$102,20,0)</f>
        <v>-1344.8726416666659</v>
      </c>
      <c r="Q94" s="6">
        <f t="shared" si="14"/>
        <v>1322.4673583333342</v>
      </c>
    </row>
    <row r="95" spans="1:17" ht="14.25" customHeight="1" x14ac:dyDescent="0.2">
      <c r="A95" s="6" t="s">
        <v>329</v>
      </c>
      <c r="B95" s="6" t="s">
        <v>94</v>
      </c>
      <c r="C95" s="6" t="s">
        <v>330</v>
      </c>
      <c r="D95" s="6">
        <v>416.21000000000004</v>
      </c>
      <c r="E95" s="6">
        <v>270</v>
      </c>
      <c r="F95" s="12">
        <v>0</v>
      </c>
      <c r="G95" s="6">
        <f t="shared" si="16"/>
        <v>0</v>
      </c>
      <c r="H95" s="6">
        <f t="shared" si="15"/>
        <v>686.21</v>
      </c>
      <c r="J95" s="6">
        <f>VLOOKUP(C95,'IP PITSS'!$B$10:$U$91,3,0)</f>
        <v>0</v>
      </c>
      <c r="K95" s="13">
        <v>8000</v>
      </c>
      <c r="L95" s="6">
        <f t="shared" si="17"/>
        <v>0</v>
      </c>
      <c r="M95" s="6">
        <f>VLOOKUP(C95,'IP PITSS'!$B$10:$I$91,8,0)</f>
        <v>0</v>
      </c>
      <c r="N95" s="6">
        <f t="shared" si="18"/>
        <v>0</v>
      </c>
      <c r="O95" s="6" t="s">
        <v>331</v>
      </c>
      <c r="P95" s="6">
        <f>VLOOKUP(C95,'RESUMEN PITS'!$C$3:$V$102,20,0)</f>
        <v>-1344.8726416666659</v>
      </c>
      <c r="Q95" s="6">
        <f t="shared" si="14"/>
        <v>-928.66264166666588</v>
      </c>
    </row>
    <row r="96" spans="1:17" ht="14.25" customHeight="1" x14ac:dyDescent="0.2">
      <c r="A96" s="6" t="s">
        <v>332</v>
      </c>
      <c r="B96" s="6" t="s">
        <v>94</v>
      </c>
      <c r="C96" s="6" t="s">
        <v>333</v>
      </c>
      <c r="D96" s="6">
        <v>135.22000000000025</v>
      </c>
      <c r="F96" s="12">
        <v>0</v>
      </c>
      <c r="G96" s="6">
        <f t="shared" si="16"/>
        <v>0</v>
      </c>
      <c r="H96" s="6">
        <f t="shared" si="15"/>
        <v>135.22000000000025</v>
      </c>
      <c r="J96" s="6">
        <f>VLOOKUP(C96,'IP PITSS'!$B$10:$U$91,3,0)</f>
        <v>0</v>
      </c>
      <c r="K96" s="13">
        <v>6000</v>
      </c>
      <c r="L96" s="6">
        <f t="shared" si="17"/>
        <v>0</v>
      </c>
      <c r="M96" s="6">
        <f>VLOOKUP(C96,'IP PITSS'!$B$10:$I$91,8,0)</f>
        <v>0</v>
      </c>
      <c r="N96" s="6">
        <f t="shared" si="18"/>
        <v>0</v>
      </c>
      <c r="O96" s="6" t="s">
        <v>334</v>
      </c>
      <c r="P96" s="6">
        <f>VLOOKUP(C96,'RESUMEN PITS'!$C$3:$V$102,20,0)</f>
        <v>-1537.7236416666665</v>
      </c>
      <c r="Q96" s="6">
        <f t="shared" si="14"/>
        <v>-1402.5036416666662</v>
      </c>
    </row>
    <row r="97" spans="1:17" ht="14.25" customHeight="1" x14ac:dyDescent="0.2">
      <c r="A97" s="6" t="s">
        <v>336</v>
      </c>
      <c r="B97" s="6" t="s">
        <v>94</v>
      </c>
      <c r="C97" s="6" t="s">
        <v>337</v>
      </c>
      <c r="D97" s="6">
        <v>1135.3000000000002</v>
      </c>
      <c r="F97" s="12">
        <v>0</v>
      </c>
      <c r="G97" s="6">
        <f t="shared" si="16"/>
        <v>0</v>
      </c>
      <c r="H97" s="6">
        <f t="shared" si="15"/>
        <v>1135.3000000000002</v>
      </c>
      <c r="J97" s="6">
        <f>VLOOKUP(C97,'IP PITSS'!$B$10:$U$91,3,0)</f>
        <v>0</v>
      </c>
      <c r="K97" s="13">
        <v>8000</v>
      </c>
      <c r="L97" s="6">
        <f t="shared" si="17"/>
        <v>0</v>
      </c>
      <c r="M97" s="6">
        <f>VLOOKUP(C97,'IP PITSS'!$B$10:$I$91,8,0)</f>
        <v>0</v>
      </c>
      <c r="N97" s="6">
        <f t="shared" si="18"/>
        <v>0</v>
      </c>
      <c r="O97" s="6" t="s">
        <v>338</v>
      </c>
      <c r="P97" s="6">
        <f>VLOOKUP(C97,'RESUMEN PITS'!$C$3:$V$102,20,0)</f>
        <v>-1537.7236416666665</v>
      </c>
      <c r="Q97" s="6">
        <f t="shared" si="14"/>
        <v>-402.4236416666663</v>
      </c>
    </row>
    <row r="98" spans="1:17" ht="14.25" customHeight="1" x14ac:dyDescent="0.2">
      <c r="B98" s="6" t="s">
        <v>94</v>
      </c>
      <c r="C98" s="6" t="s">
        <v>339</v>
      </c>
      <c r="D98" s="6">
        <v>53.400000000000091</v>
      </c>
      <c r="F98" s="12">
        <v>0</v>
      </c>
      <c r="G98" s="6">
        <f t="shared" si="16"/>
        <v>0</v>
      </c>
      <c r="H98" s="6">
        <f t="shared" si="15"/>
        <v>53.400000000000091</v>
      </c>
      <c r="J98" s="6">
        <f>VLOOKUP(C98,'IP PITSS'!$B$10:$U$91,3,0)</f>
        <v>0</v>
      </c>
      <c r="K98" s="13">
        <v>5000</v>
      </c>
      <c r="L98" s="6">
        <f t="shared" si="17"/>
        <v>0</v>
      </c>
      <c r="M98" s="6">
        <f>VLOOKUP(C98,'IP PITSS'!$B$10:$I$91,8,0)</f>
        <v>0</v>
      </c>
      <c r="N98" s="6">
        <f t="shared" si="18"/>
        <v>0</v>
      </c>
      <c r="O98" s="6" t="s">
        <v>340</v>
      </c>
      <c r="P98" s="6">
        <f>VLOOKUP(C98,'RESUMEN PITS'!$C$3:$V$102,20,0)</f>
        <v>-56.562641666666423</v>
      </c>
      <c r="Q98" s="6">
        <f t="shared" si="14"/>
        <v>-3.1626416666663317</v>
      </c>
    </row>
    <row r="99" spans="1:17" ht="14.25" customHeight="1" x14ac:dyDescent="0.2">
      <c r="B99" s="21" t="s">
        <v>94</v>
      </c>
      <c r="C99" s="6" t="s">
        <v>341</v>
      </c>
      <c r="D99" s="6">
        <v>134.19999999999982</v>
      </c>
      <c r="E99" s="6">
        <v>487.5</v>
      </c>
      <c r="F99" s="12">
        <v>0</v>
      </c>
      <c r="G99" s="6">
        <f t="shared" si="16"/>
        <v>0</v>
      </c>
      <c r="H99" s="6">
        <f t="shared" si="15"/>
        <v>621.69999999999982</v>
      </c>
      <c r="J99" s="6">
        <f>VLOOKUP(C99,'IP PITSS'!$B$10:$U$91,3,0)</f>
        <v>0</v>
      </c>
      <c r="K99" s="13">
        <v>6000</v>
      </c>
      <c r="L99" s="6">
        <f t="shared" si="17"/>
        <v>0</v>
      </c>
      <c r="M99" s="6">
        <f>VLOOKUP(C99,'IP PITSS'!$B$10:$I$91,8,0)</f>
        <v>0</v>
      </c>
      <c r="N99" s="6">
        <f t="shared" si="18"/>
        <v>0</v>
      </c>
      <c r="O99" s="6" t="s">
        <v>342</v>
      </c>
      <c r="P99" s="6">
        <f>VLOOKUP(C99,'RESUMEN PITS'!$C$3:$V$102,20,0)</f>
        <v>-1915.953641666667</v>
      </c>
      <c r="Q99" s="6">
        <f t="shared" ref="Q99:Q102" si="19">+D99+P99</f>
        <v>-1781.7536416666671</v>
      </c>
    </row>
    <row r="100" spans="1:17" ht="14.25" customHeight="1" x14ac:dyDescent="0.2">
      <c r="B100" s="21" t="s">
        <v>94</v>
      </c>
      <c r="C100" s="6" t="s">
        <v>427</v>
      </c>
      <c r="D100" s="6">
        <v>174.59999999999991</v>
      </c>
      <c r="F100" s="12">
        <v>0</v>
      </c>
      <c r="G100" s="6">
        <f t="shared" ref="G100:G102" si="20">+N100</f>
        <v>0</v>
      </c>
      <c r="H100" s="6">
        <f t="shared" si="15"/>
        <v>174.59999999999991</v>
      </c>
      <c r="J100" s="6">
        <f>VLOOKUP(C100,'IP PITSS'!$B$10:$U$91,3,0)</f>
        <v>0</v>
      </c>
      <c r="K100" s="13">
        <v>6300</v>
      </c>
      <c r="L100" s="6">
        <f t="shared" ref="L100:L102" si="21">(((+K100/30)*J100)*30%)</f>
        <v>0</v>
      </c>
      <c r="M100" s="6">
        <f>VLOOKUP(C100,'IP PITSS'!$B$10:$I$91,8,0)</f>
        <v>0</v>
      </c>
      <c r="N100" s="6">
        <f t="shared" ref="N100:N102" si="22">+L100-M100</f>
        <v>0</v>
      </c>
      <c r="P100" s="6">
        <f>VLOOKUP(C100,'RESUMEN PITS'!$C$3:$V$102,20,0)</f>
        <v>-1915.953641666667</v>
      </c>
      <c r="Q100" s="6">
        <f t="shared" si="19"/>
        <v>-1741.353641666667</v>
      </c>
    </row>
    <row r="101" spans="1:17" ht="14.25" customHeight="1" x14ac:dyDescent="0.2">
      <c r="B101" s="21" t="s">
        <v>94</v>
      </c>
      <c r="C101" s="18" t="s">
        <v>429</v>
      </c>
      <c r="D101" s="6">
        <v>174.59999999999991</v>
      </c>
      <c r="F101" s="12">
        <v>0</v>
      </c>
      <c r="G101" s="6">
        <f t="shared" si="20"/>
        <v>0</v>
      </c>
      <c r="H101" s="6">
        <f t="shared" si="15"/>
        <v>174.59999999999991</v>
      </c>
      <c r="J101" s="6">
        <f>VLOOKUP(C101,'IP PITSS'!$B$10:$U$91,3,0)</f>
        <v>0</v>
      </c>
      <c r="K101" s="13">
        <v>6300</v>
      </c>
      <c r="L101" s="6">
        <f t="shared" si="21"/>
        <v>0</v>
      </c>
      <c r="M101" s="6">
        <f>VLOOKUP(C101,'IP PITSS'!$B$10:$I$91,8,0)</f>
        <v>0</v>
      </c>
      <c r="N101" s="6">
        <f t="shared" si="22"/>
        <v>0</v>
      </c>
      <c r="P101" s="6">
        <f>VLOOKUP(C101,'RESUMEN PITS'!$C$3:$V$102,20,0)</f>
        <v>-1915.953641666667</v>
      </c>
      <c r="Q101" s="6">
        <f t="shared" si="19"/>
        <v>-1741.353641666667</v>
      </c>
    </row>
    <row r="102" spans="1:17" ht="14.25" customHeight="1" x14ac:dyDescent="0.2">
      <c r="B102" s="21" t="s">
        <v>94</v>
      </c>
      <c r="C102" s="18" t="s">
        <v>431</v>
      </c>
      <c r="D102" s="6">
        <v>134.19999999999982</v>
      </c>
      <c r="E102" s="6">
        <v>390</v>
      </c>
      <c r="F102" s="12">
        <v>0</v>
      </c>
      <c r="G102" s="6">
        <f t="shared" si="20"/>
        <v>0</v>
      </c>
      <c r="H102" s="6">
        <f t="shared" si="15"/>
        <v>524.19999999999982</v>
      </c>
      <c r="J102" s="6">
        <f>VLOOKUP(C102,'IP PITSS'!$B$10:$U$91,3,0)</f>
        <v>0</v>
      </c>
      <c r="K102" s="13">
        <v>6000</v>
      </c>
      <c r="L102" s="6">
        <f t="shared" si="21"/>
        <v>0</v>
      </c>
      <c r="M102" s="6">
        <f>VLOOKUP(C102,'IP PITSS'!$B$10:$I$91,8,0)</f>
        <v>0</v>
      </c>
      <c r="N102" s="6">
        <f t="shared" si="22"/>
        <v>0</v>
      </c>
      <c r="P102" s="6">
        <f>VLOOKUP(C102,'RESUMEN PITS'!$C$3:$V$102,20,0)</f>
        <v>-1313.9226416666661</v>
      </c>
      <c r="Q102" s="6">
        <f t="shared" si="19"/>
        <v>-1179.7226416666663</v>
      </c>
    </row>
    <row r="103" spans="1:17" ht="14.25" customHeight="1" x14ac:dyDescent="0.2">
      <c r="B103" s="21"/>
      <c r="C103" s="18" t="s">
        <v>438</v>
      </c>
      <c r="F103" s="12">
        <v>1160</v>
      </c>
      <c r="H103" s="6">
        <f t="shared" si="15"/>
        <v>1160</v>
      </c>
      <c r="K103" s="13"/>
    </row>
    <row r="104" spans="1:17" ht="13.5" customHeight="1" x14ac:dyDescent="0.2">
      <c r="D104" s="16">
        <f>SUBTOTAL(9,D3:D103)</f>
        <v>148607.19499999998</v>
      </c>
      <c r="E104" s="16">
        <f t="shared" ref="E104:G104" si="23">SUBTOTAL(9,E3:E103)</f>
        <v>36199.199999999997</v>
      </c>
      <c r="F104" s="16">
        <f t="shared" si="23"/>
        <v>3960</v>
      </c>
      <c r="G104" s="16">
        <f t="shared" si="23"/>
        <v>991.31</v>
      </c>
      <c r="H104" s="16">
        <f>SUBTOTAL(9,H3:H103)</f>
        <v>189757.70499999996</v>
      </c>
      <c r="I104" s="16">
        <f t="shared" ref="I104:O104" si="24">SUBTOTAL(9,I3:I102)</f>
        <v>0</v>
      </c>
      <c r="J104" s="16">
        <f t="shared" si="24"/>
        <v>25</v>
      </c>
      <c r="K104" s="16">
        <f t="shared" si="24"/>
        <v>1008431.02</v>
      </c>
      <c r="L104" s="16">
        <f t="shared" si="24"/>
        <v>2558.5</v>
      </c>
      <c r="M104" s="16">
        <f t="shared" si="24"/>
        <v>1567.19</v>
      </c>
      <c r="N104" s="16">
        <f t="shared" si="24"/>
        <v>991.31</v>
      </c>
      <c r="O104" s="16">
        <f t="shared" si="24"/>
        <v>0</v>
      </c>
    </row>
    <row r="105" spans="1:17" ht="13.5" customHeight="1" x14ac:dyDescent="0.2"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7" ht="13.5" customHeight="1" thickBot="1" x14ac:dyDescent="0.25"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7" ht="13.5" customHeight="1" thickBot="1" x14ac:dyDescent="0.25">
      <c r="D107" s="16"/>
      <c r="E107" s="16"/>
      <c r="F107" s="16"/>
      <c r="G107" s="16"/>
      <c r="H107" s="16"/>
      <c r="J107" s="139" t="s">
        <v>440</v>
      </c>
      <c r="K107" s="131" t="s">
        <v>439</v>
      </c>
      <c r="L107" s="138" t="s">
        <v>441</v>
      </c>
      <c r="M107" s="16"/>
      <c r="N107" s="16"/>
    </row>
    <row r="108" spans="1:17" x14ac:dyDescent="0.2">
      <c r="B108" s="22"/>
      <c r="D108" s="23"/>
      <c r="E108" s="23"/>
      <c r="G108" s="91" t="s">
        <v>413</v>
      </c>
      <c r="H108" s="24">
        <f>+H104</f>
        <v>189757.70499999996</v>
      </c>
      <c r="J108" s="134">
        <f>H79+H18</f>
        <v>16324.53</v>
      </c>
      <c r="K108" s="134">
        <f>H20+H19+H14</f>
        <v>12048.8</v>
      </c>
      <c r="L108" s="135">
        <f>H108-J108-K108</f>
        <v>161384.37499999997</v>
      </c>
    </row>
    <row r="109" spans="1:17" x14ac:dyDescent="0.2">
      <c r="A109" s="22"/>
      <c r="B109" s="22"/>
      <c r="C109" s="22"/>
      <c r="G109" s="24" t="s">
        <v>409</v>
      </c>
      <c r="H109" s="25">
        <v>0</v>
      </c>
      <c r="J109" s="130"/>
      <c r="K109" s="130"/>
      <c r="L109" s="136">
        <f>I110</f>
        <v>0</v>
      </c>
    </row>
    <row r="110" spans="1:17" x14ac:dyDescent="0.2">
      <c r="A110" s="22"/>
      <c r="C110" s="22"/>
      <c r="G110" s="24" t="s">
        <v>393</v>
      </c>
      <c r="H110" s="24">
        <f>+H108+H109</f>
        <v>189757.70499999996</v>
      </c>
      <c r="J110" s="137">
        <f>J108</f>
        <v>16324.53</v>
      </c>
      <c r="K110" s="137">
        <f>K108</f>
        <v>12048.8</v>
      </c>
      <c r="L110" s="136">
        <f>L108</f>
        <v>161384.37499999997</v>
      </c>
    </row>
    <row r="111" spans="1:17" x14ac:dyDescent="0.2">
      <c r="A111" s="22"/>
      <c r="B111" s="22"/>
      <c r="C111" s="22"/>
      <c r="G111" s="24" t="s">
        <v>85</v>
      </c>
      <c r="H111" s="24">
        <f>+H110*2%</f>
        <v>3795.1540999999993</v>
      </c>
      <c r="J111" s="137">
        <f>J110*2%</f>
        <v>326.49060000000003</v>
      </c>
      <c r="K111" s="137">
        <f>K110*2%</f>
        <v>240.976</v>
      </c>
      <c r="L111" s="136">
        <f>L110*2%</f>
        <v>3227.6874999999995</v>
      </c>
    </row>
    <row r="112" spans="1:17" x14ac:dyDescent="0.2">
      <c r="A112" s="22"/>
      <c r="B112" s="22"/>
      <c r="C112" s="22"/>
      <c r="D112" s="6">
        <v>0</v>
      </c>
      <c r="G112" s="24" t="s">
        <v>410</v>
      </c>
      <c r="H112" s="24">
        <f>+H110+H111</f>
        <v>193552.85909999994</v>
      </c>
      <c r="J112" s="137">
        <f>J111+J110</f>
        <v>16651.0206</v>
      </c>
      <c r="K112" s="137">
        <f>K111+K110</f>
        <v>12289.776</v>
      </c>
      <c r="L112" s="136">
        <f>L111+L110</f>
        <v>164612.06249999997</v>
      </c>
    </row>
    <row r="113" spans="2:14" x14ac:dyDescent="0.2">
      <c r="B113" s="22"/>
      <c r="G113" s="24"/>
      <c r="H113" s="25"/>
      <c r="J113" s="137"/>
      <c r="K113" s="137"/>
      <c r="L113" s="136"/>
    </row>
    <row r="114" spans="2:14" x14ac:dyDescent="0.2">
      <c r="B114" s="22"/>
      <c r="G114" s="24"/>
      <c r="H114" s="25"/>
      <c r="J114" s="137"/>
      <c r="K114" s="137"/>
      <c r="L114" s="136"/>
    </row>
    <row r="115" spans="2:14" x14ac:dyDescent="0.2">
      <c r="G115" s="24" t="s">
        <v>411</v>
      </c>
      <c r="H115" s="24">
        <f>+H112</f>
        <v>193552.85909999994</v>
      </c>
      <c r="J115" s="137">
        <f>J112</f>
        <v>16651.0206</v>
      </c>
      <c r="K115" s="137">
        <f t="shared" ref="K115:L115" si="25">K112</f>
        <v>12289.776</v>
      </c>
      <c r="L115" s="136">
        <f t="shared" si="25"/>
        <v>164612.06249999997</v>
      </c>
    </row>
    <row r="116" spans="2:14" x14ac:dyDescent="0.2">
      <c r="G116" s="24" t="s">
        <v>30</v>
      </c>
      <c r="H116" s="25">
        <f>+H115*16%</f>
        <v>30968.457455999993</v>
      </c>
      <c r="J116" s="137">
        <f>J115*16%</f>
        <v>2664.1632960000002</v>
      </c>
      <c r="K116" s="137">
        <f t="shared" ref="K116:L116" si="26">K115*16%</f>
        <v>1966.3641600000001</v>
      </c>
      <c r="L116" s="136">
        <f t="shared" si="26"/>
        <v>26337.929999999997</v>
      </c>
    </row>
    <row r="117" spans="2:14" x14ac:dyDescent="0.2">
      <c r="G117" s="24" t="s">
        <v>412</v>
      </c>
      <c r="H117" s="24">
        <f>+H115+H116</f>
        <v>224521.31655599995</v>
      </c>
      <c r="J117" s="137">
        <f>J116+J115</f>
        <v>19315.183895999999</v>
      </c>
      <c r="K117" s="137">
        <f t="shared" ref="K117:L117" si="27">K116+K115</f>
        <v>14256.140159999999</v>
      </c>
      <c r="L117" s="136">
        <f t="shared" si="27"/>
        <v>190949.99249999996</v>
      </c>
    </row>
    <row r="118" spans="2:14" ht="15.75" customHeight="1" x14ac:dyDescent="0.2">
      <c r="J118" s="137"/>
      <c r="K118" s="137"/>
      <c r="L118" s="136"/>
    </row>
    <row r="119" spans="2:14" ht="13.5" thickBot="1" x14ac:dyDescent="0.25">
      <c r="J119" s="143"/>
      <c r="K119" s="143"/>
      <c r="L119" s="144"/>
    </row>
    <row r="120" spans="2:14" x14ac:dyDescent="0.2">
      <c r="J120" s="18">
        <f>J115-J111</f>
        <v>16324.53</v>
      </c>
      <c r="K120" s="18">
        <f t="shared" ref="K120:L120" si="28">K115-K111</f>
        <v>12048.8</v>
      </c>
      <c r="L120" s="18">
        <f t="shared" si="28"/>
        <v>161384.37499999997</v>
      </c>
    </row>
    <row r="123" spans="2:14" ht="15" x14ac:dyDescent="0.25">
      <c r="J123" s="78"/>
      <c r="K123" s="128">
        <v>0.73</v>
      </c>
      <c r="L123" s="128">
        <v>0.11</v>
      </c>
      <c r="M123" s="128">
        <v>0.12</v>
      </c>
      <c r="N123" s="128">
        <v>0.04</v>
      </c>
    </row>
    <row r="124" spans="2:14" x14ac:dyDescent="0.2">
      <c r="J124" s="78"/>
      <c r="K124" s="127" t="s">
        <v>443</v>
      </c>
      <c r="L124" s="127" t="s">
        <v>444</v>
      </c>
      <c r="M124" s="127" t="s">
        <v>446</v>
      </c>
      <c r="N124" s="127" t="s">
        <v>445</v>
      </c>
    </row>
    <row r="125" spans="2:14" x14ac:dyDescent="0.2">
      <c r="J125" s="123" t="s">
        <v>441</v>
      </c>
      <c r="K125" s="145">
        <f>L120*$K$123</f>
        <v>117810.59374999997</v>
      </c>
      <c r="L125" s="145">
        <f>L120*$L$123</f>
        <v>17752.281249999996</v>
      </c>
      <c r="M125" s="145">
        <f>L120*$M$123</f>
        <v>19366.124999999996</v>
      </c>
      <c r="N125" s="145">
        <f>L120*$N$123</f>
        <v>6455.3749999999991</v>
      </c>
    </row>
    <row r="126" spans="2:14" x14ac:dyDescent="0.2">
      <c r="J126" s="124" t="s">
        <v>439</v>
      </c>
      <c r="K126" s="145">
        <f>K120*$K$123</f>
        <v>8795.6239999999998</v>
      </c>
      <c r="L126" s="145">
        <f>K120*$L$123</f>
        <v>1325.3679999999999</v>
      </c>
      <c r="M126" s="145">
        <f>K120*$M$123</f>
        <v>1445.8559999999998</v>
      </c>
      <c r="N126" s="145">
        <f>K120*$N$123</f>
        <v>481.952</v>
      </c>
    </row>
    <row r="127" spans="2:14" x14ac:dyDescent="0.2">
      <c r="J127" s="125" t="s">
        <v>440</v>
      </c>
      <c r="K127" s="145">
        <f>J120*$K$123</f>
        <v>11916.9069</v>
      </c>
      <c r="L127" s="145">
        <f>J120*$L$123</f>
        <v>1795.6983</v>
      </c>
      <c r="M127" s="145">
        <f>J120*$M$123</f>
        <v>1958.9436000000001</v>
      </c>
      <c r="N127" s="145">
        <f>J120*$N$123</f>
        <v>652.98120000000006</v>
      </c>
    </row>
    <row r="128" spans="2:14" x14ac:dyDescent="0.2">
      <c r="J128" s="126" t="s">
        <v>85</v>
      </c>
      <c r="K128" s="145">
        <f>H111*$K$123</f>
        <v>2770.4624929999995</v>
      </c>
      <c r="L128" s="145">
        <f>H111*$L$123</f>
        <v>417.46695099999994</v>
      </c>
      <c r="M128" s="145">
        <f>H111*$M$123</f>
        <v>455.4184919999999</v>
      </c>
      <c r="N128" s="145">
        <f>H111*$N$123</f>
        <v>151.80616399999997</v>
      </c>
    </row>
    <row r="129" spans="10:14" x14ac:dyDescent="0.2">
      <c r="J129" s="122" t="s">
        <v>393</v>
      </c>
      <c r="K129" s="146">
        <f>SUM(K125:K128)</f>
        <v>141293.58714299995</v>
      </c>
      <c r="L129" s="146">
        <f>SUM(L125:L128)</f>
        <v>21290.814500999993</v>
      </c>
      <c r="M129" s="146">
        <f>SUM(M125:M128)</f>
        <v>23226.343091999996</v>
      </c>
      <c r="N129" s="146">
        <f>SUM(N125:N128)</f>
        <v>7742.1143639999991</v>
      </c>
    </row>
    <row r="130" spans="10:14" x14ac:dyDescent="0.2">
      <c r="J130" s="122" t="s">
        <v>442</v>
      </c>
      <c r="K130" s="146">
        <f>K129*16%</f>
        <v>22606.973942879991</v>
      </c>
      <c r="L130" s="146">
        <f>L129*16%</f>
        <v>3406.5303201599991</v>
      </c>
      <c r="M130" s="146">
        <f>M129*16%</f>
        <v>3716.2148947199994</v>
      </c>
      <c r="N130" s="146">
        <f>N129*16%</f>
        <v>1238.7382982399999</v>
      </c>
    </row>
    <row r="131" spans="10:14" ht="15" x14ac:dyDescent="0.25">
      <c r="J131" s="122" t="s">
        <v>87</v>
      </c>
      <c r="K131" s="147">
        <f>K130+K129</f>
        <v>163900.56108587995</v>
      </c>
      <c r="L131" s="147">
        <f>L130+L129</f>
        <v>24697.344821159993</v>
      </c>
      <c r="M131" s="147">
        <f>M130+M129</f>
        <v>26942.557986719996</v>
      </c>
      <c r="N131" s="147">
        <f>N130+N129</f>
        <v>8980.8526622399986</v>
      </c>
    </row>
    <row r="132" spans="10:14" x14ac:dyDescent="0.2">
      <c r="J132" s="1"/>
      <c r="K132" s="1"/>
      <c r="L132" s="1"/>
      <c r="M132" s="1"/>
      <c r="N132" s="1"/>
    </row>
  </sheetData>
  <autoFilter ref="A2:N112" xr:uid="{00000000-0009-0000-0000-000002000000}"/>
  <sortState xmlns:xlrd2="http://schemas.microsoft.com/office/spreadsheetml/2017/richdata2" ref="A3:Q102">
    <sortCondition ref="B3:B102"/>
  </sortState>
  <mergeCells count="2">
    <mergeCell ref="D1:H1"/>
    <mergeCell ref="J1:N1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J106"/>
  <sheetViews>
    <sheetView showGridLines="0" zoomScale="90" zoomScaleNormal="90" workbookViewId="0">
      <pane xSplit="3" ySplit="2" topLeftCell="O90" activePane="bottomRight" state="frozen"/>
      <selection activeCell="E31" sqref="E31"/>
      <selection pane="topRight" activeCell="E31" sqref="E31"/>
      <selection pane="bottomLeft" activeCell="E31" sqref="E31"/>
      <selection pane="bottomRight" activeCell="U3" sqref="U3:U102"/>
    </sheetView>
  </sheetViews>
  <sheetFormatPr baseColWidth="10" defaultColWidth="11.42578125" defaultRowHeight="12.75" x14ac:dyDescent="0.2"/>
  <cols>
    <col min="1" max="1" width="11.42578125" style="18"/>
    <col min="2" max="2" width="15.5703125" style="18" customWidth="1"/>
    <col min="3" max="3" width="46.28515625" style="51" customWidth="1"/>
    <col min="4" max="4" width="17.7109375" style="18" customWidth="1"/>
    <col min="5" max="5" width="4" style="26" customWidth="1"/>
    <col min="6" max="9" width="16.140625" style="18" customWidth="1"/>
    <col min="10" max="10" width="3.5703125" style="26" customWidth="1"/>
    <col min="11" max="11" width="19.5703125" style="18" customWidth="1"/>
    <col min="12" max="12" width="22.5703125" style="18" customWidth="1"/>
    <col min="13" max="13" width="19.5703125" style="18" customWidth="1"/>
    <col min="14" max="14" width="3.7109375" style="26" customWidth="1"/>
    <col min="15" max="19" width="13.28515625" style="18" customWidth="1"/>
    <col min="20" max="20" width="3.140625" style="26" customWidth="1"/>
    <col min="21" max="21" width="16.7109375" style="18" customWidth="1"/>
    <col min="22" max="22" width="13.85546875" style="20" customWidth="1"/>
    <col min="23" max="23" width="21" style="28" bestFit="1" customWidth="1"/>
    <col min="24" max="36" width="11.42578125" style="29" customWidth="1"/>
    <col min="37" max="244" width="11.42578125" style="29"/>
    <col min="245" max="16384" width="11.42578125" style="18"/>
  </cols>
  <sheetData>
    <row r="1" spans="1:244" s="27" customFormat="1" x14ac:dyDescent="0.2">
      <c r="A1" s="181"/>
      <c r="B1" s="181"/>
      <c r="C1" s="181"/>
      <c r="D1" s="181"/>
      <c r="E1" s="26"/>
      <c r="F1" s="181" t="s">
        <v>78</v>
      </c>
      <c r="G1" s="181"/>
      <c r="H1" s="181"/>
      <c r="I1" s="181"/>
      <c r="J1" s="26"/>
      <c r="K1" s="181"/>
      <c r="L1" s="181"/>
      <c r="M1" s="181"/>
      <c r="N1" s="26"/>
      <c r="O1" s="181"/>
      <c r="P1" s="181"/>
      <c r="Q1" s="181"/>
      <c r="R1" s="181"/>
      <c r="S1" s="181"/>
      <c r="T1" s="26"/>
      <c r="V1" s="20"/>
      <c r="W1" s="28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</row>
    <row r="2" spans="1:244" ht="39" thickBot="1" x14ac:dyDescent="0.25">
      <c r="A2" s="30" t="s">
        <v>80</v>
      </c>
      <c r="B2" s="30" t="s">
        <v>81</v>
      </c>
      <c r="C2" s="30" t="s">
        <v>82</v>
      </c>
      <c r="D2" s="30" t="s">
        <v>432</v>
      </c>
      <c r="E2" s="31"/>
      <c r="F2" s="32" t="s">
        <v>343</v>
      </c>
      <c r="G2" s="32" t="s">
        <v>84</v>
      </c>
      <c r="H2" s="32" t="s">
        <v>85</v>
      </c>
      <c r="I2" s="32" t="s">
        <v>344</v>
      </c>
      <c r="J2" s="31" t="s">
        <v>345</v>
      </c>
      <c r="K2" s="33" t="s">
        <v>346</v>
      </c>
      <c r="L2" s="30" t="s">
        <v>347</v>
      </c>
      <c r="M2" s="34" t="s">
        <v>348</v>
      </c>
      <c r="N2" s="31" t="s">
        <v>349</v>
      </c>
      <c r="O2" s="30" t="s">
        <v>350</v>
      </c>
      <c r="P2" s="30" t="s">
        <v>351</v>
      </c>
      <c r="Q2" s="30" t="s">
        <v>352</v>
      </c>
      <c r="R2" s="30" t="s">
        <v>353</v>
      </c>
      <c r="S2" s="30" t="s">
        <v>354</v>
      </c>
      <c r="T2" s="31" t="s">
        <v>355</v>
      </c>
      <c r="U2" s="35" t="s">
        <v>356</v>
      </c>
      <c r="V2" s="35" t="s">
        <v>357</v>
      </c>
      <c r="W2" s="36" t="s">
        <v>358</v>
      </c>
    </row>
    <row r="3" spans="1:244" s="29" customFormat="1" ht="13.5" thickTop="1" x14ac:dyDescent="0.2">
      <c r="A3" s="13" t="s">
        <v>38</v>
      </c>
      <c r="B3" s="13" t="s">
        <v>107</v>
      </c>
      <c r="C3" s="37" t="s">
        <v>39</v>
      </c>
      <c r="D3" s="13">
        <f>VLOOKUP(C3,'CPD PITSS'!B10:V27,21,0)</f>
        <v>2774.4</v>
      </c>
      <c r="E3" s="38"/>
      <c r="F3" s="29">
        <f>VLOOKUP(C3,'SIND PITS'!$C$3:$H$104,2,0)</f>
        <v>1475.6</v>
      </c>
      <c r="G3" s="29">
        <f>VLOOKUP(C3,'SIND PITS'!$C$3:$E$104,3,0)</f>
        <v>0</v>
      </c>
      <c r="H3" s="29">
        <f>VLOOKUP(C3,'SIND PITS'!$C$3:$F$104,4,0)</f>
        <v>0</v>
      </c>
      <c r="I3" s="29">
        <f>VLOOKUP(C3,'SIND PITS'!$C$3:$G$104,5,0)</f>
        <v>0</v>
      </c>
      <c r="J3" s="26"/>
      <c r="K3" s="29">
        <f>SUM(D3:I3)</f>
        <v>4250</v>
      </c>
      <c r="L3" s="29">
        <v>8500</v>
      </c>
      <c r="M3" s="29">
        <f>+L3/2</f>
        <v>4250</v>
      </c>
      <c r="N3" s="26"/>
      <c r="O3" s="29">
        <f>VLOOKUP($C3,'CPD PITSS'!$B$10:$V$27,8,0)</f>
        <v>0</v>
      </c>
      <c r="P3" s="29">
        <f>+G3+H3+I3</f>
        <v>0</v>
      </c>
      <c r="Q3" s="29">
        <f>(VLOOKUP($C3,'CPD PITSS'!$B$10:$V$27,13,0))+(VLOOKUP($C3,'CPD PITSS'!$B$10:$V$27,14,0))</f>
        <v>0</v>
      </c>
      <c r="S3" s="29">
        <f>VLOOKUP(C3,'CPD PITSS'!$B$10:$S$27,18,0)</f>
        <v>0</v>
      </c>
      <c r="T3" s="26"/>
      <c r="U3" s="29">
        <f>+K3-O3-P3+Q3+R3+S3+IFERROR(VLOOKUP('RESUMEN PITS'!C3,'IP PITSS'!$B$10:$M$91,10),0)+IFERROR(VLOOKUP('RESUMEN PITS'!C3,'IP PITSS'!$B$10:$M$91,11),0)+IFERROR(VLOOKUP('RESUMEN PITS'!C3,'IP PITSS'!$B$10:$M$91,12),0)+VLOOKUP("Comision",'IP PITSS'!$I$97:$J$108,2)/COUNT($F$9:$F$111)+IFERROR(VLOOKUP('RESUMEN PITS'!C3,'IP PITSS'!$B$10:$AD$91,15),0)+IFERROR(VLOOKUP('RESUMEN PITS'!C3,'IP PITSS'!$B$10:$AD$91,21),0)+IFERROR(VLOOKUP('RESUMEN PITS'!C3,'IP PITSS'!$B$10:$AD$91,22),0)+IFERROR(VLOOKUP('RESUMEN PITS'!C3,'IP PITSS'!$B$10:$AD$91,23),0)+IFERROR(VLOOKUP('RESUMEN PITS'!C3,'IP PITSS'!$B$10:$AD$91,24),0)+IFERROR(VLOOKUP('RESUMEN PITS'!C3,'IP PITSS'!$B$10:$AD$91,26),0)+IFERROR(VLOOKUP('RESUMEN PITS'!C3,'IP PITSS'!$B$10:$AD$91,28),0)+IFERROR(VLOOKUP('RESUMEN PITS'!C3,'IP PITSS'!$B$10:$AD$91,29),0)+IFERROR(VLOOKUP('RESUMEN PITS'!C3,'IP PITSS'!$B$10:$AD$91,9),0)*2%</f>
        <v>5667.0416416666667</v>
      </c>
      <c r="V3" s="20">
        <f t="shared" ref="V3:V64" si="0">+M3-U3</f>
        <v>-1417.0416416666667</v>
      </c>
      <c r="W3" s="20"/>
      <c r="X3" s="29" t="s">
        <v>192</v>
      </c>
    </row>
    <row r="4" spans="1:244" s="29" customFormat="1" x14ac:dyDescent="0.2">
      <c r="A4" s="13" t="s">
        <v>40</v>
      </c>
      <c r="B4" s="13" t="s">
        <v>107</v>
      </c>
      <c r="C4" s="37" t="s">
        <v>41</v>
      </c>
      <c r="D4" s="13">
        <f>VLOOKUP(C4,'CPD PITSS'!B11:V28,21,0)</f>
        <v>2911.8</v>
      </c>
      <c r="E4" s="38"/>
      <c r="F4" s="29">
        <f>VLOOKUP(C4,'SIND PITS'!$C$3:$H$104,2,0)</f>
        <v>1588.1999999999998</v>
      </c>
      <c r="G4" s="29">
        <f>VLOOKUP(C4,'SIND PITS'!$C$3:$E$104,3,0)</f>
        <v>400</v>
      </c>
      <c r="H4" s="29">
        <f>VLOOKUP(C4,'SIND PITS'!$C$3:$F$104,4,0)</f>
        <v>0</v>
      </c>
      <c r="I4" s="29">
        <f>VLOOKUP(C4,'SIND PITS'!$C$3:$G$104,5,0)</f>
        <v>0</v>
      </c>
      <c r="J4" s="26"/>
      <c r="K4" s="29">
        <f t="shared" ref="K4:K65" si="1">SUM(D4:I4)</f>
        <v>4900</v>
      </c>
      <c r="L4" s="29">
        <v>9000</v>
      </c>
      <c r="M4" s="29">
        <f t="shared" ref="M4:M66" si="2">+L4/2</f>
        <v>4500</v>
      </c>
      <c r="N4" s="26"/>
      <c r="O4" s="29">
        <f>VLOOKUP($C4,'CPD PITSS'!$B$10:$V$27,8,0)</f>
        <v>0</v>
      </c>
      <c r="P4" s="29">
        <f t="shared" ref="P4:P67" si="3">+G4+H4+I4</f>
        <v>400</v>
      </c>
      <c r="Q4" s="29">
        <f>(VLOOKUP($C4,'CPD PITSS'!$B$10:$V$27,13,0))+(VLOOKUP($C4,'CPD PITSS'!$B$10:$V$27,14,0))</f>
        <v>0</v>
      </c>
      <c r="S4" s="29">
        <f>VLOOKUP(C4,'CPD PITSS'!$B$10:$S$27,18,0)</f>
        <v>0</v>
      </c>
      <c r="T4" s="26"/>
      <c r="U4" s="29">
        <f>+K4-O4-P4+Q4+R4+S4+IFERROR(VLOOKUP('RESUMEN PITS'!C4,'IP PITSS'!$B$10:$M$91,10),0)+IFERROR(VLOOKUP('RESUMEN PITS'!C4,'IP PITSS'!$B$10:$M$91,11),0)+IFERROR(VLOOKUP('RESUMEN PITS'!C4,'IP PITSS'!$B$10:$M$91,12),0)+VLOOKUP("Comision",'IP PITSS'!$I$97:$J$108,2)/COUNT($F$9:$F$111)+IFERROR(VLOOKUP('RESUMEN PITS'!C4,'IP PITSS'!$B$10:$AD$91,15),0)+IFERROR(VLOOKUP('RESUMEN PITS'!C4,'IP PITSS'!$B$10:$AD$91,21),0)+IFERROR(VLOOKUP('RESUMEN PITS'!C4,'IP PITSS'!$B$10:$AD$91,22),0)+IFERROR(VLOOKUP('RESUMEN PITS'!C4,'IP PITSS'!$B$10:$AD$91,23),0)+IFERROR(VLOOKUP('RESUMEN PITS'!C4,'IP PITSS'!$B$10:$AD$91,24),0)+IFERROR(VLOOKUP('RESUMEN PITS'!C4,'IP PITSS'!$B$10:$AD$91,26),0)+IFERROR(VLOOKUP('RESUMEN PITS'!C4,'IP PITSS'!$B$10:$AD$91,28),0)+IFERROR(VLOOKUP('RESUMEN PITS'!C4,'IP PITSS'!$B$10:$AD$91,29),0)+IFERROR(VLOOKUP('RESUMEN PITS'!C4,'IP PITSS'!$B$10:$AD$91,9),0)*2%</f>
        <v>5844.8726416666659</v>
      </c>
      <c r="V4" s="20">
        <f t="shared" si="0"/>
        <v>-1344.8726416666659</v>
      </c>
      <c r="W4" s="20"/>
      <c r="X4" s="29" t="s">
        <v>291</v>
      </c>
    </row>
    <row r="5" spans="1:244" s="29" customFormat="1" x14ac:dyDescent="0.2">
      <c r="A5" s="13" t="s">
        <v>42</v>
      </c>
      <c r="B5" s="13" t="s">
        <v>107</v>
      </c>
      <c r="C5" s="37" t="s">
        <v>43</v>
      </c>
      <c r="D5" s="13">
        <f>VLOOKUP(C5,'CPD PITSS'!B12:V29,21,0)</f>
        <v>4231</v>
      </c>
      <c r="E5" s="38"/>
      <c r="F5" s="29">
        <f>VLOOKUP(C5,'SIND PITS'!$C$3:$H$104,2,0)</f>
        <v>2464</v>
      </c>
      <c r="G5" s="29">
        <f>VLOOKUP(C5,'SIND PITS'!$C$3:$E$104,3,0)</f>
        <v>1000</v>
      </c>
      <c r="H5" s="29">
        <f>VLOOKUP(C5,'SIND PITS'!$C$3:$F$104,4,0)</f>
        <v>0</v>
      </c>
      <c r="I5" s="29">
        <f>VLOOKUP(C5,'SIND PITS'!$C$3:$G$104,5,0)</f>
        <v>195</v>
      </c>
      <c r="J5" s="26"/>
      <c r="K5" s="29">
        <f t="shared" si="1"/>
        <v>7890</v>
      </c>
      <c r="L5" s="29">
        <v>13000</v>
      </c>
      <c r="M5" s="29">
        <f t="shared" si="2"/>
        <v>6500</v>
      </c>
      <c r="N5" s="26"/>
      <c r="O5" s="29">
        <f>VLOOKUP($C5,'CPD PITSS'!$B$10:$V$27,8,0)</f>
        <v>195</v>
      </c>
      <c r="P5" s="29">
        <f t="shared" si="3"/>
        <v>1195</v>
      </c>
      <c r="Q5" s="29">
        <f>(VLOOKUP($C5,'CPD PITSS'!$B$10:$V$27,13,0))+(VLOOKUP($C5,'CPD PITSS'!$B$10:$V$27,14,0))</f>
        <v>0</v>
      </c>
      <c r="S5" s="29">
        <f>VLOOKUP(C5,'CPD PITSS'!$B$10:$S$27,18,0)</f>
        <v>0</v>
      </c>
      <c r="T5" s="26"/>
      <c r="U5" s="29">
        <f>+K5-O5-P5+Q5+R5+S5+IFERROR(VLOOKUP('RESUMEN PITS'!C5,'IP PITSS'!$B$10:$M$91,10),0)+IFERROR(VLOOKUP('RESUMEN PITS'!C5,'IP PITSS'!$B$10:$M$91,11),0)+IFERROR(VLOOKUP('RESUMEN PITS'!C5,'IP PITSS'!$B$10:$M$91,12),0)+VLOOKUP("Comision",'IP PITSS'!$I$97:$J$108,2)/COUNT($F$9:$F$111)+IFERROR(VLOOKUP('RESUMEN PITS'!C5,'IP PITSS'!$B$10:$AD$91,15),0)+IFERROR(VLOOKUP('RESUMEN PITS'!C5,'IP PITSS'!$B$10:$AD$91,21),0)+IFERROR(VLOOKUP('RESUMEN PITS'!C5,'IP PITSS'!$B$10:$AD$91,22),0)+IFERROR(VLOOKUP('RESUMEN PITS'!C5,'IP PITSS'!$B$10:$AD$91,23),0)+IFERROR(VLOOKUP('RESUMEN PITS'!C5,'IP PITSS'!$B$10:$AD$91,24),0)+IFERROR(VLOOKUP('RESUMEN PITS'!C5,'IP PITSS'!$B$10:$AD$91,26),0)+IFERROR(VLOOKUP('RESUMEN PITS'!C5,'IP PITSS'!$B$10:$AD$91,28),0)+IFERROR(VLOOKUP('RESUMEN PITS'!C5,'IP PITSS'!$B$10:$AD$91,29),0)+IFERROR(VLOOKUP('RESUMEN PITS'!C5,'IP PITSS'!$B$10:$AD$91,9),0)*2%</f>
        <v>8415.953641666667</v>
      </c>
      <c r="V5" s="20">
        <f t="shared" si="0"/>
        <v>-1915.953641666667</v>
      </c>
      <c r="W5" s="20"/>
      <c r="X5" s="29" t="s">
        <v>265</v>
      </c>
    </row>
    <row r="6" spans="1:244" s="29" customFormat="1" x14ac:dyDescent="0.2">
      <c r="A6" s="13" t="s">
        <v>44</v>
      </c>
      <c r="B6" s="13" t="s">
        <v>107</v>
      </c>
      <c r="C6" s="37" t="s">
        <v>45</v>
      </c>
      <c r="D6" s="13">
        <f>VLOOKUP(C6,'CPD PITSS'!B13:V30,21,0)</f>
        <v>5074</v>
      </c>
      <c r="E6" s="38"/>
      <c r="F6" s="29">
        <f>VLOOKUP(C6,'SIND PITS'!$C$3:$H$104,2,0)</f>
        <v>4176</v>
      </c>
      <c r="G6" s="29">
        <f>VLOOKUP(C6,'SIND PITS'!$C$3:$E$104,3,0)</f>
        <v>750</v>
      </c>
      <c r="H6" s="29">
        <f>VLOOKUP(C6,'SIND PITS'!$C$3:$F$104,4,0)</f>
        <v>0</v>
      </c>
      <c r="I6" s="29">
        <f>VLOOKUP(C6,'SIND PITS'!$C$3:$G$104,5,0)</f>
        <v>0</v>
      </c>
      <c r="J6" s="26"/>
      <c r="K6" s="29">
        <f t="shared" si="1"/>
        <v>10000</v>
      </c>
      <c r="L6" s="29">
        <v>18500</v>
      </c>
      <c r="M6" s="29">
        <f t="shared" si="2"/>
        <v>9250</v>
      </c>
      <c r="N6" s="26"/>
      <c r="O6" s="29">
        <f>VLOOKUP($C6,'CPD PITSS'!$B$10:$V$27,8,0)</f>
        <v>0</v>
      </c>
      <c r="P6" s="29">
        <f t="shared" si="3"/>
        <v>750</v>
      </c>
      <c r="Q6" s="29">
        <f>(VLOOKUP($C6,'CPD PITSS'!$B$10:$V$27,13,0))+(VLOOKUP($C6,'CPD PITSS'!$B$10:$V$27,14,0))</f>
        <v>0</v>
      </c>
      <c r="S6" s="29">
        <f>VLOOKUP(C6,'CPD PITSS'!$B$10:$S$27,18,0)</f>
        <v>0</v>
      </c>
      <c r="T6" s="26"/>
      <c r="U6" s="29">
        <f>+K6-O6-P6+Q6+R6+S6+IFERROR(VLOOKUP('RESUMEN PITS'!C6,'IP PITSS'!$B$10:$M$91,10),0)+IFERROR(VLOOKUP('RESUMEN PITS'!C6,'IP PITSS'!$B$10:$M$91,11),0)+IFERROR(VLOOKUP('RESUMEN PITS'!C6,'IP PITSS'!$B$10:$M$91,12),0)+VLOOKUP("Comision",'IP PITSS'!$I$97:$J$108,2)/COUNT($F$9:$F$111)+IFERROR(VLOOKUP('RESUMEN PITS'!C6,'IP PITSS'!$B$10:$AD$91,15),0)+IFERROR(VLOOKUP('RESUMEN PITS'!C6,'IP PITSS'!$B$10:$AD$91,21),0)+IFERROR(VLOOKUP('RESUMEN PITS'!C6,'IP PITSS'!$B$10:$AD$91,22),0)+IFERROR(VLOOKUP('RESUMEN PITS'!C6,'IP PITSS'!$B$10:$AD$91,23),0)+IFERROR(VLOOKUP('RESUMEN PITS'!C6,'IP PITSS'!$B$10:$AD$91,24),0)+IFERROR(VLOOKUP('RESUMEN PITS'!C6,'IP PITSS'!$B$10:$AD$91,26),0)+IFERROR(VLOOKUP('RESUMEN PITS'!C6,'IP PITSS'!$B$10:$AD$91,28),0)+IFERROR(VLOOKUP('RESUMEN PITS'!C6,'IP PITSS'!$B$10:$AD$91,29),0)+IFERROR(VLOOKUP('RESUMEN PITS'!C6,'IP PITSS'!$B$10:$AD$91,9),0)*2%</f>
        <v>10787.723641666669</v>
      </c>
      <c r="V6" s="20">
        <f t="shared" si="0"/>
        <v>-1537.7236416666692</v>
      </c>
      <c r="W6" s="20"/>
      <c r="X6" s="29" t="s">
        <v>335</v>
      </c>
    </row>
    <row r="7" spans="1:244" s="29" customFormat="1" x14ac:dyDescent="0.2">
      <c r="A7" s="13" t="s">
        <v>46</v>
      </c>
      <c r="B7" s="13" t="s">
        <v>107</v>
      </c>
      <c r="C7" s="37" t="s">
        <v>47</v>
      </c>
      <c r="D7" s="13">
        <f>VLOOKUP(C7,'CPD PITSS'!B14:V31,21,0)</f>
        <v>4623.8</v>
      </c>
      <c r="E7" s="38"/>
      <c r="F7" s="29">
        <f>VLOOKUP(C7,'SIND PITS'!$C$3:$H$104,2,0)</f>
        <v>2600.25</v>
      </c>
      <c r="G7" s="29">
        <f>VLOOKUP(C7,'SIND PITS'!$C$3:$E$104,3,0)</f>
        <v>75</v>
      </c>
      <c r="H7" s="29">
        <f>VLOOKUP(C7,'SIND PITS'!$C$3:$F$104,4,0)</f>
        <v>0</v>
      </c>
      <c r="I7" s="29">
        <f>VLOOKUP(C7,'SIND PITS'!$C$3:$G$104,5,0)</f>
        <v>0</v>
      </c>
      <c r="J7" s="26"/>
      <c r="K7" s="29">
        <f t="shared" si="1"/>
        <v>7299.05</v>
      </c>
      <c r="L7" s="29">
        <v>15000</v>
      </c>
      <c r="M7" s="29">
        <f t="shared" si="2"/>
        <v>7500</v>
      </c>
      <c r="N7" s="26"/>
      <c r="O7" s="29">
        <f>VLOOKUP($C7,'CPD PITSS'!$B$10:$V$27,8,0)</f>
        <v>0</v>
      </c>
      <c r="P7" s="29">
        <f t="shared" si="3"/>
        <v>75</v>
      </c>
      <c r="Q7" s="29">
        <f>(VLOOKUP($C7,'CPD PITSS'!$B$10:$V$27,13,0))+(VLOOKUP($C7,'CPD PITSS'!$B$10:$V$27,14,0))</f>
        <v>0</v>
      </c>
      <c r="S7" s="29">
        <f>VLOOKUP(C7,'CPD PITSS'!$B$10:$S$27,18,0)</f>
        <v>275.95</v>
      </c>
      <c r="T7" s="26"/>
      <c r="U7" s="29">
        <f>+K7-O7-P7+Q7+R7+S7+IFERROR(VLOOKUP('RESUMEN PITS'!C7,'IP PITSS'!$B$10:$M$91,10),0)+IFERROR(VLOOKUP('RESUMEN PITS'!C7,'IP PITSS'!$B$10:$M$91,11),0)+IFERROR(VLOOKUP('RESUMEN PITS'!C7,'IP PITSS'!$B$10:$M$91,12),0)+VLOOKUP("Comision",'IP PITSS'!$I$97:$J$108,2)/COUNT($F$9:$F$111)+IFERROR(VLOOKUP('RESUMEN PITS'!C7,'IP PITSS'!$B$10:$AD$91,15),0)+IFERROR(VLOOKUP('RESUMEN PITS'!C7,'IP PITSS'!$B$10:$AD$91,21),0)+IFERROR(VLOOKUP('RESUMEN PITS'!C7,'IP PITSS'!$B$10:$AD$91,22),0)+IFERROR(VLOOKUP('RESUMEN PITS'!C7,'IP PITSS'!$B$10:$AD$91,23),0)+IFERROR(VLOOKUP('RESUMEN PITS'!C7,'IP PITSS'!$B$10:$AD$91,24),0)+IFERROR(VLOOKUP('RESUMEN PITS'!C7,'IP PITSS'!$B$10:$AD$91,26),0)+IFERROR(VLOOKUP('RESUMEN PITS'!C7,'IP PITSS'!$B$10:$AD$91,28),0)+IFERROR(VLOOKUP('RESUMEN PITS'!C7,'IP PITSS'!$B$10:$AD$91,29),0)+IFERROR(VLOOKUP('RESUMEN PITS'!C7,'IP PITSS'!$B$10:$AD$91,9),0)*2%</f>
        <v>8844.8726416666668</v>
      </c>
      <c r="V7" s="20">
        <f t="shared" si="0"/>
        <v>-1344.8726416666668</v>
      </c>
      <c r="W7" s="20"/>
      <c r="X7" s="29" t="s">
        <v>272</v>
      </c>
    </row>
    <row r="8" spans="1:244" s="29" customFormat="1" x14ac:dyDescent="0.2">
      <c r="A8" s="13" t="s">
        <v>48</v>
      </c>
      <c r="B8" s="13" t="s">
        <v>107</v>
      </c>
      <c r="C8" s="37" t="s">
        <v>49</v>
      </c>
      <c r="D8" s="13">
        <f>VLOOKUP(C8,'CPD PITSS'!B15:V32,21,0)</f>
        <v>1975.2</v>
      </c>
      <c r="E8" s="38"/>
      <c r="F8" s="29">
        <f>VLOOKUP(C8,'SIND PITS'!$C$3:$H$104,2,0)</f>
        <v>1558.02</v>
      </c>
      <c r="G8" s="29">
        <f>VLOOKUP(C8,'SIND PITS'!$C$3:$E$104,3,0)</f>
        <v>420</v>
      </c>
      <c r="H8" s="29">
        <f>VLOOKUP(C8,'SIND PITS'!$C$3:$F$104,4,0)</f>
        <v>0</v>
      </c>
      <c r="I8" s="29">
        <f>VLOOKUP(C8,'SIND PITS'!$C$3:$G$104,5,0)</f>
        <v>0</v>
      </c>
      <c r="J8" s="26"/>
      <c r="K8" s="29">
        <f t="shared" si="1"/>
        <v>3953.2200000000003</v>
      </c>
      <c r="L8" s="29">
        <v>10150</v>
      </c>
      <c r="M8" s="29">
        <f t="shared" si="2"/>
        <v>5075</v>
      </c>
      <c r="N8" s="26"/>
      <c r="O8" s="29">
        <f>VLOOKUP($C8,'CPD PITSS'!$B$10:$V$27,8,0)</f>
        <v>0</v>
      </c>
      <c r="P8" s="29">
        <f t="shared" si="3"/>
        <v>420</v>
      </c>
      <c r="Q8" s="29">
        <f>(VLOOKUP($C8,'CPD PITSS'!$B$10:$V$27,13,0))+(VLOOKUP($C8,'CPD PITSS'!$B$10:$V$27,14,0))</f>
        <v>1541.78</v>
      </c>
      <c r="S8" s="29">
        <f>VLOOKUP(C8,'CPD PITSS'!$B$10:$S$27,18,0)</f>
        <v>0</v>
      </c>
      <c r="T8" s="26"/>
      <c r="U8" s="29">
        <f>+K8-O8-P8+Q8+R8+S8+IFERROR(VLOOKUP('RESUMEN PITS'!C8,'IP PITSS'!$B$10:$M$91,10),0)+IFERROR(VLOOKUP('RESUMEN PITS'!C8,'IP PITSS'!$B$10:$M$91,11),0)+IFERROR(VLOOKUP('RESUMEN PITS'!C8,'IP PITSS'!$B$10:$M$91,12),0)+VLOOKUP("Comision",'IP PITSS'!$I$97:$J$108,2)/COUNT($F$9:$F$111)+IFERROR(VLOOKUP('RESUMEN PITS'!C8,'IP PITSS'!$B$10:$AD$91,15),0)+IFERROR(VLOOKUP('RESUMEN PITS'!C8,'IP PITSS'!$B$10:$AD$91,21),0)+IFERROR(VLOOKUP('RESUMEN PITS'!C8,'IP PITSS'!$B$10:$AD$91,22),0)+IFERROR(VLOOKUP('RESUMEN PITS'!C8,'IP PITSS'!$B$10:$AD$91,23),0)+IFERROR(VLOOKUP('RESUMEN PITS'!C8,'IP PITSS'!$B$10:$AD$91,24),0)+IFERROR(VLOOKUP('RESUMEN PITS'!C8,'IP PITSS'!$B$10:$AD$91,26),0)+IFERROR(VLOOKUP('RESUMEN PITS'!C8,'IP PITSS'!$B$10:$AD$91,28),0)+IFERROR(VLOOKUP('RESUMEN PITS'!C8,'IP PITSS'!$B$10:$AD$91,29),0)+IFERROR(VLOOKUP('RESUMEN PITS'!C8,'IP PITSS'!$B$10:$AD$91,9),0)*2%</f>
        <v>5131.5626416666664</v>
      </c>
      <c r="V8" s="20">
        <f t="shared" si="0"/>
        <v>-56.562641666666423</v>
      </c>
      <c r="W8" s="20"/>
      <c r="X8" s="29" t="s">
        <v>108</v>
      </c>
    </row>
    <row r="9" spans="1:244" s="29" customFormat="1" x14ac:dyDescent="0.2">
      <c r="A9" s="13" t="s">
        <v>50</v>
      </c>
      <c r="B9" s="13" t="s">
        <v>107</v>
      </c>
      <c r="C9" s="37" t="s">
        <v>51</v>
      </c>
      <c r="D9" s="13">
        <f>VLOOKUP(C9,'CPD PITSS'!B16:V33,21,0)</f>
        <v>4899.8</v>
      </c>
      <c r="E9" s="38"/>
      <c r="F9" s="29">
        <f>VLOOKUP(C9,'SIND PITS'!$C$3:$H$104,2,0)</f>
        <v>2600.1999999999998</v>
      </c>
      <c r="G9" s="29">
        <f>VLOOKUP(C9,'SIND PITS'!$C$3:$E$104,3,0)</f>
        <v>0</v>
      </c>
      <c r="H9" s="29">
        <f>VLOOKUP(C9,'SIND PITS'!$C$3:$F$104,4,0)</f>
        <v>0</v>
      </c>
      <c r="I9" s="29">
        <f>VLOOKUP(C9,'SIND PITS'!$C$3:$G$104,5,0)</f>
        <v>0</v>
      </c>
      <c r="J9" s="26"/>
      <c r="K9" s="29">
        <f t="shared" si="1"/>
        <v>7500</v>
      </c>
      <c r="L9" s="29">
        <v>15000</v>
      </c>
      <c r="M9" s="29">
        <f t="shared" si="2"/>
        <v>7500</v>
      </c>
      <c r="N9" s="26"/>
      <c r="O9" s="29">
        <f>VLOOKUP($C9,'CPD PITSS'!$B$10:$V$27,8,0)</f>
        <v>0</v>
      </c>
      <c r="P9" s="29">
        <f t="shared" si="3"/>
        <v>0</v>
      </c>
      <c r="Q9" s="29">
        <f>(VLOOKUP($C9,'CPD PITSS'!$B$10:$V$27,13,0))+(VLOOKUP($C9,'CPD PITSS'!$B$10:$V$27,14,0))</f>
        <v>0</v>
      </c>
      <c r="S9" s="29">
        <f>VLOOKUP(C9,'CPD PITSS'!$B$10:$S$27,18,0)</f>
        <v>0</v>
      </c>
      <c r="T9" s="26"/>
      <c r="U9" s="29">
        <f>+K9-O9-P9+Q9+R9+S9+IFERROR(VLOOKUP('RESUMEN PITS'!C9,'IP PITSS'!$B$10:$M$91,10),0)+IFERROR(VLOOKUP('RESUMEN PITS'!C9,'IP PITSS'!$B$10:$M$91,11),0)+IFERROR(VLOOKUP('RESUMEN PITS'!C9,'IP PITSS'!$B$10:$M$91,12),0)+VLOOKUP("Comision",'IP PITSS'!$I$97:$J$108,2)/COUNT($F$9:$F$111)+IFERROR(VLOOKUP('RESUMEN PITS'!C9,'IP PITSS'!$B$10:$AD$91,15),0)+IFERROR(VLOOKUP('RESUMEN PITS'!C9,'IP PITSS'!$B$10:$AD$91,21),0)+IFERROR(VLOOKUP('RESUMEN PITS'!C9,'IP PITSS'!$B$10:$AD$91,22),0)+IFERROR(VLOOKUP('RESUMEN PITS'!C9,'IP PITSS'!$B$10:$AD$91,23),0)+IFERROR(VLOOKUP('RESUMEN PITS'!C9,'IP PITSS'!$B$10:$AD$91,24),0)+IFERROR(VLOOKUP('RESUMEN PITS'!C9,'IP PITSS'!$B$10:$AD$91,26),0)+IFERROR(VLOOKUP('RESUMEN PITS'!C9,'IP PITSS'!$B$10:$AD$91,28),0)+IFERROR(VLOOKUP('RESUMEN PITS'!C9,'IP PITSS'!$B$10:$AD$91,29),0)+IFERROR(VLOOKUP('RESUMEN PITS'!C9,'IP PITSS'!$B$10:$AD$91,9),0)*2%</f>
        <v>8917.0416416666667</v>
      </c>
      <c r="V9" s="20">
        <f t="shared" si="0"/>
        <v>-1417.0416416666667</v>
      </c>
      <c r="W9" s="20"/>
      <c r="X9" s="29" t="s">
        <v>180</v>
      </c>
    </row>
    <row r="10" spans="1:244" s="29" customFormat="1" x14ac:dyDescent="0.2">
      <c r="A10" s="13" t="s">
        <v>52</v>
      </c>
      <c r="B10" s="13" t="s">
        <v>107</v>
      </c>
      <c r="C10" s="37" t="s">
        <v>53</v>
      </c>
      <c r="D10" s="13">
        <f>VLOOKUP(C10,'CPD PITSS'!B17:V34,21,0)</f>
        <v>1823.2</v>
      </c>
      <c r="E10" s="38"/>
      <c r="F10" s="29">
        <f>VLOOKUP(C10,'SIND PITS'!$C$3:$H$104,2,0)</f>
        <v>1558.1099999999997</v>
      </c>
      <c r="G10" s="29">
        <f>VLOOKUP(C10,'SIND PITS'!$C$3:$E$104,3,0)</f>
        <v>210</v>
      </c>
      <c r="H10" s="29">
        <f>VLOOKUP(C10,'SIND PITS'!$C$3:$F$104,4,0)</f>
        <v>0</v>
      </c>
      <c r="I10" s="29">
        <f>VLOOKUP(C10,'SIND PITS'!$C$3:$G$104,5,0)</f>
        <v>274.51</v>
      </c>
      <c r="J10" s="26"/>
      <c r="K10" s="29">
        <f t="shared" si="1"/>
        <v>3865.8199999999997</v>
      </c>
      <c r="L10" s="29">
        <v>10150</v>
      </c>
      <c r="M10" s="29">
        <f t="shared" si="2"/>
        <v>5075</v>
      </c>
      <c r="N10" s="26"/>
      <c r="O10" s="29">
        <f>VLOOKUP($C10,'CPD PITSS'!$B$10:$V$27,8,0)</f>
        <v>334.49</v>
      </c>
      <c r="P10" s="29">
        <f t="shared" si="3"/>
        <v>484.51</v>
      </c>
      <c r="Q10" s="29">
        <f>(VLOOKUP($C10,'CPD PITSS'!$B$10:$V$27,13,0))+(VLOOKUP($C10,'CPD PITSS'!$B$10:$V$27,14,0))</f>
        <v>1789.38</v>
      </c>
      <c r="S10" s="29">
        <f>VLOOKUP(C10,'CPD PITSS'!$B$10:$S$27,18,0)</f>
        <v>238.8</v>
      </c>
      <c r="T10" s="26"/>
      <c r="U10" s="29">
        <f>+K10-O10-P10+Q10+R10+S10+IFERROR(VLOOKUP('RESUMEN PITS'!C10,'IP PITSS'!$B$10:$M$91,10),0)+IFERROR(VLOOKUP('RESUMEN PITS'!C10,'IP PITSS'!$B$10:$M$91,11),0)+IFERROR(VLOOKUP('RESUMEN PITS'!C10,'IP PITSS'!$B$10:$M$91,12),0)+VLOOKUP("Comision",'IP PITSS'!$I$97:$J$108,2)/COUNT($F$9:$F$111)+IFERROR(VLOOKUP('RESUMEN PITS'!C10,'IP PITSS'!$B$10:$AD$91,15),0)+IFERROR(VLOOKUP('RESUMEN PITS'!C10,'IP PITSS'!$B$10:$AD$91,21),0)+IFERROR(VLOOKUP('RESUMEN PITS'!C10,'IP PITSS'!$B$10:$AD$91,22),0)+IFERROR(VLOOKUP('RESUMEN PITS'!C10,'IP PITSS'!$B$10:$AD$91,23),0)+IFERROR(VLOOKUP('RESUMEN PITS'!C10,'IP PITSS'!$B$10:$AD$91,24),0)+IFERROR(VLOOKUP('RESUMEN PITS'!C10,'IP PITSS'!$B$10:$AD$91,26),0)+IFERROR(VLOOKUP('RESUMEN PITS'!C10,'IP PITSS'!$B$10:$AD$91,28),0)+IFERROR(VLOOKUP('RESUMEN PITS'!C10,'IP PITSS'!$B$10:$AD$91,29),0)+IFERROR(VLOOKUP('RESUMEN PITS'!C10,'IP PITSS'!$B$10:$AD$91,9),0)*2%</f>
        <v>5131.5626416666664</v>
      </c>
      <c r="V10" s="20">
        <f t="shared" si="0"/>
        <v>-56.562641666666423</v>
      </c>
      <c r="W10" s="20"/>
      <c r="X10" s="29" t="s">
        <v>115</v>
      </c>
    </row>
    <row r="11" spans="1:244" s="29" customFormat="1" x14ac:dyDescent="0.2">
      <c r="A11" s="13" t="s">
        <v>54</v>
      </c>
      <c r="B11" s="13" t="s">
        <v>107</v>
      </c>
      <c r="C11" s="37" t="s">
        <v>55</v>
      </c>
      <c r="D11" s="13">
        <f>VLOOKUP(C11,'CPD PITSS'!B18:V35,21,0)</f>
        <v>3346.4</v>
      </c>
      <c r="E11" s="38"/>
      <c r="F11" s="29">
        <f>VLOOKUP(C11,'SIND PITS'!$C$3:$H$104,2,0)</f>
        <v>1891.17</v>
      </c>
      <c r="G11" s="29">
        <f>VLOOKUP(C11,'SIND PITS'!$C$3:$E$104,3,0)</f>
        <v>0</v>
      </c>
      <c r="H11" s="29">
        <f>VLOOKUP(C11,'SIND PITS'!$C$3:$F$104,4,0)</f>
        <v>0</v>
      </c>
      <c r="I11" s="29">
        <f>VLOOKUP(C11,'SIND PITS'!$C$3:$G$104,5,0)</f>
        <v>107.5</v>
      </c>
      <c r="J11" s="26"/>
      <c r="K11" s="29">
        <f t="shared" si="1"/>
        <v>5345.07</v>
      </c>
      <c r="L11" s="29">
        <v>12000</v>
      </c>
      <c r="M11" s="29">
        <f t="shared" si="2"/>
        <v>6000</v>
      </c>
      <c r="N11" s="26"/>
      <c r="O11" s="29">
        <f>VLOOKUP($C11,'CPD PITSS'!$B$10:$V$27,8,0)</f>
        <v>132.5</v>
      </c>
      <c r="P11" s="29">
        <f t="shared" si="3"/>
        <v>107.5</v>
      </c>
      <c r="Q11" s="29">
        <f>(VLOOKUP($C11,'CPD PITSS'!$B$10:$V$27,13,0))+(VLOOKUP($C11,'CPD PITSS'!$B$10:$V$27,14,0))</f>
        <v>894.93</v>
      </c>
      <c r="S11" s="29">
        <f>VLOOKUP(C11,'CPD PITSS'!$B$10:$S$27,18,0)</f>
        <v>0</v>
      </c>
      <c r="T11" s="26"/>
      <c r="U11" s="29">
        <f>+K11-O11-P11+Q11+R11+S11+IFERROR(VLOOKUP('RESUMEN PITS'!C11,'IP PITSS'!$B$10:$M$91,10),0)+IFERROR(VLOOKUP('RESUMEN PITS'!C11,'IP PITSS'!$B$10:$M$91,11),0)+IFERROR(VLOOKUP('RESUMEN PITS'!C11,'IP PITSS'!$B$10:$M$91,12),0)+VLOOKUP("Comision",'IP PITSS'!$I$97:$J$108,2)/COUNT($F$9:$F$111)+IFERROR(VLOOKUP('RESUMEN PITS'!C11,'IP PITSS'!$B$10:$AD$91,15),0)+IFERROR(VLOOKUP('RESUMEN PITS'!C11,'IP PITSS'!$B$10:$AD$91,21),0)+IFERROR(VLOOKUP('RESUMEN PITS'!C11,'IP PITSS'!$B$10:$AD$91,22),0)+IFERROR(VLOOKUP('RESUMEN PITS'!C11,'IP PITSS'!$B$10:$AD$91,23),0)+IFERROR(VLOOKUP('RESUMEN PITS'!C11,'IP PITSS'!$B$10:$AD$91,24),0)+IFERROR(VLOOKUP('RESUMEN PITS'!C11,'IP PITSS'!$B$10:$AD$91,26),0)+IFERROR(VLOOKUP('RESUMEN PITS'!C11,'IP PITSS'!$B$10:$AD$91,28),0)+IFERROR(VLOOKUP('RESUMEN PITS'!C11,'IP PITSS'!$B$10:$AD$91,29),0)+IFERROR(VLOOKUP('RESUMEN PITS'!C11,'IP PITSS'!$B$10:$AD$91,9),0)*2%</f>
        <v>6056.5626416666664</v>
      </c>
      <c r="V11" s="20">
        <f t="shared" si="0"/>
        <v>-56.562641666666423</v>
      </c>
      <c r="W11" s="20"/>
      <c r="X11" s="29" t="s">
        <v>120</v>
      </c>
    </row>
    <row r="12" spans="1:244" s="29" customFormat="1" x14ac:dyDescent="0.2">
      <c r="A12" s="21" t="s">
        <v>56</v>
      </c>
      <c r="B12" s="13" t="s">
        <v>107</v>
      </c>
      <c r="C12" s="39" t="s">
        <v>57</v>
      </c>
      <c r="D12" s="13">
        <f>VLOOKUP(C12,'CPD PITSS'!B19:V36,21,0)</f>
        <v>3109.2</v>
      </c>
      <c r="E12" s="38"/>
      <c r="F12" s="29">
        <f>VLOOKUP(C12,'SIND PITS'!$C$3:$H$104,2,0)</f>
        <v>2751.08</v>
      </c>
      <c r="G12" s="29">
        <f>VLOOKUP(C12,'SIND PITS'!$C$3:$E$104,3,0)</f>
        <v>0</v>
      </c>
      <c r="H12" s="29">
        <f>VLOOKUP(C12,'SIND PITS'!$C$3:$F$104,4,0)</f>
        <v>0</v>
      </c>
      <c r="I12" s="29">
        <f>VLOOKUP(C12,'SIND PITS'!$C$3:$G$104,5,0)</f>
        <v>0</v>
      </c>
      <c r="J12" s="26"/>
      <c r="K12" s="29">
        <f t="shared" si="1"/>
        <v>5860.28</v>
      </c>
      <c r="L12" s="20">
        <v>15000</v>
      </c>
      <c r="M12" s="29">
        <f t="shared" si="2"/>
        <v>7500</v>
      </c>
      <c r="N12" s="26"/>
      <c r="O12" s="29">
        <f>VLOOKUP($C12,'CPD PITSS'!$B$10:$V$27,8,0)</f>
        <v>0</v>
      </c>
      <c r="P12" s="29">
        <f t="shared" si="3"/>
        <v>0</v>
      </c>
      <c r="Q12" s="29">
        <f>(VLOOKUP($C12,'CPD PITSS'!$B$10:$V$27,13,0))+(VLOOKUP($C12,'CPD PITSS'!$B$10:$V$27,14,0))</f>
        <v>1639.72</v>
      </c>
      <c r="S12" s="29">
        <f>VLOOKUP(C12,'CPD PITSS'!$B$10:$S$27,18,0)</f>
        <v>0</v>
      </c>
      <c r="T12" s="26"/>
      <c r="U12" s="29">
        <f>+K12-O12-P12+Q12+R12+S12+IFERROR(VLOOKUP('RESUMEN PITS'!C12,'IP PITSS'!$B$10:$M$91,10),0)+IFERROR(VLOOKUP('RESUMEN PITS'!C12,'IP PITSS'!$B$10:$M$91,11),0)+IFERROR(VLOOKUP('RESUMEN PITS'!C12,'IP PITSS'!$B$10:$M$91,12),0)+VLOOKUP("Comision",'IP PITSS'!$I$97:$J$108,2)/COUNT($F$9:$F$111)+IFERROR(VLOOKUP('RESUMEN PITS'!C12,'IP PITSS'!$B$10:$AD$91,15),0)+IFERROR(VLOOKUP('RESUMEN PITS'!C12,'IP PITSS'!$B$10:$AD$91,21),0)+IFERROR(VLOOKUP('RESUMEN PITS'!C12,'IP PITSS'!$B$10:$AD$91,22),0)+IFERROR(VLOOKUP('RESUMEN PITS'!C12,'IP PITSS'!$B$10:$AD$91,23),0)+IFERROR(VLOOKUP('RESUMEN PITS'!C12,'IP PITSS'!$B$10:$AD$91,24),0)+IFERROR(VLOOKUP('RESUMEN PITS'!C12,'IP PITSS'!$B$10:$AD$91,26),0)+IFERROR(VLOOKUP('RESUMEN PITS'!C12,'IP PITSS'!$B$10:$AD$91,28),0)+IFERROR(VLOOKUP('RESUMEN PITS'!C12,'IP PITSS'!$B$10:$AD$91,29),0)+IFERROR(VLOOKUP('RESUMEN PITS'!C12,'IP PITSS'!$B$10:$AD$91,9),0)*2%</f>
        <v>9415.953641666667</v>
      </c>
      <c r="V12" s="20">
        <f t="shared" si="0"/>
        <v>-1915.953641666667</v>
      </c>
      <c r="W12" s="20"/>
      <c r="X12" s="29" t="s">
        <v>224</v>
      </c>
    </row>
    <row r="13" spans="1:244" s="20" customFormat="1" x14ac:dyDescent="0.2">
      <c r="A13" s="13" t="s">
        <v>58</v>
      </c>
      <c r="B13" s="13" t="s">
        <v>107</v>
      </c>
      <c r="C13" s="37" t="s">
        <v>59</v>
      </c>
      <c r="D13" s="13">
        <f>VLOOKUP(C13,'CPD PITSS'!B20:V37,21,0)</f>
        <v>2739.4</v>
      </c>
      <c r="E13" s="38"/>
      <c r="F13" s="29">
        <f>VLOOKUP(C13,'SIND PITS'!$C$3:$H$104,2,0)</f>
        <v>2102.7200000000003</v>
      </c>
      <c r="G13" s="29">
        <f>VLOOKUP(C13,'SIND PITS'!$C$3:$E$104,3,0)</f>
        <v>0</v>
      </c>
      <c r="H13" s="29">
        <f>VLOOKUP(C13,'SIND PITS'!$C$3:$F$104,4,0)</f>
        <v>0</v>
      </c>
      <c r="I13" s="29">
        <f>VLOOKUP(C13,'SIND PITS'!$C$3:$G$104,5,0)</f>
        <v>0</v>
      </c>
      <c r="J13" s="26"/>
      <c r="K13" s="29">
        <f t="shared" si="1"/>
        <v>4842.1200000000008</v>
      </c>
      <c r="L13" s="29">
        <v>13000</v>
      </c>
      <c r="M13" s="29">
        <f t="shared" si="2"/>
        <v>6500</v>
      </c>
      <c r="N13" s="26"/>
      <c r="O13" s="29">
        <f>VLOOKUP($C13,'CPD PITSS'!$B$10:$V$27,8,0)</f>
        <v>0</v>
      </c>
      <c r="P13" s="29">
        <f t="shared" si="3"/>
        <v>0</v>
      </c>
      <c r="Q13" s="29">
        <f>(VLOOKUP($C13,'CPD PITSS'!$B$10:$V$27,13,0))+(VLOOKUP($C13,'CPD PITSS'!$B$10:$V$27,14,0))</f>
        <v>1402.48</v>
      </c>
      <c r="R13" s="29"/>
      <c r="S13" s="29">
        <f>VLOOKUP(C13,'CPD PITSS'!$B$10:$S$27,18,0)</f>
        <v>255.4</v>
      </c>
      <c r="T13" s="26"/>
      <c r="U13" s="29">
        <f>+K13-O13-P13+Q13+R13+S13+IFERROR(VLOOKUP('RESUMEN PITS'!C13,'IP PITSS'!$B$10:$M$91,10),0)+IFERROR(VLOOKUP('RESUMEN PITS'!C13,'IP PITSS'!$B$10:$M$91,11),0)+IFERROR(VLOOKUP('RESUMEN PITS'!C13,'IP PITSS'!$B$10:$M$91,12),0)+VLOOKUP("Comision",'IP PITSS'!$I$97:$J$108,2)/COUNT($F$9:$F$111)+IFERROR(VLOOKUP('RESUMEN PITS'!C13,'IP PITSS'!$B$10:$AD$91,15),0)+IFERROR(VLOOKUP('RESUMEN PITS'!C13,'IP PITSS'!$B$10:$AD$91,21),0)+IFERROR(VLOOKUP('RESUMEN PITS'!C13,'IP PITSS'!$B$10:$AD$91,22),0)+IFERROR(VLOOKUP('RESUMEN PITS'!C13,'IP PITSS'!$B$10:$AD$91,23),0)+IFERROR(VLOOKUP('RESUMEN PITS'!C13,'IP PITSS'!$B$10:$AD$91,24),0)+IFERROR(VLOOKUP('RESUMEN PITS'!C13,'IP PITSS'!$B$10:$AD$91,26),0)+IFERROR(VLOOKUP('RESUMEN PITS'!C13,'IP PITSS'!$B$10:$AD$91,28),0)+IFERROR(VLOOKUP('RESUMEN PITS'!C13,'IP PITSS'!$B$10:$AD$91,29),0)+IFERROR(VLOOKUP('RESUMEN PITS'!C13,'IP PITSS'!$B$10:$AD$91,9),0)*2%</f>
        <v>6556.5626416666664</v>
      </c>
      <c r="V13" s="20">
        <f t="shared" si="0"/>
        <v>-56.562641666666423</v>
      </c>
      <c r="X13" s="29" t="s">
        <v>109</v>
      </c>
    </row>
    <row r="14" spans="1:244" s="29" customFormat="1" x14ac:dyDescent="0.2">
      <c r="A14" s="13" t="s">
        <v>60</v>
      </c>
      <c r="B14" s="13" t="s">
        <v>107</v>
      </c>
      <c r="C14" s="39" t="s">
        <v>61</v>
      </c>
      <c r="D14" s="13">
        <f>VLOOKUP(C14,'CPD PITSS'!B21:V38,21,0)</f>
        <v>4899.8</v>
      </c>
      <c r="E14" s="40"/>
      <c r="F14" s="29">
        <f>VLOOKUP(C14,'SIND PITS'!$C$3:$H$104,2,0)</f>
        <v>2600.1999999999998</v>
      </c>
      <c r="G14" s="29">
        <f>VLOOKUP(C14,'SIND PITS'!$C$3:$E$104,3,0)</f>
        <v>337.5</v>
      </c>
      <c r="H14" s="29">
        <f>VLOOKUP(C14,'SIND PITS'!$C$3:$F$104,4,0)</f>
        <v>0</v>
      </c>
      <c r="I14" s="29">
        <f>VLOOKUP(C14,'SIND PITS'!$C$3:$G$104,5,0)</f>
        <v>0</v>
      </c>
      <c r="J14" s="26"/>
      <c r="K14" s="29">
        <f t="shared" si="1"/>
        <v>7837.5</v>
      </c>
      <c r="L14" s="29">
        <v>15000</v>
      </c>
      <c r="M14" s="29">
        <f t="shared" si="2"/>
        <v>7500</v>
      </c>
      <c r="N14" s="26"/>
      <c r="O14" s="29">
        <f>VLOOKUP($C14,'CPD PITSS'!$B$10:$V$27,8,0)</f>
        <v>0</v>
      </c>
      <c r="P14" s="29">
        <f t="shared" si="3"/>
        <v>337.5</v>
      </c>
      <c r="Q14" s="29">
        <f>(VLOOKUP($C14,'CPD PITSS'!$B$10:$V$27,13,0))+(VLOOKUP($C14,'CPD PITSS'!$B$10:$V$27,14,0))</f>
        <v>0</v>
      </c>
      <c r="S14" s="29">
        <f>VLOOKUP(C14,'CPD PITSS'!$B$10:$S$27,18,0)</f>
        <v>0</v>
      </c>
      <c r="T14" s="26"/>
      <c r="U14" s="29">
        <f>+K14-O14-P14+Q14+R14+S14+IFERROR(VLOOKUP('RESUMEN PITS'!C14,'IP PITSS'!$B$10:$M$91,10),0)+IFERROR(VLOOKUP('RESUMEN PITS'!C14,'IP PITSS'!$B$10:$M$91,11),0)+IFERROR(VLOOKUP('RESUMEN PITS'!C14,'IP PITSS'!$B$10:$M$91,12),0)+VLOOKUP("Comision",'IP PITSS'!$I$97:$J$108,2)/COUNT($F$9:$F$111)+IFERROR(VLOOKUP('RESUMEN PITS'!C14,'IP PITSS'!$B$10:$AD$91,15),0)+IFERROR(VLOOKUP('RESUMEN PITS'!C14,'IP PITSS'!$B$10:$AD$91,21),0)+IFERROR(VLOOKUP('RESUMEN PITS'!C14,'IP PITSS'!$B$10:$AD$91,22),0)+IFERROR(VLOOKUP('RESUMEN PITS'!C14,'IP PITSS'!$B$10:$AD$91,23),0)+IFERROR(VLOOKUP('RESUMEN PITS'!C14,'IP PITSS'!$B$10:$AD$91,24),0)+IFERROR(VLOOKUP('RESUMEN PITS'!C14,'IP PITSS'!$B$10:$AD$91,26),0)+IFERROR(VLOOKUP('RESUMEN PITS'!C14,'IP PITSS'!$B$10:$AD$91,28),0)+IFERROR(VLOOKUP('RESUMEN PITS'!C14,'IP PITSS'!$B$10:$AD$91,29),0)+IFERROR(VLOOKUP('RESUMEN PITS'!C14,'IP PITSS'!$B$10:$AD$91,9),0)*2%</f>
        <v>8917.0416416666667</v>
      </c>
      <c r="V14" s="20">
        <f t="shared" si="0"/>
        <v>-1417.0416416666667</v>
      </c>
      <c r="W14" s="20"/>
      <c r="X14" s="29" t="s">
        <v>199</v>
      </c>
    </row>
    <row r="15" spans="1:244" s="29" customFormat="1" x14ac:dyDescent="0.2">
      <c r="A15" s="13" t="s">
        <v>62</v>
      </c>
      <c r="B15" s="13" t="s">
        <v>107</v>
      </c>
      <c r="C15" s="37" t="s">
        <v>63</v>
      </c>
      <c r="D15" s="13">
        <f>VLOOKUP(C15,'CPD PITSS'!B22:V39,21,0)</f>
        <v>1093.5999999999999</v>
      </c>
      <c r="E15" s="40"/>
      <c r="F15" s="29">
        <f>VLOOKUP(C15,'SIND PITS'!$C$3:$H$104,2,0)</f>
        <v>1483.15</v>
      </c>
      <c r="G15" s="29">
        <f>VLOOKUP(C15,'SIND PITS'!$C$3:$E$104,3,0)</f>
        <v>30</v>
      </c>
      <c r="H15" s="29">
        <f>VLOOKUP(C15,'SIND PITS'!$C$3:$F$104,4,0)</f>
        <v>0</v>
      </c>
      <c r="I15" s="29">
        <f>VLOOKUP(C15,'SIND PITS'!$C$3:$G$104,5,0)</f>
        <v>0</v>
      </c>
      <c r="J15" s="26"/>
      <c r="K15" s="29">
        <f t="shared" si="1"/>
        <v>2606.75</v>
      </c>
      <c r="L15" s="29">
        <v>10000</v>
      </c>
      <c r="M15" s="29">
        <f t="shared" si="2"/>
        <v>5000</v>
      </c>
      <c r="N15" s="26"/>
      <c r="O15" s="29">
        <f>VLOOKUP($C15,'CPD PITSS'!$B$10:$V$27,8,0)</f>
        <v>0</v>
      </c>
      <c r="P15" s="29">
        <f t="shared" si="3"/>
        <v>30</v>
      </c>
      <c r="Q15" s="29">
        <f>(VLOOKUP($C15,'CPD PITSS'!$B$10:$V$27,13,0))+(VLOOKUP($C15,'CPD PITSS'!$B$10:$V$27,14,0))</f>
        <v>2126.25</v>
      </c>
      <c r="S15" s="29">
        <f>VLOOKUP(C15,'CPD PITSS'!$B$10:$S$27,18,0)</f>
        <v>297</v>
      </c>
      <c r="T15" s="26"/>
      <c r="U15" s="29">
        <f>+K15-O15-P15+Q15+R15+S15+IFERROR(VLOOKUP('RESUMEN PITS'!C15,'IP PITSS'!$B$10:$M$91,10),0)+IFERROR(VLOOKUP('RESUMEN PITS'!C15,'IP PITSS'!$B$10:$M$91,11),0)+IFERROR(VLOOKUP('RESUMEN PITS'!C15,'IP PITSS'!$B$10:$M$91,12),0)+VLOOKUP("Comision",'IP PITSS'!$I$97:$J$108,2)/COUNT($F$9:$F$111)+IFERROR(VLOOKUP('RESUMEN PITS'!C15,'IP PITSS'!$B$10:$AD$91,15),0)+IFERROR(VLOOKUP('RESUMEN PITS'!C15,'IP PITSS'!$B$10:$AD$91,21),0)+IFERROR(VLOOKUP('RESUMEN PITS'!C15,'IP PITSS'!$B$10:$AD$91,22),0)+IFERROR(VLOOKUP('RESUMEN PITS'!C15,'IP PITSS'!$B$10:$AD$91,23),0)+IFERROR(VLOOKUP('RESUMEN PITS'!C15,'IP PITSS'!$B$10:$AD$91,24),0)+IFERROR(VLOOKUP('RESUMEN PITS'!C15,'IP PITSS'!$B$10:$AD$91,26),0)+IFERROR(VLOOKUP('RESUMEN PITS'!C15,'IP PITSS'!$B$10:$AD$91,28),0)+IFERROR(VLOOKUP('RESUMEN PITS'!C15,'IP PITSS'!$B$10:$AD$91,29),0)+IFERROR(VLOOKUP('RESUMEN PITS'!C15,'IP PITSS'!$B$10:$AD$91,9),0)*2%</f>
        <v>6344.8726416666659</v>
      </c>
      <c r="V15" s="20">
        <f t="shared" si="0"/>
        <v>-1344.8726416666659</v>
      </c>
      <c r="W15" s="20"/>
      <c r="X15" s="29" t="s">
        <v>281</v>
      </c>
    </row>
    <row r="16" spans="1:244" s="29" customFormat="1" x14ac:dyDescent="0.2">
      <c r="A16" s="13" t="s">
        <v>64</v>
      </c>
      <c r="B16" s="13" t="s">
        <v>107</v>
      </c>
      <c r="C16" s="37" t="s">
        <v>65</v>
      </c>
      <c r="D16" s="13">
        <f>VLOOKUP(C16,'CPD PITSS'!B23:V40,21,0)</f>
        <v>17386.8</v>
      </c>
      <c r="E16" s="40"/>
      <c r="F16" s="29">
        <f>VLOOKUP(C16,'SIND PITS'!$C$3:$H$104,2,0)</f>
        <v>12613.2</v>
      </c>
      <c r="G16" s="29">
        <f>VLOOKUP(C16,'SIND PITS'!$C$3:$E$104,3,0)</f>
        <v>0</v>
      </c>
      <c r="H16" s="29">
        <f>VLOOKUP(C16,'SIND PITS'!$C$3:$F$104,4,0)</f>
        <v>0</v>
      </c>
      <c r="I16" s="29">
        <f>VLOOKUP(C16,'SIND PITS'!$C$3:$G$104,5,0)</f>
        <v>0</v>
      </c>
      <c r="J16" s="26"/>
      <c r="K16" s="29">
        <f t="shared" si="1"/>
        <v>30000</v>
      </c>
      <c r="L16" s="29">
        <v>60000</v>
      </c>
      <c r="M16" s="29">
        <f t="shared" si="2"/>
        <v>30000</v>
      </c>
      <c r="N16" s="26"/>
      <c r="O16" s="29">
        <f>VLOOKUP($C16,'CPD PITSS'!$B$10:$V$27,8,0)</f>
        <v>0</v>
      </c>
      <c r="P16" s="29">
        <f t="shared" si="3"/>
        <v>0</v>
      </c>
      <c r="Q16" s="29">
        <f>(VLOOKUP($C16,'CPD PITSS'!$B$10:$V$27,13,0))+(VLOOKUP($C16,'CPD PITSS'!$B$10:$V$27,14,0))</f>
        <v>0</v>
      </c>
      <c r="S16" s="29">
        <f>VLOOKUP(C16,'CPD PITSS'!$B$10:$S$27,18,0)</f>
        <v>0</v>
      </c>
      <c r="T16" s="26"/>
      <c r="U16" s="29">
        <f>+K16-O16-P16+Q16+R16+S16+IFERROR(VLOOKUP('RESUMEN PITS'!C16,'IP PITSS'!$B$10:$M$91,10),0)+IFERROR(VLOOKUP('RESUMEN PITS'!C16,'IP PITSS'!$B$10:$M$91,11),0)+IFERROR(VLOOKUP('RESUMEN PITS'!C16,'IP PITSS'!$B$10:$M$91,12),0)+VLOOKUP("Comision",'IP PITSS'!$I$97:$J$108,2)/COUNT($F$9:$F$111)+IFERROR(VLOOKUP('RESUMEN PITS'!C16,'IP PITSS'!$B$10:$AD$91,15),0)+IFERROR(VLOOKUP('RESUMEN PITS'!C16,'IP PITSS'!$B$10:$AD$91,21),0)+IFERROR(VLOOKUP('RESUMEN PITS'!C16,'IP PITSS'!$B$10:$AD$91,22),0)+IFERROR(VLOOKUP('RESUMEN PITS'!C16,'IP PITSS'!$B$10:$AD$91,23),0)+IFERROR(VLOOKUP('RESUMEN PITS'!C16,'IP PITSS'!$B$10:$AD$91,24),0)+IFERROR(VLOOKUP('RESUMEN PITS'!C16,'IP PITSS'!$B$10:$AD$91,26),0)+IFERROR(VLOOKUP('RESUMEN PITS'!C16,'IP PITSS'!$B$10:$AD$91,28),0)+IFERROR(VLOOKUP('RESUMEN PITS'!C16,'IP PITSS'!$B$10:$AD$91,29),0)+IFERROR(VLOOKUP('RESUMEN PITS'!C16,'IP PITSS'!$B$10:$AD$91,9),0)*2%</f>
        <v>31344.872641666661</v>
      </c>
      <c r="V16" s="20">
        <f t="shared" si="0"/>
        <v>-1344.8726416666614</v>
      </c>
      <c r="W16" s="20"/>
      <c r="X16" s="29" t="s">
        <v>301</v>
      </c>
    </row>
    <row r="17" spans="1:24" s="29" customFormat="1" x14ac:dyDescent="0.2">
      <c r="A17" s="13" t="s">
        <v>66</v>
      </c>
      <c r="B17" s="13" t="s">
        <v>107</v>
      </c>
      <c r="C17" s="37" t="s">
        <v>67</v>
      </c>
      <c r="D17" s="13">
        <f>VLOOKUP(C17,'CPD PITSS'!B24:V41,21,0)</f>
        <v>3572.8</v>
      </c>
      <c r="E17" s="40"/>
      <c r="F17" s="29">
        <f>VLOOKUP(C17,'SIND PITS'!$C$3:$H$104,2,0)</f>
        <v>1557.9499999999998</v>
      </c>
      <c r="G17" s="29">
        <f>VLOOKUP(C17,'SIND PITS'!$C$3:$E$104,3,0)</f>
        <v>60</v>
      </c>
      <c r="H17" s="29">
        <f>VLOOKUP(C17,'SIND PITS'!$C$3:$F$104,4,0)</f>
        <v>0</v>
      </c>
      <c r="I17" s="29">
        <f>VLOOKUP(C17,'SIND PITS'!$C$3:$G$104,5,0)</f>
        <v>45.749999999999986</v>
      </c>
      <c r="J17" s="26"/>
      <c r="K17" s="29">
        <f t="shared" si="1"/>
        <v>5236.5</v>
      </c>
      <c r="L17" s="29">
        <v>10150</v>
      </c>
      <c r="M17" s="29">
        <f t="shared" si="2"/>
        <v>5075</v>
      </c>
      <c r="N17" s="26"/>
      <c r="O17" s="29">
        <f>VLOOKUP($C17,'CPD PITSS'!$B$10:$V$27,8,0)</f>
        <v>55.75</v>
      </c>
      <c r="P17" s="29">
        <f t="shared" si="3"/>
        <v>105.74999999999999</v>
      </c>
      <c r="Q17" s="29">
        <f>(VLOOKUP($C17,'CPD PITSS'!$B$10:$V$27,13,0))+(VLOOKUP($C17,'CPD PITSS'!$B$10:$V$27,14,0))</f>
        <v>0</v>
      </c>
      <c r="S17" s="29">
        <f>VLOOKUP(C17,'CPD PITSS'!$B$10:$S$27,18,0)</f>
        <v>0</v>
      </c>
      <c r="T17" s="26"/>
      <c r="U17" s="29">
        <f>+K17-O17-P17+Q17+R17+S17+IFERROR(VLOOKUP('RESUMEN PITS'!C17,'IP PITSS'!$B$10:$M$91,10),0)+IFERROR(VLOOKUP('RESUMEN PITS'!C17,'IP PITSS'!$B$10:$M$91,11),0)+IFERROR(VLOOKUP('RESUMEN PITS'!C17,'IP PITSS'!$B$10:$M$91,12),0)+VLOOKUP("Comision",'IP PITSS'!$I$97:$J$108,2)/COUNT($F$9:$F$111)+IFERROR(VLOOKUP('RESUMEN PITS'!C17,'IP PITSS'!$B$10:$AD$91,15),0)+IFERROR(VLOOKUP('RESUMEN PITS'!C17,'IP PITSS'!$B$10:$AD$91,21),0)+IFERROR(VLOOKUP('RESUMEN PITS'!C17,'IP PITSS'!$B$10:$AD$91,22),0)+IFERROR(VLOOKUP('RESUMEN PITS'!C17,'IP PITSS'!$B$10:$AD$91,23),0)+IFERROR(VLOOKUP('RESUMEN PITS'!C17,'IP PITSS'!$B$10:$AD$91,24),0)+IFERROR(VLOOKUP('RESUMEN PITS'!C17,'IP PITSS'!$B$10:$AD$91,26),0)+IFERROR(VLOOKUP('RESUMEN PITS'!C17,'IP PITSS'!$B$10:$AD$91,28),0)+IFERROR(VLOOKUP('RESUMEN PITS'!C17,'IP PITSS'!$B$10:$AD$91,29),0)+IFERROR(VLOOKUP('RESUMEN PITS'!C17,'IP PITSS'!$B$10:$AD$91,9),0)*2%</f>
        <v>5131.5626416666664</v>
      </c>
      <c r="V17" s="20">
        <f t="shared" si="0"/>
        <v>-56.562641666666423</v>
      </c>
      <c r="W17" s="20"/>
      <c r="X17" s="29" t="s">
        <v>159</v>
      </c>
    </row>
    <row r="18" spans="1:24" s="29" customFormat="1" x14ac:dyDescent="0.2">
      <c r="A18" s="13" t="s">
        <v>68</v>
      </c>
      <c r="B18" s="13" t="s">
        <v>107</v>
      </c>
      <c r="C18" s="37" t="s">
        <v>69</v>
      </c>
      <c r="D18" s="13">
        <f>VLOOKUP(C18,'CPD PITSS'!B25:V42,21,0)</f>
        <v>2376.1999999999998</v>
      </c>
      <c r="E18" s="40"/>
      <c r="F18" s="29">
        <f>VLOOKUP(C18,'SIND PITS'!$C$3:$H$104,2,0)</f>
        <v>1608.0599999999995</v>
      </c>
      <c r="G18" s="29">
        <f>VLOOKUP(C18,'SIND PITS'!$C$3:$E$104,3,0)</f>
        <v>210</v>
      </c>
      <c r="H18" s="29">
        <f>VLOOKUP(C18,'SIND PITS'!$C$3:$F$104,4,0)</f>
        <v>0</v>
      </c>
      <c r="I18" s="29">
        <f>VLOOKUP(C18,'SIND PITS'!$C$3:$G$104,5,0)</f>
        <v>280.51</v>
      </c>
      <c r="J18" s="26"/>
      <c r="K18" s="29">
        <f t="shared" si="1"/>
        <v>4474.7699999999995</v>
      </c>
      <c r="L18" s="29">
        <v>10250</v>
      </c>
      <c r="M18" s="29">
        <f t="shared" si="2"/>
        <v>5125</v>
      </c>
      <c r="N18" s="26"/>
      <c r="O18" s="29">
        <f>VLOOKUP($C18,'CPD PITSS'!$B$10:$V$27,8,0)</f>
        <v>334.49</v>
      </c>
      <c r="P18" s="29">
        <f t="shared" si="3"/>
        <v>490.51</v>
      </c>
      <c r="Q18" s="29">
        <f>(VLOOKUP($C18,'CPD PITSS'!$B$10:$V$27,13,0))+(VLOOKUP($C18,'CPD PITSS'!$B$10:$V$27,14,0))</f>
        <v>1475.23</v>
      </c>
      <c r="S18" s="29">
        <f>VLOOKUP(C18,'CPD PITSS'!$B$10:$S$27,18,0)</f>
        <v>0</v>
      </c>
      <c r="T18" s="26"/>
      <c r="U18" s="29">
        <f>+K18-O18-P18+Q18+R18+S18+IFERROR(VLOOKUP('RESUMEN PITS'!C18,'IP PITSS'!$B$10:$M$91,10),0)+IFERROR(VLOOKUP('RESUMEN PITS'!C18,'IP PITSS'!$B$10:$M$91,11),0)+IFERROR(VLOOKUP('RESUMEN PITS'!C18,'IP PITSS'!$B$10:$M$91,12),0)+VLOOKUP("Comision",'IP PITSS'!$I$97:$J$108,2)/COUNT($F$9:$F$111)+IFERROR(VLOOKUP('RESUMEN PITS'!C18,'IP PITSS'!$B$10:$AD$91,15),0)+IFERROR(VLOOKUP('RESUMEN PITS'!C18,'IP PITSS'!$B$10:$AD$91,21),0)+IFERROR(VLOOKUP('RESUMEN PITS'!C18,'IP PITSS'!$B$10:$AD$91,22),0)+IFERROR(VLOOKUP('RESUMEN PITS'!C18,'IP PITSS'!$B$10:$AD$91,23),0)+IFERROR(VLOOKUP('RESUMEN PITS'!C18,'IP PITSS'!$B$10:$AD$91,24),0)+IFERROR(VLOOKUP('RESUMEN PITS'!C18,'IP PITSS'!$B$10:$AD$91,26),0)+IFERROR(VLOOKUP('RESUMEN PITS'!C18,'IP PITSS'!$B$10:$AD$91,28),0)+IFERROR(VLOOKUP('RESUMEN PITS'!C18,'IP PITSS'!$B$10:$AD$91,29),0)+IFERROR(VLOOKUP('RESUMEN PITS'!C18,'IP PITSS'!$B$10:$AD$91,9),0)*2%</f>
        <v>5181.5626416666664</v>
      </c>
      <c r="V18" s="20">
        <f t="shared" si="0"/>
        <v>-56.562641666666423</v>
      </c>
      <c r="W18" s="20"/>
      <c r="X18" s="29" t="s">
        <v>116</v>
      </c>
    </row>
    <row r="19" spans="1:24" s="29" customFormat="1" x14ac:dyDescent="0.2">
      <c r="A19" s="12" t="s">
        <v>70</v>
      </c>
      <c r="B19" s="13" t="s">
        <v>107</v>
      </c>
      <c r="C19" s="12" t="s">
        <v>71</v>
      </c>
      <c r="D19" s="13">
        <f>VLOOKUP(C19,'CPD PITSS'!B26:V43,21,0)</f>
        <v>3196.6</v>
      </c>
      <c r="E19" s="40"/>
      <c r="F19" s="29">
        <f>VLOOKUP(C19,'SIND PITS'!$C$3:$H$104,2,0)</f>
        <v>16803.400000000001</v>
      </c>
      <c r="G19" s="29">
        <f>VLOOKUP(C19,'SIND PITS'!$C$3:$E$104,3,0)</f>
        <v>0</v>
      </c>
      <c r="H19" s="29">
        <f>VLOOKUP(C19,'SIND PITS'!$C$3:$F$104,4,0)</f>
        <v>0</v>
      </c>
      <c r="I19" s="29">
        <f>VLOOKUP(C19,'SIND PITS'!$C$3:$G$104,5,0)</f>
        <v>0</v>
      </c>
      <c r="J19" s="26"/>
      <c r="K19" s="29">
        <f t="shared" si="1"/>
        <v>20000</v>
      </c>
      <c r="L19" s="20">
        <v>40000</v>
      </c>
      <c r="M19" s="29">
        <f t="shared" si="2"/>
        <v>20000</v>
      </c>
      <c r="N19" s="26"/>
      <c r="O19" s="29">
        <f>VLOOKUP($C19,'CPD PITSS'!$B$10:$V$27,8,0)</f>
        <v>0</v>
      </c>
      <c r="P19" s="29">
        <f t="shared" si="3"/>
        <v>0</v>
      </c>
      <c r="Q19" s="29">
        <f>(VLOOKUP($C19,'CPD PITSS'!$B$10:$V$27,13,0))+(VLOOKUP($C19,'CPD PITSS'!$B$10:$V$27,14,0))</f>
        <v>0</v>
      </c>
      <c r="S19" s="29">
        <f>VLOOKUP(C19,'CPD PITSS'!$B$10:$S$27,18,0)</f>
        <v>0</v>
      </c>
      <c r="T19" s="26"/>
      <c r="U19" s="29">
        <f>+K19-O19-P19+Q19+R19+S19+IFERROR(VLOOKUP('RESUMEN PITS'!C19,'IP PITSS'!$B$10:$M$91,10),0)+IFERROR(VLOOKUP('RESUMEN PITS'!C19,'IP PITSS'!$B$10:$M$91,11),0)+IFERROR(VLOOKUP('RESUMEN PITS'!C19,'IP PITSS'!$B$10:$M$91,12),0)+VLOOKUP("Comision",'IP PITSS'!$I$97:$J$108,2)/COUNT($F$9:$F$111)+IFERROR(VLOOKUP('RESUMEN PITS'!C19,'IP PITSS'!$B$10:$AD$91,15),0)+IFERROR(VLOOKUP('RESUMEN PITS'!C19,'IP PITSS'!$B$10:$AD$91,21),0)+IFERROR(VLOOKUP('RESUMEN PITS'!C19,'IP PITSS'!$B$10:$AD$91,22),0)+IFERROR(VLOOKUP('RESUMEN PITS'!C19,'IP PITSS'!$B$10:$AD$91,23),0)+IFERROR(VLOOKUP('RESUMEN PITS'!C19,'IP PITSS'!$B$10:$AD$91,24),0)+IFERROR(VLOOKUP('RESUMEN PITS'!C19,'IP PITSS'!$B$10:$AD$91,26),0)+IFERROR(VLOOKUP('RESUMEN PITS'!C19,'IP PITSS'!$B$10:$AD$91,28),0)+IFERROR(VLOOKUP('RESUMEN PITS'!C19,'IP PITSS'!$B$10:$AD$91,29),0)+IFERROR(VLOOKUP('RESUMEN PITS'!C19,'IP PITSS'!$B$10:$AD$91,9),0)*2%</f>
        <v>20056.562641666667</v>
      </c>
      <c r="V19" s="20">
        <f t="shared" si="0"/>
        <v>-56.562641666667332</v>
      </c>
      <c r="W19" s="20"/>
      <c r="X19" s="29" t="s">
        <v>114</v>
      </c>
    </row>
    <row r="20" spans="1:24" s="29" customFormat="1" x14ac:dyDescent="0.2">
      <c r="A20" s="6" t="s">
        <v>72</v>
      </c>
      <c r="B20" s="13" t="s">
        <v>107</v>
      </c>
      <c r="C20" s="6" t="s">
        <v>73</v>
      </c>
      <c r="D20" s="13">
        <f>VLOOKUP(C20,'CPD PITSS'!B27:V44,21,0)</f>
        <v>4036.2</v>
      </c>
      <c r="E20" s="40"/>
      <c r="F20" s="29">
        <f>VLOOKUP(C20,'SIND PITS'!$C$3:$H$104,2,0)</f>
        <v>2463.8000000000002</v>
      </c>
      <c r="G20" s="29">
        <f>VLOOKUP(C20,'SIND PITS'!$C$3:$E$104,3,0)</f>
        <v>1000</v>
      </c>
      <c r="H20" s="29">
        <f>VLOOKUP(C20,'SIND PITS'!$C$3:$F$104,4,0)</f>
        <v>0</v>
      </c>
      <c r="I20" s="29">
        <f>VLOOKUP(C20,'SIND PITS'!$C$3:$G$104,5,0)</f>
        <v>0</v>
      </c>
      <c r="J20" s="26"/>
      <c r="K20" s="29">
        <f t="shared" si="1"/>
        <v>7500</v>
      </c>
      <c r="L20" s="29">
        <v>13000</v>
      </c>
      <c r="M20" s="29">
        <f t="shared" si="2"/>
        <v>6500</v>
      </c>
      <c r="N20" s="26"/>
      <c r="O20" s="29">
        <f>VLOOKUP($C20,'CPD PITSS'!$B$10:$V$27,8,0)</f>
        <v>0</v>
      </c>
      <c r="P20" s="29">
        <f t="shared" si="3"/>
        <v>1000</v>
      </c>
      <c r="Q20" s="29">
        <f>(VLOOKUP($C20,'CPD PITSS'!$B$10:$V$27,13,0))+(VLOOKUP($C20,'CPD PITSS'!$B$10:$V$27,14,0))</f>
        <v>0</v>
      </c>
      <c r="S20" s="29">
        <f>VLOOKUP(C20,'CPD PITSS'!$B$10:$S$27,18,0)</f>
        <v>0</v>
      </c>
      <c r="T20" s="26"/>
      <c r="U20" s="29">
        <f>+K20-O20-P20+Q20+R20+S20+IFERROR(VLOOKUP('RESUMEN PITS'!C20,'IP PITSS'!$B$10:$M$91,10),0)+IFERROR(VLOOKUP('RESUMEN PITS'!C20,'IP PITSS'!$B$10:$M$91,11),0)+IFERROR(VLOOKUP('RESUMEN PITS'!C20,'IP PITSS'!$B$10:$M$91,12),0)+VLOOKUP("Comision",'IP PITSS'!$I$97:$J$108,2)/COUNT($F$9:$F$111)+IFERROR(VLOOKUP('RESUMEN PITS'!C20,'IP PITSS'!$B$10:$AD$91,15),0)+IFERROR(VLOOKUP('RESUMEN PITS'!C20,'IP PITSS'!$B$10:$AD$91,21),0)+IFERROR(VLOOKUP('RESUMEN PITS'!C20,'IP PITSS'!$B$10:$AD$91,22),0)+IFERROR(VLOOKUP('RESUMEN PITS'!C20,'IP PITSS'!$B$10:$AD$91,23),0)+IFERROR(VLOOKUP('RESUMEN PITS'!C20,'IP PITSS'!$B$10:$AD$91,24),0)+IFERROR(VLOOKUP('RESUMEN PITS'!C20,'IP PITSS'!$B$10:$AD$91,26),0)+IFERROR(VLOOKUP('RESUMEN PITS'!C20,'IP PITSS'!$B$10:$AD$91,28),0)+IFERROR(VLOOKUP('RESUMEN PITS'!C20,'IP PITSS'!$B$10:$AD$91,29),0)+IFERROR(VLOOKUP('RESUMEN PITS'!C20,'IP PITSS'!$B$10:$AD$91,9),0)*2%</f>
        <v>7844.8726416666659</v>
      </c>
      <c r="V20" s="20">
        <f t="shared" si="0"/>
        <v>-1344.8726416666659</v>
      </c>
      <c r="W20" s="42"/>
      <c r="X20" s="29" t="s">
        <v>314</v>
      </c>
    </row>
    <row r="21" spans="1:24" s="94" customFormat="1" x14ac:dyDescent="0.2">
      <c r="A21" s="95" t="s">
        <v>36</v>
      </c>
      <c r="B21" s="21" t="s">
        <v>94</v>
      </c>
      <c r="C21" s="95" t="s">
        <v>321</v>
      </c>
      <c r="D21" s="21">
        <f>VLOOKUP(C21,'IP PITSS'!$B$10:$U$91,20,0)</f>
        <v>3585.4</v>
      </c>
      <c r="E21" s="96"/>
      <c r="F21" s="97">
        <f>VLOOKUP(C21,'SIND PITS'!$C$3:$H$104,2,0)</f>
        <v>414.60000000000036</v>
      </c>
      <c r="G21" s="97">
        <f>VLOOKUP(C21,'SIND PITS'!$C$3:$E$104,3,0)</f>
        <v>175</v>
      </c>
      <c r="H21" s="97">
        <f>VLOOKUP(C21,'SIND PITS'!$C$3:$F$104,4,0)</f>
        <v>0</v>
      </c>
      <c r="I21" s="97">
        <f>VLOOKUP(C21,'SIND PITS'!$C$3:$G$104,5,0)</f>
        <v>0</v>
      </c>
      <c r="J21" s="98"/>
      <c r="K21" s="99">
        <f t="shared" si="1"/>
        <v>4175</v>
      </c>
      <c r="L21" s="99">
        <v>8000</v>
      </c>
      <c r="M21" s="97">
        <f t="shared" si="2"/>
        <v>4000</v>
      </c>
      <c r="N21" s="100"/>
      <c r="O21" s="99">
        <f>VLOOKUP(C21,'IP PITSS'!$B$10:$I$91,8,0)</f>
        <v>0</v>
      </c>
      <c r="P21" s="29">
        <f t="shared" si="3"/>
        <v>175</v>
      </c>
      <c r="Q21" s="99">
        <f>VLOOKUP(C21,'IP PITSS'!$B$10:$K$91,10,0)+VLOOKUP('RESUMEN PITS'!C21,'IP PITSS'!$B$10:$L$91,11,0)+VLOOKUP('RESUMEN PITS'!C21,'IP PITSS'!$B$10:$M$91,12,0)</f>
        <v>0</v>
      </c>
      <c r="R21" s="99">
        <f>VLOOKUP(C21,'IP PITSS'!$B$10:$Q$91,16,0)</f>
        <v>0</v>
      </c>
      <c r="S21" s="99">
        <f>VLOOKUP(C21,'IP PITSS'!$B$10:$R$91,17,0)</f>
        <v>0</v>
      </c>
      <c r="T21" s="100"/>
      <c r="U21" s="29">
        <f>+K21-O21-P21+Q21+R21+S21+IFERROR(VLOOKUP('RESUMEN PITS'!C21,'IP PITSS'!$B$10:$M$91,10),0)+IFERROR(VLOOKUP('RESUMEN PITS'!C21,'IP PITSS'!$B$10:$M$91,11),0)+IFERROR(VLOOKUP('RESUMEN PITS'!C21,'IP PITSS'!$B$10:$M$91,12),0)+VLOOKUP("Comision",'IP PITSS'!$I$97:$J$108,2)/COUNT($F$9:$F$111)+IFERROR(VLOOKUP('RESUMEN PITS'!C21,'IP PITSS'!$B$10:$AD$91,15),0)+IFERROR(VLOOKUP('RESUMEN PITS'!C21,'IP PITSS'!$B$10:$AD$91,21),0)+IFERROR(VLOOKUP('RESUMEN PITS'!C21,'IP PITSS'!$B$10:$AD$91,22),0)+IFERROR(VLOOKUP('RESUMEN PITS'!C21,'IP PITSS'!$B$10:$AD$91,23),0)+IFERROR(VLOOKUP('RESUMEN PITS'!C21,'IP PITSS'!$B$10:$AD$91,24),0)+IFERROR(VLOOKUP('RESUMEN PITS'!C21,'IP PITSS'!$B$10:$AD$91,26),0)+IFERROR(VLOOKUP('RESUMEN PITS'!C21,'IP PITSS'!$B$10:$AD$91,28),0)+IFERROR(VLOOKUP('RESUMEN PITS'!C21,'IP PITSS'!$B$10:$AD$91,29),0)+IFERROR(VLOOKUP('RESUMEN PITS'!C21,'IP PITSS'!$B$10:$AD$91,9),0)*2%</f>
        <v>5344.8726416666659</v>
      </c>
      <c r="V21" s="99">
        <f t="shared" si="0"/>
        <v>-1344.8726416666659</v>
      </c>
      <c r="X21" s="93" t="s">
        <v>322</v>
      </c>
    </row>
    <row r="22" spans="1:24" s="29" customFormat="1" x14ac:dyDescent="0.2">
      <c r="A22" s="101" t="s">
        <v>262</v>
      </c>
      <c r="B22" s="21" t="s">
        <v>94</v>
      </c>
      <c r="C22" s="102" t="s">
        <v>263</v>
      </c>
      <c r="D22" s="21">
        <f>VLOOKUP(C22,'IP PITSS'!$B$10:$U$91,20,0)</f>
        <v>3585.2</v>
      </c>
      <c r="E22" s="103"/>
      <c r="F22" s="97">
        <f>VLOOKUP(C22,'SIND PITS'!$C$3:$H$104,2,0)</f>
        <v>414.80000000000018</v>
      </c>
      <c r="G22" s="97">
        <f>VLOOKUP(C22,'SIND PITS'!$C$3:$E$104,3,0)</f>
        <v>175</v>
      </c>
      <c r="H22" s="97">
        <f>VLOOKUP(C22,'SIND PITS'!$C$3:$F$104,4,0)</f>
        <v>0</v>
      </c>
      <c r="I22" s="97">
        <f>VLOOKUP(C22,'SIND PITS'!$C$3:$G$104,5,0)</f>
        <v>0</v>
      </c>
      <c r="J22" s="100"/>
      <c r="K22" s="97">
        <f t="shared" si="1"/>
        <v>4175</v>
      </c>
      <c r="L22" s="97">
        <v>8000</v>
      </c>
      <c r="M22" s="97">
        <f t="shared" si="2"/>
        <v>4000</v>
      </c>
      <c r="N22" s="100"/>
      <c r="O22" s="99">
        <f>VLOOKUP(C22,'IP PITSS'!$B$10:$I$91,8,0)</f>
        <v>0</v>
      </c>
      <c r="P22" s="29">
        <f t="shared" si="3"/>
        <v>175</v>
      </c>
      <c r="Q22" s="99">
        <f>VLOOKUP(C22,'IP PITSS'!$B$10:$K$91,10,0)+VLOOKUP('RESUMEN PITS'!C22,'IP PITSS'!$B$10:$L$91,11,0)+VLOOKUP('RESUMEN PITS'!C22,'IP PITSS'!$B$10:$M$91,12,0)</f>
        <v>0</v>
      </c>
      <c r="R22" s="99">
        <f>VLOOKUP(C22,'IP PITSS'!$B$10:$Q$91,16,0)</f>
        <v>0</v>
      </c>
      <c r="S22" s="99">
        <f>VLOOKUP(C22,'IP PITSS'!$B$10:$R$91,17,0)</f>
        <v>0</v>
      </c>
      <c r="T22" s="100"/>
      <c r="U22" s="29">
        <f>+K22-O22-P22+Q22+R22+S22+IFERROR(VLOOKUP('RESUMEN PITS'!C22,'IP PITSS'!$B$10:$M$91,10),0)+IFERROR(VLOOKUP('RESUMEN PITS'!C22,'IP PITSS'!$B$10:$M$91,11),0)+IFERROR(VLOOKUP('RESUMEN PITS'!C22,'IP PITSS'!$B$10:$M$91,12),0)+VLOOKUP("Comision",'IP PITSS'!$I$97:$J$108,2)/COUNT($F$9:$F$111)+IFERROR(VLOOKUP('RESUMEN PITS'!C22,'IP PITSS'!$B$10:$AD$91,15),0)+IFERROR(VLOOKUP('RESUMEN PITS'!C22,'IP PITSS'!$B$10:$AD$91,21),0)+IFERROR(VLOOKUP('RESUMEN PITS'!C22,'IP PITSS'!$B$10:$AD$91,22),0)+IFERROR(VLOOKUP('RESUMEN PITS'!C22,'IP PITSS'!$B$10:$AD$91,23),0)+IFERROR(VLOOKUP('RESUMEN PITS'!C22,'IP PITSS'!$B$10:$AD$91,24),0)+IFERROR(VLOOKUP('RESUMEN PITS'!C22,'IP PITSS'!$B$10:$AD$91,26),0)+IFERROR(VLOOKUP('RESUMEN PITS'!C22,'IP PITSS'!$B$10:$AD$91,28),0)+IFERROR(VLOOKUP('RESUMEN PITS'!C22,'IP PITSS'!$B$10:$AD$91,29),0)+IFERROR(VLOOKUP('RESUMEN PITS'!C22,'IP PITSS'!$B$10:$AD$91,9),0)*2%</f>
        <v>5915.953641666667</v>
      </c>
      <c r="V22" s="99">
        <f t="shared" si="0"/>
        <v>-1915.953641666667</v>
      </c>
      <c r="W22" s="20"/>
      <c r="X22" s="29" t="s">
        <v>264</v>
      </c>
    </row>
    <row r="23" spans="1:24" s="20" customFormat="1" x14ac:dyDescent="0.2">
      <c r="A23" s="102" t="s">
        <v>273</v>
      </c>
      <c r="B23" s="21" t="s">
        <v>94</v>
      </c>
      <c r="C23" s="102" t="s">
        <v>274</v>
      </c>
      <c r="D23" s="21">
        <f>VLOOKUP(C23,'IP PITSS'!$B$10:$U$91,20,0)</f>
        <v>2716.8</v>
      </c>
      <c r="E23" s="103"/>
      <c r="F23" s="97">
        <f>VLOOKUP(C23,'SIND PITS'!$C$3:$H$104,2,0)</f>
        <v>414.75999999999976</v>
      </c>
      <c r="G23" s="97">
        <f>VLOOKUP(C23,'SIND PITS'!$C$3:$E$104,3,0)</f>
        <v>250</v>
      </c>
      <c r="H23" s="97">
        <f>VLOOKUP(C23,'SIND PITS'!$C$3:$F$104,4,0)</f>
        <v>0</v>
      </c>
      <c r="I23" s="97">
        <f>VLOOKUP(C23,'SIND PITS'!$C$3:$G$104,5,0)</f>
        <v>0</v>
      </c>
      <c r="J23" s="100"/>
      <c r="K23" s="97">
        <f t="shared" si="1"/>
        <v>3381.56</v>
      </c>
      <c r="L23" s="97">
        <v>8000</v>
      </c>
      <c r="M23" s="97">
        <f t="shared" si="2"/>
        <v>4000</v>
      </c>
      <c r="N23" s="100"/>
      <c r="O23" s="99">
        <f>VLOOKUP(C23,'IP PITSS'!$B$10:$I$91,8,0)</f>
        <v>0</v>
      </c>
      <c r="P23" s="29">
        <f t="shared" si="3"/>
        <v>250</v>
      </c>
      <c r="Q23" s="99">
        <f>VLOOKUP(C23,'IP PITSS'!$B$10:$K$91,10,0)+VLOOKUP('RESUMEN PITS'!C23,'IP PITSS'!$B$10:$L$91,11,0)+VLOOKUP('RESUMEN PITS'!C23,'IP PITSS'!$B$10:$M$91,12,0)</f>
        <v>868.44</v>
      </c>
      <c r="R23" s="99">
        <f>VLOOKUP(C23,'IP PITSS'!$B$10:$Q$91,16,0)</f>
        <v>0</v>
      </c>
      <c r="S23" s="99">
        <f>VLOOKUP(C23,'IP PITSS'!$B$10:$R$91,17,0)</f>
        <v>0</v>
      </c>
      <c r="T23" s="100"/>
      <c r="U23" s="29">
        <f>+K23-O23-P23+Q23+R23+S23+IFERROR(VLOOKUP('RESUMEN PITS'!C23,'IP PITSS'!$B$10:$M$91,10),0)+IFERROR(VLOOKUP('RESUMEN PITS'!C23,'IP PITSS'!$B$10:$M$91,11),0)+IFERROR(VLOOKUP('RESUMEN PITS'!C23,'IP PITSS'!$B$10:$M$91,12),0)+VLOOKUP("Comision",'IP PITSS'!$I$97:$J$108,2)/COUNT($F$9:$F$111)+IFERROR(VLOOKUP('RESUMEN PITS'!C23,'IP PITSS'!$B$10:$AD$91,15),0)+IFERROR(VLOOKUP('RESUMEN PITS'!C23,'IP PITSS'!$B$10:$AD$91,21),0)+IFERROR(VLOOKUP('RESUMEN PITS'!C23,'IP PITSS'!$B$10:$AD$91,22),0)+IFERROR(VLOOKUP('RESUMEN PITS'!C23,'IP PITSS'!$B$10:$AD$91,23),0)+IFERROR(VLOOKUP('RESUMEN PITS'!C23,'IP PITSS'!$B$10:$AD$91,24),0)+IFERROR(VLOOKUP('RESUMEN PITS'!C23,'IP PITSS'!$B$10:$AD$91,26),0)+IFERROR(VLOOKUP('RESUMEN PITS'!C23,'IP PITSS'!$B$10:$AD$91,28),0)+IFERROR(VLOOKUP('RESUMEN PITS'!C23,'IP PITSS'!$B$10:$AD$91,29),0)+IFERROR(VLOOKUP('RESUMEN PITS'!C23,'IP PITSS'!$B$10:$AD$91,9),0)*2%</f>
        <v>5344.8726416666659</v>
      </c>
      <c r="V23" s="99">
        <f t="shared" si="0"/>
        <v>-1344.8726416666659</v>
      </c>
      <c r="X23" s="29" t="s">
        <v>275</v>
      </c>
    </row>
    <row r="24" spans="1:24" s="29" customFormat="1" x14ac:dyDescent="0.2">
      <c r="A24" s="102" t="s">
        <v>184</v>
      </c>
      <c r="B24" s="21" t="s">
        <v>94</v>
      </c>
      <c r="C24" s="102" t="s">
        <v>185</v>
      </c>
      <c r="D24" s="21">
        <f>VLOOKUP(C24,'IP PITSS'!$B$10:$U$91,20,0)</f>
        <v>6576.8</v>
      </c>
      <c r="E24" s="103"/>
      <c r="F24" s="97">
        <f>VLOOKUP(C24,'SIND PITS'!$C$3:$H$104,2,0)</f>
        <v>0</v>
      </c>
      <c r="G24" s="97">
        <f>VLOOKUP(C24,'SIND PITS'!$C$3:$E$104,3,0)</f>
        <v>937.5</v>
      </c>
      <c r="H24" s="97">
        <f>VLOOKUP(C24,'SIND PITS'!$C$3:$F$104,4,0)</f>
        <v>0</v>
      </c>
      <c r="I24" s="97">
        <f>VLOOKUP(C24,'SIND PITS'!$C$3:$G$104,5,0)</f>
        <v>0</v>
      </c>
      <c r="J24" s="100"/>
      <c r="K24" s="97">
        <f t="shared" si="1"/>
        <v>7514.3</v>
      </c>
      <c r="L24" s="104">
        <v>13125</v>
      </c>
      <c r="M24" s="97">
        <f>+L24/2</f>
        <v>6562.5</v>
      </c>
      <c r="N24" s="100"/>
      <c r="O24" s="99">
        <f>VLOOKUP(C24,'IP PITSS'!$B$10:$I$91,8,0)</f>
        <v>0</v>
      </c>
      <c r="P24" s="29">
        <f t="shared" si="3"/>
        <v>937.5</v>
      </c>
      <c r="Q24" s="99">
        <f>VLOOKUP(C24,'IP PITSS'!$B$10:$K$91,10,0)+VLOOKUP('RESUMEN PITS'!C24,'IP PITSS'!$B$10:$L$91,11,0)+VLOOKUP('RESUMEN PITS'!C24,'IP PITSS'!$B$10:$M$91,12,0)</f>
        <v>0</v>
      </c>
      <c r="R24" s="99">
        <f>VLOOKUP(C24,'IP PITSS'!$B$10:$Q$91,16,0)</f>
        <v>0</v>
      </c>
      <c r="S24" s="99">
        <f>VLOOKUP(C24,'IP PITSS'!$B$10:$R$91,17,0)</f>
        <v>0</v>
      </c>
      <c r="T24" s="100"/>
      <c r="U24" s="29">
        <f>+K24-O24-P24+Q24+R24+S24+IFERROR(VLOOKUP('RESUMEN PITS'!C24,'IP PITSS'!$B$10:$M$91,10),0)+IFERROR(VLOOKUP('RESUMEN PITS'!C24,'IP PITSS'!$B$10:$M$91,11),0)+IFERROR(VLOOKUP('RESUMEN PITS'!C24,'IP PITSS'!$B$10:$M$91,12),0)+VLOOKUP("Comision",'IP PITSS'!$I$97:$J$108,2)/COUNT($F$9:$F$111)+IFERROR(VLOOKUP('RESUMEN PITS'!C24,'IP PITSS'!$B$10:$AD$91,15),0)+IFERROR(VLOOKUP('RESUMEN PITS'!C24,'IP PITSS'!$B$10:$AD$91,21),0)+IFERROR(VLOOKUP('RESUMEN PITS'!C24,'IP PITSS'!$B$10:$AD$91,22),0)+IFERROR(VLOOKUP('RESUMEN PITS'!C24,'IP PITSS'!$B$10:$AD$91,23),0)+IFERROR(VLOOKUP('RESUMEN PITS'!C24,'IP PITSS'!$B$10:$AD$91,24),0)+IFERROR(VLOOKUP('RESUMEN PITS'!C24,'IP PITSS'!$B$10:$AD$91,26),0)+IFERROR(VLOOKUP('RESUMEN PITS'!C24,'IP PITSS'!$B$10:$AD$91,28),0)+IFERROR(VLOOKUP('RESUMEN PITS'!C24,'IP PITSS'!$B$10:$AD$91,29),0)+IFERROR(VLOOKUP('RESUMEN PITS'!C24,'IP PITSS'!$B$10:$AD$91,9),0)*2%</f>
        <v>7993.8416416666669</v>
      </c>
      <c r="V24" s="99">
        <f t="shared" si="0"/>
        <v>-1431.3416416666669</v>
      </c>
      <c r="W24" s="20"/>
      <c r="X24" s="29" t="s">
        <v>186</v>
      </c>
    </row>
    <row r="25" spans="1:24" s="29" customFormat="1" x14ac:dyDescent="0.2">
      <c r="A25" s="102" t="s">
        <v>221</v>
      </c>
      <c r="B25" s="21" t="s">
        <v>94</v>
      </c>
      <c r="C25" s="102" t="s">
        <v>222</v>
      </c>
      <c r="D25" s="21">
        <f>VLOOKUP(C25,'IP PITSS'!$B$10:$U$91,20,0)</f>
        <v>3585.4</v>
      </c>
      <c r="E25" s="103"/>
      <c r="F25" s="97">
        <f>VLOOKUP(C25,'SIND PITS'!$C$3:$H$104,2,0)</f>
        <v>414.59999999999991</v>
      </c>
      <c r="G25" s="97">
        <f>VLOOKUP(C25,'SIND PITS'!$C$3:$E$104,3,0)</f>
        <v>220</v>
      </c>
      <c r="H25" s="97">
        <f>VLOOKUP(C25,'SIND PITS'!$C$3:$F$104,4,0)</f>
        <v>0</v>
      </c>
      <c r="I25" s="97">
        <f>VLOOKUP(C25,'SIND PITS'!$C$3:$G$104,5,0)</f>
        <v>0</v>
      </c>
      <c r="J25" s="100"/>
      <c r="K25" s="97">
        <f t="shared" si="1"/>
        <v>4220</v>
      </c>
      <c r="L25" s="97">
        <v>8000</v>
      </c>
      <c r="M25" s="97">
        <f t="shared" si="2"/>
        <v>4000</v>
      </c>
      <c r="N25" s="100"/>
      <c r="O25" s="99">
        <f>VLOOKUP(C25,'IP PITSS'!$B$10:$I$91,8,0)</f>
        <v>0</v>
      </c>
      <c r="P25" s="29">
        <f t="shared" si="3"/>
        <v>220</v>
      </c>
      <c r="Q25" s="99">
        <f>VLOOKUP(C25,'IP PITSS'!$B$10:$K$91,10,0)+VLOOKUP('RESUMEN PITS'!C25,'IP PITSS'!$B$10:$L$91,11,0)+VLOOKUP('RESUMEN PITS'!C25,'IP PITSS'!$B$10:$M$91,12,0)</f>
        <v>0</v>
      </c>
      <c r="R25" s="99">
        <f>VLOOKUP(C25,'IP PITSS'!$B$10:$Q$91,16,0)</f>
        <v>0</v>
      </c>
      <c r="S25" s="99">
        <f>VLOOKUP(C25,'IP PITSS'!$B$10:$R$91,17,0)</f>
        <v>0</v>
      </c>
      <c r="T25" s="100"/>
      <c r="U25" s="29">
        <f>+K25-O25-P25+Q25+R25+S25+IFERROR(VLOOKUP('RESUMEN PITS'!C25,'IP PITSS'!$B$10:$M$91,10),0)+IFERROR(VLOOKUP('RESUMEN PITS'!C25,'IP PITSS'!$B$10:$M$91,11),0)+IFERROR(VLOOKUP('RESUMEN PITS'!C25,'IP PITSS'!$B$10:$M$91,12),0)+VLOOKUP("Comision",'IP PITSS'!$I$97:$J$108,2)/COUNT($F$9:$F$111)+IFERROR(VLOOKUP('RESUMEN PITS'!C25,'IP PITSS'!$B$10:$AD$91,15),0)+IFERROR(VLOOKUP('RESUMEN PITS'!C25,'IP PITSS'!$B$10:$AD$91,21),0)+IFERROR(VLOOKUP('RESUMEN PITS'!C25,'IP PITSS'!$B$10:$AD$91,22),0)+IFERROR(VLOOKUP('RESUMEN PITS'!C25,'IP PITSS'!$B$10:$AD$91,23),0)+IFERROR(VLOOKUP('RESUMEN PITS'!C25,'IP PITSS'!$B$10:$AD$91,24),0)+IFERROR(VLOOKUP('RESUMEN PITS'!C25,'IP PITSS'!$B$10:$AD$91,26),0)+IFERROR(VLOOKUP('RESUMEN PITS'!C25,'IP PITSS'!$B$10:$AD$91,28),0)+IFERROR(VLOOKUP('RESUMEN PITS'!C25,'IP PITSS'!$B$10:$AD$91,29),0)+IFERROR(VLOOKUP('RESUMEN PITS'!C25,'IP PITSS'!$B$10:$AD$91,9),0)*2%</f>
        <v>5915.953641666667</v>
      </c>
      <c r="V25" s="99">
        <f t="shared" si="0"/>
        <v>-1915.953641666667</v>
      </c>
      <c r="W25" s="20"/>
      <c r="X25" s="29" t="s">
        <v>223</v>
      </c>
    </row>
    <row r="26" spans="1:24" s="29" customFormat="1" x14ac:dyDescent="0.2">
      <c r="A26" s="95" t="s">
        <v>336</v>
      </c>
      <c r="B26" s="21" t="s">
        <v>94</v>
      </c>
      <c r="C26" s="95" t="s">
        <v>337</v>
      </c>
      <c r="D26" s="21">
        <f>VLOOKUP(C26,'IP PITSS'!$B$10:$U$91,20,0)</f>
        <v>1517.6</v>
      </c>
      <c r="E26" s="103"/>
      <c r="F26" s="97">
        <f>VLOOKUP(C26,'SIND PITS'!$C$3:$H$104,2,0)</f>
        <v>1135.3000000000002</v>
      </c>
      <c r="G26" s="97">
        <f>VLOOKUP(C26,'SIND PITS'!$C$3:$E$104,3,0)</f>
        <v>0</v>
      </c>
      <c r="H26" s="97">
        <f>VLOOKUP(C26,'SIND PITS'!$C$3:$F$104,4,0)</f>
        <v>0</v>
      </c>
      <c r="I26" s="97">
        <f>VLOOKUP(C26,'SIND PITS'!$C$3:$G$104,5,0)</f>
        <v>0</v>
      </c>
      <c r="J26" s="100"/>
      <c r="K26" s="97">
        <f t="shared" si="1"/>
        <v>2652.9</v>
      </c>
      <c r="L26" s="99">
        <v>8000</v>
      </c>
      <c r="M26" s="97">
        <f t="shared" si="2"/>
        <v>4000</v>
      </c>
      <c r="N26" s="100"/>
      <c r="O26" s="99">
        <f>VLOOKUP(C26,'IP PITSS'!$B$10:$I$91,8,0)</f>
        <v>0</v>
      </c>
      <c r="P26" s="29">
        <f t="shared" si="3"/>
        <v>0</v>
      </c>
      <c r="Q26" s="99">
        <f>VLOOKUP(C26,'IP PITSS'!$B$10:$K$91,10,0)+VLOOKUP('RESUMEN PITS'!C26,'IP PITSS'!$B$10:$L$91,11,0)+VLOOKUP('RESUMEN PITS'!C26,'IP PITSS'!$B$10:$M$91,12,0)</f>
        <v>1347.1</v>
      </c>
      <c r="R26" s="99">
        <f>VLOOKUP(C26,'IP PITSS'!$B$10:$Q$91,16,0)</f>
        <v>0</v>
      </c>
      <c r="S26" s="99">
        <f>VLOOKUP(C26,'IP PITSS'!$B$10:$R$91,17,0)</f>
        <v>0</v>
      </c>
      <c r="T26" s="100"/>
      <c r="U26" s="29">
        <f>+K26-O26-P26+Q26+R26+S26+IFERROR(VLOOKUP('RESUMEN PITS'!C26,'IP PITSS'!$B$10:$M$91,10),0)+IFERROR(VLOOKUP('RESUMEN PITS'!C26,'IP PITSS'!$B$10:$M$91,11),0)+IFERROR(VLOOKUP('RESUMEN PITS'!C26,'IP PITSS'!$B$10:$M$91,12),0)+VLOOKUP("Comision",'IP PITSS'!$I$97:$J$108,2)/COUNT($F$9:$F$111)+IFERROR(VLOOKUP('RESUMEN PITS'!C26,'IP PITSS'!$B$10:$AD$91,15),0)+IFERROR(VLOOKUP('RESUMEN PITS'!C26,'IP PITSS'!$B$10:$AD$91,21),0)+IFERROR(VLOOKUP('RESUMEN PITS'!C26,'IP PITSS'!$B$10:$AD$91,22),0)+IFERROR(VLOOKUP('RESUMEN PITS'!C26,'IP PITSS'!$B$10:$AD$91,23),0)+IFERROR(VLOOKUP('RESUMEN PITS'!C26,'IP PITSS'!$B$10:$AD$91,24),0)+IFERROR(VLOOKUP('RESUMEN PITS'!C26,'IP PITSS'!$B$10:$AD$91,26),0)+IFERROR(VLOOKUP('RESUMEN PITS'!C26,'IP PITSS'!$B$10:$AD$91,28),0)+IFERROR(VLOOKUP('RESUMEN PITS'!C26,'IP PITSS'!$B$10:$AD$91,29),0)+IFERROR(VLOOKUP('RESUMEN PITS'!C26,'IP PITSS'!$B$10:$AD$91,9),0)*2%</f>
        <v>5537.7236416666665</v>
      </c>
      <c r="V26" s="99">
        <f t="shared" si="0"/>
        <v>-1537.7236416666665</v>
      </c>
      <c r="W26" s="20"/>
      <c r="X26" s="29" t="s">
        <v>338</v>
      </c>
    </row>
    <row r="27" spans="1:24" s="29" customFormat="1" x14ac:dyDescent="0.2">
      <c r="A27" s="102" t="s">
        <v>276</v>
      </c>
      <c r="B27" s="21" t="s">
        <v>94</v>
      </c>
      <c r="C27" s="102" t="s">
        <v>277</v>
      </c>
      <c r="D27" s="21">
        <f>VLOOKUP(C27,'IP PITSS'!$B$10:$U$91,20,0)</f>
        <v>4406.3999999999996</v>
      </c>
      <c r="E27" s="103"/>
      <c r="F27" s="97">
        <f>VLOOKUP(C27,'SIND PITS'!$C$3:$H$104,2,0)</f>
        <v>593.60000000000036</v>
      </c>
      <c r="G27" s="97">
        <f>VLOOKUP(C27,'SIND PITS'!$C$3:$E$104,3,0)</f>
        <v>150</v>
      </c>
      <c r="H27" s="97">
        <f>VLOOKUP(C27,'SIND PITS'!$C$3:$F$104,4,0)</f>
        <v>0</v>
      </c>
      <c r="I27" s="97">
        <f>VLOOKUP(C27,'SIND PITS'!$C$3:$G$104,5,0)</f>
        <v>0</v>
      </c>
      <c r="J27" s="100"/>
      <c r="K27" s="97">
        <f t="shared" si="1"/>
        <v>5150</v>
      </c>
      <c r="L27" s="97">
        <v>10000</v>
      </c>
      <c r="M27" s="97">
        <f t="shared" si="2"/>
        <v>5000</v>
      </c>
      <c r="N27" s="100"/>
      <c r="O27" s="99">
        <f>VLOOKUP(C27,'IP PITSS'!$B$10:$I$91,8,0)</f>
        <v>0</v>
      </c>
      <c r="P27" s="29">
        <f t="shared" si="3"/>
        <v>150</v>
      </c>
      <c r="Q27" s="99">
        <f>VLOOKUP(C27,'IP PITSS'!$B$10:$K$91,10,0)+VLOOKUP('RESUMEN PITS'!C27,'IP PITSS'!$B$10:$L$91,11,0)+VLOOKUP('RESUMEN PITS'!C27,'IP PITSS'!$B$10:$M$91,12,0)</f>
        <v>0</v>
      </c>
      <c r="R27" s="99">
        <f>VLOOKUP(C27,'IP PITSS'!$B$10:$Q$91,16,0)</f>
        <v>0</v>
      </c>
      <c r="S27" s="99">
        <f>VLOOKUP(C27,'IP PITSS'!$B$10:$R$91,17,0)</f>
        <v>0</v>
      </c>
      <c r="T27" s="100"/>
      <c r="U27" s="29">
        <f>+K27-O27-P27+Q27+R27+S27+IFERROR(VLOOKUP('RESUMEN PITS'!C27,'IP PITSS'!$B$10:$M$91,10),0)+IFERROR(VLOOKUP('RESUMEN PITS'!C27,'IP PITSS'!$B$10:$M$91,11),0)+IFERROR(VLOOKUP('RESUMEN PITS'!C27,'IP PITSS'!$B$10:$M$91,12),0)+VLOOKUP("Comision",'IP PITSS'!$I$97:$J$108,2)/COUNT($F$9:$F$111)+IFERROR(VLOOKUP('RESUMEN PITS'!C27,'IP PITSS'!$B$10:$AD$91,15),0)+IFERROR(VLOOKUP('RESUMEN PITS'!C27,'IP PITSS'!$B$10:$AD$91,21),0)+IFERROR(VLOOKUP('RESUMEN PITS'!C27,'IP PITSS'!$B$10:$AD$91,22),0)+IFERROR(VLOOKUP('RESUMEN PITS'!C27,'IP PITSS'!$B$10:$AD$91,23),0)+IFERROR(VLOOKUP('RESUMEN PITS'!C27,'IP PITSS'!$B$10:$AD$91,24),0)+IFERROR(VLOOKUP('RESUMEN PITS'!C27,'IP PITSS'!$B$10:$AD$91,26),0)+IFERROR(VLOOKUP('RESUMEN PITS'!C27,'IP PITSS'!$B$10:$AD$91,28),0)+IFERROR(VLOOKUP('RESUMEN PITS'!C27,'IP PITSS'!$B$10:$AD$91,29),0)+IFERROR(VLOOKUP('RESUMEN PITS'!C27,'IP PITSS'!$B$10:$AD$91,9),0)*2%</f>
        <v>6344.8726416666659</v>
      </c>
      <c r="V27" s="99">
        <f t="shared" si="0"/>
        <v>-1344.8726416666659</v>
      </c>
      <c r="W27" s="20"/>
      <c r="X27" s="29" t="s">
        <v>278</v>
      </c>
    </row>
    <row r="28" spans="1:24" s="29" customFormat="1" x14ac:dyDescent="0.2">
      <c r="A28" s="102" t="s">
        <v>298</v>
      </c>
      <c r="B28" s="21" t="s">
        <v>94</v>
      </c>
      <c r="C28" s="102" t="s">
        <v>299</v>
      </c>
      <c r="D28" s="21">
        <f>VLOOKUP(C28,'IP PITSS'!$B$10:$U$91,20,0)</f>
        <v>3277.4</v>
      </c>
      <c r="E28" s="103"/>
      <c r="F28" s="97">
        <f>VLOOKUP(C28,'SIND PITS'!$C$3:$H$104,2,0)</f>
        <v>222.59999999999991</v>
      </c>
      <c r="G28" s="97">
        <f>VLOOKUP(C28,'SIND PITS'!$C$3:$E$104,3,0)</f>
        <v>131.25</v>
      </c>
      <c r="H28" s="97">
        <f>VLOOKUP(C28,'SIND PITS'!$C$3:$F$104,4,0)</f>
        <v>0</v>
      </c>
      <c r="I28" s="97">
        <f>VLOOKUP(C28,'SIND PITS'!$C$3:$G$104,5,0)</f>
        <v>0</v>
      </c>
      <c r="J28" s="100"/>
      <c r="K28" s="97">
        <f t="shared" si="1"/>
        <v>3631.25</v>
      </c>
      <c r="L28" s="97">
        <v>7000</v>
      </c>
      <c r="M28" s="97">
        <f t="shared" si="2"/>
        <v>3500</v>
      </c>
      <c r="N28" s="100"/>
      <c r="O28" s="99">
        <f>VLOOKUP(C28,'IP PITSS'!$B$10:$I$91,8,0)</f>
        <v>0</v>
      </c>
      <c r="P28" s="29">
        <f t="shared" si="3"/>
        <v>131.25</v>
      </c>
      <c r="Q28" s="99">
        <f>VLOOKUP(C28,'IP PITSS'!$B$10:$K$91,10,0)+VLOOKUP('RESUMEN PITS'!C28,'IP PITSS'!$B$10:$L$91,11,0)+VLOOKUP('RESUMEN PITS'!C28,'IP PITSS'!$B$10:$M$91,12,0)</f>
        <v>0</v>
      </c>
      <c r="R28" s="99">
        <f>VLOOKUP(C28,'IP PITSS'!$B$10:$Q$91,16,0)</f>
        <v>0</v>
      </c>
      <c r="S28" s="99">
        <f>VLOOKUP(C28,'IP PITSS'!$B$10:$R$91,17,0)</f>
        <v>0</v>
      </c>
      <c r="T28" s="100"/>
      <c r="U28" s="29">
        <f>+K28-O28-P28+Q28+R28+S28+IFERROR(VLOOKUP('RESUMEN PITS'!C28,'IP PITSS'!$B$10:$M$91,10),0)+IFERROR(VLOOKUP('RESUMEN PITS'!C28,'IP PITSS'!$B$10:$M$91,11),0)+IFERROR(VLOOKUP('RESUMEN PITS'!C28,'IP PITSS'!$B$10:$M$91,12),0)+VLOOKUP("Comision",'IP PITSS'!$I$97:$J$108,2)/COUNT($F$9:$F$111)+IFERROR(VLOOKUP('RESUMEN PITS'!C28,'IP PITSS'!$B$10:$AD$91,15),0)+IFERROR(VLOOKUP('RESUMEN PITS'!C28,'IP PITSS'!$B$10:$AD$91,21),0)+IFERROR(VLOOKUP('RESUMEN PITS'!C28,'IP PITSS'!$B$10:$AD$91,22),0)+IFERROR(VLOOKUP('RESUMEN PITS'!C28,'IP PITSS'!$B$10:$AD$91,23),0)+IFERROR(VLOOKUP('RESUMEN PITS'!C28,'IP PITSS'!$B$10:$AD$91,24),0)+IFERROR(VLOOKUP('RESUMEN PITS'!C28,'IP PITSS'!$B$10:$AD$91,26),0)+IFERROR(VLOOKUP('RESUMEN PITS'!C28,'IP PITSS'!$B$10:$AD$91,28),0)+IFERROR(VLOOKUP('RESUMEN PITS'!C28,'IP PITSS'!$B$10:$AD$91,29),0)+IFERROR(VLOOKUP('RESUMEN PITS'!C28,'IP PITSS'!$B$10:$AD$91,9),0)*2%</f>
        <v>4844.8726416666659</v>
      </c>
      <c r="V28" s="99">
        <f t="shared" si="0"/>
        <v>-1344.8726416666659</v>
      </c>
      <c r="W28" s="20"/>
      <c r="X28" s="29" t="s">
        <v>300</v>
      </c>
    </row>
    <row r="29" spans="1:24" s="20" customFormat="1" x14ac:dyDescent="0.2">
      <c r="A29" s="95" t="s">
        <v>104</v>
      </c>
      <c r="B29" s="21" t="s">
        <v>94</v>
      </c>
      <c r="C29" s="95" t="s">
        <v>105</v>
      </c>
      <c r="D29" s="21">
        <f>VLOOKUP(C29,'IP PITSS'!$B$10:$U$91,20,0)</f>
        <v>2150.1999999999998</v>
      </c>
      <c r="E29" s="96"/>
      <c r="F29" s="97">
        <f>VLOOKUP(C29,'SIND PITS'!$C$3:$H$104,2,0)</f>
        <v>249.8</v>
      </c>
      <c r="G29" s="97">
        <f>VLOOKUP(C29,'SIND PITS'!$C$3:$E$104,3,0)</f>
        <v>1000</v>
      </c>
      <c r="H29" s="97">
        <f>VLOOKUP(C29,'SIND PITS'!$C$3:$F$104,4,0)</f>
        <v>0</v>
      </c>
      <c r="I29" s="97">
        <f>VLOOKUP(C29,'SIND PITS'!$C$3:$G$104,5,0)</f>
        <v>3</v>
      </c>
      <c r="J29" s="98"/>
      <c r="K29" s="97">
        <f t="shared" si="1"/>
        <v>3403</v>
      </c>
      <c r="L29" s="99">
        <v>6300</v>
      </c>
      <c r="M29" s="97">
        <f t="shared" si="2"/>
        <v>3150</v>
      </c>
      <c r="N29" s="100"/>
      <c r="O29" s="99">
        <f>VLOOKUP(C29,'IP PITSS'!$B$10:$I$91,8,0)</f>
        <v>60</v>
      </c>
      <c r="P29" s="29">
        <f t="shared" si="3"/>
        <v>1003</v>
      </c>
      <c r="Q29" s="99">
        <f>VLOOKUP(C29,'IP PITSS'!$B$10:$K$91,10,0)+VLOOKUP('RESUMEN PITS'!C29,'IP PITSS'!$B$10:$L$91,11,0)+VLOOKUP('RESUMEN PITS'!C29,'IP PITSS'!$B$10:$M$91,12,0)</f>
        <v>0</v>
      </c>
      <c r="R29" s="99">
        <f>VLOOKUP(C29,'IP PITSS'!$B$10:$Q$91,16,0)</f>
        <v>600</v>
      </c>
      <c r="S29" s="99">
        <f>VLOOKUP(C29,'IP PITSS'!$B$10:$R$91,17,0)</f>
        <v>0</v>
      </c>
      <c r="T29" s="100"/>
      <c r="U29" s="29">
        <f>+K29-O29-P29+Q29+R29+S29+IFERROR(VLOOKUP('RESUMEN PITS'!C29,'IP PITSS'!$B$10:$M$91,10),0)+IFERROR(VLOOKUP('RESUMEN PITS'!C29,'IP PITSS'!$B$10:$M$91,11),0)+IFERROR(VLOOKUP('RESUMEN PITS'!C29,'IP PITSS'!$B$10:$M$91,12),0)+VLOOKUP("Comision",'IP PITSS'!$I$97:$J$108,2)/COUNT($F$9:$F$111)+IFERROR(VLOOKUP('RESUMEN PITS'!C29,'IP PITSS'!$B$10:$AD$91,15),0)+IFERROR(VLOOKUP('RESUMEN PITS'!C29,'IP PITSS'!$B$10:$AD$91,21),0)+IFERROR(VLOOKUP('RESUMEN PITS'!C29,'IP PITSS'!$B$10:$AD$91,22),0)+IFERROR(VLOOKUP('RESUMEN PITS'!C29,'IP PITSS'!$B$10:$AD$91,23),0)+IFERROR(VLOOKUP('RESUMEN PITS'!C29,'IP PITSS'!$B$10:$AD$91,24),0)+IFERROR(VLOOKUP('RESUMEN PITS'!C29,'IP PITSS'!$B$10:$AD$91,26),0)+IFERROR(VLOOKUP('RESUMEN PITS'!C29,'IP PITSS'!$B$10:$AD$91,28),0)+IFERROR(VLOOKUP('RESUMEN PITS'!C29,'IP PITSS'!$B$10:$AD$91,29),0)+IFERROR(VLOOKUP('RESUMEN PITS'!C29,'IP PITSS'!$B$10:$AD$91,9),0)*2%</f>
        <v>2996.5626416666664</v>
      </c>
      <c r="V29" s="99">
        <f t="shared" si="0"/>
        <v>153.43735833333358</v>
      </c>
      <c r="W29" s="28" t="s">
        <v>437</v>
      </c>
      <c r="X29" s="29" t="s">
        <v>106</v>
      </c>
    </row>
    <row r="30" spans="1:24" s="29" customFormat="1" x14ac:dyDescent="0.2">
      <c r="A30" s="102" t="s">
        <v>166</v>
      </c>
      <c r="B30" s="21" t="s">
        <v>94</v>
      </c>
      <c r="C30" s="102" t="s">
        <v>167</v>
      </c>
      <c r="D30" s="21">
        <f>VLOOKUP(C30,'IP PITSS'!$B$10:$U$91,20,0)</f>
        <v>1917</v>
      </c>
      <c r="E30" s="103"/>
      <c r="F30" s="97">
        <f>VLOOKUP(C30,'SIND PITS'!$C$3:$H$104,2,0)</f>
        <v>1416.33</v>
      </c>
      <c r="G30" s="97">
        <f>VLOOKUP(C30,'SIND PITS'!$C$3:$E$104,3,0)</f>
        <v>1087.5</v>
      </c>
      <c r="H30" s="97">
        <f>VLOOKUP(C30,'SIND PITS'!$C$3:$F$104,4,0)</f>
        <v>0</v>
      </c>
      <c r="I30" s="97">
        <f>VLOOKUP(C30,'SIND PITS'!$C$3:$G$104,5,0)</f>
        <v>0</v>
      </c>
      <c r="J30" s="100"/>
      <c r="K30" s="97">
        <f t="shared" si="1"/>
        <v>4420.83</v>
      </c>
      <c r="L30" s="97">
        <v>10000</v>
      </c>
      <c r="M30" s="97">
        <f t="shared" si="2"/>
        <v>5000</v>
      </c>
      <c r="N30" s="100"/>
      <c r="O30" s="99">
        <f>VLOOKUP(C30,'IP PITSS'!$B$10:$I$91,8,0)</f>
        <v>0</v>
      </c>
      <c r="P30" s="29">
        <f t="shared" si="3"/>
        <v>1087.5</v>
      </c>
      <c r="Q30" s="99">
        <f>VLOOKUP(C30,'IP PITSS'!$B$10:$K$91,10,0)+VLOOKUP('RESUMEN PITS'!C30,'IP PITSS'!$B$10:$L$91,11,0)+VLOOKUP('RESUMEN PITS'!C30,'IP PITSS'!$B$10:$M$91,12,0)</f>
        <v>0</v>
      </c>
      <c r="R30" s="99">
        <f>VLOOKUP(C30,'IP PITSS'!$B$10:$Q$91,16,0)</f>
        <v>0</v>
      </c>
      <c r="S30" s="99">
        <f>VLOOKUP(C30,'IP PITSS'!$B$10:$R$91,17,0)</f>
        <v>1666.67</v>
      </c>
      <c r="T30" s="100"/>
      <c r="U30" s="29">
        <f>+K30-O30-P30+Q30+R30+S30+IFERROR(VLOOKUP('RESUMEN PITS'!C30,'IP PITSS'!$B$10:$M$91,10),0)+IFERROR(VLOOKUP('RESUMEN PITS'!C30,'IP PITSS'!$B$10:$M$91,11),0)+IFERROR(VLOOKUP('RESUMEN PITS'!C30,'IP PITSS'!$B$10:$M$91,12),0)+VLOOKUP("Comision",'IP PITSS'!$I$97:$J$108,2)/COUNT($F$9:$F$111)+IFERROR(VLOOKUP('RESUMEN PITS'!C30,'IP PITSS'!$B$10:$AD$91,15),0)+IFERROR(VLOOKUP('RESUMEN PITS'!C30,'IP PITSS'!$B$10:$AD$91,21),0)+IFERROR(VLOOKUP('RESUMEN PITS'!C30,'IP PITSS'!$B$10:$AD$91,22),0)+IFERROR(VLOOKUP('RESUMEN PITS'!C30,'IP PITSS'!$B$10:$AD$91,23),0)+IFERROR(VLOOKUP('RESUMEN PITS'!C30,'IP PITSS'!$B$10:$AD$91,24),0)+IFERROR(VLOOKUP('RESUMEN PITS'!C30,'IP PITSS'!$B$10:$AD$91,26),0)+IFERROR(VLOOKUP('RESUMEN PITS'!C30,'IP PITSS'!$B$10:$AD$91,28),0)+IFERROR(VLOOKUP('RESUMEN PITS'!C30,'IP PITSS'!$B$10:$AD$91,29),0)+IFERROR(VLOOKUP('RESUMEN PITS'!C30,'IP PITSS'!$B$10:$AD$91,9),0)*2%</f>
        <v>5056.5626416666664</v>
      </c>
      <c r="V30" s="99">
        <f t="shared" si="0"/>
        <v>-56.562641666666423</v>
      </c>
      <c r="W30" s="20"/>
      <c r="X30" s="29" t="s">
        <v>168</v>
      </c>
    </row>
    <row r="31" spans="1:24" s="29" customFormat="1" x14ac:dyDescent="0.2">
      <c r="A31" s="101" t="s">
        <v>150</v>
      </c>
      <c r="B31" s="21" t="s">
        <v>94</v>
      </c>
      <c r="C31" s="101" t="s">
        <v>151</v>
      </c>
      <c r="D31" s="21">
        <f>VLOOKUP(C31,'IP PITSS'!$B$10:$U$91,20,0)</f>
        <v>2447.6</v>
      </c>
      <c r="E31" s="103"/>
      <c r="F31" s="97">
        <f>VLOOKUP(C31,'SIND PITS'!$C$3:$H$104,2,0)</f>
        <v>52.400000000000091</v>
      </c>
      <c r="G31" s="97">
        <f>VLOOKUP(C31,'SIND PITS'!$C$3:$E$104,3,0)</f>
        <v>250</v>
      </c>
      <c r="H31" s="97">
        <f>VLOOKUP(C31,'SIND PITS'!$C$3:$F$104,4,0)</f>
        <v>2800</v>
      </c>
      <c r="I31" s="97">
        <f>VLOOKUP(C31,'SIND PITS'!$C$3:$G$104,5,0)</f>
        <v>0</v>
      </c>
      <c r="J31" s="100"/>
      <c r="K31" s="97">
        <f t="shared" si="1"/>
        <v>5550</v>
      </c>
      <c r="L31" s="97">
        <v>5000</v>
      </c>
      <c r="M31" s="97">
        <f t="shared" si="2"/>
        <v>2500</v>
      </c>
      <c r="N31" s="100"/>
      <c r="O31" s="99">
        <f>VLOOKUP(C31,'IP PITSS'!$B$10:$I$91,8,0)</f>
        <v>0</v>
      </c>
      <c r="P31" s="29">
        <f t="shared" si="3"/>
        <v>3050</v>
      </c>
      <c r="Q31" s="99">
        <f>VLOOKUP(C31,'IP PITSS'!$B$10:$K$91,10,0)+VLOOKUP('RESUMEN PITS'!C31,'IP PITSS'!$B$10:$L$91,11,0)+VLOOKUP('RESUMEN PITS'!C31,'IP PITSS'!$B$10:$M$91,12,0)</f>
        <v>0</v>
      </c>
      <c r="R31" s="99">
        <f>VLOOKUP(C31,'IP PITSS'!$B$10:$Q$91,16,0)</f>
        <v>0</v>
      </c>
      <c r="S31" s="99">
        <f>VLOOKUP(C31,'IP PITSS'!$B$10:$R$91,17,0)</f>
        <v>0</v>
      </c>
      <c r="T31" s="100"/>
      <c r="U31" s="29">
        <f>+K31-O31-P31+Q31+R31+S31+IFERROR(VLOOKUP('RESUMEN PITS'!C31,'IP PITSS'!$B$10:$M$91,10),0)+IFERROR(VLOOKUP('RESUMEN PITS'!C31,'IP PITSS'!$B$10:$M$91,11),0)+IFERROR(VLOOKUP('RESUMEN PITS'!C31,'IP PITSS'!$B$10:$M$91,12),0)+VLOOKUP("Comision",'IP PITSS'!$I$97:$J$108,2)/COUNT($F$9:$F$111)+IFERROR(VLOOKUP('RESUMEN PITS'!C31,'IP PITSS'!$B$10:$AD$91,15),0)+IFERROR(VLOOKUP('RESUMEN PITS'!C31,'IP PITSS'!$B$10:$AD$91,21),0)+IFERROR(VLOOKUP('RESUMEN PITS'!C31,'IP PITSS'!$B$10:$AD$91,22),0)+IFERROR(VLOOKUP('RESUMEN PITS'!C31,'IP PITSS'!$B$10:$AD$91,23),0)+IFERROR(VLOOKUP('RESUMEN PITS'!C31,'IP PITSS'!$B$10:$AD$91,24),0)+IFERROR(VLOOKUP('RESUMEN PITS'!C31,'IP PITSS'!$B$10:$AD$91,26),0)+IFERROR(VLOOKUP('RESUMEN PITS'!C31,'IP PITSS'!$B$10:$AD$91,28),0)+IFERROR(VLOOKUP('RESUMEN PITS'!C31,'IP PITSS'!$B$10:$AD$91,29),0)+IFERROR(VLOOKUP('RESUMEN PITS'!C31,'IP PITSS'!$B$10:$AD$91,9),0)*2%</f>
        <v>2556.5626416666664</v>
      </c>
      <c r="V31" s="99">
        <f t="shared" si="0"/>
        <v>-56.562641666666423</v>
      </c>
      <c r="W31" s="20"/>
      <c r="X31" s="29" t="s">
        <v>152</v>
      </c>
    </row>
    <row r="32" spans="1:24" s="29" customFormat="1" x14ac:dyDescent="0.2">
      <c r="A32" s="101" t="s">
        <v>359</v>
      </c>
      <c r="B32" s="13" t="s">
        <v>94</v>
      </c>
      <c r="C32" s="102" t="s">
        <v>257</v>
      </c>
      <c r="D32" s="21">
        <f>VLOOKUP(C32,'IP PITSS'!$B$10:$U$91,20,0)</f>
        <v>3693</v>
      </c>
      <c r="E32" s="103"/>
      <c r="F32" s="97">
        <f>VLOOKUP(C32,'SIND PITS'!$C$3:$H$104,2,0)</f>
        <v>707</v>
      </c>
      <c r="G32" s="97">
        <f>VLOOKUP(C32,'SIND PITS'!$C$3:$E$104,3,0)</f>
        <v>500</v>
      </c>
      <c r="H32" s="97">
        <f>VLOOKUP(C32,'SIND PITS'!$C$3:$F$104,4,0)</f>
        <v>0</v>
      </c>
      <c r="I32" s="97">
        <f>VLOOKUP(C32,'SIND PITS'!$C$3:$G$104,5,0)</f>
        <v>0</v>
      </c>
      <c r="J32" s="100"/>
      <c r="K32" s="97">
        <f t="shared" ref="K32" si="4">+D32+F32+G32+H32+I32</f>
        <v>4900</v>
      </c>
      <c r="L32" s="97">
        <v>8800</v>
      </c>
      <c r="M32" s="97">
        <f t="shared" si="2"/>
        <v>4400</v>
      </c>
      <c r="N32" s="100"/>
      <c r="O32" s="99">
        <f>VLOOKUP(C32,'IP PITSS'!$B$10:$I$91,8,0)</f>
        <v>0</v>
      </c>
      <c r="P32" s="29">
        <f t="shared" si="3"/>
        <v>500</v>
      </c>
      <c r="Q32" s="99">
        <f>VLOOKUP(C32,'IP PITSS'!$B$10:$K$91,10,0)+VLOOKUP('RESUMEN PITS'!C32,'IP PITSS'!$B$10:$L$91,11,0)+VLOOKUP('RESUMEN PITS'!C32,'IP PITSS'!$B$10:$M$91,12,0)</f>
        <v>0</v>
      </c>
      <c r="R32" s="99">
        <f>VLOOKUP(C32,'IP PITSS'!$B$10:$Q$91,16,0)</f>
        <v>0</v>
      </c>
      <c r="S32" s="99">
        <f>VLOOKUP(C32,'IP PITSS'!$B$10:$R$91,17,0)</f>
        <v>0</v>
      </c>
      <c r="T32" s="105"/>
      <c r="U32" s="29">
        <f>+K32-O32-P32+Q32+R32+S32+IFERROR(VLOOKUP('RESUMEN PITS'!C32,'IP PITSS'!$B$10:$M$91,10),0)+IFERROR(VLOOKUP('RESUMEN PITS'!C32,'IP PITSS'!$B$10:$M$91,11),0)+IFERROR(VLOOKUP('RESUMEN PITS'!C32,'IP PITSS'!$B$10:$M$91,12),0)+VLOOKUP("Comision",'IP PITSS'!$I$97:$J$108,2)/COUNT($F$9:$F$111)+IFERROR(VLOOKUP('RESUMEN PITS'!C32,'IP PITSS'!$B$10:$AD$91,15),0)+IFERROR(VLOOKUP('RESUMEN PITS'!C32,'IP PITSS'!$B$10:$AD$91,21),0)+IFERROR(VLOOKUP('RESUMEN PITS'!C32,'IP PITSS'!$B$10:$AD$91,22),0)+IFERROR(VLOOKUP('RESUMEN PITS'!C32,'IP PITSS'!$B$10:$AD$91,23),0)+IFERROR(VLOOKUP('RESUMEN PITS'!C32,'IP PITSS'!$B$10:$AD$91,24),0)+IFERROR(VLOOKUP('RESUMEN PITS'!C32,'IP PITSS'!$B$10:$AD$91,26),0)+IFERROR(VLOOKUP('RESUMEN PITS'!C32,'IP PITSS'!$B$10:$AD$91,28),0)+IFERROR(VLOOKUP('RESUMEN PITS'!C32,'IP PITSS'!$B$10:$AD$91,29),0)+IFERROR(VLOOKUP('RESUMEN PITS'!C32,'IP PITSS'!$B$10:$AD$91,9),0)*2%</f>
        <v>6315.953641666667</v>
      </c>
      <c r="V32" s="99">
        <f>+M32-U32</f>
        <v>-1915.953641666667</v>
      </c>
      <c r="W32" s="20"/>
    </row>
    <row r="33" spans="1:24" s="29" customFormat="1" x14ac:dyDescent="0.2">
      <c r="A33" s="101" t="s">
        <v>285</v>
      </c>
      <c r="B33" s="21" t="s">
        <v>94</v>
      </c>
      <c r="C33" s="101" t="s">
        <v>286</v>
      </c>
      <c r="D33" s="21">
        <f>VLOOKUP(C33,'IP PITSS'!$B$10:$U$91,20,0)</f>
        <v>3583.6</v>
      </c>
      <c r="E33" s="103"/>
      <c r="F33" s="97">
        <f>VLOOKUP(C33,'SIND PITS'!$C$3:$H$104,2,0)</f>
        <v>416.39999999999964</v>
      </c>
      <c r="G33" s="97">
        <f>VLOOKUP(C33,'SIND PITS'!$C$3:$E$104,3,0)</f>
        <v>210</v>
      </c>
      <c r="H33" s="97">
        <f>VLOOKUP(C33,'SIND PITS'!$C$3:$F$104,4,0)</f>
        <v>0</v>
      </c>
      <c r="I33" s="97">
        <f>VLOOKUP(C33,'SIND PITS'!$C$3:$G$104,5,0)</f>
        <v>0</v>
      </c>
      <c r="J33" s="100"/>
      <c r="K33" s="97">
        <f t="shared" si="1"/>
        <v>4210</v>
      </c>
      <c r="L33" s="97">
        <v>8000</v>
      </c>
      <c r="M33" s="97">
        <f t="shared" si="2"/>
        <v>4000</v>
      </c>
      <c r="N33" s="100"/>
      <c r="O33" s="99">
        <f>VLOOKUP(C33,'IP PITSS'!$B$10:$I$91,8,0)</f>
        <v>0</v>
      </c>
      <c r="P33" s="29">
        <f t="shared" si="3"/>
        <v>210</v>
      </c>
      <c r="Q33" s="99">
        <f>VLOOKUP(C33,'IP PITSS'!$B$10:$K$91,10,0)+VLOOKUP('RESUMEN PITS'!C33,'IP PITSS'!$B$10:$L$91,11,0)+VLOOKUP('RESUMEN PITS'!C33,'IP PITSS'!$B$10:$M$91,12,0)</f>
        <v>0</v>
      </c>
      <c r="R33" s="99">
        <f>VLOOKUP(C33,'IP PITSS'!$B$10:$Q$91,16,0)</f>
        <v>0</v>
      </c>
      <c r="S33" s="99">
        <f>VLOOKUP(C33,'IP PITSS'!$B$10:$R$91,17,0)</f>
        <v>0</v>
      </c>
      <c r="T33" s="100"/>
      <c r="U33" s="29">
        <f>+K33-O33-P33+Q33+R33+S33+IFERROR(VLOOKUP('RESUMEN PITS'!C33,'IP PITSS'!$B$10:$M$91,10),0)+IFERROR(VLOOKUP('RESUMEN PITS'!C33,'IP PITSS'!$B$10:$M$91,11),0)+IFERROR(VLOOKUP('RESUMEN PITS'!C33,'IP PITSS'!$B$10:$M$91,12),0)+VLOOKUP("Comision",'IP PITSS'!$I$97:$J$108,2)/COUNT($F$9:$F$111)+IFERROR(VLOOKUP('RESUMEN PITS'!C33,'IP PITSS'!$B$10:$AD$91,15),0)+IFERROR(VLOOKUP('RESUMEN PITS'!C33,'IP PITSS'!$B$10:$AD$91,21),0)+IFERROR(VLOOKUP('RESUMEN PITS'!C33,'IP PITSS'!$B$10:$AD$91,22),0)+IFERROR(VLOOKUP('RESUMEN PITS'!C33,'IP PITSS'!$B$10:$AD$91,23),0)+IFERROR(VLOOKUP('RESUMEN PITS'!C33,'IP PITSS'!$B$10:$AD$91,24),0)+IFERROR(VLOOKUP('RESUMEN PITS'!C33,'IP PITSS'!$B$10:$AD$91,26),0)+IFERROR(VLOOKUP('RESUMEN PITS'!C33,'IP PITSS'!$B$10:$AD$91,28),0)+IFERROR(VLOOKUP('RESUMEN PITS'!C33,'IP PITSS'!$B$10:$AD$91,29),0)+IFERROR(VLOOKUP('RESUMEN PITS'!C33,'IP PITSS'!$B$10:$AD$91,9),0)*2%</f>
        <v>5344.8726416666659</v>
      </c>
      <c r="V33" s="99">
        <f t="shared" si="0"/>
        <v>-1344.8726416666659</v>
      </c>
      <c r="W33" s="20"/>
      <c r="X33" s="29" t="s">
        <v>287</v>
      </c>
    </row>
    <row r="34" spans="1:24" s="29" customFormat="1" x14ac:dyDescent="0.2">
      <c r="A34" s="101" t="s">
        <v>228</v>
      </c>
      <c r="B34" s="21" t="s">
        <v>94</v>
      </c>
      <c r="C34" s="101" t="s">
        <v>229</v>
      </c>
      <c r="D34" s="21">
        <f>VLOOKUP(C34,'IP PITSS'!$B$10:$U$91,20,0)</f>
        <v>3583.6</v>
      </c>
      <c r="E34" s="103"/>
      <c r="F34" s="97">
        <f>VLOOKUP(C34,'SIND PITS'!$C$3:$H$104,2,0)</f>
        <v>416.40000000000009</v>
      </c>
      <c r="G34" s="97">
        <f>VLOOKUP(C34,'SIND PITS'!$C$3:$E$104,3,0)</f>
        <v>120</v>
      </c>
      <c r="H34" s="97">
        <f>VLOOKUP(C34,'SIND PITS'!$C$3:$F$104,4,0)</f>
        <v>0</v>
      </c>
      <c r="I34" s="97">
        <f>VLOOKUP(C34,'SIND PITS'!$C$3:$G$104,5,0)</f>
        <v>0</v>
      </c>
      <c r="J34" s="100"/>
      <c r="K34" s="97">
        <f t="shared" si="1"/>
        <v>4120</v>
      </c>
      <c r="L34" s="97">
        <v>8000</v>
      </c>
      <c r="M34" s="97">
        <f t="shared" si="2"/>
        <v>4000</v>
      </c>
      <c r="N34" s="100"/>
      <c r="O34" s="99">
        <f>VLOOKUP(C34,'IP PITSS'!$B$10:$I$91,8,0)</f>
        <v>0</v>
      </c>
      <c r="P34" s="29">
        <f t="shared" si="3"/>
        <v>120</v>
      </c>
      <c r="Q34" s="99">
        <f>VLOOKUP(C34,'IP PITSS'!$B$10:$K$91,10,0)+VLOOKUP('RESUMEN PITS'!C34,'IP PITSS'!$B$10:$L$91,11,0)+VLOOKUP('RESUMEN PITS'!C34,'IP PITSS'!$B$10:$M$91,12,0)</f>
        <v>0</v>
      </c>
      <c r="R34" s="99">
        <f>VLOOKUP(C34,'IP PITSS'!$B$10:$Q$91,16,0)</f>
        <v>0</v>
      </c>
      <c r="S34" s="99">
        <f>VLOOKUP(C34,'IP PITSS'!$B$10:$R$91,17,0)</f>
        <v>0</v>
      </c>
      <c r="T34" s="100"/>
      <c r="U34" s="29">
        <f>+K34-O34-P34+Q34+R34+S34+IFERROR(VLOOKUP('RESUMEN PITS'!C34,'IP PITSS'!$B$10:$M$91,10),0)+IFERROR(VLOOKUP('RESUMEN PITS'!C34,'IP PITSS'!$B$10:$M$91,11),0)+IFERROR(VLOOKUP('RESUMEN PITS'!C34,'IP PITSS'!$B$10:$M$91,12),0)+VLOOKUP("Comision",'IP PITSS'!$I$97:$J$108,2)/COUNT($F$9:$F$111)+IFERROR(VLOOKUP('RESUMEN PITS'!C34,'IP PITSS'!$B$10:$AD$91,15),0)+IFERROR(VLOOKUP('RESUMEN PITS'!C34,'IP PITSS'!$B$10:$AD$91,21),0)+IFERROR(VLOOKUP('RESUMEN PITS'!C34,'IP PITSS'!$B$10:$AD$91,22),0)+IFERROR(VLOOKUP('RESUMEN PITS'!C34,'IP PITSS'!$B$10:$AD$91,23),0)+IFERROR(VLOOKUP('RESUMEN PITS'!C34,'IP PITSS'!$B$10:$AD$91,24),0)+IFERROR(VLOOKUP('RESUMEN PITS'!C34,'IP PITSS'!$B$10:$AD$91,26),0)+IFERROR(VLOOKUP('RESUMEN PITS'!C34,'IP PITSS'!$B$10:$AD$91,28),0)+IFERROR(VLOOKUP('RESUMEN PITS'!C34,'IP PITSS'!$B$10:$AD$91,29),0)+IFERROR(VLOOKUP('RESUMEN PITS'!C34,'IP PITSS'!$B$10:$AD$91,9),0)*2%</f>
        <v>5915.953641666667</v>
      </c>
      <c r="V34" s="99">
        <f t="shared" si="0"/>
        <v>-1915.953641666667</v>
      </c>
      <c r="W34" s="20"/>
      <c r="X34" s="29" t="s">
        <v>230</v>
      </c>
    </row>
    <row r="35" spans="1:24" s="20" customFormat="1" x14ac:dyDescent="0.2">
      <c r="A35" s="101" t="s">
        <v>215</v>
      </c>
      <c r="B35" s="21" t="s">
        <v>94</v>
      </c>
      <c r="C35" s="101" t="s">
        <v>216</v>
      </c>
      <c r="D35" s="21">
        <f>VLOOKUP(C35,'IP PITSS'!$B$10:$U$91,20,0)</f>
        <v>5952.2</v>
      </c>
      <c r="E35" s="103"/>
      <c r="F35" s="97">
        <f>VLOOKUP(C35,'SIND PITS'!$C$3:$H$104,2,0)</f>
        <v>1047.8000000000002</v>
      </c>
      <c r="G35" s="97">
        <f>VLOOKUP(C35,'SIND PITS'!$C$3:$E$104,3,0)</f>
        <v>187.5</v>
      </c>
      <c r="H35" s="97">
        <f>VLOOKUP(C35,'SIND PITS'!$C$3:$F$104,4,0)</f>
        <v>0</v>
      </c>
      <c r="I35" s="97">
        <f>VLOOKUP(C35,'SIND PITS'!$C$3:$G$104,5,0)</f>
        <v>0</v>
      </c>
      <c r="J35" s="100"/>
      <c r="K35" s="97">
        <f t="shared" si="1"/>
        <v>7187.5</v>
      </c>
      <c r="L35" s="97">
        <v>14000</v>
      </c>
      <c r="M35" s="97">
        <f t="shared" si="2"/>
        <v>7000</v>
      </c>
      <c r="N35" s="100"/>
      <c r="O35" s="99">
        <f>VLOOKUP(C35,'IP PITSS'!$B$10:$I$91,8,0)</f>
        <v>0</v>
      </c>
      <c r="P35" s="29">
        <f t="shared" si="3"/>
        <v>187.5</v>
      </c>
      <c r="Q35" s="99">
        <f>VLOOKUP(C35,'IP PITSS'!$B$10:$K$91,10,0)+VLOOKUP('RESUMEN PITS'!C35,'IP PITSS'!$B$10:$L$91,11,0)+VLOOKUP('RESUMEN PITS'!C35,'IP PITSS'!$B$10:$M$91,12,0)</f>
        <v>0</v>
      </c>
      <c r="R35" s="99">
        <f>VLOOKUP(C35,'IP PITSS'!$B$10:$Q$91,16,0)</f>
        <v>0</v>
      </c>
      <c r="S35" s="99">
        <f>VLOOKUP(C35,'IP PITSS'!$B$10:$R$91,17,0)</f>
        <v>0</v>
      </c>
      <c r="T35" s="100"/>
      <c r="U35" s="29">
        <f>+K35-O35-P35+Q35+R35+S35+IFERROR(VLOOKUP('RESUMEN PITS'!C35,'IP PITSS'!$B$10:$M$91,10),0)+IFERROR(VLOOKUP('RESUMEN PITS'!C35,'IP PITSS'!$B$10:$M$91,11),0)+IFERROR(VLOOKUP('RESUMEN PITS'!C35,'IP PITSS'!$B$10:$M$91,12),0)+VLOOKUP("Comision",'IP PITSS'!$I$97:$J$108,2)/COUNT($F$9:$F$111)+IFERROR(VLOOKUP('RESUMEN PITS'!C35,'IP PITSS'!$B$10:$AD$91,15),0)+IFERROR(VLOOKUP('RESUMEN PITS'!C35,'IP PITSS'!$B$10:$AD$91,21),0)+IFERROR(VLOOKUP('RESUMEN PITS'!C35,'IP PITSS'!$B$10:$AD$91,22),0)+IFERROR(VLOOKUP('RESUMEN PITS'!C35,'IP PITSS'!$B$10:$AD$91,23),0)+IFERROR(VLOOKUP('RESUMEN PITS'!C35,'IP PITSS'!$B$10:$AD$91,24),0)+IFERROR(VLOOKUP('RESUMEN PITS'!C35,'IP PITSS'!$B$10:$AD$91,26),0)+IFERROR(VLOOKUP('RESUMEN PITS'!C35,'IP PITSS'!$B$10:$AD$91,28),0)+IFERROR(VLOOKUP('RESUMEN PITS'!C35,'IP PITSS'!$B$10:$AD$91,29),0)+IFERROR(VLOOKUP('RESUMEN PITS'!C35,'IP PITSS'!$B$10:$AD$91,9),0)*2%</f>
        <v>8915.953641666667</v>
      </c>
      <c r="V35" s="99">
        <f t="shared" si="0"/>
        <v>-1915.953641666667</v>
      </c>
      <c r="X35" s="29" t="s">
        <v>217</v>
      </c>
    </row>
    <row r="36" spans="1:24" s="29" customFormat="1" x14ac:dyDescent="0.2">
      <c r="A36" s="95" t="s">
        <v>72</v>
      </c>
      <c r="B36" s="21" t="s">
        <v>94</v>
      </c>
      <c r="C36" s="95" t="s">
        <v>139</v>
      </c>
      <c r="D36" s="21">
        <f>VLOOKUP(C36,'IP PITSS'!$B$10:$U$91,20,0)</f>
        <v>5952.2</v>
      </c>
      <c r="E36" s="103"/>
      <c r="F36" s="97">
        <f>VLOOKUP(C36,'SIND PITS'!$C$3:$H$104,2,0)</f>
        <v>1047.8000000000002</v>
      </c>
      <c r="G36" s="97">
        <f>VLOOKUP(C36,'SIND PITS'!$C$3:$E$104,3,0)</f>
        <v>312.5</v>
      </c>
      <c r="H36" s="97">
        <f>VLOOKUP(C36,'SIND PITS'!$C$3:$F$104,4,0)</f>
        <v>0</v>
      </c>
      <c r="I36" s="97">
        <f>VLOOKUP(C36,'SIND PITS'!$C$3:$G$104,5,0)</f>
        <v>0</v>
      </c>
      <c r="J36" s="100"/>
      <c r="K36" s="97">
        <f t="shared" si="1"/>
        <v>7312.5</v>
      </c>
      <c r="L36" s="99">
        <v>14000</v>
      </c>
      <c r="M36" s="97">
        <f t="shared" si="2"/>
        <v>7000</v>
      </c>
      <c r="N36" s="100"/>
      <c r="O36" s="99">
        <f>VLOOKUP(C36,'IP PITSS'!$B$10:$I$91,8,0)</f>
        <v>0</v>
      </c>
      <c r="P36" s="29">
        <f t="shared" si="3"/>
        <v>312.5</v>
      </c>
      <c r="Q36" s="99">
        <f>VLOOKUP(C36,'IP PITSS'!$B$10:$K$91,10,0)+VLOOKUP('RESUMEN PITS'!C36,'IP PITSS'!$B$10:$L$91,11,0)+VLOOKUP('RESUMEN PITS'!C36,'IP PITSS'!$B$10:$M$91,12,0)</f>
        <v>0</v>
      </c>
      <c r="R36" s="99">
        <f>VLOOKUP(C36,'IP PITSS'!$B$10:$Q$91,16,0)</f>
        <v>0</v>
      </c>
      <c r="S36" s="99">
        <f>VLOOKUP(C36,'IP PITSS'!$B$10:$R$91,17,0)</f>
        <v>0</v>
      </c>
      <c r="T36" s="100"/>
      <c r="U36" s="29">
        <f>+K36-O36-P36+Q36+R36+S36+IFERROR(VLOOKUP('RESUMEN PITS'!C36,'IP PITSS'!$B$10:$M$91,10),0)+IFERROR(VLOOKUP('RESUMEN PITS'!C36,'IP PITSS'!$B$10:$M$91,11),0)+IFERROR(VLOOKUP('RESUMEN PITS'!C36,'IP PITSS'!$B$10:$M$91,12),0)+VLOOKUP("Comision",'IP PITSS'!$I$97:$J$108,2)/COUNT($F$9:$F$111)+IFERROR(VLOOKUP('RESUMEN PITS'!C36,'IP PITSS'!$B$10:$AD$91,15),0)+IFERROR(VLOOKUP('RESUMEN PITS'!C36,'IP PITSS'!$B$10:$AD$91,21),0)+IFERROR(VLOOKUP('RESUMEN PITS'!C36,'IP PITSS'!$B$10:$AD$91,22),0)+IFERROR(VLOOKUP('RESUMEN PITS'!C36,'IP PITSS'!$B$10:$AD$91,23),0)+IFERROR(VLOOKUP('RESUMEN PITS'!C36,'IP PITSS'!$B$10:$AD$91,24),0)+IFERROR(VLOOKUP('RESUMEN PITS'!C36,'IP PITSS'!$B$10:$AD$91,26),0)+IFERROR(VLOOKUP('RESUMEN PITS'!C36,'IP PITSS'!$B$10:$AD$91,28),0)+IFERROR(VLOOKUP('RESUMEN PITS'!C36,'IP PITSS'!$B$10:$AD$91,29),0)+IFERROR(VLOOKUP('RESUMEN PITS'!C36,'IP PITSS'!$B$10:$AD$91,9),0)*2%</f>
        <v>7056.5626416666664</v>
      </c>
      <c r="V36" s="99">
        <f t="shared" si="0"/>
        <v>-56.562641666666423</v>
      </c>
      <c r="W36" s="20"/>
      <c r="X36" s="29" t="s">
        <v>140</v>
      </c>
    </row>
    <row r="37" spans="1:24" s="29" customFormat="1" x14ac:dyDescent="0.2">
      <c r="A37" s="95" t="s">
        <v>124</v>
      </c>
      <c r="B37" s="21" t="s">
        <v>94</v>
      </c>
      <c r="C37" s="95" t="s">
        <v>125</v>
      </c>
      <c r="D37" s="21">
        <f>VLOOKUP(C37,'IP PITSS'!$B$10:$U$91,20,0)</f>
        <v>2864.8</v>
      </c>
      <c r="E37" s="103"/>
      <c r="F37" s="97">
        <f>VLOOKUP(C37,'SIND PITS'!$C$3:$H$104,2,0)</f>
        <v>285.2</v>
      </c>
      <c r="G37" s="97">
        <f>VLOOKUP(C37,'SIND PITS'!$C$3:$E$104,3,0)</f>
        <v>800</v>
      </c>
      <c r="H37" s="97">
        <f>VLOOKUP(C37,'SIND PITS'!$C$3:$F$104,4,0)</f>
        <v>0</v>
      </c>
      <c r="I37" s="97">
        <f>VLOOKUP(C37,'SIND PITS'!$C$3:$G$104,5,0)</f>
        <v>0</v>
      </c>
      <c r="J37" s="100"/>
      <c r="K37" s="97">
        <f t="shared" si="1"/>
        <v>3950</v>
      </c>
      <c r="L37" s="99">
        <v>6300</v>
      </c>
      <c r="M37" s="97">
        <f t="shared" si="2"/>
        <v>3150</v>
      </c>
      <c r="N37" s="100"/>
      <c r="O37" s="99">
        <f>VLOOKUP(C37,'IP PITSS'!$B$10:$I$91,8,0)</f>
        <v>0</v>
      </c>
      <c r="P37" s="29">
        <f t="shared" si="3"/>
        <v>800</v>
      </c>
      <c r="Q37" s="99">
        <f>VLOOKUP(C37,'IP PITSS'!$B$10:$K$91,10,0)+VLOOKUP('RESUMEN PITS'!C37,'IP PITSS'!$B$10:$L$91,11,0)+VLOOKUP('RESUMEN PITS'!C37,'IP PITSS'!$B$10:$M$91,12,0)</f>
        <v>0</v>
      </c>
      <c r="R37" s="99">
        <f>VLOOKUP(C37,'IP PITSS'!$B$10:$Q$91,16,0)</f>
        <v>0</v>
      </c>
      <c r="S37" s="99">
        <f>VLOOKUP(C37,'IP PITSS'!$B$10:$R$91,17,0)</f>
        <v>0</v>
      </c>
      <c r="T37" s="100"/>
      <c r="U37" s="29">
        <f>+K37-O37-P37+Q37+R37+S37+IFERROR(VLOOKUP('RESUMEN PITS'!C37,'IP PITSS'!$B$10:$M$91,10),0)+IFERROR(VLOOKUP('RESUMEN PITS'!C37,'IP PITSS'!$B$10:$M$91,11),0)+IFERROR(VLOOKUP('RESUMEN PITS'!C37,'IP PITSS'!$B$10:$M$91,12),0)+VLOOKUP("Comision",'IP PITSS'!$I$97:$J$108,2)/COUNT($F$9:$F$111)+IFERROR(VLOOKUP('RESUMEN PITS'!C37,'IP PITSS'!$B$10:$AD$91,15),0)+IFERROR(VLOOKUP('RESUMEN PITS'!C37,'IP PITSS'!$B$10:$AD$91,21),0)+IFERROR(VLOOKUP('RESUMEN PITS'!C37,'IP PITSS'!$B$10:$AD$91,22),0)+IFERROR(VLOOKUP('RESUMEN PITS'!C37,'IP PITSS'!$B$10:$AD$91,23),0)+IFERROR(VLOOKUP('RESUMEN PITS'!C37,'IP PITSS'!$B$10:$AD$91,24),0)+IFERROR(VLOOKUP('RESUMEN PITS'!C37,'IP PITSS'!$B$10:$AD$91,26),0)+IFERROR(VLOOKUP('RESUMEN PITS'!C37,'IP PITSS'!$B$10:$AD$91,28),0)+IFERROR(VLOOKUP('RESUMEN PITS'!C37,'IP PITSS'!$B$10:$AD$91,29),0)+IFERROR(VLOOKUP('RESUMEN PITS'!C37,'IP PITSS'!$B$10:$AD$91,9),0)*2%</f>
        <v>3206.5626416666664</v>
      </c>
      <c r="V37" s="99">
        <f t="shared" si="0"/>
        <v>-56.562641666666423</v>
      </c>
      <c r="W37" s="20"/>
      <c r="X37" s="29" t="s">
        <v>126</v>
      </c>
    </row>
    <row r="38" spans="1:24" s="29" customFormat="1" x14ac:dyDescent="0.2">
      <c r="A38" s="95" t="s">
        <v>225</v>
      </c>
      <c r="B38" s="21" t="s">
        <v>94</v>
      </c>
      <c r="C38" s="95" t="s">
        <v>226</v>
      </c>
      <c r="D38" s="21">
        <f>VLOOKUP(C38,'IP PITSS'!$B$10:$U$91,20,0)</f>
        <v>3142.6</v>
      </c>
      <c r="E38" s="103"/>
      <c r="F38" s="97">
        <f>VLOOKUP(C38,'SIND PITS'!$C$3:$H$104,2,0)</f>
        <v>416.40000000000009</v>
      </c>
      <c r="G38" s="97">
        <f>VLOOKUP(C38,'SIND PITS'!$C$3:$E$104,3,0)</f>
        <v>150</v>
      </c>
      <c r="H38" s="97">
        <f>VLOOKUP(C38,'SIND PITS'!$C$3:$F$104,4,0)</f>
        <v>0</v>
      </c>
      <c r="I38" s="97">
        <f>VLOOKUP(C38,'SIND PITS'!$C$3:$G$104,5,0)</f>
        <v>0</v>
      </c>
      <c r="J38" s="100"/>
      <c r="K38" s="97">
        <f t="shared" si="1"/>
        <v>3709</v>
      </c>
      <c r="L38" s="99">
        <v>8000</v>
      </c>
      <c r="M38" s="97">
        <f t="shared" si="2"/>
        <v>4000</v>
      </c>
      <c r="N38" s="100"/>
      <c r="O38" s="99">
        <f>VLOOKUP(C38,'IP PITSS'!$B$10:$I$91,8,0)</f>
        <v>0</v>
      </c>
      <c r="P38" s="29">
        <f t="shared" si="3"/>
        <v>150</v>
      </c>
      <c r="Q38" s="99">
        <f>VLOOKUP(C38,'IP PITSS'!$B$10:$K$91,10,0)+VLOOKUP('RESUMEN PITS'!C38,'IP PITSS'!$B$10:$L$91,11,0)+VLOOKUP('RESUMEN PITS'!C38,'IP PITSS'!$B$10:$M$91,12,0)</f>
        <v>0</v>
      </c>
      <c r="R38" s="99">
        <f>VLOOKUP(C38,'IP PITSS'!$B$10:$Q$91,16,0)</f>
        <v>0</v>
      </c>
      <c r="S38" s="99">
        <f>VLOOKUP(C38,'IP PITSS'!$B$10:$R$91,17,0)</f>
        <v>441</v>
      </c>
      <c r="T38" s="100"/>
      <c r="U38" s="29">
        <f>+K38-O38-P38+Q38+R38+S38+IFERROR(VLOOKUP('RESUMEN PITS'!C38,'IP PITSS'!$B$10:$M$91,10),0)+IFERROR(VLOOKUP('RESUMEN PITS'!C38,'IP PITSS'!$B$10:$M$91,11),0)+IFERROR(VLOOKUP('RESUMEN PITS'!C38,'IP PITSS'!$B$10:$M$91,12),0)+VLOOKUP("Comision",'IP PITSS'!$I$97:$J$108,2)/COUNT($F$9:$F$111)+IFERROR(VLOOKUP('RESUMEN PITS'!C38,'IP PITSS'!$B$10:$AD$91,15),0)+IFERROR(VLOOKUP('RESUMEN PITS'!C38,'IP PITSS'!$B$10:$AD$91,21),0)+IFERROR(VLOOKUP('RESUMEN PITS'!C38,'IP PITSS'!$B$10:$AD$91,22),0)+IFERROR(VLOOKUP('RESUMEN PITS'!C38,'IP PITSS'!$B$10:$AD$91,23),0)+IFERROR(VLOOKUP('RESUMEN PITS'!C38,'IP PITSS'!$B$10:$AD$91,24),0)+IFERROR(VLOOKUP('RESUMEN PITS'!C38,'IP PITSS'!$B$10:$AD$91,26),0)+IFERROR(VLOOKUP('RESUMEN PITS'!C38,'IP PITSS'!$B$10:$AD$91,28),0)+IFERROR(VLOOKUP('RESUMEN PITS'!C38,'IP PITSS'!$B$10:$AD$91,29),0)+IFERROR(VLOOKUP('RESUMEN PITS'!C38,'IP PITSS'!$B$10:$AD$91,9),0)*2%</f>
        <v>5915.953641666667</v>
      </c>
      <c r="V38" s="99">
        <f t="shared" si="0"/>
        <v>-1915.953641666667</v>
      </c>
      <c r="W38" s="20"/>
      <c r="X38" s="29" t="s">
        <v>227</v>
      </c>
    </row>
    <row r="39" spans="1:24" s="29" customFormat="1" x14ac:dyDescent="0.2">
      <c r="A39" s="101" t="s">
        <v>37</v>
      </c>
      <c r="B39" s="21" t="s">
        <v>94</v>
      </c>
      <c r="C39" s="101" t="s">
        <v>172</v>
      </c>
      <c r="D39" s="21">
        <f>VLOOKUP(C39,'IP PITSS'!$B$10:$U$91,20,0)</f>
        <v>3583.6</v>
      </c>
      <c r="E39" s="103"/>
      <c r="F39" s="97">
        <f>VLOOKUP(C39,'SIND PITS'!$C$3:$H$104,2,0)</f>
        <v>416.40000000000009</v>
      </c>
      <c r="G39" s="97">
        <f>VLOOKUP(C39,'SIND PITS'!$C$3:$E$104,3,0)</f>
        <v>130</v>
      </c>
      <c r="H39" s="97">
        <f>VLOOKUP(C39,'SIND PITS'!$C$3:$F$104,4,0)</f>
        <v>0</v>
      </c>
      <c r="I39" s="97">
        <f>VLOOKUP(C39,'SIND PITS'!$C$3:$G$104,5,0)</f>
        <v>0</v>
      </c>
      <c r="J39" s="100"/>
      <c r="K39" s="97">
        <f t="shared" si="1"/>
        <v>4130</v>
      </c>
      <c r="L39" s="97">
        <v>8000</v>
      </c>
      <c r="M39" s="97">
        <f t="shared" si="2"/>
        <v>4000</v>
      </c>
      <c r="N39" s="100"/>
      <c r="O39" s="99">
        <f>VLOOKUP(C39,'IP PITSS'!$B$10:$I$91,8,0)</f>
        <v>0</v>
      </c>
      <c r="P39" s="29">
        <f t="shared" si="3"/>
        <v>130</v>
      </c>
      <c r="Q39" s="99">
        <f>VLOOKUP(C39,'IP PITSS'!$B$10:$K$91,10,0)+VLOOKUP('RESUMEN PITS'!C39,'IP PITSS'!$B$10:$L$91,11,0)+VLOOKUP('RESUMEN PITS'!C39,'IP PITSS'!$B$10:$M$91,12,0)</f>
        <v>0</v>
      </c>
      <c r="R39" s="99">
        <f>VLOOKUP(C39,'IP PITSS'!$B$10:$Q$91,16,0)</f>
        <v>0</v>
      </c>
      <c r="S39" s="99">
        <f>VLOOKUP(C39,'IP PITSS'!$B$10:$R$91,17,0)</f>
        <v>0</v>
      </c>
      <c r="T39" s="100"/>
      <c r="U39" s="29">
        <f>+K39-O39-P39+Q39+R39+S39+IFERROR(VLOOKUP('RESUMEN PITS'!C39,'IP PITSS'!$B$10:$M$91,10),0)+IFERROR(VLOOKUP('RESUMEN PITS'!C39,'IP PITSS'!$B$10:$M$91,11),0)+IFERROR(VLOOKUP('RESUMEN PITS'!C39,'IP PITSS'!$B$10:$M$91,12),0)+VLOOKUP("Comision",'IP PITSS'!$I$97:$J$108,2)/COUNT($F$9:$F$111)+IFERROR(VLOOKUP('RESUMEN PITS'!C39,'IP PITSS'!$B$10:$AD$91,15),0)+IFERROR(VLOOKUP('RESUMEN PITS'!C39,'IP PITSS'!$B$10:$AD$91,21),0)+IFERROR(VLOOKUP('RESUMEN PITS'!C39,'IP PITSS'!$B$10:$AD$91,22),0)+IFERROR(VLOOKUP('RESUMEN PITS'!C39,'IP PITSS'!$B$10:$AD$91,23),0)+IFERROR(VLOOKUP('RESUMEN PITS'!C39,'IP PITSS'!$B$10:$AD$91,24),0)+IFERROR(VLOOKUP('RESUMEN PITS'!C39,'IP PITSS'!$B$10:$AD$91,26),0)+IFERROR(VLOOKUP('RESUMEN PITS'!C39,'IP PITSS'!$B$10:$AD$91,28),0)+IFERROR(VLOOKUP('RESUMEN PITS'!C39,'IP PITSS'!$B$10:$AD$91,29),0)+IFERROR(VLOOKUP('RESUMEN PITS'!C39,'IP PITSS'!$B$10:$AD$91,9),0)*2%</f>
        <v>5417.0416416666667</v>
      </c>
      <c r="V39" s="99">
        <f t="shared" si="0"/>
        <v>-1417.0416416666667</v>
      </c>
      <c r="W39" s="20"/>
      <c r="X39" s="29" t="s">
        <v>173</v>
      </c>
    </row>
    <row r="40" spans="1:24" s="29" customFormat="1" x14ac:dyDescent="0.2">
      <c r="A40" s="101" t="s">
        <v>295</v>
      </c>
      <c r="B40" s="21" t="s">
        <v>94</v>
      </c>
      <c r="C40" s="101" t="s">
        <v>296</v>
      </c>
      <c r="D40" s="21">
        <f>VLOOKUP(C40,'IP PITSS'!$B$10:$U$91,20,0)</f>
        <v>3573.6</v>
      </c>
      <c r="E40" s="103"/>
      <c r="F40" s="97">
        <f>VLOOKUP(C40,'SIND PITS'!$C$3:$H$104,2,0)</f>
        <v>416.39999999999964</v>
      </c>
      <c r="G40" s="97">
        <f>VLOOKUP(C40,'SIND PITS'!$C$3:$E$104,3,0)</f>
        <v>315</v>
      </c>
      <c r="H40" s="97">
        <f>VLOOKUP(C40,'SIND PITS'!$C$3:$F$104,4,0)</f>
        <v>0</v>
      </c>
      <c r="I40" s="97">
        <f>VLOOKUP(C40,'SIND PITS'!$C$3:$G$104,5,0)</f>
        <v>0</v>
      </c>
      <c r="J40" s="100"/>
      <c r="K40" s="97">
        <f t="shared" si="1"/>
        <v>4305</v>
      </c>
      <c r="L40" s="97">
        <v>8000</v>
      </c>
      <c r="M40" s="97">
        <f t="shared" si="2"/>
        <v>4000</v>
      </c>
      <c r="N40" s="100"/>
      <c r="O40" s="99">
        <f>VLOOKUP(C40,'IP PITSS'!$B$10:$I$91,8,0)</f>
        <v>240</v>
      </c>
      <c r="P40" s="29">
        <f t="shared" si="3"/>
        <v>315</v>
      </c>
      <c r="Q40" s="99">
        <f>VLOOKUP(C40,'IP PITSS'!$B$10:$K$91,10,0)+VLOOKUP('RESUMEN PITS'!C40,'IP PITSS'!$B$10:$L$91,11,0)+VLOOKUP('RESUMEN PITS'!C40,'IP PITSS'!$B$10:$M$91,12,0)</f>
        <v>0</v>
      </c>
      <c r="R40" s="99">
        <f>VLOOKUP(C40,'IP PITSS'!$B$10:$Q$91,16,0)</f>
        <v>0</v>
      </c>
      <c r="S40" s="99">
        <f>VLOOKUP(C40,'IP PITSS'!$B$10:$R$91,17,0)</f>
        <v>250</v>
      </c>
      <c r="T40" s="100"/>
      <c r="U40" s="29">
        <f>+K40-O40-P40+Q40+R40+S40+IFERROR(VLOOKUP('RESUMEN PITS'!C40,'IP PITSS'!$B$10:$M$91,10),0)+IFERROR(VLOOKUP('RESUMEN PITS'!C40,'IP PITSS'!$B$10:$M$91,11),0)+IFERROR(VLOOKUP('RESUMEN PITS'!C40,'IP PITSS'!$B$10:$M$91,12),0)+VLOOKUP("Comision",'IP PITSS'!$I$97:$J$108,2)/COUNT($F$9:$F$111)+IFERROR(VLOOKUP('RESUMEN PITS'!C40,'IP PITSS'!$B$10:$AD$91,15),0)+IFERROR(VLOOKUP('RESUMEN PITS'!C40,'IP PITSS'!$B$10:$AD$91,21),0)+IFERROR(VLOOKUP('RESUMEN PITS'!C40,'IP PITSS'!$B$10:$AD$91,22),0)+IFERROR(VLOOKUP('RESUMEN PITS'!C40,'IP PITSS'!$B$10:$AD$91,23),0)+IFERROR(VLOOKUP('RESUMEN PITS'!C40,'IP PITSS'!$B$10:$AD$91,24),0)+IFERROR(VLOOKUP('RESUMEN PITS'!C40,'IP PITSS'!$B$10:$AD$91,26),0)+IFERROR(VLOOKUP('RESUMEN PITS'!C40,'IP PITSS'!$B$10:$AD$91,28),0)+IFERROR(VLOOKUP('RESUMEN PITS'!C40,'IP PITSS'!$B$10:$AD$91,29),0)+IFERROR(VLOOKUP('RESUMEN PITS'!C40,'IP PITSS'!$B$10:$AD$91,9),0)*2%</f>
        <v>5344.8726416666659</v>
      </c>
      <c r="V40" s="99">
        <f t="shared" si="0"/>
        <v>-1344.8726416666659</v>
      </c>
      <c r="W40" s="43"/>
      <c r="X40" s="29" t="s">
        <v>297</v>
      </c>
    </row>
    <row r="41" spans="1:24" s="20" customFormat="1" x14ac:dyDescent="0.2">
      <c r="A41" s="101" t="s">
        <v>144</v>
      </c>
      <c r="B41" s="21" t="s">
        <v>94</v>
      </c>
      <c r="C41" s="101" t="s">
        <v>145</v>
      </c>
      <c r="D41" s="21">
        <f>VLOOKUP(C41,'IP PITSS'!$B$10:$U$91,20,0)</f>
        <v>4406.3999999999996</v>
      </c>
      <c r="E41" s="103"/>
      <c r="F41" s="97">
        <f>VLOOKUP(C41,'SIND PITS'!$C$3:$H$104,2,0)</f>
        <v>593.60000000000036</v>
      </c>
      <c r="G41" s="97">
        <f>VLOOKUP(C41,'SIND PITS'!$C$3:$E$104,3,0)</f>
        <v>60</v>
      </c>
      <c r="H41" s="97">
        <f>VLOOKUP(C41,'SIND PITS'!$C$3:$F$104,4,0)</f>
        <v>0</v>
      </c>
      <c r="I41" s="97">
        <f>VLOOKUP(C41,'SIND PITS'!$C$3:$G$104,5,0)</f>
        <v>0</v>
      </c>
      <c r="J41" s="100"/>
      <c r="K41" s="97">
        <f t="shared" si="1"/>
        <v>5060</v>
      </c>
      <c r="L41" s="97">
        <v>10000</v>
      </c>
      <c r="M41" s="97">
        <f t="shared" si="2"/>
        <v>5000</v>
      </c>
      <c r="N41" s="100"/>
      <c r="O41" s="99">
        <f>VLOOKUP(C41,'IP PITSS'!$B$10:$I$91,8,0)</f>
        <v>0</v>
      </c>
      <c r="P41" s="29">
        <f t="shared" si="3"/>
        <v>60</v>
      </c>
      <c r="Q41" s="99">
        <f>VLOOKUP(C41,'IP PITSS'!$B$10:$K$91,10,0)+VLOOKUP('RESUMEN PITS'!C41,'IP PITSS'!$B$10:$L$91,11,0)+VLOOKUP('RESUMEN PITS'!C41,'IP PITSS'!$B$10:$M$91,12,0)</f>
        <v>0</v>
      </c>
      <c r="R41" s="99">
        <f>VLOOKUP(C41,'IP PITSS'!$B$10:$Q$91,16,0)</f>
        <v>0</v>
      </c>
      <c r="S41" s="99">
        <f>VLOOKUP(C41,'IP PITSS'!$B$10:$R$91,17,0)</f>
        <v>0</v>
      </c>
      <c r="T41" s="100"/>
      <c r="U41" s="29">
        <f>+K41-O41-P41+Q41+R41+S41+IFERROR(VLOOKUP('RESUMEN PITS'!C41,'IP PITSS'!$B$10:$M$91,10),0)+IFERROR(VLOOKUP('RESUMEN PITS'!C41,'IP PITSS'!$B$10:$M$91,11),0)+IFERROR(VLOOKUP('RESUMEN PITS'!C41,'IP PITSS'!$B$10:$M$91,12),0)+VLOOKUP("Comision",'IP PITSS'!$I$97:$J$108,2)/COUNT($F$9:$F$111)+IFERROR(VLOOKUP('RESUMEN PITS'!C41,'IP PITSS'!$B$10:$AD$91,15),0)+IFERROR(VLOOKUP('RESUMEN PITS'!C41,'IP PITSS'!$B$10:$AD$91,21),0)+IFERROR(VLOOKUP('RESUMEN PITS'!C41,'IP PITSS'!$B$10:$AD$91,22),0)+IFERROR(VLOOKUP('RESUMEN PITS'!C41,'IP PITSS'!$B$10:$AD$91,23),0)+IFERROR(VLOOKUP('RESUMEN PITS'!C41,'IP PITSS'!$B$10:$AD$91,24),0)+IFERROR(VLOOKUP('RESUMEN PITS'!C41,'IP PITSS'!$B$10:$AD$91,26),0)+IFERROR(VLOOKUP('RESUMEN PITS'!C41,'IP PITSS'!$B$10:$AD$91,28),0)+IFERROR(VLOOKUP('RESUMEN PITS'!C41,'IP PITSS'!$B$10:$AD$91,29),0)+IFERROR(VLOOKUP('RESUMEN PITS'!C41,'IP PITSS'!$B$10:$AD$91,9),0)*2%</f>
        <v>5056.5626416666664</v>
      </c>
      <c r="V41" s="99">
        <f t="shared" si="0"/>
        <v>-56.562641666666423</v>
      </c>
      <c r="X41" s="29" t="s">
        <v>146</v>
      </c>
    </row>
    <row r="42" spans="1:24" s="29" customFormat="1" x14ac:dyDescent="0.2">
      <c r="A42" s="101" t="s">
        <v>187</v>
      </c>
      <c r="B42" s="21" t="s">
        <v>94</v>
      </c>
      <c r="C42" s="101" t="s">
        <v>188</v>
      </c>
      <c r="D42" s="21">
        <f>VLOOKUP(C42,'IP PITSS'!$B$10:$U$91,20,0)</f>
        <v>3583.6</v>
      </c>
      <c r="E42" s="103"/>
      <c r="F42" s="97">
        <f>VLOOKUP(C42,'SIND PITS'!$C$3:$H$104,2,0)</f>
        <v>416.40000000000009</v>
      </c>
      <c r="G42" s="97">
        <f>VLOOKUP(C42,'SIND PITS'!$C$3:$E$104,3,0)</f>
        <v>225</v>
      </c>
      <c r="H42" s="97">
        <f>VLOOKUP(C42,'SIND PITS'!$C$3:$F$104,4,0)</f>
        <v>0</v>
      </c>
      <c r="I42" s="97">
        <f>VLOOKUP(C42,'SIND PITS'!$C$3:$G$104,5,0)</f>
        <v>0</v>
      </c>
      <c r="J42" s="100"/>
      <c r="K42" s="97">
        <f t="shared" si="1"/>
        <v>4225</v>
      </c>
      <c r="L42" s="97">
        <v>8000</v>
      </c>
      <c r="M42" s="97">
        <f t="shared" si="2"/>
        <v>4000</v>
      </c>
      <c r="N42" s="100"/>
      <c r="O42" s="99">
        <f>VLOOKUP(C42,'IP PITSS'!$B$10:$I$91,8,0)</f>
        <v>0</v>
      </c>
      <c r="P42" s="29">
        <f t="shared" si="3"/>
        <v>225</v>
      </c>
      <c r="Q42" s="99">
        <f>VLOOKUP(C42,'IP PITSS'!$B$10:$K$91,10,0)+VLOOKUP('RESUMEN PITS'!C42,'IP PITSS'!$B$10:$L$91,11,0)+VLOOKUP('RESUMEN PITS'!C42,'IP PITSS'!$B$10:$M$91,12,0)</f>
        <v>0</v>
      </c>
      <c r="R42" s="99">
        <f>VLOOKUP(C42,'IP PITSS'!$B$10:$Q$91,16,0)</f>
        <v>0</v>
      </c>
      <c r="S42" s="99">
        <f>VLOOKUP(C42,'IP PITSS'!$B$10:$R$91,17,0)</f>
        <v>0</v>
      </c>
      <c r="T42" s="100"/>
      <c r="U42" s="29">
        <f>+K42-O42-P42+Q42+R42+S42+IFERROR(VLOOKUP('RESUMEN PITS'!C42,'IP PITSS'!$B$10:$M$91,10),0)+IFERROR(VLOOKUP('RESUMEN PITS'!C42,'IP PITSS'!$B$10:$M$91,11),0)+IFERROR(VLOOKUP('RESUMEN PITS'!C42,'IP PITSS'!$B$10:$M$91,12),0)+VLOOKUP("Comision",'IP PITSS'!$I$97:$J$108,2)/COUNT($F$9:$F$111)+IFERROR(VLOOKUP('RESUMEN PITS'!C42,'IP PITSS'!$B$10:$AD$91,15),0)+IFERROR(VLOOKUP('RESUMEN PITS'!C42,'IP PITSS'!$B$10:$AD$91,21),0)+IFERROR(VLOOKUP('RESUMEN PITS'!C42,'IP PITSS'!$B$10:$AD$91,22),0)+IFERROR(VLOOKUP('RESUMEN PITS'!C42,'IP PITSS'!$B$10:$AD$91,23),0)+IFERROR(VLOOKUP('RESUMEN PITS'!C42,'IP PITSS'!$B$10:$AD$91,24),0)+IFERROR(VLOOKUP('RESUMEN PITS'!C42,'IP PITSS'!$B$10:$AD$91,26),0)+IFERROR(VLOOKUP('RESUMEN PITS'!C42,'IP PITSS'!$B$10:$AD$91,28),0)+IFERROR(VLOOKUP('RESUMEN PITS'!C42,'IP PITSS'!$B$10:$AD$91,29),0)+IFERROR(VLOOKUP('RESUMEN PITS'!C42,'IP PITSS'!$B$10:$AD$91,9),0)*2%</f>
        <v>5417.0416416666667</v>
      </c>
      <c r="V42" s="99">
        <f t="shared" si="0"/>
        <v>-1417.0416416666667</v>
      </c>
      <c r="W42" s="20"/>
      <c r="X42" s="29" t="s">
        <v>189</v>
      </c>
    </row>
    <row r="43" spans="1:24" s="29" customFormat="1" x14ac:dyDescent="0.2">
      <c r="A43" s="101" t="s">
        <v>243</v>
      </c>
      <c r="B43" s="21" t="s">
        <v>94</v>
      </c>
      <c r="C43" s="101" t="s">
        <v>244</v>
      </c>
      <c r="D43" s="21">
        <f>VLOOKUP(C43,'IP PITSS'!$B$10:$U$91,20,0)</f>
        <v>2709.8</v>
      </c>
      <c r="E43" s="103"/>
      <c r="F43" s="97">
        <f>VLOOKUP(C43,'SIND PITS'!$C$3:$H$104,2,0)</f>
        <v>549.875</v>
      </c>
      <c r="G43" s="97">
        <f>VLOOKUP(C43,'SIND PITS'!$C$3:$E$104,3,0)</f>
        <v>375</v>
      </c>
      <c r="H43" s="97">
        <f>VLOOKUP(C43,'SIND PITS'!$C$3:$F$104,4,0)</f>
        <v>0</v>
      </c>
      <c r="I43" s="97">
        <f>VLOOKUP(C43,'SIND PITS'!$C$3:$G$104,5,0)</f>
        <v>0</v>
      </c>
      <c r="J43" s="100"/>
      <c r="K43" s="97">
        <f t="shared" si="1"/>
        <v>3634.6750000000002</v>
      </c>
      <c r="L43" s="97">
        <v>9550.01</v>
      </c>
      <c r="M43" s="97">
        <f t="shared" si="2"/>
        <v>4775.0050000000001</v>
      </c>
      <c r="N43" s="100"/>
      <c r="O43" s="99">
        <f>VLOOKUP(C43,'IP PITSS'!$B$10:$I$91,8,0)</f>
        <v>0</v>
      </c>
      <c r="P43" s="29">
        <f t="shared" si="3"/>
        <v>375</v>
      </c>
      <c r="Q43" s="99">
        <f>VLOOKUP(C43,'IP PITSS'!$B$10:$K$91,10,0)+VLOOKUP('RESUMEN PITS'!C43,'IP PITSS'!$B$10:$L$91,11,0)+VLOOKUP('RESUMEN PITS'!C43,'IP PITSS'!$B$10:$M$91,12,0)</f>
        <v>1515.33</v>
      </c>
      <c r="R43" s="99">
        <f>VLOOKUP(C43,'IP PITSS'!$B$10:$Q$91,16,0)</f>
        <v>0</v>
      </c>
      <c r="S43" s="99">
        <f>VLOOKUP(C43,'IP PITSS'!$B$10:$R$91,17,0)</f>
        <v>0</v>
      </c>
      <c r="T43" s="100"/>
      <c r="U43" s="29">
        <f>+K43-O43-P43+Q43+R43+S43+IFERROR(VLOOKUP('RESUMEN PITS'!C43,'IP PITSS'!$B$10:$M$91,10),0)+IFERROR(VLOOKUP('RESUMEN PITS'!C43,'IP PITSS'!$B$10:$M$91,11),0)+IFERROR(VLOOKUP('RESUMEN PITS'!C43,'IP PITSS'!$B$10:$M$91,12),0)+VLOOKUP("Comision",'IP PITSS'!$I$97:$J$108,2)/COUNT($F$9:$F$111)+IFERROR(VLOOKUP('RESUMEN PITS'!C43,'IP PITSS'!$B$10:$AD$91,15),0)+IFERROR(VLOOKUP('RESUMEN PITS'!C43,'IP PITSS'!$B$10:$AD$91,21),0)+IFERROR(VLOOKUP('RESUMEN PITS'!C43,'IP PITSS'!$B$10:$AD$91,22),0)+IFERROR(VLOOKUP('RESUMEN PITS'!C43,'IP PITSS'!$B$10:$AD$91,23),0)+IFERROR(VLOOKUP('RESUMEN PITS'!C43,'IP PITSS'!$B$10:$AD$91,24),0)+IFERROR(VLOOKUP('RESUMEN PITS'!C43,'IP PITSS'!$B$10:$AD$91,26),0)+IFERROR(VLOOKUP('RESUMEN PITS'!C43,'IP PITSS'!$B$10:$AD$91,28),0)+IFERROR(VLOOKUP('RESUMEN PITS'!C43,'IP PITSS'!$B$10:$AD$91,29),0)+IFERROR(VLOOKUP('RESUMEN PITS'!C43,'IP PITSS'!$B$10:$AD$91,9),0)*2%</f>
        <v>6690.9586416666662</v>
      </c>
      <c r="V43" s="99">
        <f t="shared" si="0"/>
        <v>-1915.953641666666</v>
      </c>
      <c r="W43" s="20"/>
      <c r="X43" s="29" t="s">
        <v>245</v>
      </c>
    </row>
    <row r="44" spans="1:24" s="29" customFormat="1" x14ac:dyDescent="0.2">
      <c r="A44" s="101" t="s">
        <v>121</v>
      </c>
      <c r="B44" s="21" t="s">
        <v>94</v>
      </c>
      <c r="C44" s="101" t="s">
        <v>122</v>
      </c>
      <c r="D44" s="21">
        <f>VLOOKUP(C44,'IP PITSS'!$B$10:$U$91,20,0)</f>
        <v>1995.2</v>
      </c>
      <c r="E44" s="103"/>
      <c r="F44" s="97">
        <f>VLOOKUP(C44,'SIND PITS'!$C$3:$H$104,2,0)</f>
        <v>384.78499999999985</v>
      </c>
      <c r="G44" s="97">
        <f>VLOOKUP(C44,'SIND PITS'!$C$3:$E$104,3,0)</f>
        <v>70</v>
      </c>
      <c r="H44" s="97">
        <f>VLOOKUP(C44,'SIND PITS'!$C$3:$F$104,4,0)</f>
        <v>0</v>
      </c>
      <c r="I44" s="97">
        <f>VLOOKUP(C44,'SIND PITS'!$C$3:$G$104,5,0)</f>
        <v>0</v>
      </c>
      <c r="J44" s="100"/>
      <c r="K44" s="97">
        <f t="shared" si="1"/>
        <v>2449.9849999999997</v>
      </c>
      <c r="L44" s="97">
        <v>7505.99</v>
      </c>
      <c r="M44" s="97">
        <f t="shared" si="2"/>
        <v>3752.9949999999999</v>
      </c>
      <c r="N44" s="100"/>
      <c r="O44" s="99">
        <f>VLOOKUP(C44,'IP PITSS'!$B$10:$I$91,8,0)</f>
        <v>0</v>
      </c>
      <c r="P44" s="29">
        <f t="shared" si="3"/>
        <v>70</v>
      </c>
      <c r="Q44" s="99">
        <f>VLOOKUP(C44,'IP PITSS'!$B$10:$K$91,10,0)+VLOOKUP('RESUMEN PITS'!C44,'IP PITSS'!$B$10:$L$91,11,0)+VLOOKUP('RESUMEN PITS'!C44,'IP PITSS'!$B$10:$M$91,12,0)</f>
        <v>1373.01</v>
      </c>
      <c r="R44" s="99">
        <f>VLOOKUP(C44,'IP PITSS'!$B$10:$Q$91,16,0)</f>
        <v>0</v>
      </c>
      <c r="S44" s="99">
        <f>VLOOKUP(C44,'IP PITSS'!$B$10:$R$91,17,0)</f>
        <v>0</v>
      </c>
      <c r="T44" s="100"/>
      <c r="U44" s="29">
        <f>+K44-O44-P44+Q44+R44+S44+IFERROR(VLOOKUP('RESUMEN PITS'!C44,'IP PITSS'!$B$10:$M$91,10),0)+IFERROR(VLOOKUP('RESUMEN PITS'!C44,'IP PITSS'!$B$10:$M$91,11),0)+IFERROR(VLOOKUP('RESUMEN PITS'!C44,'IP PITSS'!$B$10:$M$91,12),0)+VLOOKUP("Comision",'IP PITSS'!$I$97:$J$108,2)/COUNT($F$9:$F$111)+IFERROR(VLOOKUP('RESUMEN PITS'!C44,'IP PITSS'!$B$10:$AD$91,15),0)+IFERROR(VLOOKUP('RESUMEN PITS'!C44,'IP PITSS'!$B$10:$AD$91,21),0)+IFERROR(VLOOKUP('RESUMEN PITS'!C44,'IP PITSS'!$B$10:$AD$91,22),0)+IFERROR(VLOOKUP('RESUMEN PITS'!C44,'IP PITSS'!$B$10:$AD$91,23),0)+IFERROR(VLOOKUP('RESUMEN PITS'!C44,'IP PITSS'!$B$10:$AD$91,24),0)+IFERROR(VLOOKUP('RESUMEN PITS'!C44,'IP PITSS'!$B$10:$AD$91,26),0)+IFERROR(VLOOKUP('RESUMEN PITS'!C44,'IP PITSS'!$B$10:$AD$91,28),0)+IFERROR(VLOOKUP('RESUMEN PITS'!C44,'IP PITSS'!$B$10:$AD$91,29),0)+IFERROR(VLOOKUP('RESUMEN PITS'!C44,'IP PITSS'!$B$10:$AD$91,9),0)*2%</f>
        <v>3809.5576416666663</v>
      </c>
      <c r="V44" s="99">
        <f t="shared" si="0"/>
        <v>-56.562641666666423</v>
      </c>
      <c r="W44" s="20"/>
      <c r="X44" s="29" t="s">
        <v>123</v>
      </c>
    </row>
    <row r="45" spans="1:24" s="29" customFormat="1" x14ac:dyDescent="0.2">
      <c r="A45" s="101" t="s">
        <v>174</v>
      </c>
      <c r="B45" s="21" t="s">
        <v>94</v>
      </c>
      <c r="C45" s="101" t="s">
        <v>175</v>
      </c>
      <c r="D45" s="21">
        <f>VLOOKUP(C45,'IP PITSS'!$B$10:$U$91,20,0)</f>
        <v>125.6</v>
      </c>
      <c r="E45" s="103"/>
      <c r="F45" s="97">
        <f>VLOOKUP(C45,'SIND PITS'!$C$3:$H$104,2,0)</f>
        <v>451.00500000000011</v>
      </c>
      <c r="G45" s="97">
        <f>VLOOKUP(C45,'SIND PITS'!$C$3:$E$104,3,0)</f>
        <v>162.5</v>
      </c>
      <c r="H45" s="97">
        <f>VLOOKUP(C45,'SIND PITS'!$C$3:$F$104,4,0)</f>
        <v>0</v>
      </c>
      <c r="I45" s="97">
        <f>VLOOKUP(C45,'SIND PITS'!$C$3:$G$104,5,0)</f>
        <v>0</v>
      </c>
      <c r="J45" s="100"/>
      <c r="K45" s="97">
        <f t="shared" si="1"/>
        <v>739.10500000000013</v>
      </c>
      <c r="L45" s="97">
        <v>8500.01</v>
      </c>
      <c r="M45" s="97">
        <f t="shared" si="2"/>
        <v>4250.0050000000001</v>
      </c>
      <c r="N45" s="100"/>
      <c r="O45" s="99">
        <f>VLOOKUP(C45,'IP PITSS'!$B$10:$I$91,8,0)</f>
        <v>0</v>
      </c>
      <c r="P45" s="29">
        <f t="shared" si="3"/>
        <v>162.5</v>
      </c>
      <c r="Q45" s="99">
        <f>VLOOKUP(C45,'IP PITSS'!$B$10:$K$91,10,0)+VLOOKUP('RESUMEN PITS'!C45,'IP PITSS'!$B$10:$L$91,11,0)+VLOOKUP('RESUMEN PITS'!C45,'IP PITSS'!$B$10:$M$91,12,0)</f>
        <v>3673.4</v>
      </c>
      <c r="R45" s="99">
        <f>VLOOKUP(C45,'IP PITSS'!$B$10:$Q$91,16,0)</f>
        <v>0</v>
      </c>
      <c r="S45" s="99">
        <f>VLOOKUP(C45,'IP PITSS'!$B$10:$R$91,17,0)</f>
        <v>0</v>
      </c>
      <c r="T45" s="100"/>
      <c r="U45" s="29">
        <f>+K45-O45-P45+Q45+R45+S45+IFERROR(VLOOKUP('RESUMEN PITS'!C45,'IP PITSS'!$B$10:$M$91,10),0)+IFERROR(VLOOKUP('RESUMEN PITS'!C45,'IP PITSS'!$B$10:$M$91,11),0)+IFERROR(VLOOKUP('RESUMEN PITS'!C45,'IP PITSS'!$B$10:$M$91,12),0)+VLOOKUP("Comision",'IP PITSS'!$I$97:$J$108,2)/COUNT($F$9:$F$111)+IFERROR(VLOOKUP('RESUMEN PITS'!C45,'IP PITSS'!$B$10:$AD$91,15),0)+IFERROR(VLOOKUP('RESUMEN PITS'!C45,'IP PITSS'!$B$10:$AD$91,21),0)+IFERROR(VLOOKUP('RESUMEN PITS'!C45,'IP PITSS'!$B$10:$AD$91,22),0)+IFERROR(VLOOKUP('RESUMEN PITS'!C45,'IP PITSS'!$B$10:$AD$91,23),0)+IFERROR(VLOOKUP('RESUMEN PITS'!C45,'IP PITSS'!$B$10:$AD$91,24),0)+IFERROR(VLOOKUP('RESUMEN PITS'!C45,'IP PITSS'!$B$10:$AD$91,26),0)+IFERROR(VLOOKUP('RESUMEN PITS'!C45,'IP PITSS'!$B$10:$AD$91,28),0)+IFERROR(VLOOKUP('RESUMEN PITS'!C45,'IP PITSS'!$B$10:$AD$91,29),0)+IFERROR(VLOOKUP('RESUMEN PITS'!C45,'IP PITSS'!$B$10:$AD$91,9),0)*2%</f>
        <v>5667.0466416666668</v>
      </c>
      <c r="V45" s="99">
        <f t="shared" si="0"/>
        <v>-1417.0416416666667</v>
      </c>
      <c r="W45" s="20"/>
      <c r="X45" s="29" t="s">
        <v>176</v>
      </c>
    </row>
    <row r="46" spans="1:24" s="20" customFormat="1" x14ac:dyDescent="0.2">
      <c r="A46" s="101" t="s">
        <v>141</v>
      </c>
      <c r="B46" s="21" t="s">
        <v>94</v>
      </c>
      <c r="C46" s="101" t="s">
        <v>142</v>
      </c>
      <c r="D46" s="21">
        <f>VLOOKUP(C46,'IP PITSS'!$B$10:$U$91,20,0)</f>
        <v>3585.4</v>
      </c>
      <c r="E46" s="103"/>
      <c r="F46" s="97">
        <f>VLOOKUP(C46,'SIND PITS'!$C$3:$H$104,2,0)</f>
        <v>414.59999999999991</v>
      </c>
      <c r="G46" s="97">
        <f>VLOOKUP(C46,'SIND PITS'!$C$3:$E$104,3,0)</f>
        <v>600</v>
      </c>
      <c r="H46" s="97">
        <f>VLOOKUP(C46,'SIND PITS'!$C$3:$F$104,4,0)</f>
        <v>0</v>
      </c>
      <c r="I46" s="97">
        <f>VLOOKUP(C46,'SIND PITS'!$C$3:$G$104,5,0)</f>
        <v>0</v>
      </c>
      <c r="J46" s="100"/>
      <c r="K46" s="97">
        <f t="shared" si="1"/>
        <v>4600</v>
      </c>
      <c r="L46" s="97">
        <v>8000</v>
      </c>
      <c r="M46" s="97">
        <f t="shared" si="2"/>
        <v>4000</v>
      </c>
      <c r="N46" s="100"/>
      <c r="O46" s="99">
        <f>VLOOKUP(C46,'IP PITSS'!$B$10:$I$91,8,0)</f>
        <v>0</v>
      </c>
      <c r="P46" s="29">
        <f t="shared" si="3"/>
        <v>600</v>
      </c>
      <c r="Q46" s="99">
        <f>VLOOKUP(C46,'IP PITSS'!$B$10:$K$91,10,0)+VLOOKUP('RESUMEN PITS'!C46,'IP PITSS'!$B$10:$L$91,11,0)+VLOOKUP('RESUMEN PITS'!C46,'IP PITSS'!$B$10:$M$91,12,0)</f>
        <v>0</v>
      </c>
      <c r="R46" s="99">
        <f>VLOOKUP(C46,'IP PITSS'!$B$10:$Q$91,16,0)</f>
        <v>0</v>
      </c>
      <c r="S46" s="99">
        <f>VLOOKUP(C46,'IP PITSS'!$B$10:$R$91,17,0)</f>
        <v>0</v>
      </c>
      <c r="T46" s="100"/>
      <c r="U46" s="29">
        <f>+K46-O46-P46+Q46+R46+S46+IFERROR(VLOOKUP('RESUMEN PITS'!C46,'IP PITSS'!$B$10:$M$91,10),0)+IFERROR(VLOOKUP('RESUMEN PITS'!C46,'IP PITSS'!$B$10:$M$91,11),0)+IFERROR(VLOOKUP('RESUMEN PITS'!C46,'IP PITSS'!$B$10:$M$91,12),0)+VLOOKUP("Comision",'IP PITSS'!$I$97:$J$108,2)/COUNT($F$9:$F$111)+IFERROR(VLOOKUP('RESUMEN PITS'!C46,'IP PITSS'!$B$10:$AD$91,15),0)+IFERROR(VLOOKUP('RESUMEN PITS'!C46,'IP PITSS'!$B$10:$AD$91,21),0)+IFERROR(VLOOKUP('RESUMEN PITS'!C46,'IP PITSS'!$B$10:$AD$91,22),0)+IFERROR(VLOOKUP('RESUMEN PITS'!C46,'IP PITSS'!$B$10:$AD$91,23),0)+IFERROR(VLOOKUP('RESUMEN PITS'!C46,'IP PITSS'!$B$10:$AD$91,24),0)+IFERROR(VLOOKUP('RESUMEN PITS'!C46,'IP PITSS'!$B$10:$AD$91,26),0)+IFERROR(VLOOKUP('RESUMEN PITS'!C46,'IP PITSS'!$B$10:$AD$91,28),0)+IFERROR(VLOOKUP('RESUMEN PITS'!C46,'IP PITSS'!$B$10:$AD$91,29),0)+IFERROR(VLOOKUP('RESUMEN PITS'!C46,'IP PITSS'!$B$10:$AD$91,9),0)*2%</f>
        <v>4056.5626416666664</v>
      </c>
      <c r="V46" s="99">
        <f t="shared" si="0"/>
        <v>-56.562641666666423</v>
      </c>
      <c r="W46" s="43"/>
      <c r="X46" s="29" t="s">
        <v>143</v>
      </c>
    </row>
    <row r="47" spans="1:24" s="29" customFormat="1" x14ac:dyDescent="0.2">
      <c r="A47" s="101" t="s">
        <v>206</v>
      </c>
      <c r="B47" s="21" t="s">
        <v>94</v>
      </c>
      <c r="C47" s="101" t="s">
        <v>207</v>
      </c>
      <c r="D47" s="21">
        <f>VLOOKUP(C47,'IP PITSS'!$B$10:$U$91,20,0)</f>
        <v>3192.2</v>
      </c>
      <c r="E47" s="103"/>
      <c r="F47" s="97">
        <f>VLOOKUP(C47,'SIND PITS'!$C$3:$H$104,2,0)</f>
        <v>1451.0500000000002</v>
      </c>
      <c r="G47" s="97">
        <f>VLOOKUP(C47,'SIND PITS'!$C$3:$E$104,3,0)</f>
        <v>112.5</v>
      </c>
      <c r="H47" s="97">
        <f>VLOOKUP(C47,'SIND PITS'!$C$3:$F$104,4,0)</f>
        <v>0</v>
      </c>
      <c r="I47" s="97">
        <f>VLOOKUP(C47,'SIND PITS'!$C$3:$G$104,5,0)</f>
        <v>0</v>
      </c>
      <c r="J47" s="100"/>
      <c r="K47" s="97">
        <f t="shared" si="1"/>
        <v>4755.75</v>
      </c>
      <c r="L47" s="97">
        <v>10500</v>
      </c>
      <c r="M47" s="97">
        <f t="shared" si="2"/>
        <v>5250</v>
      </c>
      <c r="N47" s="100"/>
      <c r="O47" s="99">
        <f>VLOOKUP(C47,'IP PITSS'!$B$10:$I$91,8,0)</f>
        <v>0</v>
      </c>
      <c r="P47" s="29">
        <f t="shared" si="3"/>
        <v>112.5</v>
      </c>
      <c r="Q47" s="99">
        <f>VLOOKUP(C47,'IP PITSS'!$B$10:$K$91,10,0)+VLOOKUP('RESUMEN PITS'!C47,'IP PITSS'!$B$10:$L$91,11,0)+VLOOKUP('RESUMEN PITS'!C47,'IP PITSS'!$B$10:$M$91,12,0)</f>
        <v>606.75</v>
      </c>
      <c r="R47" s="99">
        <f>VLOOKUP(C47,'IP PITSS'!$B$10:$Q$91,16,0)</f>
        <v>0</v>
      </c>
      <c r="S47" s="99">
        <f>VLOOKUP(C47,'IP PITSS'!$B$10:$R$91,17,0)</f>
        <v>0</v>
      </c>
      <c r="T47" s="100"/>
      <c r="U47" s="29">
        <f>+K47-O47-P47+Q47+R47+S47+IFERROR(VLOOKUP('RESUMEN PITS'!C47,'IP PITSS'!$B$10:$M$91,10),0)+IFERROR(VLOOKUP('RESUMEN PITS'!C47,'IP PITSS'!$B$10:$M$91,11),0)+IFERROR(VLOOKUP('RESUMEN PITS'!C47,'IP PITSS'!$B$10:$M$91,12),0)+VLOOKUP("Comision",'IP PITSS'!$I$97:$J$108,2)/COUNT($F$9:$F$111)+IFERROR(VLOOKUP('RESUMEN PITS'!C47,'IP PITSS'!$B$10:$AD$91,15),0)+IFERROR(VLOOKUP('RESUMEN PITS'!C47,'IP PITSS'!$B$10:$AD$91,21),0)+IFERROR(VLOOKUP('RESUMEN PITS'!C47,'IP PITSS'!$B$10:$AD$91,22),0)+IFERROR(VLOOKUP('RESUMEN PITS'!C47,'IP PITSS'!$B$10:$AD$91,23),0)+IFERROR(VLOOKUP('RESUMEN PITS'!C47,'IP PITSS'!$B$10:$AD$91,24),0)+IFERROR(VLOOKUP('RESUMEN PITS'!C47,'IP PITSS'!$B$10:$AD$91,26),0)+IFERROR(VLOOKUP('RESUMEN PITS'!C47,'IP PITSS'!$B$10:$AD$91,28),0)+IFERROR(VLOOKUP('RESUMEN PITS'!C47,'IP PITSS'!$B$10:$AD$91,29),0)+IFERROR(VLOOKUP('RESUMEN PITS'!C47,'IP PITSS'!$B$10:$AD$91,9),0)*2%</f>
        <v>7165.953641666667</v>
      </c>
      <c r="V47" s="99">
        <f t="shared" si="0"/>
        <v>-1915.953641666667</v>
      </c>
      <c r="W47" s="20"/>
      <c r="X47" s="29" t="s">
        <v>208</v>
      </c>
    </row>
    <row r="48" spans="1:24" s="29" customFormat="1" x14ac:dyDescent="0.2">
      <c r="A48" s="101" t="s">
        <v>305</v>
      </c>
      <c r="B48" s="21" t="s">
        <v>94</v>
      </c>
      <c r="C48" s="101" t="s">
        <v>306</v>
      </c>
      <c r="D48" s="21">
        <f>VLOOKUP(C48,'IP PITSS'!$B$10:$U$91,20,0)</f>
        <v>3583.8</v>
      </c>
      <c r="E48" s="103"/>
      <c r="F48" s="97">
        <f>VLOOKUP(C48,'SIND PITS'!$C$3:$H$104,2,0)</f>
        <v>416.19999999999982</v>
      </c>
      <c r="G48" s="97">
        <f>VLOOKUP(C48,'SIND PITS'!$C$3:$E$104,3,0)</f>
        <v>180</v>
      </c>
      <c r="H48" s="97">
        <f>VLOOKUP(C48,'SIND PITS'!$C$3:$F$104,4,0)</f>
        <v>0</v>
      </c>
      <c r="I48" s="97">
        <f>VLOOKUP(C48,'SIND PITS'!$C$3:$G$104,5,0)</f>
        <v>0</v>
      </c>
      <c r="J48" s="100"/>
      <c r="K48" s="97">
        <f t="shared" si="1"/>
        <v>4180</v>
      </c>
      <c r="L48" s="97">
        <v>8000</v>
      </c>
      <c r="M48" s="97">
        <f t="shared" si="2"/>
        <v>4000</v>
      </c>
      <c r="N48" s="100"/>
      <c r="O48" s="99">
        <f>VLOOKUP(C48,'IP PITSS'!$B$10:$I$91,8,0)</f>
        <v>0</v>
      </c>
      <c r="P48" s="29">
        <f t="shared" si="3"/>
        <v>180</v>
      </c>
      <c r="Q48" s="99">
        <f>VLOOKUP(C48,'IP PITSS'!$B$10:$K$91,10,0)+VLOOKUP('RESUMEN PITS'!C48,'IP PITSS'!$B$10:$L$91,11,0)+VLOOKUP('RESUMEN PITS'!C48,'IP PITSS'!$B$10:$M$91,12,0)</f>
        <v>0</v>
      </c>
      <c r="R48" s="99">
        <f>VLOOKUP(C48,'IP PITSS'!$B$10:$Q$91,16,0)</f>
        <v>0</v>
      </c>
      <c r="S48" s="99">
        <f>VLOOKUP(C48,'IP PITSS'!$B$10:$R$91,17,0)</f>
        <v>0</v>
      </c>
      <c r="T48" s="100"/>
      <c r="U48" s="29">
        <f>+K48-O48-P48+Q48+R48+S48+IFERROR(VLOOKUP('RESUMEN PITS'!C48,'IP PITSS'!$B$10:$M$91,10),0)+IFERROR(VLOOKUP('RESUMEN PITS'!C48,'IP PITSS'!$B$10:$M$91,11),0)+IFERROR(VLOOKUP('RESUMEN PITS'!C48,'IP PITSS'!$B$10:$M$91,12),0)+VLOOKUP("Comision",'IP PITSS'!$I$97:$J$108,2)/COUNT($F$9:$F$111)+IFERROR(VLOOKUP('RESUMEN PITS'!C48,'IP PITSS'!$B$10:$AD$91,15),0)+IFERROR(VLOOKUP('RESUMEN PITS'!C48,'IP PITSS'!$B$10:$AD$91,21),0)+IFERROR(VLOOKUP('RESUMEN PITS'!C48,'IP PITSS'!$B$10:$AD$91,22),0)+IFERROR(VLOOKUP('RESUMEN PITS'!C48,'IP PITSS'!$B$10:$AD$91,23),0)+IFERROR(VLOOKUP('RESUMEN PITS'!C48,'IP PITSS'!$B$10:$AD$91,24),0)+IFERROR(VLOOKUP('RESUMEN PITS'!C48,'IP PITSS'!$B$10:$AD$91,26),0)+IFERROR(VLOOKUP('RESUMEN PITS'!C48,'IP PITSS'!$B$10:$AD$91,28),0)+IFERROR(VLOOKUP('RESUMEN PITS'!C48,'IP PITSS'!$B$10:$AD$91,29),0)+IFERROR(VLOOKUP('RESUMEN PITS'!C48,'IP PITSS'!$B$10:$AD$91,9),0)*2%</f>
        <v>5344.8726416666659</v>
      </c>
      <c r="V48" s="99">
        <f t="shared" si="0"/>
        <v>-1344.8726416666659</v>
      </c>
      <c r="W48" s="20"/>
      <c r="X48" s="29" t="s">
        <v>307</v>
      </c>
    </row>
    <row r="49" spans="1:24" s="29" customFormat="1" x14ac:dyDescent="0.2">
      <c r="A49" s="101" t="s">
        <v>329</v>
      </c>
      <c r="B49" s="21" t="s">
        <v>94</v>
      </c>
      <c r="C49" s="101" t="s">
        <v>330</v>
      </c>
      <c r="D49" s="21">
        <f>VLOOKUP(C49,'IP PITSS'!$B$10:$U$91,20,0)</f>
        <v>1750.6</v>
      </c>
      <c r="E49" s="103"/>
      <c r="F49" s="97">
        <f>VLOOKUP(C49,'SIND PITS'!$C$3:$H$104,2,0)</f>
        <v>416.21000000000004</v>
      </c>
      <c r="G49" s="97">
        <f>VLOOKUP(C49,'SIND PITS'!$C$3:$E$104,3,0)</f>
        <v>270</v>
      </c>
      <c r="H49" s="97">
        <f>VLOOKUP(C49,'SIND PITS'!$C$3:$F$104,4,0)</f>
        <v>0</v>
      </c>
      <c r="I49" s="97">
        <f>VLOOKUP(C49,'SIND PITS'!$C$3:$G$104,5,0)</f>
        <v>0</v>
      </c>
      <c r="J49" s="100"/>
      <c r="K49" s="97">
        <f t="shared" si="1"/>
        <v>2436.81</v>
      </c>
      <c r="L49" s="97">
        <v>8000</v>
      </c>
      <c r="M49" s="97">
        <f t="shared" si="2"/>
        <v>4000</v>
      </c>
      <c r="N49" s="100"/>
      <c r="O49" s="99">
        <f>VLOOKUP(C49,'IP PITSS'!$B$10:$I$91,8,0)</f>
        <v>0</v>
      </c>
      <c r="P49" s="29">
        <f t="shared" si="3"/>
        <v>270</v>
      </c>
      <c r="Q49" s="99">
        <f>VLOOKUP(C49,'IP PITSS'!$B$10:$K$91,10,0)+VLOOKUP('RESUMEN PITS'!C49,'IP PITSS'!$B$10:$L$91,11,0)+VLOOKUP('RESUMEN PITS'!C49,'IP PITSS'!$B$10:$M$91,12,0)</f>
        <v>1833.19</v>
      </c>
      <c r="R49" s="99">
        <f>VLOOKUP(C49,'IP PITSS'!$B$10:$Q$91,16,0)</f>
        <v>0</v>
      </c>
      <c r="S49" s="99">
        <f>VLOOKUP(C49,'IP PITSS'!$B$10:$R$91,17,0)</f>
        <v>0</v>
      </c>
      <c r="T49" s="100"/>
      <c r="U49" s="29">
        <f>+K49-O49-P49+Q49+R49+S49+IFERROR(VLOOKUP('RESUMEN PITS'!C49,'IP PITSS'!$B$10:$M$91,10),0)+IFERROR(VLOOKUP('RESUMEN PITS'!C49,'IP PITSS'!$B$10:$M$91,11),0)+IFERROR(VLOOKUP('RESUMEN PITS'!C49,'IP PITSS'!$B$10:$M$91,12),0)+VLOOKUP("Comision",'IP PITSS'!$I$97:$J$108,2)/COUNT($F$9:$F$111)+IFERROR(VLOOKUP('RESUMEN PITS'!C49,'IP PITSS'!$B$10:$AD$91,15),0)+IFERROR(VLOOKUP('RESUMEN PITS'!C49,'IP PITSS'!$B$10:$AD$91,21),0)+IFERROR(VLOOKUP('RESUMEN PITS'!C49,'IP PITSS'!$B$10:$AD$91,22),0)+IFERROR(VLOOKUP('RESUMEN PITS'!C49,'IP PITSS'!$B$10:$AD$91,23),0)+IFERROR(VLOOKUP('RESUMEN PITS'!C49,'IP PITSS'!$B$10:$AD$91,24),0)+IFERROR(VLOOKUP('RESUMEN PITS'!C49,'IP PITSS'!$B$10:$AD$91,26),0)+IFERROR(VLOOKUP('RESUMEN PITS'!C49,'IP PITSS'!$B$10:$AD$91,28),0)+IFERROR(VLOOKUP('RESUMEN PITS'!C49,'IP PITSS'!$B$10:$AD$91,29),0)+IFERROR(VLOOKUP('RESUMEN PITS'!C49,'IP PITSS'!$B$10:$AD$91,9),0)*2%</f>
        <v>5344.8726416666659</v>
      </c>
      <c r="V49" s="99">
        <f t="shared" si="0"/>
        <v>-1344.8726416666659</v>
      </c>
      <c r="W49" s="20"/>
      <c r="X49" s="29" t="s">
        <v>331</v>
      </c>
    </row>
    <row r="50" spans="1:24" s="20" customFormat="1" x14ac:dyDescent="0.2">
      <c r="A50" s="101" t="s">
        <v>234</v>
      </c>
      <c r="B50" s="21" t="s">
        <v>94</v>
      </c>
      <c r="C50" s="101" t="s">
        <v>235</v>
      </c>
      <c r="D50" s="21">
        <f>VLOOKUP(C50,'IP PITSS'!$B$10:$U$91,20,0)</f>
        <v>5952.4</v>
      </c>
      <c r="E50" s="103"/>
      <c r="F50" s="97">
        <f>VLOOKUP(C50,'SIND PITS'!$C$3:$H$104,2,0)</f>
        <v>1047.6000000000004</v>
      </c>
      <c r="G50" s="97">
        <f>VLOOKUP(C50,'SIND PITS'!$C$3:$E$104,3,0)</f>
        <v>562.5</v>
      </c>
      <c r="H50" s="97">
        <f>VLOOKUP(C50,'SIND PITS'!$C$3:$F$104,4,0)</f>
        <v>0</v>
      </c>
      <c r="I50" s="97">
        <f>VLOOKUP(C50,'SIND PITS'!$C$3:$G$104,5,0)</f>
        <v>0</v>
      </c>
      <c r="J50" s="100"/>
      <c r="K50" s="97">
        <f t="shared" si="1"/>
        <v>7562.5</v>
      </c>
      <c r="L50" s="97">
        <v>14000</v>
      </c>
      <c r="M50" s="97">
        <f t="shared" si="2"/>
        <v>7000</v>
      </c>
      <c r="N50" s="100"/>
      <c r="O50" s="99">
        <f>VLOOKUP(C50,'IP PITSS'!$B$10:$I$91,8,0)</f>
        <v>0</v>
      </c>
      <c r="P50" s="29">
        <f t="shared" si="3"/>
        <v>562.5</v>
      </c>
      <c r="Q50" s="99">
        <f>VLOOKUP(C50,'IP PITSS'!$B$10:$K$91,10,0)+VLOOKUP('RESUMEN PITS'!C50,'IP PITSS'!$B$10:$L$91,11,0)+VLOOKUP('RESUMEN PITS'!C50,'IP PITSS'!$B$10:$M$91,12,0)</f>
        <v>0</v>
      </c>
      <c r="R50" s="99">
        <f>VLOOKUP(C50,'IP PITSS'!$B$10:$Q$91,16,0)</f>
        <v>0</v>
      </c>
      <c r="S50" s="99">
        <f>VLOOKUP(C50,'IP PITSS'!$B$10:$R$91,17,0)</f>
        <v>0</v>
      </c>
      <c r="T50" s="100"/>
      <c r="U50" s="29">
        <f>+K50-O50-P50+Q50+R50+S50+IFERROR(VLOOKUP('RESUMEN PITS'!C50,'IP PITSS'!$B$10:$M$91,10),0)+IFERROR(VLOOKUP('RESUMEN PITS'!C50,'IP PITSS'!$B$10:$M$91,11),0)+IFERROR(VLOOKUP('RESUMEN PITS'!C50,'IP PITSS'!$B$10:$M$91,12),0)+VLOOKUP("Comision",'IP PITSS'!$I$97:$J$108,2)/COUNT($F$9:$F$111)+IFERROR(VLOOKUP('RESUMEN PITS'!C50,'IP PITSS'!$B$10:$AD$91,15),0)+IFERROR(VLOOKUP('RESUMEN PITS'!C50,'IP PITSS'!$B$10:$AD$91,21),0)+IFERROR(VLOOKUP('RESUMEN PITS'!C50,'IP PITSS'!$B$10:$AD$91,22),0)+IFERROR(VLOOKUP('RESUMEN PITS'!C50,'IP PITSS'!$B$10:$AD$91,23),0)+IFERROR(VLOOKUP('RESUMEN PITS'!C50,'IP PITSS'!$B$10:$AD$91,24),0)+IFERROR(VLOOKUP('RESUMEN PITS'!C50,'IP PITSS'!$B$10:$AD$91,26),0)+IFERROR(VLOOKUP('RESUMEN PITS'!C50,'IP PITSS'!$B$10:$AD$91,28),0)+IFERROR(VLOOKUP('RESUMEN PITS'!C50,'IP PITSS'!$B$10:$AD$91,29),0)+IFERROR(VLOOKUP('RESUMEN PITS'!C50,'IP PITSS'!$B$10:$AD$91,9),0)*2%</f>
        <v>8915.953641666667</v>
      </c>
      <c r="V50" s="99">
        <f t="shared" si="0"/>
        <v>-1915.953641666667</v>
      </c>
      <c r="X50" s="29" t="s">
        <v>236</v>
      </c>
    </row>
    <row r="51" spans="1:24" s="29" customFormat="1" x14ac:dyDescent="0.2">
      <c r="A51" s="101" t="s">
        <v>110</v>
      </c>
      <c r="B51" s="21" t="s">
        <v>94</v>
      </c>
      <c r="C51" s="101" t="s">
        <v>111</v>
      </c>
      <c r="D51" s="21">
        <f>VLOOKUP(C51,'IP PITSS'!$B$10:$U$91,20,0)</f>
        <v>3333.6</v>
      </c>
      <c r="E51" s="103"/>
      <c r="F51" s="97">
        <f>VLOOKUP(C51,'SIND PITS'!$C$3:$H$104,2,0)</f>
        <v>416.40000000000009</v>
      </c>
      <c r="G51" s="97">
        <f>VLOOKUP(C51,'SIND PITS'!$C$3:$E$104,3,0)</f>
        <v>510</v>
      </c>
      <c r="H51" s="97">
        <f>VLOOKUP(C51,'SIND PITS'!$C$3:$F$104,4,0)</f>
        <v>0</v>
      </c>
      <c r="I51" s="97">
        <f>VLOOKUP(C51,'SIND PITS'!$C$3:$G$104,5,0)</f>
        <v>0</v>
      </c>
      <c r="J51" s="100"/>
      <c r="K51" s="97">
        <f t="shared" si="1"/>
        <v>4260</v>
      </c>
      <c r="L51" s="97">
        <v>8000</v>
      </c>
      <c r="M51" s="97">
        <f t="shared" si="2"/>
        <v>4000</v>
      </c>
      <c r="N51" s="100"/>
      <c r="O51" s="99">
        <f>VLOOKUP(C51,'IP PITSS'!$B$10:$I$91,8,0)</f>
        <v>0</v>
      </c>
      <c r="P51" s="29">
        <f t="shared" si="3"/>
        <v>510</v>
      </c>
      <c r="Q51" s="99">
        <f>VLOOKUP(C51,'IP PITSS'!$B$10:$K$91,10,0)+VLOOKUP('RESUMEN PITS'!C51,'IP PITSS'!$B$10:$L$91,11,0)+VLOOKUP('RESUMEN PITS'!C51,'IP PITSS'!$B$10:$M$91,12,0)</f>
        <v>0</v>
      </c>
      <c r="R51" s="99">
        <f>VLOOKUP(C51,'IP PITSS'!$B$10:$Q$91,16,0)</f>
        <v>0</v>
      </c>
      <c r="S51" s="99">
        <f>VLOOKUP(C51,'IP PITSS'!$B$10:$R$91,17,0)</f>
        <v>250</v>
      </c>
      <c r="T51" s="100"/>
      <c r="U51" s="29">
        <f>+K51-O51-P51+Q51+R51+S51+IFERROR(VLOOKUP('RESUMEN PITS'!C51,'IP PITSS'!$B$10:$M$91,10),0)+IFERROR(VLOOKUP('RESUMEN PITS'!C51,'IP PITSS'!$B$10:$M$91,11),0)+IFERROR(VLOOKUP('RESUMEN PITS'!C51,'IP PITSS'!$B$10:$M$91,12),0)+VLOOKUP("Comision",'IP PITSS'!$I$97:$J$108,2)/COUNT($F$9:$F$111)+IFERROR(VLOOKUP('RESUMEN PITS'!C51,'IP PITSS'!$B$10:$AD$91,15),0)+IFERROR(VLOOKUP('RESUMEN PITS'!C51,'IP PITSS'!$B$10:$AD$91,21),0)+IFERROR(VLOOKUP('RESUMEN PITS'!C51,'IP PITSS'!$B$10:$AD$91,22),0)+IFERROR(VLOOKUP('RESUMEN PITS'!C51,'IP PITSS'!$B$10:$AD$91,23),0)+IFERROR(VLOOKUP('RESUMEN PITS'!C51,'IP PITSS'!$B$10:$AD$91,24),0)+IFERROR(VLOOKUP('RESUMEN PITS'!C51,'IP PITSS'!$B$10:$AD$91,26),0)+IFERROR(VLOOKUP('RESUMEN PITS'!C51,'IP PITSS'!$B$10:$AD$91,28),0)+IFERROR(VLOOKUP('RESUMEN PITS'!C51,'IP PITSS'!$B$10:$AD$91,29),0)+IFERROR(VLOOKUP('RESUMEN PITS'!C51,'IP PITSS'!$B$10:$AD$91,9),0)*2%</f>
        <v>4056.5626416666664</v>
      </c>
      <c r="V51" s="99">
        <f t="shared" si="0"/>
        <v>-56.562641666666423</v>
      </c>
      <c r="W51" s="20"/>
      <c r="X51" s="29" t="s">
        <v>112</v>
      </c>
    </row>
    <row r="52" spans="1:24" s="29" customFormat="1" x14ac:dyDescent="0.2">
      <c r="A52" s="101" t="s">
        <v>323</v>
      </c>
      <c r="B52" s="21" t="s">
        <v>94</v>
      </c>
      <c r="C52" s="101" t="s">
        <v>324</v>
      </c>
      <c r="D52" s="21">
        <f>VLOOKUP(C52,'IP PITSS'!$B$10:$U$91,20,0)</f>
        <v>3583.6</v>
      </c>
      <c r="E52" s="103"/>
      <c r="F52" s="97">
        <f>VLOOKUP(C52,'SIND PITS'!$C$3:$H$104,2,0)</f>
        <v>416.40000000000009</v>
      </c>
      <c r="G52" s="97">
        <f>VLOOKUP(C52,'SIND PITS'!$C$3:$E$104,3,0)</f>
        <v>360</v>
      </c>
      <c r="H52" s="97">
        <f>VLOOKUP(C52,'SIND PITS'!$C$3:$F$104,4,0)</f>
        <v>0</v>
      </c>
      <c r="I52" s="97">
        <f>VLOOKUP(C52,'SIND PITS'!$C$3:$G$104,5,0)</f>
        <v>0</v>
      </c>
      <c r="J52" s="100"/>
      <c r="K52" s="97">
        <f t="shared" si="1"/>
        <v>4360</v>
      </c>
      <c r="L52" s="97">
        <v>8000</v>
      </c>
      <c r="M52" s="97">
        <f t="shared" si="2"/>
        <v>4000</v>
      </c>
      <c r="N52" s="100"/>
      <c r="O52" s="99">
        <f>VLOOKUP(C52,'IP PITSS'!$B$10:$I$91,8,0)</f>
        <v>0</v>
      </c>
      <c r="P52" s="29">
        <f t="shared" si="3"/>
        <v>360</v>
      </c>
      <c r="Q52" s="99">
        <f>VLOOKUP(C52,'IP PITSS'!$B$10:$K$91,10,0)+VLOOKUP('RESUMEN PITS'!C52,'IP PITSS'!$B$10:$L$91,11,0)+VLOOKUP('RESUMEN PITS'!C52,'IP PITSS'!$B$10:$M$91,12,0)</f>
        <v>0</v>
      </c>
      <c r="R52" s="99">
        <f>VLOOKUP(C52,'IP PITSS'!$B$10:$Q$91,16,0)</f>
        <v>0</v>
      </c>
      <c r="S52" s="99">
        <f>VLOOKUP(C52,'IP PITSS'!$B$10:$R$91,17,0)</f>
        <v>0</v>
      </c>
      <c r="T52" s="100"/>
      <c r="U52" s="29">
        <f>+K52-O52-P52+Q52+R52+S52+IFERROR(VLOOKUP('RESUMEN PITS'!C52,'IP PITSS'!$B$10:$M$91,10),0)+IFERROR(VLOOKUP('RESUMEN PITS'!C52,'IP PITSS'!$B$10:$M$91,11),0)+IFERROR(VLOOKUP('RESUMEN PITS'!C52,'IP PITSS'!$B$10:$M$91,12),0)+VLOOKUP("Comision",'IP PITSS'!$I$97:$J$108,2)/COUNT($F$9:$F$111)+IFERROR(VLOOKUP('RESUMEN PITS'!C52,'IP PITSS'!$B$10:$AD$91,15),0)+IFERROR(VLOOKUP('RESUMEN PITS'!C52,'IP PITSS'!$B$10:$AD$91,21),0)+IFERROR(VLOOKUP('RESUMEN PITS'!C52,'IP PITSS'!$B$10:$AD$91,22),0)+IFERROR(VLOOKUP('RESUMEN PITS'!C52,'IP PITSS'!$B$10:$AD$91,23),0)+IFERROR(VLOOKUP('RESUMEN PITS'!C52,'IP PITSS'!$B$10:$AD$91,24),0)+IFERROR(VLOOKUP('RESUMEN PITS'!C52,'IP PITSS'!$B$10:$AD$91,26),0)+IFERROR(VLOOKUP('RESUMEN PITS'!C52,'IP PITSS'!$B$10:$AD$91,28),0)+IFERROR(VLOOKUP('RESUMEN PITS'!C52,'IP PITSS'!$B$10:$AD$91,29),0)+IFERROR(VLOOKUP('RESUMEN PITS'!C52,'IP PITSS'!$B$10:$AD$91,9),0)*2%</f>
        <v>5344.8726416666659</v>
      </c>
      <c r="V52" s="99">
        <f t="shared" si="0"/>
        <v>-1344.8726416666659</v>
      </c>
      <c r="W52" s="20"/>
      <c r="X52" s="29" t="s">
        <v>325</v>
      </c>
    </row>
    <row r="53" spans="1:24" s="29" customFormat="1" x14ac:dyDescent="0.2">
      <c r="A53" s="101" t="s">
        <v>269</v>
      </c>
      <c r="B53" s="21" t="s">
        <v>94</v>
      </c>
      <c r="C53" s="101" t="s">
        <v>270</v>
      </c>
      <c r="D53" s="21">
        <f>VLOOKUP(C53,'IP PITSS'!$B$10:$U$91,20,0)</f>
        <v>3583.6</v>
      </c>
      <c r="E53" s="103"/>
      <c r="F53" s="97">
        <f>VLOOKUP(C53,'SIND PITS'!$C$3:$H$104,2,0)</f>
        <v>416.40000000000009</v>
      </c>
      <c r="G53" s="97">
        <f>VLOOKUP(C53,'SIND PITS'!$C$3:$E$104,3,0)</f>
        <v>687.5</v>
      </c>
      <c r="H53" s="97">
        <f>VLOOKUP(C53,'SIND PITS'!$C$3:$F$104,4,0)</f>
        <v>0</v>
      </c>
      <c r="I53" s="97">
        <f>VLOOKUP(C53,'SIND PITS'!$C$3:$G$104,5,0)</f>
        <v>0</v>
      </c>
      <c r="J53" s="100"/>
      <c r="K53" s="97">
        <f t="shared" si="1"/>
        <v>4687.5</v>
      </c>
      <c r="L53" s="97">
        <v>8000</v>
      </c>
      <c r="M53" s="97">
        <f t="shared" si="2"/>
        <v>4000</v>
      </c>
      <c r="N53" s="100"/>
      <c r="O53" s="99">
        <f>VLOOKUP(C53,'IP PITSS'!$B$10:$I$91,8,0)</f>
        <v>0</v>
      </c>
      <c r="P53" s="29">
        <f t="shared" si="3"/>
        <v>687.5</v>
      </c>
      <c r="Q53" s="99">
        <f>VLOOKUP(C53,'IP PITSS'!$B$10:$K$91,10,0)+VLOOKUP('RESUMEN PITS'!C53,'IP PITSS'!$B$10:$L$91,11,0)+VLOOKUP('RESUMEN PITS'!C53,'IP PITSS'!$B$10:$M$91,12,0)</f>
        <v>0</v>
      </c>
      <c r="R53" s="99">
        <f>VLOOKUP(C53,'IP PITSS'!$B$10:$Q$91,16,0)</f>
        <v>0</v>
      </c>
      <c r="S53" s="99">
        <f>VLOOKUP(C53,'IP PITSS'!$B$10:$R$91,17,0)</f>
        <v>0</v>
      </c>
      <c r="T53" s="100"/>
      <c r="U53" s="29">
        <f>+K53-O53-P53+Q53+R53+S53+IFERROR(VLOOKUP('RESUMEN PITS'!C53,'IP PITSS'!$B$10:$M$91,10),0)+IFERROR(VLOOKUP('RESUMEN PITS'!C53,'IP PITSS'!$B$10:$M$91,11),0)+IFERROR(VLOOKUP('RESUMEN PITS'!C53,'IP PITSS'!$B$10:$M$91,12),0)+VLOOKUP("Comision",'IP PITSS'!$I$97:$J$108,2)/COUNT($F$9:$F$111)+IFERROR(VLOOKUP('RESUMEN PITS'!C53,'IP PITSS'!$B$10:$AD$91,15),0)+IFERROR(VLOOKUP('RESUMEN PITS'!C53,'IP PITSS'!$B$10:$AD$91,21),0)+IFERROR(VLOOKUP('RESUMEN PITS'!C53,'IP PITSS'!$B$10:$AD$91,22),0)+IFERROR(VLOOKUP('RESUMEN PITS'!C53,'IP PITSS'!$B$10:$AD$91,23),0)+IFERROR(VLOOKUP('RESUMEN PITS'!C53,'IP PITSS'!$B$10:$AD$91,24),0)+IFERROR(VLOOKUP('RESUMEN PITS'!C53,'IP PITSS'!$B$10:$AD$91,26),0)+IFERROR(VLOOKUP('RESUMEN PITS'!C53,'IP PITSS'!$B$10:$AD$91,28),0)+IFERROR(VLOOKUP('RESUMEN PITS'!C53,'IP PITSS'!$B$10:$AD$91,29),0)+IFERROR(VLOOKUP('RESUMEN PITS'!C53,'IP PITSS'!$B$10:$AD$91,9),0)*2%</f>
        <v>5344.8726416666659</v>
      </c>
      <c r="V53" s="99">
        <f t="shared" si="0"/>
        <v>-1344.8726416666659</v>
      </c>
      <c r="W53" s="46"/>
      <c r="X53" s="29" t="s">
        <v>271</v>
      </c>
    </row>
    <row r="54" spans="1:24" s="29" customFormat="1" x14ac:dyDescent="0.2">
      <c r="A54" s="101" t="s">
        <v>196</v>
      </c>
      <c r="B54" s="21" t="s">
        <v>94</v>
      </c>
      <c r="C54" s="101" t="s">
        <v>197</v>
      </c>
      <c r="D54" s="21">
        <f>VLOOKUP(C54,'IP PITSS'!$B$10:$U$91,20,0)</f>
        <v>3585.4</v>
      </c>
      <c r="E54" s="103"/>
      <c r="F54" s="97">
        <f>VLOOKUP(C54,'SIND PITS'!$C$3:$H$104,2,0)</f>
        <v>414.59999999999991</v>
      </c>
      <c r="G54" s="97">
        <f>VLOOKUP(C54,'SIND PITS'!$C$3:$E$104,3,0)</f>
        <v>255</v>
      </c>
      <c r="H54" s="97">
        <f>VLOOKUP(C54,'SIND PITS'!$C$3:$F$104,4,0)</f>
        <v>0</v>
      </c>
      <c r="I54" s="97">
        <f>VLOOKUP(C54,'SIND PITS'!$C$3:$G$104,5,0)</f>
        <v>0</v>
      </c>
      <c r="J54" s="100"/>
      <c r="K54" s="97">
        <f t="shared" si="1"/>
        <v>4255</v>
      </c>
      <c r="L54" s="97">
        <v>8000</v>
      </c>
      <c r="M54" s="97">
        <f t="shared" si="2"/>
        <v>4000</v>
      </c>
      <c r="N54" s="100"/>
      <c r="O54" s="99">
        <f>VLOOKUP(C54,'IP PITSS'!$B$10:$I$91,8,0)</f>
        <v>0</v>
      </c>
      <c r="P54" s="29">
        <f t="shared" si="3"/>
        <v>255</v>
      </c>
      <c r="Q54" s="99">
        <f>VLOOKUP(C54,'IP PITSS'!$B$10:$K$91,10,0)+VLOOKUP('RESUMEN PITS'!C54,'IP PITSS'!$B$10:$L$91,11,0)+VLOOKUP('RESUMEN PITS'!C54,'IP PITSS'!$B$10:$M$91,12,0)</f>
        <v>0</v>
      </c>
      <c r="R54" s="99">
        <f>VLOOKUP(C54,'IP PITSS'!$B$10:$Q$91,16,0)</f>
        <v>0</v>
      </c>
      <c r="S54" s="99">
        <f>VLOOKUP(C54,'IP PITSS'!$B$10:$R$91,17,0)</f>
        <v>0</v>
      </c>
      <c r="T54" s="100"/>
      <c r="U54" s="29">
        <f>+K54-O54-P54+Q54+R54+S54+IFERROR(VLOOKUP('RESUMEN PITS'!C54,'IP PITSS'!$B$10:$M$91,10),0)+IFERROR(VLOOKUP('RESUMEN PITS'!C54,'IP PITSS'!$B$10:$M$91,11),0)+IFERROR(VLOOKUP('RESUMEN PITS'!C54,'IP PITSS'!$B$10:$M$91,12),0)+VLOOKUP("Comision",'IP PITSS'!$I$97:$J$108,2)/COUNT($F$9:$F$111)+IFERROR(VLOOKUP('RESUMEN PITS'!C54,'IP PITSS'!$B$10:$AD$91,15),0)+IFERROR(VLOOKUP('RESUMEN PITS'!C54,'IP PITSS'!$B$10:$AD$91,21),0)+IFERROR(VLOOKUP('RESUMEN PITS'!C54,'IP PITSS'!$B$10:$AD$91,22),0)+IFERROR(VLOOKUP('RESUMEN PITS'!C54,'IP PITSS'!$B$10:$AD$91,23),0)+IFERROR(VLOOKUP('RESUMEN PITS'!C54,'IP PITSS'!$B$10:$AD$91,24),0)+IFERROR(VLOOKUP('RESUMEN PITS'!C54,'IP PITSS'!$B$10:$AD$91,26),0)+IFERROR(VLOOKUP('RESUMEN PITS'!C54,'IP PITSS'!$B$10:$AD$91,28),0)+IFERROR(VLOOKUP('RESUMEN PITS'!C54,'IP PITSS'!$B$10:$AD$91,29),0)+IFERROR(VLOOKUP('RESUMEN PITS'!C54,'IP PITSS'!$B$10:$AD$91,9),0)*2%</f>
        <v>5417.0416416666667</v>
      </c>
      <c r="V54" s="99">
        <f t="shared" si="0"/>
        <v>-1417.0416416666667</v>
      </c>
      <c r="W54" s="42"/>
      <c r="X54" s="29" t="s">
        <v>198</v>
      </c>
    </row>
    <row r="55" spans="1:24" s="29" customFormat="1" x14ac:dyDescent="0.2">
      <c r="A55" s="101" t="s">
        <v>308</v>
      </c>
      <c r="B55" s="21" t="s">
        <v>94</v>
      </c>
      <c r="C55" s="101" t="s">
        <v>309</v>
      </c>
      <c r="D55" s="21">
        <f>VLOOKUP(C55,'IP PITSS'!$B$10:$U$91,20,0)</f>
        <v>3585.4</v>
      </c>
      <c r="E55" s="103"/>
      <c r="F55" s="97">
        <f>VLOOKUP(C55,'SIND PITS'!$C$3:$H$104,2,0)</f>
        <v>414.60000000000036</v>
      </c>
      <c r="G55" s="97">
        <f>VLOOKUP(C55,'SIND PITS'!$C$3:$E$104,3,0)</f>
        <v>510</v>
      </c>
      <c r="H55" s="97">
        <f>VLOOKUP(C55,'SIND PITS'!$C$3:$F$104,4,0)</f>
        <v>0</v>
      </c>
      <c r="I55" s="97">
        <f>VLOOKUP(C55,'SIND PITS'!$C$3:$G$104,5,0)</f>
        <v>0</v>
      </c>
      <c r="J55" s="100"/>
      <c r="K55" s="97">
        <f t="shared" si="1"/>
        <v>4510</v>
      </c>
      <c r="L55" s="97">
        <v>8000</v>
      </c>
      <c r="M55" s="97">
        <f t="shared" si="2"/>
        <v>4000</v>
      </c>
      <c r="N55" s="100"/>
      <c r="O55" s="99">
        <f>VLOOKUP(C55,'IP PITSS'!$B$10:$I$91,8,0)</f>
        <v>0</v>
      </c>
      <c r="P55" s="29">
        <f t="shared" si="3"/>
        <v>510</v>
      </c>
      <c r="Q55" s="99">
        <f>VLOOKUP(C55,'IP PITSS'!$B$10:$K$91,10,0)+VLOOKUP('RESUMEN PITS'!C55,'IP PITSS'!$B$10:$L$91,11,0)+VLOOKUP('RESUMEN PITS'!C55,'IP PITSS'!$B$10:$M$91,12,0)</f>
        <v>0</v>
      </c>
      <c r="R55" s="99">
        <f>VLOOKUP(C55,'IP PITSS'!$B$10:$Q$91,16,0)</f>
        <v>0</v>
      </c>
      <c r="S55" s="99">
        <f>VLOOKUP(C55,'IP PITSS'!$B$10:$R$91,17,0)</f>
        <v>0</v>
      </c>
      <c r="T55" s="100"/>
      <c r="U55" s="29">
        <f>+K55-O55-P55+Q55+R55+S55+IFERROR(VLOOKUP('RESUMEN PITS'!C55,'IP PITSS'!$B$10:$M$91,10),0)+IFERROR(VLOOKUP('RESUMEN PITS'!C55,'IP PITSS'!$B$10:$M$91,11),0)+IFERROR(VLOOKUP('RESUMEN PITS'!C55,'IP PITSS'!$B$10:$M$91,12),0)+VLOOKUP("Comision",'IP PITSS'!$I$97:$J$108,2)/COUNT($F$9:$F$111)+IFERROR(VLOOKUP('RESUMEN PITS'!C55,'IP PITSS'!$B$10:$AD$91,15),0)+IFERROR(VLOOKUP('RESUMEN PITS'!C55,'IP PITSS'!$B$10:$AD$91,21),0)+IFERROR(VLOOKUP('RESUMEN PITS'!C55,'IP PITSS'!$B$10:$AD$91,22),0)+IFERROR(VLOOKUP('RESUMEN PITS'!C55,'IP PITSS'!$B$10:$AD$91,23),0)+IFERROR(VLOOKUP('RESUMEN PITS'!C55,'IP PITSS'!$B$10:$AD$91,24),0)+IFERROR(VLOOKUP('RESUMEN PITS'!C55,'IP PITSS'!$B$10:$AD$91,26),0)+IFERROR(VLOOKUP('RESUMEN PITS'!C55,'IP PITSS'!$B$10:$AD$91,28),0)+IFERROR(VLOOKUP('RESUMEN PITS'!C55,'IP PITSS'!$B$10:$AD$91,29),0)+IFERROR(VLOOKUP('RESUMEN PITS'!C55,'IP PITSS'!$B$10:$AD$91,9),0)*2%</f>
        <v>5344.8726416666659</v>
      </c>
      <c r="V55" s="99">
        <f t="shared" si="0"/>
        <v>-1344.8726416666659</v>
      </c>
      <c r="W55" s="44"/>
      <c r="X55" s="29" t="s">
        <v>310</v>
      </c>
    </row>
    <row r="56" spans="1:24" s="29" customFormat="1" x14ac:dyDescent="0.2">
      <c r="A56" s="101" t="s">
        <v>156</v>
      </c>
      <c r="B56" s="21" t="s">
        <v>94</v>
      </c>
      <c r="C56" s="101" t="s">
        <v>157</v>
      </c>
      <c r="D56" s="21">
        <f>VLOOKUP(C56,'IP PITSS'!$B$10:$U$91,20,0)</f>
        <v>3583.6</v>
      </c>
      <c r="E56" s="103"/>
      <c r="F56" s="97">
        <f>VLOOKUP(C56,'SIND PITS'!$C$3:$H$104,2,0)</f>
        <v>416.40000000000009</v>
      </c>
      <c r="G56" s="97">
        <f>VLOOKUP(C56,'SIND PITS'!$C$3:$E$104,3,0)</f>
        <v>570</v>
      </c>
      <c r="H56" s="97">
        <f>VLOOKUP(C56,'SIND PITS'!$C$3:$F$104,4,0)</f>
        <v>0</v>
      </c>
      <c r="I56" s="97">
        <f>VLOOKUP(C56,'SIND PITS'!$C$3:$G$104,5,0)</f>
        <v>0</v>
      </c>
      <c r="J56" s="100"/>
      <c r="K56" s="97">
        <f t="shared" si="1"/>
        <v>4570</v>
      </c>
      <c r="L56" s="97">
        <v>8000</v>
      </c>
      <c r="M56" s="97">
        <f t="shared" si="2"/>
        <v>4000</v>
      </c>
      <c r="N56" s="100"/>
      <c r="O56" s="99">
        <f>VLOOKUP(C56,'IP PITSS'!$B$10:$I$91,8,0)</f>
        <v>0</v>
      </c>
      <c r="P56" s="29">
        <f t="shared" si="3"/>
        <v>570</v>
      </c>
      <c r="Q56" s="99">
        <f>VLOOKUP(C56,'IP PITSS'!$B$10:$K$91,10,0)+VLOOKUP('RESUMEN PITS'!C56,'IP PITSS'!$B$10:$L$91,11,0)+VLOOKUP('RESUMEN PITS'!C56,'IP PITSS'!$B$10:$M$91,12,0)</f>
        <v>0</v>
      </c>
      <c r="R56" s="99">
        <f>VLOOKUP(C56,'IP PITSS'!$B$10:$Q$91,16,0)</f>
        <v>0</v>
      </c>
      <c r="S56" s="99">
        <f>VLOOKUP(C56,'IP PITSS'!$B$10:$R$91,17,0)</f>
        <v>0</v>
      </c>
      <c r="T56" s="100"/>
      <c r="U56" s="29">
        <f>+K56-O56-P56+Q56+R56+S56+IFERROR(VLOOKUP('RESUMEN PITS'!C56,'IP PITSS'!$B$10:$M$91,10),0)+IFERROR(VLOOKUP('RESUMEN PITS'!C56,'IP PITSS'!$B$10:$M$91,11),0)+IFERROR(VLOOKUP('RESUMEN PITS'!C56,'IP PITSS'!$B$10:$M$91,12),0)+VLOOKUP("Comision",'IP PITSS'!$I$97:$J$108,2)/COUNT($F$9:$F$111)+IFERROR(VLOOKUP('RESUMEN PITS'!C56,'IP PITSS'!$B$10:$AD$91,15),0)+IFERROR(VLOOKUP('RESUMEN PITS'!C56,'IP PITSS'!$B$10:$AD$91,21),0)+IFERROR(VLOOKUP('RESUMEN PITS'!C56,'IP PITSS'!$B$10:$AD$91,22),0)+IFERROR(VLOOKUP('RESUMEN PITS'!C56,'IP PITSS'!$B$10:$AD$91,23),0)+IFERROR(VLOOKUP('RESUMEN PITS'!C56,'IP PITSS'!$B$10:$AD$91,24),0)+IFERROR(VLOOKUP('RESUMEN PITS'!C56,'IP PITSS'!$B$10:$AD$91,26),0)+IFERROR(VLOOKUP('RESUMEN PITS'!C56,'IP PITSS'!$B$10:$AD$91,28),0)+IFERROR(VLOOKUP('RESUMEN PITS'!C56,'IP PITSS'!$B$10:$AD$91,29),0)+IFERROR(VLOOKUP('RESUMEN PITS'!C56,'IP PITSS'!$B$10:$AD$91,9),0)*2%</f>
        <v>4056.5626416666664</v>
      </c>
      <c r="V56" s="99">
        <f t="shared" si="0"/>
        <v>-56.562641666666423</v>
      </c>
      <c r="W56" s="42"/>
      <c r="X56" s="29" t="s">
        <v>158</v>
      </c>
    </row>
    <row r="57" spans="1:24" s="29" customFormat="1" x14ac:dyDescent="0.2">
      <c r="A57" s="95" t="s">
        <v>360</v>
      </c>
      <c r="B57" s="21" t="s">
        <v>94</v>
      </c>
      <c r="C57" s="95" t="s">
        <v>255</v>
      </c>
      <c r="D57" s="21">
        <f>VLOOKUP(C57,'IP PITSS'!$B$10:$U$91,20,0)</f>
        <v>2237.6</v>
      </c>
      <c r="E57" s="103"/>
      <c r="F57" s="97">
        <f>VLOOKUP(C57,'SIND PITS'!$C$3:$H$104,2,0)</f>
        <v>2262.4</v>
      </c>
      <c r="G57" s="97">
        <f>VLOOKUP(C57,'SIND PITS'!$C$3:$E$104,3,0)</f>
        <v>0</v>
      </c>
      <c r="H57" s="97">
        <f>VLOOKUP(C57,'SIND PITS'!$C$3:$F$104,4,0)</f>
        <v>0</v>
      </c>
      <c r="I57" s="97">
        <f>VLOOKUP(C57,'SIND PITS'!$C$3:$G$104,5,0)</f>
        <v>0</v>
      </c>
      <c r="J57" s="100"/>
      <c r="K57" s="97">
        <f t="shared" si="1"/>
        <v>4500</v>
      </c>
      <c r="L57" s="99">
        <v>9000</v>
      </c>
      <c r="M57" s="97">
        <f t="shared" si="2"/>
        <v>4500</v>
      </c>
      <c r="N57" s="100"/>
      <c r="O57" s="99">
        <f>VLOOKUP(C57,'IP PITSS'!$B$10:$I$91,8,0)</f>
        <v>0</v>
      </c>
      <c r="P57" s="29">
        <f t="shared" si="3"/>
        <v>0</v>
      </c>
      <c r="Q57" s="99">
        <f>VLOOKUP(C57,'IP PITSS'!$B$10:$K$91,10,0)+VLOOKUP('RESUMEN PITS'!C57,'IP PITSS'!$B$10:$L$91,11,0)+VLOOKUP('RESUMEN PITS'!C57,'IP PITSS'!$B$10:$M$91,12,0)</f>
        <v>0</v>
      </c>
      <c r="R57" s="99">
        <f>VLOOKUP(C57,'IP PITSS'!$B$10:$Q$91,16,0)</f>
        <v>0</v>
      </c>
      <c r="S57" s="99">
        <f>VLOOKUP(C57,'IP PITSS'!$B$10:$R$91,17,0)</f>
        <v>0</v>
      </c>
      <c r="T57" s="100"/>
      <c r="U57" s="29">
        <f>+K57-O57-P57+Q57+R57+S57+IFERROR(VLOOKUP('RESUMEN PITS'!C57,'IP PITSS'!$B$10:$M$91,10),0)+IFERROR(VLOOKUP('RESUMEN PITS'!C57,'IP PITSS'!$B$10:$M$91,11),0)+IFERROR(VLOOKUP('RESUMEN PITS'!C57,'IP PITSS'!$B$10:$M$91,12),0)+VLOOKUP("Comision",'IP PITSS'!$I$97:$J$108,2)/COUNT($F$9:$F$111)+IFERROR(VLOOKUP('RESUMEN PITS'!C57,'IP PITSS'!$B$10:$AD$91,15),0)+IFERROR(VLOOKUP('RESUMEN PITS'!C57,'IP PITSS'!$B$10:$AD$91,21),0)+IFERROR(VLOOKUP('RESUMEN PITS'!C57,'IP PITSS'!$B$10:$AD$91,22),0)+IFERROR(VLOOKUP('RESUMEN PITS'!C57,'IP PITSS'!$B$10:$AD$91,23),0)+IFERROR(VLOOKUP('RESUMEN PITS'!C57,'IP PITSS'!$B$10:$AD$91,24),0)+IFERROR(VLOOKUP('RESUMEN PITS'!C57,'IP PITSS'!$B$10:$AD$91,26),0)+IFERROR(VLOOKUP('RESUMEN PITS'!C57,'IP PITSS'!$B$10:$AD$91,28),0)+IFERROR(VLOOKUP('RESUMEN PITS'!C57,'IP PITSS'!$B$10:$AD$91,29),0)+IFERROR(VLOOKUP('RESUMEN PITS'!C57,'IP PITSS'!$B$10:$AD$91,9),0)*2%</f>
        <v>6415.953641666667</v>
      </c>
      <c r="V57" s="99">
        <f t="shared" si="0"/>
        <v>-1915.953641666667</v>
      </c>
      <c r="W57" s="20"/>
      <c r="X57" s="29" t="s">
        <v>256</v>
      </c>
    </row>
    <row r="58" spans="1:24" s="29" customFormat="1" x14ac:dyDescent="0.2">
      <c r="A58" s="102" t="s">
        <v>361</v>
      </c>
      <c r="B58" s="21" t="s">
        <v>94</v>
      </c>
      <c r="C58" s="102" t="s">
        <v>260</v>
      </c>
      <c r="D58" s="21">
        <f>VLOOKUP(C58,'IP PITSS'!$B$10:$U$91,20,0)</f>
        <v>1474.4</v>
      </c>
      <c r="E58" s="103"/>
      <c r="F58" s="97">
        <f>VLOOKUP(C58,'SIND PITS'!$C$3:$H$104,2,0)</f>
        <v>2262.17</v>
      </c>
      <c r="G58" s="97">
        <f>VLOOKUP(C58,'SIND PITS'!$C$3:$E$104,3,0)</f>
        <v>400</v>
      </c>
      <c r="H58" s="97">
        <f>VLOOKUP(C58,'SIND PITS'!$C$3:$F$104,4,0)</f>
        <v>0</v>
      </c>
      <c r="I58" s="97">
        <f>VLOOKUP(C58,'SIND PITS'!$C$3:$G$104,5,0)</f>
        <v>0</v>
      </c>
      <c r="J58" s="100"/>
      <c r="K58" s="97">
        <f t="shared" si="1"/>
        <v>4136.57</v>
      </c>
      <c r="L58" s="97">
        <v>9000</v>
      </c>
      <c r="M58" s="97">
        <f t="shared" si="2"/>
        <v>4500</v>
      </c>
      <c r="N58" s="100"/>
      <c r="O58" s="99">
        <f>VLOOKUP(C58,'IP PITSS'!$B$10:$I$91,8,0)</f>
        <v>0</v>
      </c>
      <c r="P58" s="29">
        <f t="shared" si="3"/>
        <v>400</v>
      </c>
      <c r="Q58" s="99">
        <f>VLOOKUP(C58,'IP PITSS'!$B$10:$K$91,10,0)+VLOOKUP('RESUMEN PITS'!C58,'IP PITSS'!$B$10:$L$91,11,0)+VLOOKUP('RESUMEN PITS'!C58,'IP PITSS'!$B$10:$M$91,12,0)</f>
        <v>763.43</v>
      </c>
      <c r="R58" s="99">
        <f>VLOOKUP(C58,'IP PITSS'!$B$10:$Q$91,16,0)</f>
        <v>0</v>
      </c>
      <c r="S58" s="99">
        <f>VLOOKUP(C58,'IP PITSS'!$B$10:$R$91,17,0)</f>
        <v>0</v>
      </c>
      <c r="T58" s="100"/>
      <c r="U58" s="29">
        <f>+K58-O58-P58+Q58+R58+S58+IFERROR(VLOOKUP('RESUMEN PITS'!C58,'IP PITSS'!$B$10:$M$91,10),0)+IFERROR(VLOOKUP('RESUMEN PITS'!C58,'IP PITSS'!$B$10:$M$91,11),0)+IFERROR(VLOOKUP('RESUMEN PITS'!C58,'IP PITSS'!$B$10:$M$91,12),0)+VLOOKUP("Comision",'IP PITSS'!$I$97:$J$108,2)/COUNT($F$9:$F$111)+IFERROR(VLOOKUP('RESUMEN PITS'!C58,'IP PITSS'!$B$10:$AD$91,15),0)+IFERROR(VLOOKUP('RESUMEN PITS'!C58,'IP PITSS'!$B$10:$AD$91,21),0)+IFERROR(VLOOKUP('RESUMEN PITS'!C58,'IP PITSS'!$B$10:$AD$91,22),0)+IFERROR(VLOOKUP('RESUMEN PITS'!C58,'IP PITSS'!$B$10:$AD$91,23),0)+IFERROR(VLOOKUP('RESUMEN PITS'!C58,'IP PITSS'!$B$10:$AD$91,24),0)+IFERROR(VLOOKUP('RESUMEN PITS'!C58,'IP PITSS'!$B$10:$AD$91,26),0)+IFERROR(VLOOKUP('RESUMEN PITS'!C58,'IP PITSS'!$B$10:$AD$91,28),0)+IFERROR(VLOOKUP('RESUMEN PITS'!C58,'IP PITSS'!$B$10:$AD$91,29),0)+IFERROR(VLOOKUP('RESUMEN PITS'!C58,'IP PITSS'!$B$10:$AD$91,9),0)*2%</f>
        <v>6415.953641666667</v>
      </c>
      <c r="V58" s="99">
        <f t="shared" si="0"/>
        <v>-1915.953641666667</v>
      </c>
      <c r="W58" s="45"/>
      <c r="X58" s="29" t="s">
        <v>261</v>
      </c>
    </row>
    <row r="59" spans="1:24" s="29" customFormat="1" ht="14.25" customHeight="1" x14ac:dyDescent="0.2">
      <c r="A59" s="102" t="s">
        <v>362</v>
      </c>
      <c r="B59" s="21" t="s">
        <v>94</v>
      </c>
      <c r="C59" s="101" t="s">
        <v>194</v>
      </c>
      <c r="D59" s="21">
        <f>VLOOKUP(C59,'IP PITSS'!$B$10:$U$91,20,0)</f>
        <v>1097.2</v>
      </c>
      <c r="E59" s="103"/>
      <c r="F59" s="97">
        <f>VLOOKUP(C59,'SIND PITS'!$C$3:$H$104,2,0)</f>
        <v>2884.84</v>
      </c>
      <c r="G59" s="97">
        <f>VLOOKUP(C59,'SIND PITS'!$C$3:$E$104,3,0)</f>
        <v>300</v>
      </c>
      <c r="H59" s="97">
        <f>VLOOKUP(C59,'SIND PITS'!$C$3:$F$104,4,0)</f>
        <v>0</v>
      </c>
      <c r="I59" s="97">
        <f>VLOOKUP(C59,'SIND PITS'!$C$3:$G$104,5,0)</f>
        <v>0</v>
      </c>
      <c r="J59" s="100"/>
      <c r="K59" s="97">
        <f t="shared" si="1"/>
        <v>4282.04</v>
      </c>
      <c r="L59" s="97">
        <v>12000</v>
      </c>
      <c r="M59" s="97">
        <f t="shared" si="2"/>
        <v>6000</v>
      </c>
      <c r="N59" s="100"/>
      <c r="O59" s="99">
        <f>VLOOKUP(C59,'IP PITSS'!$B$10:$I$91,8,0)</f>
        <v>0</v>
      </c>
      <c r="P59" s="29">
        <f t="shared" si="3"/>
        <v>300</v>
      </c>
      <c r="Q59" s="99">
        <f>VLOOKUP(C59,'IP PITSS'!$B$10:$K$91,10,0)+VLOOKUP('RESUMEN PITS'!C59,'IP PITSS'!$B$10:$L$91,11,0)+VLOOKUP('RESUMEN PITS'!C59,'IP PITSS'!$B$10:$M$91,12,0)</f>
        <v>2017.96</v>
      </c>
      <c r="R59" s="99">
        <f>VLOOKUP(C59,'IP PITSS'!$B$10:$Q$91,16,0)</f>
        <v>0</v>
      </c>
      <c r="S59" s="99">
        <f>VLOOKUP(C59,'IP PITSS'!$B$10:$R$91,17,0)</f>
        <v>0</v>
      </c>
      <c r="T59" s="100"/>
      <c r="U59" s="29">
        <f>+K59-O59-P59+Q59+R59+S59+IFERROR(VLOOKUP('RESUMEN PITS'!C59,'IP PITSS'!$B$10:$M$91,10),0)+IFERROR(VLOOKUP('RESUMEN PITS'!C59,'IP PITSS'!$B$10:$M$91,11),0)+IFERROR(VLOOKUP('RESUMEN PITS'!C59,'IP PITSS'!$B$10:$M$91,12),0)+VLOOKUP("Comision",'IP PITSS'!$I$97:$J$108,2)/COUNT($F$9:$F$111)+IFERROR(VLOOKUP('RESUMEN PITS'!C59,'IP PITSS'!$B$10:$AD$91,15),0)+IFERROR(VLOOKUP('RESUMEN PITS'!C59,'IP PITSS'!$B$10:$AD$91,21),0)+IFERROR(VLOOKUP('RESUMEN PITS'!C59,'IP PITSS'!$B$10:$AD$91,22),0)+IFERROR(VLOOKUP('RESUMEN PITS'!C59,'IP PITSS'!$B$10:$AD$91,23),0)+IFERROR(VLOOKUP('RESUMEN PITS'!C59,'IP PITSS'!$B$10:$AD$91,24),0)+IFERROR(VLOOKUP('RESUMEN PITS'!C59,'IP PITSS'!$B$10:$AD$91,26),0)+IFERROR(VLOOKUP('RESUMEN PITS'!C59,'IP PITSS'!$B$10:$AD$91,28),0)+IFERROR(VLOOKUP('RESUMEN PITS'!C59,'IP PITSS'!$B$10:$AD$91,29),0)+IFERROR(VLOOKUP('RESUMEN PITS'!C59,'IP PITSS'!$B$10:$AD$91,9),0)*2%</f>
        <v>7417.0416416666667</v>
      </c>
      <c r="V59" s="99">
        <f t="shared" si="0"/>
        <v>-1417.0416416666667</v>
      </c>
      <c r="W59" s="20"/>
      <c r="X59" s="29" t="s">
        <v>195</v>
      </c>
    </row>
    <row r="60" spans="1:24" s="20" customFormat="1" x14ac:dyDescent="0.2">
      <c r="A60" s="101" t="s">
        <v>363</v>
      </c>
      <c r="B60" s="21" t="s">
        <v>94</v>
      </c>
      <c r="C60" s="101" t="s">
        <v>170</v>
      </c>
      <c r="D60" s="21">
        <f>VLOOKUP(C60,'IP PITSS'!$B$10:$U$91,20,0)</f>
        <v>3278.6</v>
      </c>
      <c r="E60" s="103"/>
      <c r="F60" s="97">
        <f>VLOOKUP(C60,'SIND PITS'!$C$3:$H$104,2,0)</f>
        <v>3721.4</v>
      </c>
      <c r="G60" s="97">
        <f>VLOOKUP(C60,'SIND PITS'!$C$3:$E$104,3,0)</f>
        <v>125</v>
      </c>
      <c r="H60" s="97">
        <f>VLOOKUP(C60,'SIND PITS'!$C$3:$F$104,4,0)</f>
        <v>0</v>
      </c>
      <c r="I60" s="97">
        <f>VLOOKUP(C60,'SIND PITS'!$C$3:$G$104,5,0)</f>
        <v>0</v>
      </c>
      <c r="J60" s="100"/>
      <c r="K60" s="97">
        <f t="shared" si="1"/>
        <v>7125</v>
      </c>
      <c r="L60" s="97">
        <v>14000</v>
      </c>
      <c r="M60" s="97">
        <f t="shared" si="2"/>
        <v>7000</v>
      </c>
      <c r="N60" s="100"/>
      <c r="O60" s="99">
        <f>VLOOKUP(C60,'IP PITSS'!$B$10:$I$91,8,0)</f>
        <v>0</v>
      </c>
      <c r="P60" s="29">
        <f t="shared" si="3"/>
        <v>125</v>
      </c>
      <c r="Q60" s="99">
        <f>VLOOKUP(C60,'IP PITSS'!$B$10:$K$91,10,0)+VLOOKUP('RESUMEN PITS'!C60,'IP PITSS'!$B$10:$L$91,11,0)+VLOOKUP('RESUMEN PITS'!C60,'IP PITSS'!$B$10:$M$91,12,0)</f>
        <v>0</v>
      </c>
      <c r="R60" s="99">
        <f>VLOOKUP(C60,'IP PITSS'!$B$10:$Q$91,16,0)</f>
        <v>0</v>
      </c>
      <c r="S60" s="99">
        <f>VLOOKUP(C60,'IP PITSS'!$B$10:$R$91,17,0)</f>
        <v>0</v>
      </c>
      <c r="T60" s="100"/>
      <c r="U60" s="29">
        <f>+K60-O60-P60+Q60+R60+S60+IFERROR(VLOOKUP('RESUMEN PITS'!C60,'IP PITSS'!$B$10:$M$91,10),0)+IFERROR(VLOOKUP('RESUMEN PITS'!C60,'IP PITSS'!$B$10:$M$91,11),0)+IFERROR(VLOOKUP('RESUMEN PITS'!C60,'IP PITSS'!$B$10:$M$91,12),0)+VLOOKUP("Comision",'IP PITSS'!$I$97:$J$108,2)/COUNT($F$9:$F$111)+IFERROR(VLOOKUP('RESUMEN PITS'!C60,'IP PITSS'!$B$10:$AD$91,15),0)+IFERROR(VLOOKUP('RESUMEN PITS'!C60,'IP PITSS'!$B$10:$AD$91,21),0)+IFERROR(VLOOKUP('RESUMEN PITS'!C60,'IP PITSS'!$B$10:$AD$91,22),0)+IFERROR(VLOOKUP('RESUMEN PITS'!C60,'IP PITSS'!$B$10:$AD$91,23),0)+IFERROR(VLOOKUP('RESUMEN PITS'!C60,'IP PITSS'!$B$10:$AD$91,24),0)+IFERROR(VLOOKUP('RESUMEN PITS'!C60,'IP PITSS'!$B$10:$AD$91,26),0)+IFERROR(VLOOKUP('RESUMEN PITS'!C60,'IP PITSS'!$B$10:$AD$91,28),0)+IFERROR(VLOOKUP('RESUMEN PITS'!C60,'IP PITSS'!$B$10:$AD$91,29),0)+IFERROR(VLOOKUP('RESUMEN PITS'!C60,'IP PITSS'!$B$10:$AD$91,9),0)*2%</f>
        <v>8417.0416416666667</v>
      </c>
      <c r="V60" s="99">
        <f t="shared" si="0"/>
        <v>-1417.0416416666667</v>
      </c>
      <c r="X60" s="29" t="s">
        <v>171</v>
      </c>
    </row>
    <row r="61" spans="1:24" s="20" customFormat="1" x14ac:dyDescent="0.2">
      <c r="A61" s="101" t="s">
        <v>364</v>
      </c>
      <c r="B61" s="21" t="s">
        <v>94</v>
      </c>
      <c r="C61" s="101" t="s">
        <v>128</v>
      </c>
      <c r="D61" s="21">
        <f>VLOOKUP(C61,'IP PITSS'!$B$10:$U$91,20,0)</f>
        <v>3278.8</v>
      </c>
      <c r="E61" s="103"/>
      <c r="F61" s="97">
        <f>VLOOKUP(C61,'SIND PITS'!$C$3:$H$104,2,0)</f>
        <v>3721.2</v>
      </c>
      <c r="G61" s="97">
        <f>VLOOKUP(C61,'SIND PITS'!$C$3:$E$104,3,0)</f>
        <v>281.25</v>
      </c>
      <c r="H61" s="97">
        <f>VLOOKUP(C61,'SIND PITS'!$C$3:$F$104,4,0)</f>
        <v>0</v>
      </c>
      <c r="I61" s="97">
        <f>VLOOKUP(C61,'SIND PITS'!$C$3:$G$104,5,0)</f>
        <v>0</v>
      </c>
      <c r="J61" s="100"/>
      <c r="K61" s="97">
        <f t="shared" si="1"/>
        <v>7281.25</v>
      </c>
      <c r="L61" s="97">
        <v>14000</v>
      </c>
      <c r="M61" s="97">
        <f t="shared" si="2"/>
        <v>7000</v>
      </c>
      <c r="N61" s="100"/>
      <c r="O61" s="99">
        <f>VLOOKUP(C61,'IP PITSS'!$B$10:$I$91,8,0)</f>
        <v>0</v>
      </c>
      <c r="P61" s="29">
        <f t="shared" si="3"/>
        <v>281.25</v>
      </c>
      <c r="Q61" s="99">
        <f>VLOOKUP(C61,'IP PITSS'!$B$10:$K$91,10,0)+VLOOKUP('RESUMEN PITS'!C61,'IP PITSS'!$B$10:$L$91,11,0)+VLOOKUP('RESUMEN PITS'!C61,'IP PITSS'!$B$10:$M$91,12,0)</f>
        <v>0</v>
      </c>
      <c r="R61" s="99">
        <f>VLOOKUP(C61,'IP PITSS'!$B$10:$Q$91,16,0)</f>
        <v>0</v>
      </c>
      <c r="S61" s="99">
        <f>VLOOKUP(C61,'IP PITSS'!$B$10:$R$91,17,0)</f>
        <v>0</v>
      </c>
      <c r="T61" s="100"/>
      <c r="U61" s="29">
        <f>+K61-O61-P61+Q61+R61+S61+IFERROR(VLOOKUP('RESUMEN PITS'!C61,'IP PITSS'!$B$10:$M$91,10),0)+IFERROR(VLOOKUP('RESUMEN PITS'!C61,'IP PITSS'!$B$10:$M$91,11),0)+IFERROR(VLOOKUP('RESUMEN PITS'!C61,'IP PITSS'!$B$10:$M$91,12),0)+VLOOKUP("Comision",'IP PITSS'!$I$97:$J$108,2)/COUNT($F$9:$F$111)+IFERROR(VLOOKUP('RESUMEN PITS'!C61,'IP PITSS'!$B$10:$AD$91,15),0)+IFERROR(VLOOKUP('RESUMEN PITS'!C61,'IP PITSS'!$B$10:$AD$91,21),0)+IFERROR(VLOOKUP('RESUMEN PITS'!C61,'IP PITSS'!$B$10:$AD$91,22),0)+IFERROR(VLOOKUP('RESUMEN PITS'!C61,'IP PITSS'!$B$10:$AD$91,23),0)+IFERROR(VLOOKUP('RESUMEN PITS'!C61,'IP PITSS'!$B$10:$AD$91,24),0)+IFERROR(VLOOKUP('RESUMEN PITS'!C61,'IP PITSS'!$B$10:$AD$91,26),0)+IFERROR(VLOOKUP('RESUMEN PITS'!C61,'IP PITSS'!$B$10:$AD$91,28),0)+IFERROR(VLOOKUP('RESUMEN PITS'!C61,'IP PITSS'!$B$10:$AD$91,29),0)+IFERROR(VLOOKUP('RESUMEN PITS'!C61,'IP PITSS'!$B$10:$AD$91,9),0)*2%</f>
        <v>7056.5626416666664</v>
      </c>
      <c r="V61" s="99">
        <f t="shared" si="0"/>
        <v>-56.562641666666423</v>
      </c>
      <c r="X61" s="29" t="s">
        <v>129</v>
      </c>
    </row>
    <row r="62" spans="1:24" s="20" customFormat="1" x14ac:dyDescent="0.2">
      <c r="A62" s="101" t="s">
        <v>365</v>
      </c>
      <c r="B62" s="21" t="s">
        <v>94</v>
      </c>
      <c r="C62" s="101" t="s">
        <v>238</v>
      </c>
      <c r="D62" s="21">
        <f>VLOOKUP(C62,'IP PITSS'!$B$10:$U$91,20,0)</f>
        <v>2294.6</v>
      </c>
      <c r="E62" s="103"/>
      <c r="F62" s="97">
        <f>VLOOKUP(C62,'SIND PITS'!$C$3:$H$104,2,0)</f>
        <v>3339.55</v>
      </c>
      <c r="G62" s="97">
        <f>VLOOKUP(C62,'SIND PITS'!$C$3:$E$104,3,0)</f>
        <v>262.5</v>
      </c>
      <c r="H62" s="97">
        <f>VLOOKUP(C62,'SIND PITS'!$C$3:$F$104,4,0)</f>
        <v>0</v>
      </c>
      <c r="I62" s="97">
        <f>VLOOKUP(C62,'SIND PITS'!$C$3:$G$104,5,0)</f>
        <v>0</v>
      </c>
      <c r="J62" s="100"/>
      <c r="K62" s="97">
        <f t="shared" si="1"/>
        <v>5896.65</v>
      </c>
      <c r="L62" s="97">
        <v>15000</v>
      </c>
      <c r="M62" s="97">
        <f t="shared" si="2"/>
        <v>7500</v>
      </c>
      <c r="N62" s="100"/>
      <c r="O62" s="99">
        <f>VLOOKUP(C62,'IP PITSS'!$B$10:$I$91,8,0)</f>
        <v>0</v>
      </c>
      <c r="P62" s="29">
        <f t="shared" si="3"/>
        <v>262.5</v>
      </c>
      <c r="Q62" s="99">
        <f>VLOOKUP(C62,'IP PITSS'!$B$10:$K$91,10,0)+VLOOKUP('RESUMEN PITS'!C62,'IP PITSS'!$B$10:$L$91,11,0)+VLOOKUP('RESUMEN PITS'!C62,'IP PITSS'!$B$10:$M$91,12,0)</f>
        <v>1865.85</v>
      </c>
      <c r="R62" s="99">
        <f>VLOOKUP(C62,'IP PITSS'!$B$10:$Q$91,16,0)</f>
        <v>0</v>
      </c>
      <c r="S62" s="99">
        <f>VLOOKUP(C62,'IP PITSS'!$B$10:$R$91,17,0)</f>
        <v>0</v>
      </c>
      <c r="T62" s="100"/>
      <c r="U62" s="29">
        <f>+K62-O62-P62+Q62+R62+S62+IFERROR(VLOOKUP('RESUMEN PITS'!C62,'IP PITSS'!$B$10:$M$91,10),0)+IFERROR(VLOOKUP('RESUMEN PITS'!C62,'IP PITSS'!$B$10:$M$91,11),0)+IFERROR(VLOOKUP('RESUMEN PITS'!C62,'IP PITSS'!$B$10:$M$91,12),0)+VLOOKUP("Comision",'IP PITSS'!$I$97:$J$108,2)/COUNT($F$9:$F$111)+IFERROR(VLOOKUP('RESUMEN PITS'!C62,'IP PITSS'!$B$10:$AD$91,15),0)+IFERROR(VLOOKUP('RESUMEN PITS'!C62,'IP PITSS'!$B$10:$AD$91,21),0)+IFERROR(VLOOKUP('RESUMEN PITS'!C62,'IP PITSS'!$B$10:$AD$91,22),0)+IFERROR(VLOOKUP('RESUMEN PITS'!C62,'IP PITSS'!$B$10:$AD$91,23),0)+IFERROR(VLOOKUP('RESUMEN PITS'!C62,'IP PITSS'!$B$10:$AD$91,24),0)+IFERROR(VLOOKUP('RESUMEN PITS'!C62,'IP PITSS'!$B$10:$AD$91,26),0)+IFERROR(VLOOKUP('RESUMEN PITS'!C62,'IP PITSS'!$B$10:$AD$91,28),0)+IFERROR(VLOOKUP('RESUMEN PITS'!C62,'IP PITSS'!$B$10:$AD$91,29),0)+IFERROR(VLOOKUP('RESUMEN PITS'!C62,'IP PITSS'!$B$10:$AD$91,9),0)*2%</f>
        <v>9415.953641666667</v>
      </c>
      <c r="V62" s="99">
        <f t="shared" si="0"/>
        <v>-1915.953641666667</v>
      </c>
      <c r="X62" s="29" t="s">
        <v>239</v>
      </c>
    </row>
    <row r="63" spans="1:24" s="20" customFormat="1" x14ac:dyDescent="0.2">
      <c r="A63" s="101" t="s">
        <v>359</v>
      </c>
      <c r="B63" s="21" t="s">
        <v>94</v>
      </c>
      <c r="C63" s="101" t="s">
        <v>247</v>
      </c>
      <c r="D63" s="21">
        <f>VLOOKUP(C63,'IP PITSS'!$B$10:$U$91,20,0)</f>
        <v>1604.8</v>
      </c>
      <c r="E63" s="103"/>
      <c r="F63" s="97">
        <f>VLOOKUP(C63,'SIND PITS'!$C$3:$H$104,2,0)</f>
        <v>4339.2300000000005</v>
      </c>
      <c r="G63" s="97">
        <f>VLOOKUP(C63,'SIND PITS'!$C$3:$E$104,3,0)</f>
        <v>281.25</v>
      </c>
      <c r="H63" s="97">
        <f>VLOOKUP(C63,'SIND PITS'!$C$3:$F$104,4,0)</f>
        <v>0</v>
      </c>
      <c r="I63" s="97">
        <f>VLOOKUP(C63,'SIND PITS'!$C$3:$G$104,5,0)</f>
        <v>0</v>
      </c>
      <c r="J63" s="100"/>
      <c r="K63" s="97">
        <f t="shared" si="1"/>
        <v>6225.2800000000007</v>
      </c>
      <c r="L63" s="97">
        <v>17000</v>
      </c>
      <c r="M63" s="97">
        <f t="shared" si="2"/>
        <v>8500</v>
      </c>
      <c r="N63" s="100"/>
      <c r="O63" s="99">
        <f>VLOOKUP(C63,'IP PITSS'!$B$10:$I$91,8,0)</f>
        <v>0</v>
      </c>
      <c r="P63" s="29">
        <f t="shared" si="3"/>
        <v>281.25</v>
      </c>
      <c r="Q63" s="99">
        <f>VLOOKUP(C63,'IP PITSS'!$B$10:$K$91,10,0)+VLOOKUP('RESUMEN PITS'!C63,'IP PITSS'!$B$10:$L$91,11,0)+VLOOKUP('RESUMEN PITS'!C63,'IP PITSS'!$B$10:$M$91,12,0)</f>
        <v>2160.15</v>
      </c>
      <c r="R63" s="99">
        <f>VLOOKUP(C63,'IP PITSS'!$B$10:$Q$91,16,0)</f>
        <v>0</v>
      </c>
      <c r="S63" s="99">
        <f>VLOOKUP(C63,'IP PITSS'!$B$10:$R$91,17,0)</f>
        <v>395.82</v>
      </c>
      <c r="T63" s="100"/>
      <c r="U63" s="29">
        <f>+K63-O63-P63+Q63+R63+S63+IFERROR(VLOOKUP('RESUMEN PITS'!C63,'IP PITSS'!$B$10:$M$91,10),0)+IFERROR(VLOOKUP('RESUMEN PITS'!C63,'IP PITSS'!$B$10:$M$91,11),0)+IFERROR(VLOOKUP('RESUMEN PITS'!C63,'IP PITSS'!$B$10:$M$91,12),0)+VLOOKUP("Comision",'IP PITSS'!$I$97:$J$108,2)/COUNT($F$9:$F$111)+IFERROR(VLOOKUP('RESUMEN PITS'!C63,'IP PITSS'!$B$10:$AD$91,15),0)+IFERROR(VLOOKUP('RESUMEN PITS'!C63,'IP PITSS'!$B$10:$AD$91,21),0)+IFERROR(VLOOKUP('RESUMEN PITS'!C63,'IP PITSS'!$B$10:$AD$91,22),0)+IFERROR(VLOOKUP('RESUMEN PITS'!C63,'IP PITSS'!$B$10:$AD$91,23),0)+IFERROR(VLOOKUP('RESUMEN PITS'!C63,'IP PITSS'!$B$10:$AD$91,24),0)+IFERROR(VLOOKUP('RESUMEN PITS'!C63,'IP PITSS'!$B$10:$AD$91,26),0)+IFERROR(VLOOKUP('RESUMEN PITS'!C63,'IP PITSS'!$B$10:$AD$91,28),0)+IFERROR(VLOOKUP('RESUMEN PITS'!C63,'IP PITSS'!$B$10:$AD$91,29),0)+IFERROR(VLOOKUP('RESUMEN PITS'!C63,'IP PITSS'!$B$10:$AD$91,9),0)*2%</f>
        <v>10415.953641666667</v>
      </c>
      <c r="V63" s="99">
        <f t="shared" si="0"/>
        <v>-1915.953641666667</v>
      </c>
      <c r="X63" s="29" t="s">
        <v>248</v>
      </c>
    </row>
    <row r="64" spans="1:24" s="20" customFormat="1" x14ac:dyDescent="0.2">
      <c r="A64" s="101" t="s">
        <v>366</v>
      </c>
      <c r="B64" s="21" t="s">
        <v>94</v>
      </c>
      <c r="C64" s="101" t="s">
        <v>319</v>
      </c>
      <c r="D64" s="21">
        <f>VLOOKUP(C64,'IP PITSS'!$B$10:$U$91,20,0)</f>
        <v>3332.6</v>
      </c>
      <c r="E64" s="103"/>
      <c r="F64" s="97">
        <f>VLOOKUP(C64,'SIND PITS'!$C$3:$H$104,2,0)</f>
        <v>1917.4</v>
      </c>
      <c r="G64" s="97">
        <f>VLOOKUP(C64,'SIND PITS'!$C$3:$E$104,3,0)</f>
        <v>1406.25</v>
      </c>
      <c r="H64" s="97">
        <f>VLOOKUP(C64,'SIND PITS'!$C$3:$F$104,4,0)</f>
        <v>0</v>
      </c>
      <c r="I64" s="97">
        <f>VLOOKUP(C64,'SIND PITS'!$C$3:$G$104,5,0)</f>
        <v>0</v>
      </c>
      <c r="J64" s="100"/>
      <c r="K64" s="97">
        <f t="shared" si="1"/>
        <v>6656.25</v>
      </c>
      <c r="L64" s="107">
        <v>10500</v>
      </c>
      <c r="M64" s="97">
        <f t="shared" si="2"/>
        <v>5250</v>
      </c>
      <c r="N64" s="100"/>
      <c r="O64" s="99">
        <f>VLOOKUP(C64,'IP PITSS'!$B$10:$I$91,8,0)</f>
        <v>0</v>
      </c>
      <c r="P64" s="29">
        <f t="shared" si="3"/>
        <v>1406.25</v>
      </c>
      <c r="Q64" s="99">
        <f>VLOOKUP(C64,'IP PITSS'!$B$10:$K$91,10,0)+VLOOKUP('RESUMEN PITS'!C64,'IP PITSS'!$B$10:$L$91,11,0)+VLOOKUP('RESUMEN PITS'!C64,'IP PITSS'!$B$10:$M$91,12,0)</f>
        <v>0</v>
      </c>
      <c r="R64" s="99">
        <f>VLOOKUP(C64,'IP PITSS'!$B$10:$Q$91,16,0)</f>
        <v>0</v>
      </c>
      <c r="S64" s="99">
        <f>VLOOKUP(C64,'IP PITSS'!$B$10:$R$91,17,0)</f>
        <v>0</v>
      </c>
      <c r="T64" s="100"/>
      <c r="U64" s="29">
        <f>+K64-O64-P64+Q64+R64+S64+IFERROR(VLOOKUP('RESUMEN PITS'!C64,'IP PITSS'!$B$10:$M$91,10),0)+IFERROR(VLOOKUP('RESUMEN PITS'!C64,'IP PITSS'!$B$10:$M$91,11),0)+IFERROR(VLOOKUP('RESUMEN PITS'!C64,'IP PITSS'!$B$10:$M$91,12),0)+VLOOKUP("Comision",'IP PITSS'!$I$97:$J$108,2)/COUNT($F$9:$F$111)+IFERROR(VLOOKUP('RESUMEN PITS'!C64,'IP PITSS'!$B$10:$AD$91,15),0)+IFERROR(VLOOKUP('RESUMEN PITS'!C64,'IP PITSS'!$B$10:$AD$91,21),0)+IFERROR(VLOOKUP('RESUMEN PITS'!C64,'IP PITSS'!$B$10:$AD$91,22),0)+IFERROR(VLOOKUP('RESUMEN PITS'!C64,'IP PITSS'!$B$10:$AD$91,23),0)+IFERROR(VLOOKUP('RESUMEN PITS'!C64,'IP PITSS'!$B$10:$AD$91,24),0)+IFERROR(VLOOKUP('RESUMEN PITS'!C64,'IP PITSS'!$B$10:$AD$91,26),0)+IFERROR(VLOOKUP('RESUMEN PITS'!C64,'IP PITSS'!$B$10:$AD$91,28),0)+IFERROR(VLOOKUP('RESUMEN PITS'!C64,'IP PITSS'!$B$10:$AD$91,29),0)+IFERROR(VLOOKUP('RESUMEN PITS'!C64,'IP PITSS'!$B$10:$AD$91,9),0)*2%</f>
        <v>6594.8726416666659</v>
      </c>
      <c r="V64" s="99">
        <f t="shared" si="0"/>
        <v>-1344.8726416666659</v>
      </c>
      <c r="X64" s="29" t="s">
        <v>320</v>
      </c>
    </row>
    <row r="65" spans="1:24" s="20" customFormat="1" x14ac:dyDescent="0.2">
      <c r="A65" s="101" t="s">
        <v>285</v>
      </c>
      <c r="B65" s="21" t="s">
        <v>94</v>
      </c>
      <c r="C65" s="101" t="s">
        <v>327</v>
      </c>
      <c r="D65" s="21">
        <f>VLOOKUP(C65,'IP PITSS'!$B$10:$U$91,20,0)</f>
        <v>2141.4</v>
      </c>
      <c r="E65" s="103"/>
      <c r="F65" s="97">
        <f>VLOOKUP(C65,'SIND PITS'!$C$3:$H$104,2,0)</f>
        <v>2667.34</v>
      </c>
      <c r="G65" s="97">
        <f>VLOOKUP(C65,'SIND PITS'!$C$3:$E$104,3,0)</f>
        <v>0</v>
      </c>
      <c r="H65" s="97">
        <f>VLOOKUP(C65,'SIND PITS'!$C$3:$F$104,4,0)</f>
        <v>0</v>
      </c>
      <c r="I65" s="97">
        <f>VLOOKUP(C65,'SIND PITS'!$C$3:$G$104,5,0)</f>
        <v>0</v>
      </c>
      <c r="J65" s="100"/>
      <c r="K65" s="97">
        <f t="shared" si="1"/>
        <v>4808.74</v>
      </c>
      <c r="L65" s="97">
        <v>12000</v>
      </c>
      <c r="M65" s="97">
        <f t="shared" si="2"/>
        <v>6000</v>
      </c>
      <c r="N65" s="100"/>
      <c r="O65" s="99">
        <f>VLOOKUP(C65,'IP PITSS'!$B$10:$I$91,8,0)</f>
        <v>0</v>
      </c>
      <c r="P65" s="29">
        <f t="shared" si="3"/>
        <v>0</v>
      </c>
      <c r="Q65" s="99">
        <f>VLOOKUP(C65,'IP PITSS'!$B$10:$K$91,10,0)+VLOOKUP('RESUMEN PITS'!C65,'IP PITSS'!$B$10:$L$91,11,0)+VLOOKUP('RESUMEN PITS'!C65,'IP PITSS'!$B$10:$M$91,12,0)</f>
        <v>1191.26</v>
      </c>
      <c r="R65" s="99">
        <f>VLOOKUP(C65,'IP PITSS'!$B$10:$Q$91,16,0)</f>
        <v>0</v>
      </c>
      <c r="S65" s="99">
        <f>VLOOKUP(C65,'IP PITSS'!$B$10:$R$91,17,0)</f>
        <v>0</v>
      </c>
      <c r="T65" s="100"/>
      <c r="U65" s="29">
        <f>+K65-O65-P65+Q65+R65+S65+IFERROR(VLOOKUP('RESUMEN PITS'!C65,'IP PITSS'!$B$10:$M$91,10),0)+IFERROR(VLOOKUP('RESUMEN PITS'!C65,'IP PITSS'!$B$10:$M$91,11),0)+IFERROR(VLOOKUP('RESUMEN PITS'!C65,'IP PITSS'!$B$10:$M$91,12),0)+VLOOKUP("Comision",'IP PITSS'!$I$97:$J$108,2)/COUNT($F$9:$F$111)+IFERROR(VLOOKUP('RESUMEN PITS'!C65,'IP PITSS'!$B$10:$AD$91,15),0)+IFERROR(VLOOKUP('RESUMEN PITS'!C65,'IP PITSS'!$B$10:$AD$91,21),0)+IFERROR(VLOOKUP('RESUMEN PITS'!C65,'IP PITSS'!$B$10:$AD$91,22),0)+IFERROR(VLOOKUP('RESUMEN PITS'!C65,'IP PITSS'!$B$10:$AD$91,23),0)+IFERROR(VLOOKUP('RESUMEN PITS'!C65,'IP PITSS'!$B$10:$AD$91,24),0)+IFERROR(VLOOKUP('RESUMEN PITS'!C65,'IP PITSS'!$B$10:$AD$91,26),0)+IFERROR(VLOOKUP('RESUMEN PITS'!C65,'IP PITSS'!$B$10:$AD$91,28),0)+IFERROR(VLOOKUP('RESUMEN PITS'!C65,'IP PITSS'!$B$10:$AD$91,29),0)+IFERROR(VLOOKUP('RESUMEN PITS'!C65,'IP PITSS'!$B$10:$AD$91,9),0)*2%</f>
        <v>7344.8726416666659</v>
      </c>
      <c r="V65" s="99">
        <f t="shared" ref="V65:V100" si="5">+M65-U65</f>
        <v>-1344.8726416666659</v>
      </c>
      <c r="X65" s="29" t="s">
        <v>328</v>
      </c>
    </row>
    <row r="66" spans="1:24" s="20" customFormat="1" x14ac:dyDescent="0.2">
      <c r="A66" s="101" t="s">
        <v>68</v>
      </c>
      <c r="B66" s="21" t="s">
        <v>94</v>
      </c>
      <c r="C66" s="101" t="s">
        <v>316</v>
      </c>
      <c r="D66" s="21">
        <f>VLOOKUP(C66,'IP PITSS'!$B$10:$U$91,20,0)</f>
        <v>2146.4</v>
      </c>
      <c r="E66" s="103"/>
      <c r="F66" s="97">
        <f>VLOOKUP(C66,'SIND PITS'!$C$3:$H$104,2,0)</f>
        <v>1667.2399999999998</v>
      </c>
      <c r="G66" s="97">
        <f>VLOOKUP(C66,'SIND PITS'!$C$3:$E$104,3,0)</f>
        <v>285</v>
      </c>
      <c r="H66" s="97">
        <f>VLOOKUP(C66,'SIND PITS'!$C$3:$F$104,4,0)</f>
        <v>0</v>
      </c>
      <c r="I66" s="97">
        <f>VLOOKUP(C66,'SIND PITS'!$C$3:$G$104,5,0)</f>
        <v>85.039999999999992</v>
      </c>
      <c r="J66" s="100"/>
      <c r="K66" s="97">
        <f t="shared" ref="K66:K102" si="6">SUM(D66:I66)</f>
        <v>4183.6799999999994</v>
      </c>
      <c r="L66" s="97">
        <v>10000</v>
      </c>
      <c r="M66" s="97">
        <f t="shared" si="2"/>
        <v>5000</v>
      </c>
      <c r="N66" s="100"/>
      <c r="O66" s="99">
        <f>VLOOKUP(C66,'IP PITSS'!$B$10:$I$91,8,0)</f>
        <v>214.96</v>
      </c>
      <c r="P66" s="29">
        <f t="shared" si="3"/>
        <v>370.03999999999996</v>
      </c>
      <c r="Q66" s="99">
        <f>VLOOKUP(C66,'IP PITSS'!$B$10:$K$91,10,0)+VLOOKUP('RESUMEN PITS'!C66,'IP PITSS'!$B$10:$L$91,11,0)+VLOOKUP('RESUMEN PITS'!C66,'IP PITSS'!$B$10:$M$91,12,0)</f>
        <v>1230.6500000000001</v>
      </c>
      <c r="R66" s="99">
        <f>VLOOKUP(C66,'IP PITSS'!$B$10:$Q$91,16,0)</f>
        <v>0</v>
      </c>
      <c r="S66" s="99">
        <f>VLOOKUP(C66,'IP PITSS'!$B$10:$R$91,17,0)</f>
        <v>170.67</v>
      </c>
      <c r="T66" s="100"/>
      <c r="U66" s="29">
        <f>+K66-O66-P66+Q66+R66+S66+IFERROR(VLOOKUP('RESUMEN PITS'!C66,'IP PITSS'!$B$10:$M$91,10),0)+IFERROR(VLOOKUP('RESUMEN PITS'!C66,'IP PITSS'!$B$10:$M$91,11),0)+IFERROR(VLOOKUP('RESUMEN PITS'!C66,'IP PITSS'!$B$10:$M$91,12),0)+VLOOKUP("Comision",'IP PITSS'!$I$97:$J$108,2)/COUNT($F$9:$F$111)+IFERROR(VLOOKUP('RESUMEN PITS'!C66,'IP PITSS'!$B$10:$AD$91,15),0)+IFERROR(VLOOKUP('RESUMEN PITS'!C66,'IP PITSS'!$B$10:$AD$91,21),0)+IFERROR(VLOOKUP('RESUMEN PITS'!C66,'IP PITSS'!$B$10:$AD$91,22),0)+IFERROR(VLOOKUP('RESUMEN PITS'!C66,'IP PITSS'!$B$10:$AD$91,23),0)+IFERROR(VLOOKUP('RESUMEN PITS'!C66,'IP PITSS'!$B$10:$AD$91,24),0)+IFERROR(VLOOKUP('RESUMEN PITS'!C66,'IP PITSS'!$B$10:$AD$91,26),0)+IFERROR(VLOOKUP('RESUMEN PITS'!C66,'IP PITSS'!$B$10:$AD$91,28),0)+IFERROR(VLOOKUP('RESUMEN PITS'!C66,'IP PITSS'!$B$10:$AD$91,29),0)+IFERROR(VLOOKUP('RESUMEN PITS'!C66,'IP PITSS'!$B$10:$AD$91,9),0)*2%</f>
        <v>6344.8726416666659</v>
      </c>
      <c r="V66" s="99">
        <f t="shared" si="5"/>
        <v>-1344.8726416666659</v>
      </c>
      <c r="X66" s="29" t="s">
        <v>317</v>
      </c>
    </row>
    <row r="67" spans="1:24" s="20" customFormat="1" x14ac:dyDescent="0.2">
      <c r="A67" s="101" t="s">
        <v>367</v>
      </c>
      <c r="B67" s="21" t="s">
        <v>94</v>
      </c>
      <c r="C67" s="101" t="s">
        <v>134</v>
      </c>
      <c r="D67" s="21">
        <f>VLOOKUP(C67,'IP PITSS'!$B$10:$U$91,20,0)</f>
        <v>3332.6</v>
      </c>
      <c r="E67" s="103"/>
      <c r="F67" s="97">
        <f>VLOOKUP(C67,'SIND PITS'!$C$3:$H$104,2,0)</f>
        <v>2667.3999999999996</v>
      </c>
      <c r="G67" s="97">
        <f>VLOOKUP(C67,'SIND PITS'!$C$3:$E$104,3,0)</f>
        <v>500</v>
      </c>
      <c r="H67" s="97">
        <f>VLOOKUP(C67,'SIND PITS'!$C$3:$F$104,4,0)</f>
        <v>0</v>
      </c>
      <c r="I67" s="97">
        <f>VLOOKUP(C67,'SIND PITS'!$C$3:$G$104,5,0)</f>
        <v>0</v>
      </c>
      <c r="J67" s="100"/>
      <c r="K67" s="97">
        <f t="shared" si="6"/>
        <v>6500</v>
      </c>
      <c r="L67" s="97">
        <v>12000</v>
      </c>
      <c r="M67" s="97">
        <f t="shared" ref="M67:M102" si="7">+L67/2</f>
        <v>6000</v>
      </c>
      <c r="N67" s="100"/>
      <c r="O67" s="99">
        <f>VLOOKUP(C67,'IP PITSS'!$B$10:$I$91,8,0)</f>
        <v>0</v>
      </c>
      <c r="P67" s="29">
        <f t="shared" si="3"/>
        <v>500</v>
      </c>
      <c r="Q67" s="99">
        <f>VLOOKUP(C67,'IP PITSS'!$B$10:$K$91,10,0)+VLOOKUP('RESUMEN PITS'!C67,'IP PITSS'!$B$10:$L$91,11,0)+VLOOKUP('RESUMEN PITS'!C67,'IP PITSS'!$B$10:$M$91,12,0)</f>
        <v>0</v>
      </c>
      <c r="R67" s="99">
        <f>VLOOKUP(C67,'IP PITSS'!$B$10:$Q$91,16,0)</f>
        <v>0</v>
      </c>
      <c r="S67" s="99">
        <f>VLOOKUP(C67,'IP PITSS'!$B$10:$R$91,17,0)</f>
        <v>0</v>
      </c>
      <c r="T67" s="100"/>
      <c r="U67" s="29">
        <f>+K67-O67-P67+Q67+R67+S67+IFERROR(VLOOKUP('RESUMEN PITS'!C67,'IP PITSS'!$B$10:$M$91,10),0)+IFERROR(VLOOKUP('RESUMEN PITS'!C67,'IP PITSS'!$B$10:$M$91,11),0)+IFERROR(VLOOKUP('RESUMEN PITS'!C67,'IP PITSS'!$B$10:$M$91,12),0)+VLOOKUP("Comision",'IP PITSS'!$I$97:$J$108,2)/COUNT($F$9:$F$111)+IFERROR(VLOOKUP('RESUMEN PITS'!C67,'IP PITSS'!$B$10:$AD$91,15),0)+IFERROR(VLOOKUP('RESUMEN PITS'!C67,'IP PITSS'!$B$10:$AD$91,21),0)+IFERROR(VLOOKUP('RESUMEN PITS'!C67,'IP PITSS'!$B$10:$AD$91,22),0)+IFERROR(VLOOKUP('RESUMEN PITS'!C67,'IP PITSS'!$B$10:$AD$91,23),0)+IFERROR(VLOOKUP('RESUMEN PITS'!C67,'IP PITSS'!$B$10:$AD$91,24),0)+IFERROR(VLOOKUP('RESUMEN PITS'!C67,'IP PITSS'!$B$10:$AD$91,26),0)+IFERROR(VLOOKUP('RESUMEN PITS'!C67,'IP PITSS'!$B$10:$AD$91,28),0)+IFERROR(VLOOKUP('RESUMEN PITS'!C67,'IP PITSS'!$B$10:$AD$91,29),0)+IFERROR(VLOOKUP('RESUMEN PITS'!C67,'IP PITSS'!$B$10:$AD$91,9),0)*2%</f>
        <v>6056.5626416666664</v>
      </c>
      <c r="V67" s="99">
        <f t="shared" si="5"/>
        <v>-56.562641666666423</v>
      </c>
      <c r="W67" s="46"/>
      <c r="X67" s="29" t="s">
        <v>135</v>
      </c>
    </row>
    <row r="68" spans="1:24" s="20" customFormat="1" x14ac:dyDescent="0.2">
      <c r="A68" s="101" t="s">
        <v>228</v>
      </c>
      <c r="B68" s="21" t="s">
        <v>94</v>
      </c>
      <c r="C68" s="101" t="s">
        <v>154</v>
      </c>
      <c r="D68" s="21">
        <f>VLOOKUP(C68,'IP PITSS'!$B$10:$U$91,20,0)</f>
        <v>2647.8</v>
      </c>
      <c r="E68" s="103"/>
      <c r="F68" s="97">
        <f>VLOOKUP(C68,'SIND PITS'!$C$3:$H$104,2,0)</f>
        <v>1667.29</v>
      </c>
      <c r="G68" s="97">
        <f>VLOOKUP(C68,'SIND PITS'!$C$3:$E$104,3,0)</f>
        <v>90</v>
      </c>
      <c r="H68" s="97">
        <f>VLOOKUP(C68,'SIND PITS'!$C$3:$F$104,4,0)</f>
        <v>0</v>
      </c>
      <c r="I68" s="97">
        <f>VLOOKUP(C68,'SIND PITS'!$C$3:$G$104,5,0)</f>
        <v>0</v>
      </c>
      <c r="J68" s="100"/>
      <c r="K68" s="97">
        <f t="shared" si="6"/>
        <v>4405.09</v>
      </c>
      <c r="L68" s="97">
        <v>10000</v>
      </c>
      <c r="M68" s="97">
        <f t="shared" si="7"/>
        <v>5000</v>
      </c>
      <c r="N68" s="100"/>
      <c r="O68" s="99">
        <f>VLOOKUP(C68,'IP PITSS'!$B$10:$I$91,8,0)</f>
        <v>0</v>
      </c>
      <c r="P68" s="29">
        <f t="shared" ref="P68:P102" si="8">+G68+H68+I68</f>
        <v>90</v>
      </c>
      <c r="Q68" s="99">
        <f>VLOOKUP(C68,'IP PITSS'!$B$10:$K$91,10,0)+VLOOKUP('RESUMEN PITS'!C68,'IP PITSS'!$B$10:$L$91,11,0)+VLOOKUP('RESUMEN PITS'!C68,'IP PITSS'!$B$10:$M$91,12,0)</f>
        <v>684.91</v>
      </c>
      <c r="R68" s="99">
        <f>VLOOKUP(C68,'IP PITSS'!$B$10:$Q$91,16,0)</f>
        <v>0</v>
      </c>
      <c r="S68" s="99">
        <f>VLOOKUP(C68,'IP PITSS'!$B$10:$R$91,17,0)</f>
        <v>0</v>
      </c>
      <c r="T68" s="100"/>
      <c r="U68" s="29">
        <f>+K68-O68-P68+Q68+R68+S68+IFERROR(VLOOKUP('RESUMEN PITS'!C68,'IP PITSS'!$B$10:$M$91,10),0)+IFERROR(VLOOKUP('RESUMEN PITS'!C68,'IP PITSS'!$B$10:$M$91,11),0)+IFERROR(VLOOKUP('RESUMEN PITS'!C68,'IP PITSS'!$B$10:$M$91,12),0)+VLOOKUP("Comision",'IP PITSS'!$I$97:$J$108,2)/COUNT($F$9:$F$111)+IFERROR(VLOOKUP('RESUMEN PITS'!C68,'IP PITSS'!$B$10:$AD$91,15),0)+IFERROR(VLOOKUP('RESUMEN PITS'!C68,'IP PITSS'!$B$10:$AD$91,21),0)+IFERROR(VLOOKUP('RESUMEN PITS'!C68,'IP PITSS'!$B$10:$AD$91,22),0)+IFERROR(VLOOKUP('RESUMEN PITS'!C68,'IP PITSS'!$B$10:$AD$91,23),0)+IFERROR(VLOOKUP('RESUMEN PITS'!C68,'IP PITSS'!$B$10:$AD$91,24),0)+IFERROR(VLOOKUP('RESUMEN PITS'!C68,'IP PITSS'!$B$10:$AD$91,26),0)+IFERROR(VLOOKUP('RESUMEN PITS'!C68,'IP PITSS'!$B$10:$AD$91,28),0)+IFERROR(VLOOKUP('RESUMEN PITS'!C68,'IP PITSS'!$B$10:$AD$91,29),0)+IFERROR(VLOOKUP('RESUMEN PITS'!C68,'IP PITSS'!$B$10:$AD$91,9),0)*2%</f>
        <v>5056.5626416666664</v>
      </c>
      <c r="V68" s="99">
        <f t="shared" si="5"/>
        <v>-56.562641666666423</v>
      </c>
      <c r="X68" s="29" t="s">
        <v>155</v>
      </c>
    </row>
    <row r="69" spans="1:24" s="20" customFormat="1" x14ac:dyDescent="0.2">
      <c r="A69" s="101" t="s">
        <v>368</v>
      </c>
      <c r="B69" s="21" t="s">
        <v>94</v>
      </c>
      <c r="C69" s="101" t="s">
        <v>241</v>
      </c>
      <c r="D69" s="21">
        <f>VLOOKUP(C69,'IP PITSS'!$B$10:$U$91,20,0)</f>
        <v>2447.6</v>
      </c>
      <c r="E69" s="103"/>
      <c r="F69" s="97">
        <f>VLOOKUP(C69,'SIND PITS'!$C$3:$H$104,2,0)</f>
        <v>2552.4</v>
      </c>
      <c r="G69" s="97">
        <f>VLOOKUP(C69,'SIND PITS'!$C$3:$E$104,3,0)</f>
        <v>250</v>
      </c>
      <c r="H69" s="97">
        <f>VLOOKUP(C69,'SIND PITS'!$C$3:$F$104,4,0)</f>
        <v>0</v>
      </c>
      <c r="I69" s="97">
        <f>VLOOKUP(C69,'SIND PITS'!$C$3:$G$104,5,0)</f>
        <v>0</v>
      </c>
      <c r="J69" s="100"/>
      <c r="K69" s="97">
        <f t="shared" si="6"/>
        <v>5250</v>
      </c>
      <c r="L69" s="97">
        <v>10000</v>
      </c>
      <c r="M69" s="97">
        <f t="shared" si="7"/>
        <v>5000</v>
      </c>
      <c r="N69" s="100"/>
      <c r="O69" s="99">
        <f>VLOOKUP(C69,'IP PITSS'!$B$10:$I$91,8,0)</f>
        <v>0</v>
      </c>
      <c r="P69" s="29">
        <f t="shared" si="8"/>
        <v>250</v>
      </c>
      <c r="Q69" s="99">
        <f>VLOOKUP(C69,'IP PITSS'!$B$10:$K$91,10,0)+VLOOKUP('RESUMEN PITS'!C69,'IP PITSS'!$B$10:$L$91,11,0)+VLOOKUP('RESUMEN PITS'!C69,'IP PITSS'!$B$10:$M$91,12,0)</f>
        <v>0</v>
      </c>
      <c r="R69" s="99">
        <f>VLOOKUP(C69,'IP PITSS'!$B$10:$Q$91,16,0)</f>
        <v>0</v>
      </c>
      <c r="S69" s="99">
        <f>VLOOKUP(C69,'IP PITSS'!$B$10:$R$91,17,0)</f>
        <v>0</v>
      </c>
      <c r="T69" s="100"/>
      <c r="U69" s="29">
        <f>+K69-O69-P69+Q69+R69+S69+IFERROR(VLOOKUP('RESUMEN PITS'!C69,'IP PITSS'!$B$10:$M$91,10),0)+IFERROR(VLOOKUP('RESUMEN PITS'!C69,'IP PITSS'!$B$10:$M$91,11),0)+IFERROR(VLOOKUP('RESUMEN PITS'!C69,'IP PITSS'!$B$10:$M$91,12),0)+VLOOKUP("Comision",'IP PITSS'!$I$97:$J$108,2)/COUNT($F$9:$F$111)+IFERROR(VLOOKUP('RESUMEN PITS'!C69,'IP PITSS'!$B$10:$AD$91,15),0)+IFERROR(VLOOKUP('RESUMEN PITS'!C69,'IP PITSS'!$B$10:$AD$91,21),0)+IFERROR(VLOOKUP('RESUMEN PITS'!C69,'IP PITSS'!$B$10:$AD$91,22),0)+IFERROR(VLOOKUP('RESUMEN PITS'!C69,'IP PITSS'!$B$10:$AD$91,23),0)+IFERROR(VLOOKUP('RESUMEN PITS'!C69,'IP PITSS'!$B$10:$AD$91,24),0)+IFERROR(VLOOKUP('RESUMEN PITS'!C69,'IP PITSS'!$B$10:$AD$91,26),0)+IFERROR(VLOOKUP('RESUMEN PITS'!C69,'IP PITSS'!$B$10:$AD$91,28),0)+IFERROR(VLOOKUP('RESUMEN PITS'!C69,'IP PITSS'!$B$10:$AD$91,29),0)+IFERROR(VLOOKUP('RESUMEN PITS'!C69,'IP PITSS'!$B$10:$AD$91,9),0)*2%</f>
        <v>6915.953641666667</v>
      </c>
      <c r="V69" s="99">
        <f t="shared" si="5"/>
        <v>-1915.953641666667</v>
      </c>
      <c r="X69" s="29" t="s">
        <v>242</v>
      </c>
    </row>
    <row r="70" spans="1:24" s="20" customFormat="1" x14ac:dyDescent="0.2">
      <c r="A70" s="101" t="s">
        <v>97</v>
      </c>
      <c r="B70" s="21" t="s">
        <v>94</v>
      </c>
      <c r="C70" s="101" t="s">
        <v>232</v>
      </c>
      <c r="D70" s="21">
        <f>VLOOKUP(C70,'IP PITSS'!$B$10:$U$91,20,0)</f>
        <v>1927.4</v>
      </c>
      <c r="E70" s="103"/>
      <c r="F70" s="97">
        <f>VLOOKUP(C70,'SIND PITS'!$C$3:$H$104,2,0)</f>
        <v>1694.2399999999998</v>
      </c>
      <c r="G70" s="97">
        <f>VLOOKUP(C70,'SIND PITS'!$C$3:$E$104,3,0)</f>
        <v>262.5</v>
      </c>
      <c r="H70" s="97">
        <f>VLOOKUP(C70,'SIND PITS'!$C$3:$F$104,4,0)</f>
        <v>0</v>
      </c>
      <c r="I70" s="97">
        <f>VLOOKUP(C70,'SIND PITS'!$C$3:$G$104,5,0)</f>
        <v>0</v>
      </c>
      <c r="J70" s="100"/>
      <c r="K70" s="97">
        <f t="shared" si="6"/>
        <v>3884.14</v>
      </c>
      <c r="L70" s="97">
        <v>9000</v>
      </c>
      <c r="M70" s="97">
        <f t="shared" si="7"/>
        <v>4500</v>
      </c>
      <c r="N70" s="100"/>
      <c r="O70" s="99">
        <f>VLOOKUP(C70,'IP PITSS'!$B$10:$I$91,8,0)</f>
        <v>0</v>
      </c>
      <c r="P70" s="29">
        <f t="shared" si="8"/>
        <v>262.5</v>
      </c>
      <c r="Q70" s="99">
        <f>VLOOKUP(C70,'IP PITSS'!$B$10:$K$91,10,0)+VLOOKUP('RESUMEN PITS'!C70,'IP PITSS'!$B$10:$L$91,11,0)+VLOOKUP('RESUMEN PITS'!C70,'IP PITSS'!$B$10:$M$91,12,0)</f>
        <v>878.36</v>
      </c>
      <c r="R70" s="99">
        <f>VLOOKUP(C70,'IP PITSS'!$B$10:$Q$91,16,0)</f>
        <v>0</v>
      </c>
      <c r="S70" s="99">
        <f>VLOOKUP(C70,'IP PITSS'!$B$10:$R$91,17,0)</f>
        <v>0</v>
      </c>
      <c r="T70" s="100"/>
      <c r="U70" s="29">
        <f>+K70-O70-P70+Q70+R70+S70+IFERROR(VLOOKUP('RESUMEN PITS'!C70,'IP PITSS'!$B$10:$M$91,10),0)+IFERROR(VLOOKUP('RESUMEN PITS'!C70,'IP PITSS'!$B$10:$M$91,11),0)+IFERROR(VLOOKUP('RESUMEN PITS'!C70,'IP PITSS'!$B$10:$M$91,12),0)+VLOOKUP("Comision",'IP PITSS'!$I$97:$J$108,2)/COUNT($F$9:$F$111)+IFERROR(VLOOKUP('RESUMEN PITS'!C70,'IP PITSS'!$B$10:$AD$91,15),0)+IFERROR(VLOOKUP('RESUMEN PITS'!C70,'IP PITSS'!$B$10:$AD$91,21),0)+IFERROR(VLOOKUP('RESUMEN PITS'!C70,'IP PITSS'!$B$10:$AD$91,22),0)+IFERROR(VLOOKUP('RESUMEN PITS'!C70,'IP PITSS'!$B$10:$AD$91,23),0)+IFERROR(VLOOKUP('RESUMEN PITS'!C70,'IP PITSS'!$B$10:$AD$91,24),0)+IFERROR(VLOOKUP('RESUMEN PITS'!C70,'IP PITSS'!$B$10:$AD$91,26),0)+IFERROR(VLOOKUP('RESUMEN PITS'!C70,'IP PITSS'!$B$10:$AD$91,28),0)+IFERROR(VLOOKUP('RESUMEN PITS'!C70,'IP PITSS'!$B$10:$AD$91,29),0)+IFERROR(VLOOKUP('RESUMEN PITS'!C70,'IP PITSS'!$B$10:$AD$91,9),0)*2%</f>
        <v>6415.953641666667</v>
      </c>
      <c r="V70" s="99">
        <f t="shared" si="5"/>
        <v>-1915.953641666667</v>
      </c>
      <c r="X70" s="29" t="s">
        <v>233</v>
      </c>
    </row>
    <row r="71" spans="1:24" s="20" customFormat="1" x14ac:dyDescent="0.2">
      <c r="A71" s="101" t="s">
        <v>369</v>
      </c>
      <c r="B71" s="21" t="s">
        <v>94</v>
      </c>
      <c r="C71" s="101" t="s">
        <v>293</v>
      </c>
      <c r="D71" s="21">
        <f>VLOOKUP(C71,'IP PITSS'!$B$10:$U$91,20,0)</f>
        <v>1116.8</v>
      </c>
      <c r="E71" s="103"/>
      <c r="F71" s="97">
        <f>VLOOKUP(C71,'SIND PITS'!$C$3:$H$104,2,0)</f>
        <v>2194.2600000000002</v>
      </c>
      <c r="G71" s="97">
        <f>VLOOKUP(C71,'SIND PITS'!$C$3:$E$104,3,0)</f>
        <v>110</v>
      </c>
      <c r="H71" s="97">
        <f>VLOOKUP(C71,'SIND PITS'!$C$3:$F$104,4,0)</f>
        <v>0</v>
      </c>
      <c r="I71" s="97">
        <f>VLOOKUP(C71,'SIND PITS'!$C$3:$G$104,5,0)</f>
        <v>0</v>
      </c>
      <c r="J71" s="100"/>
      <c r="K71" s="97">
        <f t="shared" si="6"/>
        <v>3421.0600000000004</v>
      </c>
      <c r="L71" s="97">
        <v>10000</v>
      </c>
      <c r="M71" s="97">
        <f t="shared" si="7"/>
        <v>5000</v>
      </c>
      <c r="N71" s="100"/>
      <c r="O71" s="99">
        <f>VLOOKUP(C71,'IP PITSS'!$B$10:$I$91,8,0)</f>
        <v>0</v>
      </c>
      <c r="P71" s="29">
        <f t="shared" si="8"/>
        <v>110</v>
      </c>
      <c r="Q71" s="99">
        <f>VLOOKUP(C71,'IP PITSS'!$B$10:$K$91,10,0)+VLOOKUP('RESUMEN PITS'!C71,'IP PITSS'!$B$10:$L$91,11,0)+VLOOKUP('RESUMEN PITS'!C71,'IP PITSS'!$B$10:$M$91,12,0)</f>
        <v>899.86</v>
      </c>
      <c r="R71" s="99">
        <f>VLOOKUP(C71,'IP PITSS'!$B$10:$Q$91,16,0)</f>
        <v>0</v>
      </c>
      <c r="S71" s="99">
        <f>VLOOKUP(C71,'IP PITSS'!$B$10:$R$91,17,0)</f>
        <v>789.08</v>
      </c>
      <c r="T71" s="100"/>
      <c r="U71" s="29">
        <f>+K71-O71-P71+Q71+R71+S71+IFERROR(VLOOKUP('RESUMEN PITS'!C71,'IP PITSS'!$B$10:$M$91,10),0)+IFERROR(VLOOKUP('RESUMEN PITS'!C71,'IP PITSS'!$B$10:$M$91,11),0)+IFERROR(VLOOKUP('RESUMEN PITS'!C71,'IP PITSS'!$B$10:$M$91,12),0)+VLOOKUP("Comision",'IP PITSS'!$I$97:$J$108,2)/COUNT($F$9:$F$111)+IFERROR(VLOOKUP('RESUMEN PITS'!C71,'IP PITSS'!$B$10:$AD$91,15),0)+IFERROR(VLOOKUP('RESUMEN PITS'!C71,'IP PITSS'!$B$10:$AD$91,21),0)+IFERROR(VLOOKUP('RESUMEN PITS'!C71,'IP PITSS'!$B$10:$AD$91,22),0)+IFERROR(VLOOKUP('RESUMEN PITS'!C71,'IP PITSS'!$B$10:$AD$91,23),0)+IFERROR(VLOOKUP('RESUMEN PITS'!C71,'IP PITSS'!$B$10:$AD$91,24),0)+IFERROR(VLOOKUP('RESUMEN PITS'!C71,'IP PITSS'!$B$10:$AD$91,26),0)+IFERROR(VLOOKUP('RESUMEN PITS'!C71,'IP PITSS'!$B$10:$AD$91,28),0)+IFERROR(VLOOKUP('RESUMEN PITS'!C71,'IP PITSS'!$B$10:$AD$91,29),0)+IFERROR(VLOOKUP('RESUMEN PITS'!C71,'IP PITSS'!$B$10:$AD$91,9),0)*2%</f>
        <v>6344.8726416666659</v>
      </c>
      <c r="V71" s="99">
        <f t="shared" si="5"/>
        <v>-1344.8726416666659</v>
      </c>
      <c r="X71" s="29" t="s">
        <v>294</v>
      </c>
    </row>
    <row r="72" spans="1:24" s="20" customFormat="1" x14ac:dyDescent="0.2">
      <c r="A72" s="101" t="s">
        <v>70</v>
      </c>
      <c r="B72" s="21" t="s">
        <v>94</v>
      </c>
      <c r="C72" s="101" t="s">
        <v>131</v>
      </c>
      <c r="D72" s="21">
        <f>VLOOKUP(C72,'IP PITSS'!$B$10:$U$91,20,0)</f>
        <v>2446.6</v>
      </c>
      <c r="E72" s="103"/>
      <c r="F72" s="97">
        <f>VLOOKUP(C72,'SIND PITS'!$C$3:$H$104,2,0)</f>
        <v>2553.4</v>
      </c>
      <c r="G72" s="97">
        <f>VLOOKUP(C72,'SIND PITS'!$C$3:$E$104,3,0)</f>
        <v>400</v>
      </c>
      <c r="H72" s="97">
        <f>VLOOKUP(C72,'SIND PITS'!$C$3:$F$104,4,0)</f>
        <v>0</v>
      </c>
      <c r="I72" s="97">
        <f>VLOOKUP(C72,'SIND PITS'!$C$3:$G$104,5,0)</f>
        <v>0</v>
      </c>
      <c r="J72" s="100"/>
      <c r="K72" s="97">
        <f t="shared" si="6"/>
        <v>5400</v>
      </c>
      <c r="L72" s="97">
        <v>10000</v>
      </c>
      <c r="M72" s="97">
        <f t="shared" si="7"/>
        <v>5000</v>
      </c>
      <c r="N72" s="100"/>
      <c r="O72" s="99">
        <f>VLOOKUP(C72,'IP PITSS'!$B$10:$I$91,8,0)</f>
        <v>0</v>
      </c>
      <c r="P72" s="29">
        <f t="shared" si="8"/>
        <v>400</v>
      </c>
      <c r="Q72" s="99">
        <f>VLOOKUP(C72,'IP PITSS'!$B$10:$K$91,10,0)+VLOOKUP('RESUMEN PITS'!C72,'IP PITSS'!$B$10:$L$91,11,0)+VLOOKUP('RESUMEN PITS'!C72,'IP PITSS'!$B$10:$M$91,12,0)</f>
        <v>0</v>
      </c>
      <c r="R72" s="99">
        <f>VLOOKUP(C72,'IP PITSS'!$B$10:$Q$91,16,0)</f>
        <v>0</v>
      </c>
      <c r="S72" s="99">
        <f>VLOOKUP(C72,'IP PITSS'!$B$10:$R$91,17,0)</f>
        <v>0</v>
      </c>
      <c r="T72" s="100"/>
      <c r="U72" s="29">
        <f>+K72-O72-P72+Q72+R72+S72+IFERROR(VLOOKUP('RESUMEN PITS'!C72,'IP PITSS'!$B$10:$M$91,10),0)+IFERROR(VLOOKUP('RESUMEN PITS'!C72,'IP PITSS'!$B$10:$M$91,11),0)+IFERROR(VLOOKUP('RESUMEN PITS'!C72,'IP PITSS'!$B$10:$M$91,12),0)+VLOOKUP("Comision",'IP PITSS'!$I$97:$J$108,2)/COUNT($F$9:$F$111)+IFERROR(VLOOKUP('RESUMEN PITS'!C72,'IP PITSS'!$B$10:$AD$91,15),0)+IFERROR(VLOOKUP('RESUMEN PITS'!C72,'IP PITSS'!$B$10:$AD$91,21),0)+IFERROR(VLOOKUP('RESUMEN PITS'!C72,'IP PITSS'!$B$10:$AD$91,22),0)+IFERROR(VLOOKUP('RESUMEN PITS'!C72,'IP PITSS'!$B$10:$AD$91,23),0)+IFERROR(VLOOKUP('RESUMEN PITS'!C72,'IP PITSS'!$B$10:$AD$91,24),0)+IFERROR(VLOOKUP('RESUMEN PITS'!C72,'IP PITSS'!$B$10:$AD$91,26),0)+IFERROR(VLOOKUP('RESUMEN PITS'!C72,'IP PITSS'!$B$10:$AD$91,28),0)+IFERROR(VLOOKUP('RESUMEN PITS'!C72,'IP PITSS'!$B$10:$AD$91,29),0)+IFERROR(VLOOKUP('RESUMEN PITS'!C72,'IP PITSS'!$B$10:$AD$91,9),0)*2%</f>
        <v>5056.5626416666664</v>
      </c>
      <c r="V72" s="99">
        <f t="shared" si="5"/>
        <v>-56.562641666666423</v>
      </c>
      <c r="X72" s="29" t="s">
        <v>132</v>
      </c>
    </row>
    <row r="73" spans="1:24" s="20" customFormat="1" x14ac:dyDescent="0.2">
      <c r="A73" s="101" t="s">
        <v>190</v>
      </c>
      <c r="B73" s="21" t="s">
        <v>94</v>
      </c>
      <c r="C73" s="108" t="s">
        <v>425</v>
      </c>
      <c r="D73" s="21">
        <f>VLOOKUP(C73,'IP PITSS'!$B$10:$U$91,20,0)</f>
        <v>2612.1999999999998</v>
      </c>
      <c r="E73" s="103"/>
      <c r="F73" s="97">
        <f>VLOOKUP(C73,'SIND PITS'!$C$3:$H$104,2,0)</f>
        <v>284.0300000000002</v>
      </c>
      <c r="G73" s="97">
        <f>VLOOKUP(C73,'SIND PITS'!$C$3:$E$104,3,0)</f>
        <v>281.25</v>
      </c>
      <c r="H73" s="97">
        <f>VLOOKUP(C73,'SIND PITS'!$C$3:$F$104,4,0)</f>
        <v>0</v>
      </c>
      <c r="I73" s="97">
        <f>VLOOKUP(C73,'SIND PITS'!$C$3:$G$104,5,0)</f>
        <v>0</v>
      </c>
      <c r="J73" s="100"/>
      <c r="K73" s="97">
        <f t="shared" si="6"/>
        <v>3177.48</v>
      </c>
      <c r="L73" s="99">
        <v>6300</v>
      </c>
      <c r="M73" s="97">
        <f t="shared" si="7"/>
        <v>3150</v>
      </c>
      <c r="N73" s="100"/>
      <c r="O73" s="99">
        <f>VLOOKUP(C73,'IP PITSS'!$B$10:$I$91,8,0)</f>
        <v>0</v>
      </c>
      <c r="P73" s="29">
        <f t="shared" si="8"/>
        <v>281.25</v>
      </c>
      <c r="Q73" s="99">
        <f>VLOOKUP(C73,'IP PITSS'!$B$10:$K$91,10,0)+VLOOKUP('RESUMEN PITS'!C73,'IP PITSS'!$B$10:$L$91,11,0)+VLOOKUP('RESUMEN PITS'!C73,'IP PITSS'!$B$10:$M$91,12,0)</f>
        <v>0</v>
      </c>
      <c r="R73" s="99">
        <f>VLOOKUP(C73,'IP PITSS'!$B$10:$Q$91,16,0)</f>
        <v>0</v>
      </c>
      <c r="S73" s="99">
        <f>VLOOKUP(C73,'IP PITSS'!$B$10:$R$91,17,0)</f>
        <v>253.77</v>
      </c>
      <c r="T73" s="100"/>
      <c r="U73" s="29">
        <f>+K73-O73-P73+Q73+R73+S73+IFERROR(VLOOKUP('RESUMEN PITS'!C73,'IP PITSS'!$B$10:$M$91,10),0)+IFERROR(VLOOKUP('RESUMEN PITS'!C73,'IP PITSS'!$B$10:$M$91,11),0)+IFERROR(VLOOKUP('RESUMEN PITS'!C73,'IP PITSS'!$B$10:$M$91,12),0)+VLOOKUP("Comision",'IP PITSS'!$I$97:$J$108,2)/COUNT($F$9:$F$111)+IFERROR(VLOOKUP('RESUMEN PITS'!C73,'IP PITSS'!$B$10:$AD$91,15),0)+IFERROR(VLOOKUP('RESUMEN PITS'!C73,'IP PITSS'!$B$10:$AD$91,21),0)+IFERROR(VLOOKUP('RESUMEN PITS'!C73,'IP PITSS'!$B$10:$AD$91,22),0)+IFERROR(VLOOKUP('RESUMEN PITS'!C73,'IP PITSS'!$B$10:$AD$91,23),0)+IFERROR(VLOOKUP('RESUMEN PITS'!C73,'IP PITSS'!$B$10:$AD$91,24),0)+IFERROR(VLOOKUP('RESUMEN PITS'!C73,'IP PITSS'!$B$10:$AD$91,26),0)+IFERROR(VLOOKUP('RESUMEN PITS'!C73,'IP PITSS'!$B$10:$AD$91,28),0)+IFERROR(VLOOKUP('RESUMEN PITS'!C73,'IP PITSS'!$B$10:$AD$91,29),0)+IFERROR(VLOOKUP('RESUMEN PITS'!C73,'IP PITSS'!$B$10:$AD$91,9),0)*2%</f>
        <v>4567.0416416666658</v>
      </c>
      <c r="V73" s="99">
        <f t="shared" si="5"/>
        <v>-1417.0416416666658</v>
      </c>
      <c r="X73" s="29" t="s">
        <v>191</v>
      </c>
    </row>
    <row r="74" spans="1:24" s="20" customFormat="1" x14ac:dyDescent="0.2">
      <c r="A74" s="101" t="s">
        <v>370</v>
      </c>
      <c r="B74" s="21" t="s">
        <v>94</v>
      </c>
      <c r="C74" s="108" t="s">
        <v>424</v>
      </c>
      <c r="D74" s="21">
        <f>VLOOKUP(C74,'IP PITSS'!$B$10:$U$91,20,0)</f>
        <v>2446.6</v>
      </c>
      <c r="E74" s="103"/>
      <c r="F74" s="97">
        <f>VLOOKUP(C74,'SIND PITS'!$C$3:$H$104,2,0)</f>
        <v>3553.4</v>
      </c>
      <c r="G74" s="97">
        <f>VLOOKUP(C74,'SIND PITS'!$C$3:$E$104,3,0)</f>
        <v>187.5</v>
      </c>
      <c r="H74" s="97">
        <f>VLOOKUP(C74,'SIND PITS'!$C$3:$F$104,4,0)</f>
        <v>0</v>
      </c>
      <c r="I74" s="97">
        <f>VLOOKUP(C74,'SIND PITS'!$C$3:$G$104,5,0)</f>
        <v>0</v>
      </c>
      <c r="J74" s="100"/>
      <c r="K74" s="97">
        <f t="shared" si="6"/>
        <v>6187.5</v>
      </c>
      <c r="L74" s="97">
        <v>12000</v>
      </c>
      <c r="M74" s="97">
        <f t="shared" si="7"/>
        <v>6000</v>
      </c>
      <c r="N74" s="100"/>
      <c r="O74" s="99">
        <f>VLOOKUP(C74,'IP PITSS'!$B$10:$I$91,8,0)</f>
        <v>0</v>
      </c>
      <c r="P74" s="29">
        <f t="shared" si="8"/>
        <v>187.5</v>
      </c>
      <c r="Q74" s="99">
        <f>VLOOKUP(C74,'IP PITSS'!$B$10:$K$91,10,0)+VLOOKUP('RESUMEN PITS'!C74,'IP PITSS'!$B$10:$L$91,11,0)+VLOOKUP('RESUMEN PITS'!C74,'IP PITSS'!$B$10:$M$91,12,0)</f>
        <v>0</v>
      </c>
      <c r="R74" s="99">
        <f>VLOOKUP(C74,'IP PITSS'!$B$10:$Q$91,16,0)</f>
        <v>0</v>
      </c>
      <c r="S74" s="99">
        <f>VLOOKUP(C74,'IP PITSS'!$B$10:$R$91,17,0)</f>
        <v>0</v>
      </c>
      <c r="T74" s="100"/>
      <c r="U74" s="29">
        <f>+K74-O74-P74+Q74+R74+S74+IFERROR(VLOOKUP('RESUMEN PITS'!C74,'IP PITSS'!$B$10:$M$91,10),0)+IFERROR(VLOOKUP('RESUMEN PITS'!C74,'IP PITSS'!$B$10:$M$91,11),0)+IFERROR(VLOOKUP('RESUMEN PITS'!C74,'IP PITSS'!$B$10:$M$91,12),0)+VLOOKUP("Comision",'IP PITSS'!$I$97:$J$108,2)/COUNT($F$9:$F$111)+IFERROR(VLOOKUP('RESUMEN PITS'!C74,'IP PITSS'!$B$10:$AD$91,15),0)+IFERROR(VLOOKUP('RESUMEN PITS'!C74,'IP PITSS'!$B$10:$AD$91,21),0)+IFERROR(VLOOKUP('RESUMEN PITS'!C74,'IP PITSS'!$B$10:$AD$91,22),0)+IFERROR(VLOOKUP('RESUMEN PITS'!C74,'IP PITSS'!$B$10:$AD$91,23),0)+IFERROR(VLOOKUP('RESUMEN PITS'!C74,'IP PITSS'!$B$10:$AD$91,24),0)+IFERROR(VLOOKUP('RESUMEN PITS'!C74,'IP PITSS'!$B$10:$AD$91,26),0)+IFERROR(VLOOKUP('RESUMEN PITS'!C74,'IP PITSS'!$B$10:$AD$91,28),0)+IFERROR(VLOOKUP('RESUMEN PITS'!C74,'IP PITSS'!$B$10:$AD$91,29),0)+IFERROR(VLOOKUP('RESUMEN PITS'!C74,'IP PITSS'!$B$10:$AD$91,9),0)*2%</f>
        <v>7915.953641666667</v>
      </c>
      <c r="V74" s="99">
        <f t="shared" si="5"/>
        <v>-1915.953641666667</v>
      </c>
      <c r="X74" s="29" t="s">
        <v>250</v>
      </c>
    </row>
    <row r="75" spans="1:24" s="20" customFormat="1" x14ac:dyDescent="0.2">
      <c r="A75" s="101" t="s">
        <v>209</v>
      </c>
      <c r="B75" s="21" t="s">
        <v>94</v>
      </c>
      <c r="C75" s="101" t="s">
        <v>210</v>
      </c>
      <c r="D75" s="21">
        <f>VLOOKUP(C75,'IP PITSS'!$B$10:$U$91,20,0)</f>
        <v>2447</v>
      </c>
      <c r="E75" s="103"/>
      <c r="F75" s="97">
        <f>VLOOKUP(C75,'SIND PITS'!$C$3:$H$104,2,0)</f>
        <v>53</v>
      </c>
      <c r="G75" s="97">
        <f>VLOOKUP(C75,'SIND PITS'!$C$3:$E$104,3,0)</f>
        <v>160</v>
      </c>
      <c r="H75" s="97">
        <f>VLOOKUP(C75,'SIND PITS'!$C$3:$F$104,4,0)</f>
        <v>0</v>
      </c>
      <c r="I75" s="97">
        <f>VLOOKUP(C75,'SIND PITS'!$C$3:$G$104,5,0)</f>
        <v>0</v>
      </c>
      <c r="J75" s="100"/>
      <c r="K75" s="97">
        <f t="shared" si="6"/>
        <v>2660</v>
      </c>
      <c r="L75" s="97">
        <v>5000</v>
      </c>
      <c r="M75" s="97">
        <f t="shared" si="7"/>
        <v>2500</v>
      </c>
      <c r="N75" s="100"/>
      <c r="O75" s="99">
        <f>VLOOKUP(C75,'IP PITSS'!$B$10:$I$91,8,0)</f>
        <v>0</v>
      </c>
      <c r="P75" s="29">
        <f t="shared" si="8"/>
        <v>160</v>
      </c>
      <c r="Q75" s="99">
        <f>VLOOKUP(C75,'IP PITSS'!$B$10:$K$91,10,0)+VLOOKUP('RESUMEN PITS'!C75,'IP PITSS'!$B$10:$L$91,11,0)+VLOOKUP('RESUMEN PITS'!C75,'IP PITSS'!$B$10:$M$91,12,0)</f>
        <v>0</v>
      </c>
      <c r="R75" s="99">
        <f>VLOOKUP(C75,'IP PITSS'!$B$10:$Q$91,16,0)</f>
        <v>0</v>
      </c>
      <c r="S75" s="99">
        <f>VLOOKUP(C75,'IP PITSS'!$B$10:$R$91,17,0)</f>
        <v>0</v>
      </c>
      <c r="T75" s="100"/>
      <c r="U75" s="29">
        <f>+K75-O75-P75+Q75+R75+S75+IFERROR(VLOOKUP('RESUMEN PITS'!C75,'IP PITSS'!$B$10:$M$91,10),0)+IFERROR(VLOOKUP('RESUMEN PITS'!C75,'IP PITSS'!$B$10:$M$91,11),0)+IFERROR(VLOOKUP('RESUMEN PITS'!C75,'IP PITSS'!$B$10:$M$91,12),0)+VLOOKUP("Comision",'IP PITSS'!$I$97:$J$108,2)/COUNT($F$9:$F$111)+IFERROR(VLOOKUP('RESUMEN PITS'!C75,'IP PITSS'!$B$10:$AD$91,15),0)+IFERROR(VLOOKUP('RESUMEN PITS'!C75,'IP PITSS'!$B$10:$AD$91,21),0)+IFERROR(VLOOKUP('RESUMEN PITS'!C75,'IP PITSS'!$B$10:$AD$91,22),0)+IFERROR(VLOOKUP('RESUMEN PITS'!C75,'IP PITSS'!$B$10:$AD$91,23),0)+IFERROR(VLOOKUP('RESUMEN PITS'!C75,'IP PITSS'!$B$10:$AD$91,24),0)+IFERROR(VLOOKUP('RESUMEN PITS'!C75,'IP PITSS'!$B$10:$AD$91,26),0)+IFERROR(VLOOKUP('RESUMEN PITS'!C75,'IP PITSS'!$B$10:$AD$91,28),0)+IFERROR(VLOOKUP('RESUMEN PITS'!C75,'IP PITSS'!$B$10:$AD$91,29),0)+IFERROR(VLOOKUP('RESUMEN PITS'!C75,'IP PITSS'!$B$10:$AD$91,9),0)*2%</f>
        <v>4415.953641666667</v>
      </c>
      <c r="V75" s="99">
        <f t="shared" si="5"/>
        <v>-1915.953641666667</v>
      </c>
      <c r="X75" s="29" t="s">
        <v>211</v>
      </c>
    </row>
    <row r="76" spans="1:24" s="20" customFormat="1" x14ac:dyDescent="0.2">
      <c r="A76" s="101" t="s">
        <v>251</v>
      </c>
      <c r="B76" s="21" t="s">
        <v>94</v>
      </c>
      <c r="C76" s="101" t="s">
        <v>252</v>
      </c>
      <c r="D76" s="21">
        <f>VLOOKUP(C76,'IP PITSS'!$B$10:$U$91,20,0)</f>
        <v>2037.2</v>
      </c>
      <c r="E76" s="103"/>
      <c r="F76" s="97">
        <f>VLOOKUP(C76,'SIND PITS'!$C$3:$H$104,2,0)</f>
        <v>52.570000000000164</v>
      </c>
      <c r="G76" s="97">
        <f>VLOOKUP(C76,'SIND PITS'!$C$3:$E$104,3,0)</f>
        <v>250</v>
      </c>
      <c r="H76" s="97">
        <f>VLOOKUP(C76,'SIND PITS'!$C$3:$F$104,4,0)</f>
        <v>0</v>
      </c>
      <c r="I76" s="97">
        <f>VLOOKUP(C76,'SIND PITS'!$C$3:$G$104,5,0)</f>
        <v>0</v>
      </c>
      <c r="J76" s="100"/>
      <c r="K76" s="97">
        <f t="shared" si="6"/>
        <v>2339.7700000000004</v>
      </c>
      <c r="L76" s="106">
        <v>5000</v>
      </c>
      <c r="M76" s="97">
        <f t="shared" si="7"/>
        <v>2500</v>
      </c>
      <c r="N76" s="100"/>
      <c r="O76" s="99">
        <f>VLOOKUP(C76,'IP PITSS'!$B$10:$I$91,8,0)</f>
        <v>0</v>
      </c>
      <c r="P76" s="29">
        <f t="shared" si="8"/>
        <v>250</v>
      </c>
      <c r="Q76" s="99">
        <f>VLOOKUP(C76,'IP PITSS'!$B$10:$K$91,10,0)+VLOOKUP('RESUMEN PITS'!C76,'IP PITSS'!$B$10:$L$91,11,0)+VLOOKUP('RESUMEN PITS'!C76,'IP PITSS'!$B$10:$M$91,12,0)</f>
        <v>410.23</v>
      </c>
      <c r="R76" s="99">
        <f>VLOOKUP(C76,'IP PITSS'!$B$10:$Q$91,16,0)</f>
        <v>0</v>
      </c>
      <c r="S76" s="99">
        <f>VLOOKUP(C76,'IP PITSS'!$B$10:$R$91,17,0)</f>
        <v>0</v>
      </c>
      <c r="T76" s="100"/>
      <c r="U76" s="29">
        <f>+K76-O76-P76+Q76+R76+S76+IFERROR(VLOOKUP('RESUMEN PITS'!C76,'IP PITSS'!$B$10:$M$91,10),0)+IFERROR(VLOOKUP('RESUMEN PITS'!C76,'IP PITSS'!$B$10:$M$91,11),0)+IFERROR(VLOOKUP('RESUMEN PITS'!C76,'IP PITSS'!$B$10:$M$91,12),0)+VLOOKUP("Comision",'IP PITSS'!$I$97:$J$108,2)/COUNT($F$9:$F$111)+IFERROR(VLOOKUP('RESUMEN PITS'!C76,'IP PITSS'!$B$10:$AD$91,15),0)+IFERROR(VLOOKUP('RESUMEN PITS'!C76,'IP PITSS'!$B$10:$AD$91,21),0)+IFERROR(VLOOKUP('RESUMEN PITS'!C76,'IP PITSS'!$B$10:$AD$91,22),0)+IFERROR(VLOOKUP('RESUMEN PITS'!C76,'IP PITSS'!$B$10:$AD$91,23),0)+IFERROR(VLOOKUP('RESUMEN PITS'!C76,'IP PITSS'!$B$10:$AD$91,24),0)+IFERROR(VLOOKUP('RESUMEN PITS'!C76,'IP PITSS'!$B$10:$AD$91,26),0)+IFERROR(VLOOKUP('RESUMEN PITS'!C76,'IP PITSS'!$B$10:$AD$91,28),0)+IFERROR(VLOOKUP('RESUMEN PITS'!C76,'IP PITSS'!$B$10:$AD$91,29),0)+IFERROR(VLOOKUP('RESUMEN PITS'!C76,'IP PITSS'!$B$10:$AD$91,9),0)*2%</f>
        <v>4415.9536416666679</v>
      </c>
      <c r="V76" s="99">
        <f t="shared" si="5"/>
        <v>-1915.9536416666679</v>
      </c>
      <c r="X76" s="29" t="s">
        <v>253</v>
      </c>
    </row>
    <row r="77" spans="1:24" s="20" customFormat="1" x14ac:dyDescent="0.2">
      <c r="A77" s="101" t="s">
        <v>218</v>
      </c>
      <c r="B77" s="21" t="s">
        <v>94</v>
      </c>
      <c r="C77" s="95" t="s">
        <v>219</v>
      </c>
      <c r="D77" s="21">
        <f>VLOOKUP(C77,'IP PITSS'!$B$10:$U$91,20,0)</f>
        <v>3155.8</v>
      </c>
      <c r="E77" s="103"/>
      <c r="F77" s="97">
        <f>VLOOKUP(C77,'SIND PITS'!$C$3:$H$104,2,0)</f>
        <v>6520.6</v>
      </c>
      <c r="G77" s="97">
        <f>VLOOKUP(C77,'SIND PITS'!$C$3:$E$104,3,0)</f>
        <v>2223</v>
      </c>
      <c r="H77" s="97">
        <f>VLOOKUP(C77,'SIND PITS'!$C$3:$F$104,4,0)</f>
        <v>0</v>
      </c>
      <c r="I77" s="97">
        <f>VLOOKUP(C77,'SIND PITS'!$C$3:$G$104,5,0)</f>
        <v>0</v>
      </c>
      <c r="J77" s="100"/>
      <c r="K77" s="97">
        <f t="shared" si="6"/>
        <v>11899.400000000001</v>
      </c>
      <c r="L77" s="107">
        <v>19950</v>
      </c>
      <c r="M77" s="97">
        <f t="shared" si="7"/>
        <v>9975</v>
      </c>
      <c r="N77" s="100"/>
      <c r="O77" s="99">
        <f>VLOOKUP(C77,'IP PITSS'!$B$10:$I$91,8,0)</f>
        <v>0</v>
      </c>
      <c r="P77" s="29">
        <f t="shared" si="8"/>
        <v>2223</v>
      </c>
      <c r="Q77" s="99">
        <f>VLOOKUP(C77,'IP PITSS'!$B$10:$K$91,10,0)+VLOOKUP('RESUMEN PITS'!C77,'IP PITSS'!$B$10:$L$91,11,0)+VLOOKUP('RESUMEN PITS'!C77,'IP PITSS'!$B$10:$M$91,12,0)</f>
        <v>0</v>
      </c>
      <c r="R77" s="99">
        <f>VLOOKUP(C77,'IP PITSS'!$B$10:$Q$91,16,0)</f>
        <v>0</v>
      </c>
      <c r="S77" s="99">
        <f>VLOOKUP(C77,'IP PITSS'!$B$10:$R$91,17,0)</f>
        <v>298.60000000000002</v>
      </c>
      <c r="T77" s="100"/>
      <c r="U77" s="29">
        <f>+K77-O77-P77+Q77+R77+S77+IFERROR(VLOOKUP('RESUMEN PITS'!C77,'IP PITSS'!$B$10:$M$91,10),0)+IFERROR(VLOOKUP('RESUMEN PITS'!C77,'IP PITSS'!$B$10:$M$91,11),0)+IFERROR(VLOOKUP('RESUMEN PITS'!C77,'IP PITSS'!$B$10:$M$91,12),0)+VLOOKUP("Comision",'IP PITSS'!$I$97:$J$108,2)/COUNT($F$9:$F$111)+IFERROR(VLOOKUP('RESUMEN PITS'!C77,'IP PITSS'!$B$10:$AD$91,15),0)+IFERROR(VLOOKUP('RESUMEN PITS'!C77,'IP PITSS'!$B$10:$AD$91,21),0)+IFERROR(VLOOKUP('RESUMEN PITS'!C77,'IP PITSS'!$B$10:$AD$91,22),0)+IFERROR(VLOOKUP('RESUMEN PITS'!C77,'IP PITSS'!$B$10:$AD$91,23),0)+IFERROR(VLOOKUP('RESUMEN PITS'!C77,'IP PITSS'!$B$10:$AD$91,24),0)+IFERROR(VLOOKUP('RESUMEN PITS'!C77,'IP PITSS'!$B$10:$AD$91,26),0)+IFERROR(VLOOKUP('RESUMEN PITS'!C77,'IP PITSS'!$B$10:$AD$91,28),0)+IFERROR(VLOOKUP('RESUMEN PITS'!C77,'IP PITSS'!$B$10:$AD$91,29),0)+IFERROR(VLOOKUP('RESUMEN PITS'!C77,'IP PITSS'!$B$10:$AD$91,9),0)*2%</f>
        <v>11890.953641666669</v>
      </c>
      <c r="V77" s="99">
        <f t="shared" si="5"/>
        <v>-1915.9536416666688</v>
      </c>
      <c r="X77" s="29" t="s">
        <v>220</v>
      </c>
    </row>
    <row r="78" spans="1:24" s="20" customFormat="1" x14ac:dyDescent="0.2">
      <c r="A78" s="109" t="s">
        <v>288</v>
      </c>
      <c r="B78" s="21" t="s">
        <v>94</v>
      </c>
      <c r="C78" s="109" t="s">
        <v>289</v>
      </c>
      <c r="D78" s="21">
        <f>VLOOKUP(C78,'IP PITSS'!$B$10:$U$91,20,0)</f>
        <v>2447.6</v>
      </c>
      <c r="E78" s="103"/>
      <c r="F78" s="97">
        <f>VLOOKUP(C78,'SIND PITS'!$C$3:$H$104,2,0)</f>
        <v>52.400000000000091</v>
      </c>
      <c r="G78" s="97">
        <f>VLOOKUP(C78,'SIND PITS'!$C$3:$E$104,3,0)</f>
        <v>140</v>
      </c>
      <c r="H78" s="97">
        <f>VLOOKUP(C78,'SIND PITS'!$C$3:$F$104,4,0)</f>
        <v>0</v>
      </c>
      <c r="I78" s="97">
        <f>VLOOKUP(C78,'SIND PITS'!$C$3:$G$104,5,0)</f>
        <v>0</v>
      </c>
      <c r="J78" s="100"/>
      <c r="K78" s="97">
        <f t="shared" si="6"/>
        <v>2640</v>
      </c>
      <c r="L78" s="97">
        <v>5000</v>
      </c>
      <c r="M78" s="97">
        <f t="shared" si="7"/>
        <v>2500</v>
      </c>
      <c r="N78" s="100"/>
      <c r="O78" s="99">
        <f>VLOOKUP(C78,'IP PITSS'!$B$10:$I$91,8,0)</f>
        <v>0</v>
      </c>
      <c r="P78" s="29">
        <f t="shared" si="8"/>
        <v>140</v>
      </c>
      <c r="Q78" s="99">
        <f>VLOOKUP(C78,'IP PITSS'!$B$10:$K$91,10,0)+VLOOKUP('RESUMEN PITS'!C78,'IP PITSS'!$B$10:$L$91,11,0)+VLOOKUP('RESUMEN PITS'!C78,'IP PITSS'!$B$10:$M$91,12,0)</f>
        <v>0</v>
      </c>
      <c r="R78" s="99">
        <f>VLOOKUP(C78,'IP PITSS'!$B$10:$Q$91,16,0)</f>
        <v>0</v>
      </c>
      <c r="S78" s="99">
        <f>VLOOKUP(C78,'IP PITSS'!$B$10:$R$91,17,0)</f>
        <v>0</v>
      </c>
      <c r="T78" s="100"/>
      <c r="U78" s="29">
        <f>+K78-O78-P78+Q78+R78+S78+IFERROR(VLOOKUP('RESUMEN PITS'!C78,'IP PITSS'!$B$10:$M$91,10),0)+IFERROR(VLOOKUP('RESUMEN PITS'!C78,'IP PITSS'!$B$10:$M$91,11),0)+IFERROR(VLOOKUP('RESUMEN PITS'!C78,'IP PITSS'!$B$10:$M$91,12),0)+VLOOKUP("Comision",'IP PITSS'!$I$97:$J$108,2)/COUNT($F$9:$F$111)+IFERROR(VLOOKUP('RESUMEN PITS'!C78,'IP PITSS'!$B$10:$AD$91,15),0)+IFERROR(VLOOKUP('RESUMEN PITS'!C78,'IP PITSS'!$B$10:$AD$91,21),0)+IFERROR(VLOOKUP('RESUMEN PITS'!C78,'IP PITSS'!$B$10:$AD$91,22),0)+IFERROR(VLOOKUP('RESUMEN PITS'!C78,'IP PITSS'!$B$10:$AD$91,23),0)+IFERROR(VLOOKUP('RESUMEN PITS'!C78,'IP PITSS'!$B$10:$AD$91,24),0)+IFERROR(VLOOKUP('RESUMEN PITS'!C78,'IP PITSS'!$B$10:$AD$91,26),0)+IFERROR(VLOOKUP('RESUMEN PITS'!C78,'IP PITSS'!$B$10:$AD$91,28),0)+IFERROR(VLOOKUP('RESUMEN PITS'!C78,'IP PITSS'!$B$10:$AD$91,29),0)+IFERROR(VLOOKUP('RESUMEN PITS'!C78,'IP PITSS'!$B$10:$AD$91,9),0)*2%</f>
        <v>3844.8726416666659</v>
      </c>
      <c r="V78" s="99">
        <f t="shared" si="5"/>
        <v>-1344.8726416666659</v>
      </c>
      <c r="X78" s="29" t="s">
        <v>290</v>
      </c>
    </row>
    <row r="79" spans="1:24" s="20" customFormat="1" x14ac:dyDescent="0.2">
      <c r="A79" s="109" t="s">
        <v>302</v>
      </c>
      <c r="B79" s="21" t="s">
        <v>94</v>
      </c>
      <c r="C79" s="109" t="s">
        <v>303</v>
      </c>
      <c r="D79" s="21">
        <f>VLOOKUP(C79,'IP PITSS'!$B$10:$U$91,20,0)</f>
        <v>3278.8</v>
      </c>
      <c r="E79" s="103"/>
      <c r="F79" s="97">
        <f>VLOOKUP(C79,'SIND PITS'!$C$3:$H$104,2,0)</f>
        <v>221.19999999999982</v>
      </c>
      <c r="G79" s="97">
        <f>VLOOKUP(C79,'SIND PITS'!$C$3:$E$104,3,0)</f>
        <v>0</v>
      </c>
      <c r="H79" s="97">
        <f>VLOOKUP(C79,'SIND PITS'!$C$3:$F$104,4,0)</f>
        <v>0</v>
      </c>
      <c r="I79" s="97">
        <f>VLOOKUP(C79,'SIND PITS'!$C$3:$G$104,5,0)</f>
        <v>0</v>
      </c>
      <c r="J79" s="100"/>
      <c r="K79" s="97">
        <f t="shared" si="6"/>
        <v>3500</v>
      </c>
      <c r="L79" s="97">
        <v>7000</v>
      </c>
      <c r="M79" s="97">
        <f t="shared" si="7"/>
        <v>3500</v>
      </c>
      <c r="N79" s="100"/>
      <c r="O79" s="99">
        <f>VLOOKUP(C79,'IP PITSS'!$B$10:$I$91,8,0)</f>
        <v>0</v>
      </c>
      <c r="P79" s="29">
        <f t="shared" si="8"/>
        <v>0</v>
      </c>
      <c r="Q79" s="99">
        <f>VLOOKUP(C79,'IP PITSS'!$B$10:$K$91,10,0)+VLOOKUP('RESUMEN PITS'!C79,'IP PITSS'!$B$10:$L$91,11,0)+VLOOKUP('RESUMEN PITS'!C79,'IP PITSS'!$B$10:$M$91,12,0)</f>
        <v>0</v>
      </c>
      <c r="R79" s="99">
        <f>VLOOKUP(C79,'IP PITSS'!$B$10:$Q$91,16,0)</f>
        <v>0</v>
      </c>
      <c r="S79" s="99">
        <f>VLOOKUP(C79,'IP PITSS'!$B$10:$R$91,17,0)</f>
        <v>0</v>
      </c>
      <c r="T79" s="100"/>
      <c r="U79" s="29">
        <f>+K79-O79-P79+Q79+R79+S79+IFERROR(VLOOKUP('RESUMEN PITS'!C79,'IP PITSS'!$B$10:$M$91,10),0)+IFERROR(VLOOKUP('RESUMEN PITS'!C79,'IP PITSS'!$B$10:$M$91,11),0)+IFERROR(VLOOKUP('RESUMEN PITS'!C79,'IP PITSS'!$B$10:$M$91,12),0)+VLOOKUP("Comision",'IP PITSS'!$I$97:$J$108,2)/COUNT($F$9:$F$111)+IFERROR(VLOOKUP('RESUMEN PITS'!C79,'IP PITSS'!$B$10:$AD$91,15),0)+IFERROR(VLOOKUP('RESUMEN PITS'!C79,'IP PITSS'!$B$10:$AD$91,21),0)+IFERROR(VLOOKUP('RESUMEN PITS'!C79,'IP PITSS'!$B$10:$AD$91,22),0)+IFERROR(VLOOKUP('RESUMEN PITS'!C79,'IP PITSS'!$B$10:$AD$91,23),0)+IFERROR(VLOOKUP('RESUMEN PITS'!C79,'IP PITSS'!$B$10:$AD$91,24),0)+IFERROR(VLOOKUP('RESUMEN PITS'!C79,'IP PITSS'!$B$10:$AD$91,26),0)+IFERROR(VLOOKUP('RESUMEN PITS'!C79,'IP PITSS'!$B$10:$AD$91,28),0)+IFERROR(VLOOKUP('RESUMEN PITS'!C79,'IP PITSS'!$B$10:$AD$91,29),0)+IFERROR(VLOOKUP('RESUMEN PITS'!C79,'IP PITSS'!$B$10:$AD$91,9),0)*2%</f>
        <v>4844.8726416666659</v>
      </c>
      <c r="V79" s="99">
        <f t="shared" si="5"/>
        <v>-1344.8726416666659</v>
      </c>
      <c r="X79" s="29" t="s">
        <v>304</v>
      </c>
    </row>
    <row r="80" spans="1:24" s="20" customFormat="1" x14ac:dyDescent="0.2">
      <c r="A80" s="109" t="s">
        <v>203</v>
      </c>
      <c r="B80" s="21" t="s">
        <v>94</v>
      </c>
      <c r="C80" s="109" t="s">
        <v>204</v>
      </c>
      <c r="D80" s="21">
        <f>VLOOKUP(C80,'IP PITSS'!$B$10:$U$91,20,0)</f>
        <v>1844.8</v>
      </c>
      <c r="E80" s="103"/>
      <c r="F80" s="97">
        <f>VLOOKUP(C80,'SIND PITS'!$C$3:$H$104,2,0)</f>
        <v>222.53999999999996</v>
      </c>
      <c r="G80" s="97">
        <f>VLOOKUP(C80,'SIND PITS'!$C$3:$E$104,3,0)</f>
        <v>100</v>
      </c>
      <c r="H80" s="97">
        <f>VLOOKUP(C80,'SIND PITS'!$C$3:$F$104,4,0)</f>
        <v>0</v>
      </c>
      <c r="I80" s="97">
        <f>VLOOKUP(C80,'SIND PITS'!$C$3:$G$104,5,0)</f>
        <v>0</v>
      </c>
      <c r="J80" s="100"/>
      <c r="K80" s="97">
        <f t="shared" si="6"/>
        <v>2167.34</v>
      </c>
      <c r="L80" s="97">
        <v>7000</v>
      </c>
      <c r="M80" s="97">
        <f t="shared" si="7"/>
        <v>3500</v>
      </c>
      <c r="N80" s="100"/>
      <c r="O80" s="99">
        <f>VLOOKUP(C80,'IP PITSS'!$B$10:$I$91,8,0)</f>
        <v>0</v>
      </c>
      <c r="P80" s="29">
        <f t="shared" si="8"/>
        <v>100</v>
      </c>
      <c r="Q80" s="99">
        <f>VLOOKUP(C80,'IP PITSS'!$B$10:$K$91,10,0)+VLOOKUP('RESUMEN PITS'!C80,'IP PITSS'!$B$10:$L$91,11,0)+VLOOKUP('RESUMEN PITS'!C80,'IP PITSS'!$B$10:$M$91,12,0)</f>
        <v>1432.66</v>
      </c>
      <c r="R80" s="99">
        <f>VLOOKUP(C80,'IP PITSS'!$B$10:$Q$91,16,0)</f>
        <v>0</v>
      </c>
      <c r="S80" s="99">
        <f>VLOOKUP(C80,'IP PITSS'!$B$10:$R$91,17,0)</f>
        <v>0</v>
      </c>
      <c r="T80" s="100"/>
      <c r="U80" s="29">
        <f>+K80-O80-P80+Q80+R80+S80+IFERROR(VLOOKUP('RESUMEN PITS'!C80,'IP PITSS'!$B$10:$M$91,10),0)+IFERROR(VLOOKUP('RESUMEN PITS'!C80,'IP PITSS'!$B$10:$M$91,11),0)+IFERROR(VLOOKUP('RESUMEN PITS'!C80,'IP PITSS'!$B$10:$M$91,12),0)+VLOOKUP("Comision",'IP PITSS'!$I$97:$J$108,2)/COUNT($F$9:$F$111)+IFERROR(VLOOKUP('RESUMEN PITS'!C80,'IP PITSS'!$B$10:$AD$91,15),0)+IFERROR(VLOOKUP('RESUMEN PITS'!C80,'IP PITSS'!$B$10:$AD$91,21),0)+IFERROR(VLOOKUP('RESUMEN PITS'!C80,'IP PITSS'!$B$10:$AD$91,22),0)+IFERROR(VLOOKUP('RESUMEN PITS'!C80,'IP PITSS'!$B$10:$AD$91,23),0)+IFERROR(VLOOKUP('RESUMEN PITS'!C80,'IP PITSS'!$B$10:$AD$91,24),0)+IFERROR(VLOOKUP('RESUMEN PITS'!C80,'IP PITSS'!$B$10:$AD$91,26),0)+IFERROR(VLOOKUP('RESUMEN PITS'!C80,'IP PITSS'!$B$10:$AD$91,28),0)+IFERROR(VLOOKUP('RESUMEN PITS'!C80,'IP PITSS'!$B$10:$AD$91,29),0)+IFERROR(VLOOKUP('RESUMEN PITS'!C80,'IP PITSS'!$B$10:$AD$91,9),0)*2%</f>
        <v>6359.2916416666658</v>
      </c>
      <c r="V80" s="99">
        <f t="shared" si="5"/>
        <v>-2859.2916416666658</v>
      </c>
      <c r="X80" s="29" t="s">
        <v>205</v>
      </c>
    </row>
    <row r="81" spans="1:24" s="20" customFormat="1" x14ac:dyDescent="0.2">
      <c r="A81" s="109" t="s">
        <v>282</v>
      </c>
      <c r="B81" s="21" t="s">
        <v>94</v>
      </c>
      <c r="C81" s="109" t="s">
        <v>283</v>
      </c>
      <c r="D81" s="21">
        <f>VLOOKUP(C81,'IP PITSS'!$B$10:$U$91,20,0)</f>
        <v>2974.4</v>
      </c>
      <c r="E81" s="103"/>
      <c r="F81" s="97">
        <f>VLOOKUP(C81,'SIND PITS'!$C$3:$H$104,2,0)</f>
        <v>175.59999999999991</v>
      </c>
      <c r="G81" s="97">
        <f>VLOOKUP(C81,'SIND PITS'!$C$3:$E$104,3,0)</f>
        <v>900</v>
      </c>
      <c r="H81" s="97">
        <f>VLOOKUP(C81,'SIND PITS'!$C$3:$F$104,4,0)</f>
        <v>0</v>
      </c>
      <c r="I81" s="97">
        <f>VLOOKUP(C81,'SIND PITS'!$C$3:$G$104,5,0)</f>
        <v>0</v>
      </c>
      <c r="J81" s="100"/>
      <c r="K81" s="97">
        <f t="shared" si="6"/>
        <v>4050</v>
      </c>
      <c r="L81" s="97">
        <v>6300</v>
      </c>
      <c r="M81" s="97">
        <f t="shared" si="7"/>
        <v>3150</v>
      </c>
      <c r="N81" s="100"/>
      <c r="O81" s="99">
        <f>VLOOKUP(C81,'IP PITSS'!$B$10:$I$91,8,0)</f>
        <v>0</v>
      </c>
      <c r="P81" s="29">
        <f t="shared" si="8"/>
        <v>900</v>
      </c>
      <c r="Q81" s="99">
        <f>VLOOKUP(C81,'IP PITSS'!$B$10:$K$91,10,0)+VLOOKUP('RESUMEN PITS'!C81,'IP PITSS'!$B$10:$L$91,11,0)+VLOOKUP('RESUMEN PITS'!C81,'IP PITSS'!$B$10:$M$91,12,0)</f>
        <v>0</v>
      </c>
      <c r="R81" s="99">
        <f>VLOOKUP(C81,'IP PITSS'!$B$10:$Q$91,16,0)</f>
        <v>0</v>
      </c>
      <c r="S81" s="99">
        <f>VLOOKUP(C81,'IP PITSS'!$B$10:$R$91,17,0)</f>
        <v>0</v>
      </c>
      <c r="T81" s="100"/>
      <c r="U81" s="29">
        <f>+K81-O81-P81+Q81+R81+S81+IFERROR(VLOOKUP('RESUMEN PITS'!C81,'IP PITSS'!$B$10:$M$91,10),0)+IFERROR(VLOOKUP('RESUMEN PITS'!C81,'IP PITSS'!$B$10:$M$91,11),0)+IFERROR(VLOOKUP('RESUMEN PITS'!C81,'IP PITSS'!$B$10:$M$91,12),0)+VLOOKUP("Comision",'IP PITSS'!$I$97:$J$108,2)/COUNT($F$9:$F$111)+IFERROR(VLOOKUP('RESUMEN PITS'!C81,'IP PITSS'!$B$10:$AD$91,15),0)+IFERROR(VLOOKUP('RESUMEN PITS'!C81,'IP PITSS'!$B$10:$AD$91,21),0)+IFERROR(VLOOKUP('RESUMEN PITS'!C81,'IP PITSS'!$B$10:$AD$91,22),0)+IFERROR(VLOOKUP('RESUMEN PITS'!C81,'IP PITSS'!$B$10:$AD$91,23),0)+IFERROR(VLOOKUP('RESUMEN PITS'!C81,'IP PITSS'!$B$10:$AD$91,24),0)+IFERROR(VLOOKUP('RESUMEN PITS'!C81,'IP PITSS'!$B$10:$AD$91,26),0)+IFERROR(VLOOKUP('RESUMEN PITS'!C81,'IP PITSS'!$B$10:$AD$91,28),0)+IFERROR(VLOOKUP('RESUMEN PITS'!C81,'IP PITSS'!$B$10:$AD$91,29),0)+IFERROR(VLOOKUP('RESUMEN PITS'!C81,'IP PITSS'!$B$10:$AD$91,9),0)*2%</f>
        <v>4494.8726416666659</v>
      </c>
      <c r="V81" s="99">
        <f t="shared" si="5"/>
        <v>-1344.8726416666659</v>
      </c>
      <c r="X81" s="29" t="s">
        <v>284</v>
      </c>
    </row>
    <row r="82" spans="1:24" s="20" customFormat="1" x14ac:dyDescent="0.2">
      <c r="A82" s="109" t="s">
        <v>212</v>
      </c>
      <c r="B82" s="21" t="s">
        <v>94</v>
      </c>
      <c r="C82" s="109" t="s">
        <v>213</v>
      </c>
      <c r="D82" s="21">
        <f>VLOOKUP(C82,'IP PITSS'!$B$10:$U$91,20,0)</f>
        <v>2664.2</v>
      </c>
      <c r="E82" s="103"/>
      <c r="F82" s="97">
        <f>VLOOKUP(C82,'SIND PITS'!$C$3:$H$104,2,0)</f>
        <v>175.51000000000022</v>
      </c>
      <c r="G82" s="97">
        <f>VLOOKUP(C82,'SIND PITS'!$C$3:$E$104,3,0)</f>
        <v>0</v>
      </c>
      <c r="H82" s="97">
        <f>VLOOKUP(C82,'SIND PITS'!$C$3:$F$104,4,0)</f>
        <v>0</v>
      </c>
      <c r="I82" s="97">
        <f>VLOOKUP(C82,'SIND PITS'!$C$3:$G$104,5,0)</f>
        <v>0</v>
      </c>
      <c r="J82" s="100"/>
      <c r="K82" s="97">
        <f t="shared" si="6"/>
        <v>2839.71</v>
      </c>
      <c r="L82" s="97">
        <v>6300</v>
      </c>
      <c r="M82" s="97">
        <f t="shared" si="7"/>
        <v>3150</v>
      </c>
      <c r="N82" s="100"/>
      <c r="O82" s="99">
        <f>VLOOKUP(C82,'IP PITSS'!$B$10:$I$91,8,0)</f>
        <v>0</v>
      </c>
      <c r="P82" s="29">
        <f t="shared" si="8"/>
        <v>0</v>
      </c>
      <c r="Q82" s="99">
        <f>VLOOKUP(C82,'IP PITSS'!$B$10:$K$91,10,0)+VLOOKUP('RESUMEN PITS'!C82,'IP PITSS'!$B$10:$L$91,11,0)+VLOOKUP('RESUMEN PITS'!C82,'IP PITSS'!$B$10:$M$91,12,0)</f>
        <v>310.29000000000002</v>
      </c>
      <c r="R82" s="99">
        <f>VLOOKUP(C82,'IP PITSS'!$B$10:$Q$91,16,0)</f>
        <v>0</v>
      </c>
      <c r="S82" s="99">
        <f>VLOOKUP(C82,'IP PITSS'!$B$10:$R$91,17,0)</f>
        <v>0</v>
      </c>
      <c r="T82" s="100"/>
      <c r="U82" s="29">
        <f>+K82-O82-P82+Q82+R82+S82+IFERROR(VLOOKUP('RESUMEN PITS'!C82,'IP PITSS'!$B$10:$M$91,10),0)+IFERROR(VLOOKUP('RESUMEN PITS'!C82,'IP PITSS'!$B$10:$M$91,11),0)+IFERROR(VLOOKUP('RESUMEN PITS'!C82,'IP PITSS'!$B$10:$M$91,12),0)+VLOOKUP("Comision",'IP PITSS'!$I$97:$J$108,2)/COUNT($F$9:$F$111)+IFERROR(VLOOKUP('RESUMEN PITS'!C82,'IP PITSS'!$B$10:$AD$91,15),0)+IFERROR(VLOOKUP('RESUMEN PITS'!C82,'IP PITSS'!$B$10:$AD$91,21),0)+IFERROR(VLOOKUP('RESUMEN PITS'!C82,'IP PITSS'!$B$10:$AD$91,22),0)+IFERROR(VLOOKUP('RESUMEN PITS'!C82,'IP PITSS'!$B$10:$AD$91,23),0)+IFERROR(VLOOKUP('RESUMEN PITS'!C82,'IP PITSS'!$B$10:$AD$91,24),0)+IFERROR(VLOOKUP('RESUMEN PITS'!C82,'IP PITSS'!$B$10:$AD$91,26),0)+IFERROR(VLOOKUP('RESUMEN PITS'!C82,'IP PITSS'!$B$10:$AD$91,28),0)+IFERROR(VLOOKUP('RESUMEN PITS'!C82,'IP PITSS'!$B$10:$AD$91,29),0)+IFERROR(VLOOKUP('RESUMEN PITS'!C82,'IP PITSS'!$B$10:$AD$91,9),0)*2%</f>
        <v>5065.953641666667</v>
      </c>
      <c r="V82" s="99">
        <f t="shared" si="5"/>
        <v>-1915.953641666667</v>
      </c>
      <c r="X82" s="29" t="s">
        <v>214</v>
      </c>
    </row>
    <row r="83" spans="1:24" s="20" customFormat="1" x14ac:dyDescent="0.2">
      <c r="A83" s="101" t="s">
        <v>98</v>
      </c>
      <c r="B83" s="21" t="s">
        <v>94</v>
      </c>
      <c r="C83" s="101" t="s">
        <v>99</v>
      </c>
      <c r="D83" s="21">
        <f>VLOOKUP(C83,'IP PITSS'!$B$10:$U$91,20,0)</f>
        <v>2974.4</v>
      </c>
      <c r="E83" s="103"/>
      <c r="F83" s="97">
        <f>VLOOKUP(C83,'SIND PITS'!$C$3:$H$104,2,0)</f>
        <v>175.59999999999991</v>
      </c>
      <c r="G83" s="97">
        <f>VLOOKUP(C83,'SIND PITS'!$C$3:$E$104,3,0)</f>
        <v>900</v>
      </c>
      <c r="H83" s="97">
        <f>VLOOKUP(C83,'SIND PITS'!$C$3:$F$104,4,0)</f>
        <v>0</v>
      </c>
      <c r="I83" s="97">
        <f>VLOOKUP(C83,'SIND PITS'!$C$3:$G$104,5,0)</f>
        <v>0</v>
      </c>
      <c r="J83" s="100"/>
      <c r="K83" s="97">
        <f t="shared" si="6"/>
        <v>4050</v>
      </c>
      <c r="L83" s="97">
        <v>6300</v>
      </c>
      <c r="M83" s="97">
        <f t="shared" si="7"/>
        <v>3150</v>
      </c>
      <c r="N83" s="100"/>
      <c r="O83" s="99">
        <f>VLOOKUP(C83,'IP PITSS'!$B$10:$I$91,8,0)</f>
        <v>0</v>
      </c>
      <c r="P83" s="29">
        <f t="shared" si="8"/>
        <v>900</v>
      </c>
      <c r="Q83" s="99">
        <f>VLOOKUP(C83,'IP PITSS'!$B$10:$K$91,10,0)+VLOOKUP('RESUMEN PITS'!C83,'IP PITSS'!$B$10:$L$91,11,0)+VLOOKUP('RESUMEN PITS'!C83,'IP PITSS'!$B$10:$M$91,12,0)</f>
        <v>0</v>
      </c>
      <c r="R83" s="99">
        <f>VLOOKUP(C83,'IP PITSS'!$B$10:$Q$91,16,0)</f>
        <v>0</v>
      </c>
      <c r="S83" s="99">
        <f>VLOOKUP(C83,'IP PITSS'!$B$10:$R$91,17,0)</f>
        <v>0</v>
      </c>
      <c r="T83" s="100"/>
      <c r="U83" s="29">
        <f>+K83-O83-P83+Q83+R83+S83+IFERROR(VLOOKUP('RESUMEN PITS'!C83,'IP PITSS'!$B$10:$M$91,10),0)+IFERROR(VLOOKUP('RESUMEN PITS'!C83,'IP PITSS'!$B$10:$M$91,11),0)+IFERROR(VLOOKUP('RESUMEN PITS'!C83,'IP PITSS'!$B$10:$M$91,12),0)+VLOOKUP("Comision",'IP PITSS'!$I$97:$J$108,2)/COUNT($F$9:$F$111)+IFERROR(VLOOKUP('RESUMEN PITS'!C83,'IP PITSS'!$B$10:$AD$91,15),0)+IFERROR(VLOOKUP('RESUMEN PITS'!C83,'IP PITSS'!$B$10:$AD$91,21),0)+IFERROR(VLOOKUP('RESUMEN PITS'!C83,'IP PITSS'!$B$10:$AD$91,22),0)+IFERROR(VLOOKUP('RESUMEN PITS'!C83,'IP PITSS'!$B$10:$AD$91,23),0)+IFERROR(VLOOKUP('RESUMEN PITS'!C83,'IP PITSS'!$B$10:$AD$91,24),0)+IFERROR(VLOOKUP('RESUMEN PITS'!C83,'IP PITSS'!$B$10:$AD$91,26),0)+IFERROR(VLOOKUP('RESUMEN PITS'!C83,'IP PITSS'!$B$10:$AD$91,28),0)+IFERROR(VLOOKUP('RESUMEN PITS'!C83,'IP PITSS'!$B$10:$AD$91,29),0)+IFERROR(VLOOKUP('RESUMEN PITS'!C83,'IP PITSS'!$B$10:$AD$91,9),0)*2%</f>
        <v>3206.5626416666664</v>
      </c>
      <c r="V83" s="99">
        <f t="shared" si="5"/>
        <v>-56.562641666666423</v>
      </c>
      <c r="W83" s="42"/>
      <c r="X83" s="29" t="s">
        <v>100</v>
      </c>
    </row>
    <row r="84" spans="1:24" s="20" customFormat="1" x14ac:dyDescent="0.2">
      <c r="A84" s="101" t="s">
        <v>117</v>
      </c>
      <c r="B84" s="21" t="s">
        <v>94</v>
      </c>
      <c r="C84" s="101" t="s">
        <v>118</v>
      </c>
      <c r="D84" s="21">
        <f>VLOOKUP(C84,'IP PITSS'!$B$10:$U$91,20,0)</f>
        <v>2011</v>
      </c>
      <c r="E84" s="103"/>
      <c r="F84" s="97">
        <f>VLOOKUP(C84,'SIND PITS'!$C$3:$H$104,2,0)</f>
        <v>175.72000000000025</v>
      </c>
      <c r="G84" s="97">
        <f>VLOOKUP(C84,'SIND PITS'!$C$3:$E$104,3,0)</f>
        <v>1350</v>
      </c>
      <c r="H84" s="97">
        <f>VLOOKUP(C84,'SIND PITS'!$C$3:$F$104,4,0)</f>
        <v>0</v>
      </c>
      <c r="I84" s="97">
        <f>VLOOKUP(C84,'SIND PITS'!$C$3:$G$104,5,0)</f>
        <v>0</v>
      </c>
      <c r="J84" s="100"/>
      <c r="K84" s="97">
        <f t="shared" si="6"/>
        <v>3536.7200000000003</v>
      </c>
      <c r="L84" s="97">
        <v>6300</v>
      </c>
      <c r="M84" s="97">
        <f t="shared" si="7"/>
        <v>3150</v>
      </c>
      <c r="N84" s="100"/>
      <c r="O84" s="99">
        <f>VLOOKUP(C84,'IP PITSS'!$B$10:$I$91,8,0)</f>
        <v>0</v>
      </c>
      <c r="P84" s="29">
        <f t="shared" si="8"/>
        <v>1350</v>
      </c>
      <c r="Q84" s="99">
        <f>VLOOKUP(C84,'IP PITSS'!$B$10:$K$91,10,0)+VLOOKUP('RESUMEN PITS'!C84,'IP PITSS'!$B$10:$L$91,11,0)+VLOOKUP('RESUMEN PITS'!C84,'IP PITSS'!$B$10:$M$91,12,0)</f>
        <v>963.28</v>
      </c>
      <c r="R84" s="99">
        <f>VLOOKUP(C84,'IP PITSS'!$B$10:$Q$91,16,0)</f>
        <v>0</v>
      </c>
      <c r="S84" s="99">
        <f>VLOOKUP(C84,'IP PITSS'!$B$10:$R$91,17,0)</f>
        <v>0</v>
      </c>
      <c r="T84" s="100"/>
      <c r="U84" s="29">
        <f>+K84-O84-P84+Q84+R84+S84+IFERROR(VLOOKUP('RESUMEN PITS'!C84,'IP PITSS'!$B$10:$M$91,10),0)+IFERROR(VLOOKUP('RESUMEN PITS'!C84,'IP PITSS'!$B$10:$M$91,11),0)+IFERROR(VLOOKUP('RESUMEN PITS'!C84,'IP PITSS'!$B$10:$M$91,12),0)+VLOOKUP("Comision",'IP PITSS'!$I$97:$J$108,2)/COUNT($F$9:$F$111)+IFERROR(VLOOKUP('RESUMEN PITS'!C84,'IP PITSS'!$B$10:$AD$91,15),0)+IFERROR(VLOOKUP('RESUMEN PITS'!C84,'IP PITSS'!$B$10:$AD$91,21),0)+IFERROR(VLOOKUP('RESUMEN PITS'!C84,'IP PITSS'!$B$10:$AD$91,22),0)+IFERROR(VLOOKUP('RESUMEN PITS'!C84,'IP PITSS'!$B$10:$AD$91,23),0)+IFERROR(VLOOKUP('RESUMEN PITS'!C84,'IP PITSS'!$B$10:$AD$91,24),0)+IFERROR(VLOOKUP('RESUMEN PITS'!C84,'IP PITSS'!$B$10:$AD$91,26),0)+IFERROR(VLOOKUP('RESUMEN PITS'!C84,'IP PITSS'!$B$10:$AD$91,28),0)+IFERROR(VLOOKUP('RESUMEN PITS'!C84,'IP PITSS'!$B$10:$AD$91,29),0)+IFERROR(VLOOKUP('RESUMEN PITS'!C84,'IP PITSS'!$B$10:$AD$91,9),0)*2%</f>
        <v>3206.5626416666664</v>
      </c>
      <c r="V84" s="99">
        <f t="shared" si="5"/>
        <v>-56.562641666666423</v>
      </c>
      <c r="W84" s="42"/>
      <c r="X84" s="29" t="s">
        <v>119</v>
      </c>
    </row>
    <row r="85" spans="1:24" s="29" customFormat="1" x14ac:dyDescent="0.2">
      <c r="A85" s="101" t="s">
        <v>160</v>
      </c>
      <c r="B85" s="21" t="s">
        <v>94</v>
      </c>
      <c r="C85" s="101" t="s">
        <v>161</v>
      </c>
      <c r="D85" s="21">
        <f>VLOOKUP(C85,'IP PITSS'!$B$10:$U$91,20,0)</f>
        <v>1255.4000000000001</v>
      </c>
      <c r="E85" s="103"/>
      <c r="F85" s="97">
        <f>VLOOKUP(C85,'SIND PITS'!$C$3:$H$104,2,0)</f>
        <v>134</v>
      </c>
      <c r="G85" s="97">
        <f>VLOOKUP(C85,'SIND PITS'!$C$3:$E$104,3,0)</f>
        <v>363.75</v>
      </c>
      <c r="H85" s="97">
        <f>VLOOKUP(C85,'SIND PITS'!$C$3:$F$104,4,0)</f>
        <v>0</v>
      </c>
      <c r="I85" s="97">
        <f>VLOOKUP(C85,'SIND PITS'!$C$3:$G$104,5,0)</f>
        <v>0</v>
      </c>
      <c r="J85" s="100"/>
      <c r="K85" s="97">
        <f t="shared" si="6"/>
        <v>1753.15</v>
      </c>
      <c r="L85" s="97">
        <v>6000</v>
      </c>
      <c r="M85" s="97">
        <f t="shared" si="7"/>
        <v>3000</v>
      </c>
      <c r="N85" s="100"/>
      <c r="O85" s="99">
        <f>VLOOKUP(C85,'IP PITSS'!$B$10:$I$91,8,0)</f>
        <v>0</v>
      </c>
      <c r="P85" s="29">
        <f t="shared" si="8"/>
        <v>363.75</v>
      </c>
      <c r="Q85" s="99">
        <f>VLOOKUP(C85,'IP PITSS'!$B$10:$K$91,10,0)+VLOOKUP('RESUMEN PITS'!C85,'IP PITSS'!$B$10:$L$91,11,0)+VLOOKUP('RESUMEN PITS'!C85,'IP PITSS'!$B$10:$M$91,12,0)</f>
        <v>1610.6</v>
      </c>
      <c r="R85" s="99">
        <f>VLOOKUP(C85,'IP PITSS'!$B$10:$Q$91,16,0)</f>
        <v>0</v>
      </c>
      <c r="S85" s="99">
        <f>VLOOKUP(C85,'IP PITSS'!$B$10:$R$91,17,0)</f>
        <v>0</v>
      </c>
      <c r="T85" s="100"/>
      <c r="U85" s="29">
        <f>+K85-O85-P85+Q85+R85+S85+IFERROR(VLOOKUP('RESUMEN PITS'!C85,'IP PITSS'!$B$10:$M$91,10),0)+IFERROR(VLOOKUP('RESUMEN PITS'!C85,'IP PITSS'!$B$10:$M$91,11),0)+IFERROR(VLOOKUP('RESUMEN PITS'!C85,'IP PITSS'!$B$10:$M$91,12),0)+VLOOKUP("Comision",'IP PITSS'!$I$97:$J$108,2)/COUNT($F$9:$F$111)+IFERROR(VLOOKUP('RESUMEN PITS'!C85,'IP PITSS'!$B$10:$AD$91,15),0)+IFERROR(VLOOKUP('RESUMEN PITS'!C85,'IP PITSS'!$B$10:$AD$91,21),0)+IFERROR(VLOOKUP('RESUMEN PITS'!C85,'IP PITSS'!$B$10:$AD$91,22),0)+IFERROR(VLOOKUP('RESUMEN PITS'!C85,'IP PITSS'!$B$10:$AD$91,23),0)+IFERROR(VLOOKUP('RESUMEN PITS'!C85,'IP PITSS'!$B$10:$AD$91,24),0)+IFERROR(VLOOKUP('RESUMEN PITS'!C85,'IP PITSS'!$B$10:$AD$91,26),0)+IFERROR(VLOOKUP('RESUMEN PITS'!C85,'IP PITSS'!$B$10:$AD$91,28),0)+IFERROR(VLOOKUP('RESUMEN PITS'!C85,'IP PITSS'!$B$10:$AD$91,29),0)+IFERROR(VLOOKUP('RESUMEN PITS'!C85,'IP PITSS'!$B$10:$AD$91,9),0)*2%</f>
        <v>3056.5626416666664</v>
      </c>
      <c r="V85" s="99">
        <f t="shared" si="5"/>
        <v>-56.562641666666423</v>
      </c>
      <c r="W85" s="42"/>
      <c r="X85" s="29" t="s">
        <v>162</v>
      </c>
    </row>
    <row r="86" spans="1:24" s="29" customFormat="1" x14ac:dyDescent="0.2">
      <c r="A86" s="101" t="s">
        <v>181</v>
      </c>
      <c r="B86" s="21" t="s">
        <v>94</v>
      </c>
      <c r="C86" s="101" t="s">
        <v>182</v>
      </c>
      <c r="D86" s="21">
        <f>VLOOKUP(C86,'IP PITSS'!$B$10:$U$91,20,0)</f>
        <v>2393.8000000000002</v>
      </c>
      <c r="E86" s="103"/>
      <c r="F86" s="97">
        <f>VLOOKUP(C86,'SIND PITS'!$C$3:$H$104,2,0)</f>
        <v>134.19999999999982</v>
      </c>
      <c r="G86" s="97">
        <f>VLOOKUP(C86,'SIND PITS'!$C$3:$E$104,3,0)</f>
        <v>292.5</v>
      </c>
      <c r="H86" s="97">
        <f>VLOOKUP(C86,'SIND PITS'!$C$3:$F$104,4,0)</f>
        <v>0</v>
      </c>
      <c r="I86" s="97">
        <f>VLOOKUP(C86,'SIND PITS'!$C$3:$G$104,5,0)</f>
        <v>0</v>
      </c>
      <c r="J86" s="100"/>
      <c r="K86" s="97">
        <f t="shared" si="6"/>
        <v>2820.5</v>
      </c>
      <c r="L86" s="97">
        <v>6000</v>
      </c>
      <c r="M86" s="97">
        <f t="shared" si="7"/>
        <v>3000</v>
      </c>
      <c r="N86" s="100"/>
      <c r="O86" s="99">
        <f>VLOOKUP(C86,'IP PITSS'!$B$10:$I$91,8,0)</f>
        <v>0</v>
      </c>
      <c r="P86" s="29">
        <f t="shared" si="8"/>
        <v>292.5</v>
      </c>
      <c r="Q86" s="99">
        <f>VLOOKUP(C86,'IP PITSS'!$B$10:$K$91,10,0)+VLOOKUP('RESUMEN PITS'!C86,'IP PITSS'!$B$10:$L$91,11,0)+VLOOKUP('RESUMEN PITS'!C86,'IP PITSS'!$B$10:$M$91,12,0)</f>
        <v>0</v>
      </c>
      <c r="R86" s="99">
        <f>VLOOKUP(C86,'IP PITSS'!$B$10:$Q$91,16,0)</f>
        <v>0</v>
      </c>
      <c r="S86" s="99">
        <f>VLOOKUP(C86,'IP PITSS'!$B$10:$R$91,17,0)</f>
        <v>472</v>
      </c>
      <c r="T86" s="100"/>
      <c r="U86" s="29">
        <f>+K86-O86-P86+Q86+R86+S86+IFERROR(VLOOKUP('RESUMEN PITS'!C86,'IP PITSS'!$B$10:$M$91,10),0)+IFERROR(VLOOKUP('RESUMEN PITS'!C86,'IP PITSS'!$B$10:$M$91,11),0)+IFERROR(VLOOKUP('RESUMEN PITS'!C86,'IP PITSS'!$B$10:$M$91,12),0)+VLOOKUP("Comision",'IP PITSS'!$I$97:$J$108,2)/COUNT($F$9:$F$111)+IFERROR(VLOOKUP('RESUMEN PITS'!C86,'IP PITSS'!$B$10:$AD$91,15),0)+IFERROR(VLOOKUP('RESUMEN PITS'!C86,'IP PITSS'!$B$10:$AD$91,21),0)+IFERROR(VLOOKUP('RESUMEN PITS'!C86,'IP PITSS'!$B$10:$AD$91,22),0)+IFERROR(VLOOKUP('RESUMEN PITS'!C86,'IP PITSS'!$B$10:$AD$91,23),0)+IFERROR(VLOOKUP('RESUMEN PITS'!C86,'IP PITSS'!$B$10:$AD$91,24),0)+IFERROR(VLOOKUP('RESUMEN PITS'!C86,'IP PITSS'!$B$10:$AD$91,26),0)+IFERROR(VLOOKUP('RESUMEN PITS'!C86,'IP PITSS'!$B$10:$AD$91,28),0)+IFERROR(VLOOKUP('RESUMEN PITS'!C86,'IP PITSS'!$B$10:$AD$91,29),0)+IFERROR(VLOOKUP('RESUMEN PITS'!C86,'IP PITSS'!$B$10:$AD$91,9),0)*2%</f>
        <v>4417.0416416666658</v>
      </c>
      <c r="V86" s="99">
        <f t="shared" si="5"/>
        <v>-1417.0416416666658</v>
      </c>
      <c r="W86" s="42"/>
      <c r="X86" s="29" t="s">
        <v>183</v>
      </c>
    </row>
    <row r="87" spans="1:24" s="29" customFormat="1" x14ac:dyDescent="0.2">
      <c r="A87" s="101" t="s">
        <v>177</v>
      </c>
      <c r="B87" s="21" t="s">
        <v>94</v>
      </c>
      <c r="C87" s="101" t="s">
        <v>178</v>
      </c>
      <c r="D87" s="21">
        <f>VLOOKUP(C87,'IP PITSS'!$B$10:$U$91,20,0)</f>
        <v>2479.6</v>
      </c>
      <c r="E87" s="103"/>
      <c r="F87" s="97">
        <f>VLOOKUP(C87,'SIND PITS'!$C$3:$H$104,2,0)</f>
        <v>3135.4</v>
      </c>
      <c r="G87" s="97">
        <f>VLOOKUP(C87,'SIND PITS'!$C$3:$E$104,3,0)</f>
        <v>0</v>
      </c>
      <c r="H87" s="97">
        <f>VLOOKUP(C87,'SIND PITS'!$C$3:$F$104,4,0)</f>
        <v>0</v>
      </c>
      <c r="I87" s="97">
        <f>VLOOKUP(C87,'SIND PITS'!$C$3:$G$104,5,0)</f>
        <v>0</v>
      </c>
      <c r="J87" s="100"/>
      <c r="K87" s="97">
        <f t="shared" si="6"/>
        <v>5615</v>
      </c>
      <c r="L87" s="97">
        <v>12000</v>
      </c>
      <c r="M87" s="97">
        <f t="shared" si="7"/>
        <v>6000</v>
      </c>
      <c r="N87" s="100"/>
      <c r="O87" s="99">
        <f>VLOOKUP(C87,'IP PITSS'!$B$10:$I$91,8,0)</f>
        <v>0</v>
      </c>
      <c r="P87" s="29">
        <f t="shared" si="8"/>
        <v>0</v>
      </c>
      <c r="Q87" s="99">
        <f>VLOOKUP(C87,'IP PITSS'!$B$10:$K$91,10,0)+VLOOKUP('RESUMEN PITS'!C87,'IP PITSS'!$B$10:$L$91,11,0)+VLOOKUP('RESUMEN PITS'!C87,'IP PITSS'!$B$10:$M$91,12,0)</f>
        <v>0</v>
      </c>
      <c r="R87" s="99">
        <f>VLOOKUP(C87,'IP PITSS'!$B$10:$Q$91,16,0)</f>
        <v>0</v>
      </c>
      <c r="S87" s="99">
        <f>VLOOKUP(C87,'IP PITSS'!$B$10:$R$91,17,0)</f>
        <v>385</v>
      </c>
      <c r="T87" s="100"/>
      <c r="U87" s="29">
        <f>+K87-O87-P87+Q87+R87+S87+IFERROR(VLOOKUP('RESUMEN PITS'!C87,'IP PITSS'!$B$10:$M$91,10),0)+IFERROR(VLOOKUP('RESUMEN PITS'!C87,'IP PITSS'!$B$10:$M$91,11),0)+IFERROR(VLOOKUP('RESUMEN PITS'!C87,'IP PITSS'!$B$10:$M$91,12),0)+VLOOKUP("Comision",'IP PITSS'!$I$97:$J$108,2)/COUNT($F$9:$F$111)+IFERROR(VLOOKUP('RESUMEN PITS'!C87,'IP PITSS'!$B$10:$AD$91,15),0)+IFERROR(VLOOKUP('RESUMEN PITS'!C87,'IP PITSS'!$B$10:$AD$91,21),0)+IFERROR(VLOOKUP('RESUMEN PITS'!C87,'IP PITSS'!$B$10:$AD$91,22),0)+IFERROR(VLOOKUP('RESUMEN PITS'!C87,'IP PITSS'!$B$10:$AD$91,23),0)+IFERROR(VLOOKUP('RESUMEN PITS'!C87,'IP PITSS'!$B$10:$AD$91,24),0)+IFERROR(VLOOKUP('RESUMEN PITS'!C87,'IP PITSS'!$B$10:$AD$91,26),0)+IFERROR(VLOOKUP('RESUMEN PITS'!C87,'IP PITSS'!$B$10:$AD$91,28),0)+IFERROR(VLOOKUP('RESUMEN PITS'!C87,'IP PITSS'!$B$10:$AD$91,29),0)+IFERROR(VLOOKUP('RESUMEN PITS'!C87,'IP PITSS'!$B$10:$AD$91,9),0)*2%</f>
        <v>7417.0416416666667</v>
      </c>
      <c r="V87" s="99">
        <f t="shared" si="5"/>
        <v>-1417.0416416666667</v>
      </c>
      <c r="W87" s="42"/>
      <c r="X87" s="29" t="s">
        <v>179</v>
      </c>
    </row>
    <row r="88" spans="1:24" s="29" customFormat="1" x14ac:dyDescent="0.2">
      <c r="A88" s="101" t="s">
        <v>101</v>
      </c>
      <c r="B88" s="21" t="s">
        <v>94</v>
      </c>
      <c r="C88" s="101" t="s">
        <v>102</v>
      </c>
      <c r="D88" s="21">
        <f>VLOOKUP(C88,'IP PITSS'!$B$10:$U$91,20,0)</f>
        <v>2388.1999999999998</v>
      </c>
      <c r="E88" s="103"/>
      <c r="F88" s="97">
        <f>VLOOKUP(C88,'SIND PITS'!$C$3:$H$104,2,0)</f>
        <v>3135.15</v>
      </c>
      <c r="G88" s="97">
        <f>VLOOKUP(C88,'SIND PITS'!$C$3:$E$104,3,0)</f>
        <v>750</v>
      </c>
      <c r="H88" s="97">
        <f>VLOOKUP(C88,'SIND PITS'!$C$3:$F$104,4,0)</f>
        <v>0</v>
      </c>
      <c r="I88" s="97">
        <f>VLOOKUP(C88,'SIND PITS'!$C$3:$G$104,5,0)</f>
        <v>0</v>
      </c>
      <c r="J88" s="100"/>
      <c r="K88" s="97">
        <f t="shared" si="6"/>
        <v>6273.35</v>
      </c>
      <c r="L88" s="97">
        <v>12000</v>
      </c>
      <c r="M88" s="97">
        <f t="shared" si="7"/>
        <v>6000</v>
      </c>
      <c r="N88" s="100"/>
      <c r="O88" s="99">
        <f>VLOOKUP(C88,'IP PITSS'!$B$10:$I$91,8,0)</f>
        <v>0</v>
      </c>
      <c r="P88" s="29">
        <f t="shared" si="8"/>
        <v>750</v>
      </c>
      <c r="Q88" s="99">
        <f>VLOOKUP(C88,'IP PITSS'!$B$10:$K$91,10,0)+VLOOKUP('RESUMEN PITS'!C88,'IP PITSS'!$B$10:$L$91,11,0)+VLOOKUP('RESUMEN PITS'!C88,'IP PITSS'!$B$10:$M$91,12,0)</f>
        <v>476.65</v>
      </c>
      <c r="R88" s="99">
        <f>VLOOKUP(C88,'IP PITSS'!$B$10:$Q$91,16,0)</f>
        <v>0</v>
      </c>
      <c r="S88" s="99">
        <f>VLOOKUP(C88,'IP PITSS'!$B$10:$R$91,17,0)</f>
        <v>0</v>
      </c>
      <c r="T88" s="100"/>
      <c r="U88" s="29">
        <f>+K88-O88-P88+Q88+R88+S88+IFERROR(VLOOKUP('RESUMEN PITS'!C88,'IP PITSS'!$B$10:$M$91,10),0)+IFERROR(VLOOKUP('RESUMEN PITS'!C88,'IP PITSS'!$B$10:$M$91,11),0)+IFERROR(VLOOKUP('RESUMEN PITS'!C88,'IP PITSS'!$B$10:$M$91,12),0)+VLOOKUP("Comision",'IP PITSS'!$I$97:$J$108,2)/COUNT($F$9:$F$111)+IFERROR(VLOOKUP('RESUMEN PITS'!C88,'IP PITSS'!$B$10:$AD$91,15),0)+IFERROR(VLOOKUP('RESUMEN PITS'!C88,'IP PITSS'!$B$10:$AD$91,21),0)+IFERROR(VLOOKUP('RESUMEN PITS'!C88,'IP PITSS'!$B$10:$AD$91,22),0)+IFERROR(VLOOKUP('RESUMEN PITS'!C88,'IP PITSS'!$B$10:$AD$91,23),0)+IFERROR(VLOOKUP('RESUMEN PITS'!C88,'IP PITSS'!$B$10:$AD$91,24),0)+IFERROR(VLOOKUP('RESUMEN PITS'!C88,'IP PITSS'!$B$10:$AD$91,26),0)+IFERROR(VLOOKUP('RESUMEN PITS'!C88,'IP PITSS'!$B$10:$AD$91,28),0)+IFERROR(VLOOKUP('RESUMEN PITS'!C88,'IP PITSS'!$B$10:$AD$91,29),0)+IFERROR(VLOOKUP('RESUMEN PITS'!C88,'IP PITSS'!$B$10:$AD$91,9),0)*2%</f>
        <v>6056.5626416666664</v>
      </c>
      <c r="V88" s="99">
        <f t="shared" si="5"/>
        <v>-56.562641666666423</v>
      </c>
      <c r="W88" s="42"/>
      <c r="X88" s="29" t="s">
        <v>103</v>
      </c>
    </row>
    <row r="89" spans="1:24" s="29" customFormat="1" x14ac:dyDescent="0.2">
      <c r="A89" s="101" t="s">
        <v>200</v>
      </c>
      <c r="B89" s="21" t="s">
        <v>94</v>
      </c>
      <c r="C89" s="101" t="s">
        <v>201</v>
      </c>
      <c r="D89" s="21">
        <f>VLOOKUP(C89,'IP PITSS'!$B$10:$U$91,20,0)</f>
        <v>940.4</v>
      </c>
      <c r="E89" s="103"/>
      <c r="F89" s="97">
        <f>VLOOKUP(C89,'SIND PITS'!$C$3:$H$104,2,0)</f>
        <v>1704.5099999999998</v>
      </c>
      <c r="G89" s="97">
        <f>VLOOKUP(C89,'SIND PITS'!$C$3:$E$104,3,0)</f>
        <v>0</v>
      </c>
      <c r="H89" s="97">
        <f>VLOOKUP(C89,'SIND PITS'!$C$3:$F$104,4,0)</f>
        <v>0</v>
      </c>
      <c r="I89" s="97">
        <f>VLOOKUP(C89,'SIND PITS'!$C$3:$G$104,5,0)</f>
        <v>0</v>
      </c>
      <c r="J89" s="100"/>
      <c r="K89" s="97">
        <f t="shared" si="6"/>
        <v>2644.91</v>
      </c>
      <c r="L89" s="97">
        <v>7000</v>
      </c>
      <c r="M89" s="97">
        <f t="shared" si="7"/>
        <v>3500</v>
      </c>
      <c r="N89" s="100"/>
      <c r="O89" s="99">
        <f>VLOOKUP(C89,'IP PITSS'!$B$10:$I$91,8,0)</f>
        <v>0</v>
      </c>
      <c r="P89" s="29">
        <f t="shared" si="8"/>
        <v>0</v>
      </c>
      <c r="Q89" s="99">
        <f>VLOOKUP(C89,'IP PITSS'!$B$10:$K$91,10,0)+VLOOKUP('RESUMEN PITS'!C89,'IP PITSS'!$B$10:$L$91,11,0)+VLOOKUP('RESUMEN PITS'!C89,'IP PITSS'!$B$10:$M$91,12,0)</f>
        <v>855.09</v>
      </c>
      <c r="R89" s="99">
        <f>VLOOKUP(C89,'IP PITSS'!$B$10:$Q$91,16,0)</f>
        <v>0</v>
      </c>
      <c r="S89" s="99">
        <f>VLOOKUP(C89,'IP PITSS'!$B$10:$R$91,17,0)</f>
        <v>0</v>
      </c>
      <c r="T89" s="100"/>
      <c r="U89" s="29">
        <f>+K89-O89-P89+Q89+R89+S89+IFERROR(VLOOKUP('RESUMEN PITS'!C89,'IP PITSS'!$B$10:$M$91,10),0)+IFERROR(VLOOKUP('RESUMEN PITS'!C89,'IP PITSS'!$B$10:$M$91,11),0)+IFERROR(VLOOKUP('RESUMEN PITS'!C89,'IP PITSS'!$B$10:$M$91,12),0)+VLOOKUP("Comision",'IP PITSS'!$I$97:$J$108,2)/COUNT($F$9:$F$111)+IFERROR(VLOOKUP('RESUMEN PITS'!C89,'IP PITSS'!$B$10:$AD$91,15),0)+IFERROR(VLOOKUP('RESUMEN PITS'!C89,'IP PITSS'!$B$10:$AD$91,21),0)+IFERROR(VLOOKUP('RESUMEN PITS'!C89,'IP PITSS'!$B$10:$AD$91,22),0)+IFERROR(VLOOKUP('RESUMEN PITS'!C89,'IP PITSS'!$B$10:$AD$91,23),0)+IFERROR(VLOOKUP('RESUMEN PITS'!C89,'IP PITSS'!$B$10:$AD$91,24),0)+IFERROR(VLOOKUP('RESUMEN PITS'!C89,'IP PITSS'!$B$10:$AD$91,26),0)+IFERROR(VLOOKUP('RESUMEN PITS'!C89,'IP PITSS'!$B$10:$AD$91,28),0)+IFERROR(VLOOKUP('RESUMEN PITS'!C89,'IP PITSS'!$B$10:$AD$91,29),0)+IFERROR(VLOOKUP('RESUMEN PITS'!C89,'IP PITSS'!$B$10:$AD$91,9),0)*2%</f>
        <v>4917.0416416666667</v>
      </c>
      <c r="V89" s="99">
        <f t="shared" si="5"/>
        <v>-1417.0416416666667</v>
      </c>
      <c r="W89" s="42"/>
      <c r="X89" s="29" t="s">
        <v>202</v>
      </c>
    </row>
    <row r="90" spans="1:24" s="29" customFormat="1" x14ac:dyDescent="0.2">
      <c r="A90" s="101" t="s">
        <v>311</v>
      </c>
      <c r="B90" s="21" t="s">
        <v>94</v>
      </c>
      <c r="C90" s="101" t="s">
        <v>312</v>
      </c>
      <c r="D90" s="21">
        <f>VLOOKUP(C90,'IP PITSS'!$B$10:$U$91,20,0)</f>
        <v>884</v>
      </c>
      <c r="E90" s="103"/>
      <c r="F90" s="97">
        <f>VLOOKUP(C90,'SIND PITS'!$C$3:$H$104,2,0)</f>
        <v>1704.5900000000001</v>
      </c>
      <c r="G90" s="97">
        <f>VLOOKUP(C90,'SIND PITS'!$C$3:$E$104,3,0)</f>
        <v>437.5</v>
      </c>
      <c r="H90" s="97">
        <f>VLOOKUP(C90,'SIND PITS'!$C$3:$F$104,4,0)</f>
        <v>0</v>
      </c>
      <c r="I90" s="97">
        <f>VLOOKUP(C90,'SIND PITS'!$C$3:$G$104,5,0)</f>
        <v>0</v>
      </c>
      <c r="J90" s="100"/>
      <c r="K90" s="97">
        <f t="shared" si="6"/>
        <v>3026.09</v>
      </c>
      <c r="L90" s="97">
        <v>7000</v>
      </c>
      <c r="M90" s="97">
        <f t="shared" si="7"/>
        <v>3500</v>
      </c>
      <c r="N90" s="100"/>
      <c r="O90" s="99">
        <f>VLOOKUP(C90,'IP PITSS'!$B$10:$I$91,8,0)</f>
        <v>0</v>
      </c>
      <c r="P90" s="29">
        <f t="shared" si="8"/>
        <v>437.5</v>
      </c>
      <c r="Q90" s="99">
        <f>VLOOKUP(C90,'IP PITSS'!$B$10:$K$91,10,0)+VLOOKUP('RESUMEN PITS'!C90,'IP PITSS'!$B$10:$L$91,11,0)+VLOOKUP('RESUMEN PITS'!C90,'IP PITSS'!$B$10:$M$91,12,0)</f>
        <v>911.41</v>
      </c>
      <c r="R90" s="99">
        <f>VLOOKUP(C90,'IP PITSS'!$B$10:$Q$91,16,0)</f>
        <v>0</v>
      </c>
      <c r="S90" s="99">
        <f>VLOOKUP(C90,'IP PITSS'!$B$10:$R$91,17,0)</f>
        <v>0</v>
      </c>
      <c r="T90" s="100"/>
      <c r="U90" s="29">
        <f>+K90-O90-P90+Q90+R90+S90+IFERROR(VLOOKUP('RESUMEN PITS'!C90,'IP PITSS'!$B$10:$M$91,10),0)+IFERROR(VLOOKUP('RESUMEN PITS'!C90,'IP PITSS'!$B$10:$M$91,11),0)+IFERROR(VLOOKUP('RESUMEN PITS'!C90,'IP PITSS'!$B$10:$M$91,12),0)+VLOOKUP("Comision",'IP PITSS'!$I$97:$J$108,2)/COUNT($F$9:$F$111)+IFERROR(VLOOKUP('RESUMEN PITS'!C90,'IP PITSS'!$B$10:$AD$91,15),0)+IFERROR(VLOOKUP('RESUMEN PITS'!C90,'IP PITSS'!$B$10:$AD$91,21),0)+IFERROR(VLOOKUP('RESUMEN PITS'!C90,'IP PITSS'!$B$10:$AD$91,22),0)+IFERROR(VLOOKUP('RESUMEN PITS'!C90,'IP PITSS'!$B$10:$AD$91,23),0)+IFERROR(VLOOKUP('RESUMEN PITS'!C90,'IP PITSS'!$B$10:$AD$91,24),0)+IFERROR(VLOOKUP('RESUMEN PITS'!C90,'IP PITSS'!$B$10:$AD$91,26),0)+IFERROR(VLOOKUP('RESUMEN PITS'!C90,'IP PITSS'!$B$10:$AD$91,28),0)+IFERROR(VLOOKUP('RESUMEN PITS'!C90,'IP PITSS'!$B$10:$AD$91,29),0)+IFERROR(VLOOKUP('RESUMEN PITS'!C90,'IP PITSS'!$B$10:$AD$91,9),0)*2%</f>
        <v>4844.8726416666659</v>
      </c>
      <c r="V90" s="99">
        <f t="shared" si="5"/>
        <v>-1344.8726416666659</v>
      </c>
      <c r="W90" s="42"/>
      <c r="X90" s="29" t="s">
        <v>313</v>
      </c>
    </row>
    <row r="91" spans="1:24" s="29" customFormat="1" x14ac:dyDescent="0.2">
      <c r="A91" s="101" t="s">
        <v>147</v>
      </c>
      <c r="B91" s="21" t="s">
        <v>94</v>
      </c>
      <c r="C91" s="101" t="s">
        <v>148</v>
      </c>
      <c r="D91" s="21">
        <f>VLOOKUP(C91,'IP PITSS'!$B$10:$U$91,20,0)</f>
        <v>2866</v>
      </c>
      <c r="E91" s="103"/>
      <c r="F91" s="97">
        <f>VLOOKUP(C91,'SIND PITS'!$C$3:$H$104,2,0)</f>
        <v>134</v>
      </c>
      <c r="G91" s="97">
        <f>VLOOKUP(C91,'SIND PITS'!$C$3:$E$104,3,0)</f>
        <v>337.5</v>
      </c>
      <c r="H91" s="97">
        <f>VLOOKUP(C91,'SIND PITS'!$C$3:$F$104,4,0)</f>
        <v>0</v>
      </c>
      <c r="I91" s="97">
        <f>VLOOKUP(C91,'SIND PITS'!$C$3:$G$104,5,0)</f>
        <v>0</v>
      </c>
      <c r="J91" s="100"/>
      <c r="K91" s="97">
        <f t="shared" si="6"/>
        <v>3337.5</v>
      </c>
      <c r="L91" s="97">
        <v>6000</v>
      </c>
      <c r="M91" s="97">
        <f t="shared" si="7"/>
        <v>3000</v>
      </c>
      <c r="N91" s="100"/>
      <c r="O91" s="99">
        <f>VLOOKUP(C91,'IP PITSS'!$B$10:$I$91,8,0)</f>
        <v>0</v>
      </c>
      <c r="P91" s="29">
        <f t="shared" si="8"/>
        <v>337.5</v>
      </c>
      <c r="Q91" s="99">
        <f>VLOOKUP(C91,'IP PITSS'!$B$10:$K$91,10,0)+VLOOKUP('RESUMEN PITS'!C91,'IP PITSS'!$B$10:$L$91,11,0)+VLOOKUP('RESUMEN PITS'!C91,'IP PITSS'!$B$10:$M$91,12,0)</f>
        <v>0</v>
      </c>
      <c r="R91" s="99">
        <f>VLOOKUP(C91,'IP PITSS'!$B$10:$Q$91,16,0)</f>
        <v>0</v>
      </c>
      <c r="S91" s="99">
        <f>VLOOKUP(C91,'IP PITSS'!$B$10:$R$91,17,0)</f>
        <v>0</v>
      </c>
      <c r="T91" s="100"/>
      <c r="U91" s="29">
        <f>+K91-O91-P91+Q91+R91+S91+IFERROR(VLOOKUP('RESUMEN PITS'!C91,'IP PITSS'!$B$10:$M$91,10),0)+IFERROR(VLOOKUP('RESUMEN PITS'!C91,'IP PITSS'!$B$10:$M$91,11),0)+IFERROR(VLOOKUP('RESUMEN PITS'!C91,'IP PITSS'!$B$10:$M$91,12),0)+VLOOKUP("Comision",'IP PITSS'!$I$97:$J$108,2)/COUNT($F$9:$F$111)+IFERROR(VLOOKUP('RESUMEN PITS'!C91,'IP PITSS'!$B$10:$AD$91,15),0)+IFERROR(VLOOKUP('RESUMEN PITS'!C91,'IP PITSS'!$B$10:$AD$91,21),0)+IFERROR(VLOOKUP('RESUMEN PITS'!C91,'IP PITSS'!$B$10:$AD$91,22),0)+IFERROR(VLOOKUP('RESUMEN PITS'!C91,'IP PITSS'!$B$10:$AD$91,23),0)+IFERROR(VLOOKUP('RESUMEN PITS'!C91,'IP PITSS'!$B$10:$AD$91,24),0)+IFERROR(VLOOKUP('RESUMEN PITS'!C91,'IP PITSS'!$B$10:$AD$91,26),0)+IFERROR(VLOOKUP('RESUMEN PITS'!C91,'IP PITSS'!$B$10:$AD$91,28),0)+IFERROR(VLOOKUP('RESUMEN PITS'!C91,'IP PITSS'!$B$10:$AD$91,29),0)+IFERROR(VLOOKUP('RESUMEN PITS'!C91,'IP PITSS'!$B$10:$AD$91,9),0)*2%</f>
        <v>3056.5626416666664</v>
      </c>
      <c r="V91" s="99">
        <f t="shared" si="5"/>
        <v>-56.562641666666423</v>
      </c>
      <c r="W91" s="42"/>
      <c r="X91" s="29" t="s">
        <v>149</v>
      </c>
    </row>
    <row r="92" spans="1:24" s="29" customFormat="1" x14ac:dyDescent="0.2">
      <c r="A92" s="101" t="s">
        <v>266</v>
      </c>
      <c r="B92" s="21" t="s">
        <v>94</v>
      </c>
      <c r="C92" s="101" t="s">
        <v>267</v>
      </c>
      <c r="D92" s="21">
        <f>VLOOKUP(C92,'IP PITSS'!$B$10:$U$91,20,0)</f>
        <v>2974.4</v>
      </c>
      <c r="E92" s="103"/>
      <c r="F92" s="97">
        <f>VLOOKUP(C92,'SIND PITS'!$C$3:$H$104,2,0)</f>
        <v>175.59999999999991</v>
      </c>
      <c r="G92" s="97">
        <f>VLOOKUP(C92,'SIND PITS'!$C$3:$E$104,3,0)</f>
        <v>843.75</v>
      </c>
      <c r="H92" s="97">
        <f>VLOOKUP(C92,'SIND PITS'!$C$3:$F$104,4,0)</f>
        <v>0</v>
      </c>
      <c r="I92" s="97">
        <f>VLOOKUP(C92,'SIND PITS'!$C$3:$G$104,5,0)</f>
        <v>0</v>
      </c>
      <c r="J92" s="100"/>
      <c r="K92" s="97">
        <f t="shared" si="6"/>
        <v>3993.75</v>
      </c>
      <c r="L92" s="97">
        <v>6300</v>
      </c>
      <c r="M92" s="97">
        <f t="shared" si="7"/>
        <v>3150</v>
      </c>
      <c r="N92" s="100"/>
      <c r="O92" s="99">
        <f>VLOOKUP(C92,'IP PITSS'!$B$10:$I$91,8,0)</f>
        <v>0</v>
      </c>
      <c r="P92" s="29">
        <f t="shared" si="8"/>
        <v>843.75</v>
      </c>
      <c r="Q92" s="99">
        <f>VLOOKUP(C92,'IP PITSS'!$B$10:$K$91,10,0)+VLOOKUP('RESUMEN PITS'!C92,'IP PITSS'!$B$10:$L$91,11,0)+VLOOKUP('RESUMEN PITS'!C92,'IP PITSS'!$B$10:$M$91,12,0)</f>
        <v>0</v>
      </c>
      <c r="R92" s="99">
        <f>VLOOKUP(C92,'IP PITSS'!$B$10:$Q$91,16,0)</f>
        <v>0</v>
      </c>
      <c r="S92" s="99">
        <f>VLOOKUP(C92,'IP PITSS'!$B$10:$R$91,17,0)</f>
        <v>0</v>
      </c>
      <c r="T92" s="100"/>
      <c r="U92" s="29">
        <f>+K92-O92-P92+Q92+R92+S92+IFERROR(VLOOKUP('RESUMEN PITS'!C92,'IP PITSS'!$B$10:$M$91,10),0)+IFERROR(VLOOKUP('RESUMEN PITS'!C92,'IP PITSS'!$B$10:$M$91,11),0)+IFERROR(VLOOKUP('RESUMEN PITS'!C92,'IP PITSS'!$B$10:$M$91,12),0)+VLOOKUP("Comision",'IP PITSS'!$I$97:$J$108,2)/COUNT($F$9:$F$111)+IFERROR(VLOOKUP('RESUMEN PITS'!C92,'IP PITSS'!$B$10:$AD$91,15),0)+IFERROR(VLOOKUP('RESUMEN PITS'!C92,'IP PITSS'!$B$10:$AD$91,21),0)+IFERROR(VLOOKUP('RESUMEN PITS'!C92,'IP PITSS'!$B$10:$AD$91,22),0)+IFERROR(VLOOKUP('RESUMEN PITS'!C92,'IP PITSS'!$B$10:$AD$91,23),0)+IFERROR(VLOOKUP('RESUMEN PITS'!C92,'IP PITSS'!$B$10:$AD$91,24),0)+IFERROR(VLOOKUP('RESUMEN PITS'!C92,'IP PITSS'!$B$10:$AD$91,26),0)+IFERROR(VLOOKUP('RESUMEN PITS'!C92,'IP PITSS'!$B$10:$AD$91,28),0)+IFERROR(VLOOKUP('RESUMEN PITS'!C92,'IP PITSS'!$B$10:$AD$91,29),0)+IFERROR(VLOOKUP('RESUMEN PITS'!C92,'IP PITSS'!$B$10:$AD$91,9),0)*2%</f>
        <v>4503.4926416666667</v>
      </c>
      <c r="V92" s="99">
        <f t="shared" si="5"/>
        <v>-1353.4926416666667</v>
      </c>
      <c r="W92" s="42"/>
      <c r="X92" s="29" t="s">
        <v>268</v>
      </c>
    </row>
    <row r="93" spans="1:24" s="29" customFormat="1" x14ac:dyDescent="0.2">
      <c r="A93" s="101" t="s">
        <v>136</v>
      </c>
      <c r="B93" s="21" t="s">
        <v>94</v>
      </c>
      <c r="C93" s="101" t="s">
        <v>137</v>
      </c>
      <c r="D93" s="21">
        <f>VLOOKUP(C93,'IP PITSS'!$B$10:$U$91,20,0)</f>
        <v>3277.4</v>
      </c>
      <c r="E93" s="103"/>
      <c r="F93" s="97">
        <f>VLOOKUP(C93,'SIND PITS'!$C$3:$H$104,2,0)</f>
        <v>222.59999999999991</v>
      </c>
      <c r="G93" s="97">
        <f>VLOOKUP(C93,'SIND PITS'!$C$3:$E$104,3,0)</f>
        <v>187.5</v>
      </c>
      <c r="H93" s="97">
        <f>VLOOKUP(C93,'SIND PITS'!$C$3:$F$104,4,0)</f>
        <v>0</v>
      </c>
      <c r="I93" s="97">
        <f>VLOOKUP(C93,'SIND PITS'!$C$3:$G$104,5,0)</f>
        <v>0</v>
      </c>
      <c r="J93" s="100"/>
      <c r="K93" s="97">
        <f t="shared" si="6"/>
        <v>3687.5</v>
      </c>
      <c r="L93" s="97">
        <v>7000</v>
      </c>
      <c r="M93" s="97">
        <f t="shared" si="7"/>
        <v>3500</v>
      </c>
      <c r="N93" s="100"/>
      <c r="O93" s="99">
        <f>VLOOKUP(C93,'IP PITSS'!$B$10:$I$91,8,0)</f>
        <v>0</v>
      </c>
      <c r="P93" s="29">
        <f t="shared" si="8"/>
        <v>187.5</v>
      </c>
      <c r="Q93" s="99">
        <f>VLOOKUP(C93,'IP PITSS'!$B$10:$K$91,10,0)+VLOOKUP('RESUMEN PITS'!C93,'IP PITSS'!$B$10:$L$91,11,0)+VLOOKUP('RESUMEN PITS'!C93,'IP PITSS'!$B$10:$M$91,12,0)</f>
        <v>0</v>
      </c>
      <c r="R93" s="99">
        <f>VLOOKUP(C93,'IP PITSS'!$B$10:$Q$91,16,0)</f>
        <v>0</v>
      </c>
      <c r="S93" s="99">
        <f>VLOOKUP(C93,'IP PITSS'!$B$10:$R$91,17,0)</f>
        <v>0</v>
      </c>
      <c r="T93" s="100"/>
      <c r="U93" s="29">
        <f>+K93-O93-P93+Q93+R93+S93+IFERROR(VLOOKUP('RESUMEN PITS'!C93,'IP PITSS'!$B$10:$M$91,10),0)+IFERROR(VLOOKUP('RESUMEN PITS'!C93,'IP PITSS'!$B$10:$M$91,11),0)+IFERROR(VLOOKUP('RESUMEN PITS'!C93,'IP PITSS'!$B$10:$M$91,12),0)+VLOOKUP("Comision",'IP PITSS'!$I$97:$J$108,2)/COUNT($F$9:$F$111)+IFERROR(VLOOKUP('RESUMEN PITS'!C93,'IP PITSS'!$B$10:$AD$91,15),0)+IFERROR(VLOOKUP('RESUMEN PITS'!C93,'IP PITSS'!$B$10:$AD$91,21),0)+IFERROR(VLOOKUP('RESUMEN PITS'!C93,'IP PITSS'!$B$10:$AD$91,22),0)+IFERROR(VLOOKUP('RESUMEN PITS'!C93,'IP PITSS'!$B$10:$AD$91,23),0)+IFERROR(VLOOKUP('RESUMEN PITS'!C93,'IP PITSS'!$B$10:$AD$91,24),0)+IFERROR(VLOOKUP('RESUMEN PITS'!C93,'IP PITSS'!$B$10:$AD$91,26),0)+IFERROR(VLOOKUP('RESUMEN PITS'!C93,'IP PITSS'!$B$10:$AD$91,28),0)+IFERROR(VLOOKUP('RESUMEN PITS'!C93,'IP PITSS'!$B$10:$AD$91,29),0)+IFERROR(VLOOKUP('RESUMEN PITS'!C93,'IP PITSS'!$B$10:$AD$91,9),0)*2%</f>
        <v>3556.5626416666664</v>
      </c>
      <c r="V93" s="99">
        <f t="shared" si="5"/>
        <v>-56.562641666666423</v>
      </c>
      <c r="W93" s="42"/>
      <c r="X93" s="29" t="s">
        <v>138</v>
      </c>
    </row>
    <row r="94" spans="1:24" s="29" customFormat="1" x14ac:dyDescent="0.2">
      <c r="A94" s="101" t="s">
        <v>163</v>
      </c>
      <c r="B94" s="21" t="s">
        <v>94</v>
      </c>
      <c r="C94" s="101" t="s">
        <v>164</v>
      </c>
      <c r="D94" s="21">
        <f>VLOOKUP(C94,'IP PITSS'!$B$10:$U$91,20,0)</f>
        <v>1792.4</v>
      </c>
      <c r="E94" s="103"/>
      <c r="F94" s="97">
        <f>VLOOKUP(C94,'SIND PITS'!$C$3:$H$104,2,0)</f>
        <v>174.34000000000015</v>
      </c>
      <c r="G94" s="97">
        <f>VLOOKUP(C94,'SIND PITS'!$C$3:$E$104,3,0)</f>
        <v>56.25</v>
      </c>
      <c r="H94" s="97">
        <f>VLOOKUP(C94,'SIND PITS'!$C$3:$F$104,4,0)</f>
        <v>0</v>
      </c>
      <c r="I94" s="97">
        <f>VLOOKUP(C94,'SIND PITS'!$C$3:$G$104,5,0)</f>
        <v>0</v>
      </c>
      <c r="J94" s="100"/>
      <c r="K94" s="97">
        <f t="shared" si="6"/>
        <v>2022.9900000000002</v>
      </c>
      <c r="L94" s="97">
        <v>6300</v>
      </c>
      <c r="M94" s="97">
        <f t="shared" si="7"/>
        <v>3150</v>
      </c>
      <c r="N94" s="100"/>
      <c r="O94" s="99">
        <f>VLOOKUP(C94,'IP PITSS'!$B$10:$I$91,8,0)</f>
        <v>0</v>
      </c>
      <c r="P94" s="29">
        <f t="shared" si="8"/>
        <v>56.25</v>
      </c>
      <c r="Q94" s="99">
        <f>VLOOKUP(C94,'IP PITSS'!$B$10:$K$91,10,0)+VLOOKUP('RESUMEN PITS'!C94,'IP PITSS'!$B$10:$L$91,11,0)+VLOOKUP('RESUMEN PITS'!C94,'IP PITSS'!$B$10:$M$91,12,0)</f>
        <v>1183.26</v>
      </c>
      <c r="R94" s="99">
        <f>VLOOKUP(C94,'IP PITSS'!$B$10:$Q$91,16,0)</f>
        <v>0</v>
      </c>
      <c r="S94" s="99">
        <f>VLOOKUP(C94,'IP PITSS'!$B$10:$R$91,17,0)</f>
        <v>0</v>
      </c>
      <c r="T94" s="100"/>
      <c r="U94" s="29">
        <f>+K94-O94-P94+Q94+R94+S94+IFERROR(VLOOKUP('RESUMEN PITS'!C94,'IP PITSS'!$B$10:$M$91,10),0)+IFERROR(VLOOKUP('RESUMEN PITS'!C94,'IP PITSS'!$B$10:$M$91,11),0)+IFERROR(VLOOKUP('RESUMEN PITS'!C94,'IP PITSS'!$B$10:$M$91,12),0)+VLOOKUP("Comision",'IP PITSS'!$I$97:$J$108,2)/COUNT($F$9:$F$111)+IFERROR(VLOOKUP('RESUMEN PITS'!C94,'IP PITSS'!$B$10:$AD$91,15),0)+IFERROR(VLOOKUP('RESUMEN PITS'!C94,'IP PITSS'!$B$10:$AD$91,21),0)+IFERROR(VLOOKUP('RESUMEN PITS'!C94,'IP PITSS'!$B$10:$AD$91,22),0)+IFERROR(VLOOKUP('RESUMEN PITS'!C94,'IP PITSS'!$B$10:$AD$91,23),0)+IFERROR(VLOOKUP('RESUMEN PITS'!C94,'IP PITSS'!$B$10:$AD$91,24),0)+IFERROR(VLOOKUP('RESUMEN PITS'!C94,'IP PITSS'!$B$10:$AD$91,26),0)+IFERROR(VLOOKUP('RESUMEN PITS'!C94,'IP PITSS'!$B$10:$AD$91,28),0)+IFERROR(VLOOKUP('RESUMEN PITS'!C94,'IP PITSS'!$B$10:$AD$91,29),0)+IFERROR(VLOOKUP('RESUMEN PITS'!C94,'IP PITSS'!$B$10:$AD$91,9),0)*2%</f>
        <v>3206.5626416666664</v>
      </c>
      <c r="V94" s="99">
        <f t="shared" si="5"/>
        <v>-56.562641666666423</v>
      </c>
      <c r="W94" s="42"/>
      <c r="X94" s="29" t="s">
        <v>165</v>
      </c>
    </row>
    <row r="95" spans="1:24" s="29" customFormat="1" x14ac:dyDescent="0.2">
      <c r="A95" s="101" t="s">
        <v>93</v>
      </c>
      <c r="B95" s="21" t="s">
        <v>94</v>
      </c>
      <c r="C95" s="101" t="s">
        <v>95</v>
      </c>
      <c r="D95" s="21">
        <f>VLOOKUP(C95,'IP PITSS'!$B$10:$U$91,20,0)</f>
        <v>2864.8</v>
      </c>
      <c r="E95" s="103"/>
      <c r="F95" s="97">
        <f>VLOOKUP(C95,'SIND PITS'!$C$3:$H$104,2,0)</f>
        <v>135.19999999999982</v>
      </c>
      <c r="G95" s="97">
        <f>VLOOKUP(C95,'SIND PITS'!$C$3:$E$104,3,0)</f>
        <v>0</v>
      </c>
      <c r="H95" s="97">
        <f>VLOOKUP(C95,'SIND PITS'!$C$3:$F$104,4,0)</f>
        <v>0</v>
      </c>
      <c r="I95" s="97">
        <f>VLOOKUP(C95,'SIND PITS'!$C$3:$G$104,5,0)</f>
        <v>0</v>
      </c>
      <c r="J95" s="100"/>
      <c r="K95" s="97">
        <f t="shared" si="6"/>
        <v>3000</v>
      </c>
      <c r="L95" s="97">
        <v>6000</v>
      </c>
      <c r="M95" s="97">
        <f t="shared" si="7"/>
        <v>3000</v>
      </c>
      <c r="N95" s="100"/>
      <c r="O95" s="99">
        <f>VLOOKUP(C95,'IP PITSS'!$B$10:$I$91,8,0)</f>
        <v>0</v>
      </c>
      <c r="P95" s="29">
        <f t="shared" si="8"/>
        <v>0</v>
      </c>
      <c r="Q95" s="99">
        <f>VLOOKUP(C95,'IP PITSS'!$B$10:$K$91,10,0)+VLOOKUP('RESUMEN PITS'!C95,'IP PITSS'!$B$10:$L$91,11,0)+VLOOKUP('RESUMEN PITS'!C95,'IP PITSS'!$B$10:$M$91,12,0)</f>
        <v>0</v>
      </c>
      <c r="R95" s="99">
        <f>VLOOKUP(C95,'IP PITSS'!$B$10:$Q$91,16,0)</f>
        <v>0</v>
      </c>
      <c r="S95" s="99">
        <f>VLOOKUP(C95,'IP PITSS'!$B$10:$R$91,17,0)</f>
        <v>0</v>
      </c>
      <c r="T95" s="100"/>
      <c r="U95" s="29">
        <f>+K95-O95-P95+Q95+R95+S95+IFERROR(VLOOKUP('RESUMEN PITS'!C95,'IP PITSS'!$B$10:$M$91,10),0)+IFERROR(VLOOKUP('RESUMEN PITS'!C95,'IP PITSS'!$B$10:$M$91,11),0)+IFERROR(VLOOKUP('RESUMEN PITS'!C95,'IP PITSS'!$B$10:$M$91,12),0)+VLOOKUP("Comision",'IP PITSS'!$I$97:$J$108,2)/COUNT($F$9:$F$111)+IFERROR(VLOOKUP('RESUMEN PITS'!C95,'IP PITSS'!$B$10:$AD$91,15),0)+IFERROR(VLOOKUP('RESUMEN PITS'!C95,'IP PITSS'!$B$10:$AD$91,21),0)+IFERROR(VLOOKUP('RESUMEN PITS'!C95,'IP PITSS'!$B$10:$AD$91,22),0)+IFERROR(VLOOKUP('RESUMEN PITS'!C95,'IP PITSS'!$B$10:$AD$91,23),0)+IFERROR(VLOOKUP('RESUMEN PITS'!C95,'IP PITSS'!$B$10:$AD$91,24),0)+IFERROR(VLOOKUP('RESUMEN PITS'!C95,'IP PITSS'!$B$10:$AD$91,26),0)+IFERROR(VLOOKUP('RESUMEN PITS'!C95,'IP PITSS'!$B$10:$AD$91,28),0)+IFERROR(VLOOKUP('RESUMEN PITS'!C95,'IP PITSS'!$B$10:$AD$91,29),0)+IFERROR(VLOOKUP('RESUMEN PITS'!C95,'IP PITSS'!$B$10:$AD$91,9),0)*2%</f>
        <v>3056.5626416666664</v>
      </c>
      <c r="V95" s="99">
        <f t="shared" si="5"/>
        <v>-56.562641666666423</v>
      </c>
      <c r="W95" s="47"/>
      <c r="X95" s="29" t="s">
        <v>96</v>
      </c>
    </row>
    <row r="96" spans="1:24" s="29" customFormat="1" x14ac:dyDescent="0.2">
      <c r="A96" s="101" t="s">
        <v>332</v>
      </c>
      <c r="B96" s="21" t="s">
        <v>94</v>
      </c>
      <c r="C96" s="101" t="s">
        <v>333</v>
      </c>
      <c r="D96" s="21">
        <f>VLOOKUP(C96,'IP PITSS'!$B$10:$U$91,20,0)</f>
        <v>1576</v>
      </c>
      <c r="E96" s="103"/>
      <c r="F96" s="97">
        <f>VLOOKUP(C96,'SIND PITS'!$C$3:$H$104,2,0)</f>
        <v>135.22000000000025</v>
      </c>
      <c r="G96" s="97">
        <f>VLOOKUP(C96,'SIND PITS'!$C$3:$E$104,3,0)</f>
        <v>0</v>
      </c>
      <c r="H96" s="97">
        <f>VLOOKUP(C96,'SIND PITS'!$C$3:$F$104,4,0)</f>
        <v>0</v>
      </c>
      <c r="I96" s="97">
        <f>VLOOKUP(C96,'SIND PITS'!$C$3:$G$104,5,0)</f>
        <v>0</v>
      </c>
      <c r="J96" s="100"/>
      <c r="K96" s="97">
        <f t="shared" si="6"/>
        <v>1711.2200000000003</v>
      </c>
      <c r="L96" s="97">
        <v>6000</v>
      </c>
      <c r="M96" s="97">
        <f t="shared" si="7"/>
        <v>3000</v>
      </c>
      <c r="N96" s="100"/>
      <c r="O96" s="99">
        <f>VLOOKUP(C96,'IP PITSS'!$B$10:$I$91,8,0)</f>
        <v>0</v>
      </c>
      <c r="P96" s="29">
        <f t="shared" si="8"/>
        <v>0</v>
      </c>
      <c r="Q96" s="99">
        <f>VLOOKUP(C96,'IP PITSS'!$B$10:$K$91,10,0)+VLOOKUP('RESUMEN PITS'!C96,'IP PITSS'!$B$10:$L$91,11,0)+VLOOKUP('RESUMEN PITS'!C96,'IP PITSS'!$B$10:$M$91,12,0)</f>
        <v>652.17999999999995</v>
      </c>
      <c r="R96" s="99">
        <f>VLOOKUP(C96,'IP PITSS'!$B$10:$Q$91,16,0)</f>
        <v>636.6</v>
      </c>
      <c r="S96" s="99">
        <f>VLOOKUP(C96,'IP PITSS'!$B$10:$R$91,17,0)</f>
        <v>0</v>
      </c>
      <c r="T96" s="100"/>
      <c r="U96" s="29">
        <f>+K96-O96-P96+Q96+R96+S96+IFERROR(VLOOKUP('RESUMEN PITS'!C96,'IP PITSS'!$B$10:$M$91,10),0)+IFERROR(VLOOKUP('RESUMEN PITS'!C96,'IP PITSS'!$B$10:$M$91,11),0)+IFERROR(VLOOKUP('RESUMEN PITS'!C96,'IP PITSS'!$B$10:$M$91,12),0)+VLOOKUP("Comision",'IP PITSS'!$I$97:$J$108,2)/COUNT($F$9:$F$111)+IFERROR(VLOOKUP('RESUMEN PITS'!C96,'IP PITSS'!$B$10:$AD$91,15),0)+IFERROR(VLOOKUP('RESUMEN PITS'!C96,'IP PITSS'!$B$10:$AD$91,21),0)+IFERROR(VLOOKUP('RESUMEN PITS'!C96,'IP PITSS'!$B$10:$AD$91,22),0)+IFERROR(VLOOKUP('RESUMEN PITS'!C96,'IP PITSS'!$B$10:$AD$91,23),0)+IFERROR(VLOOKUP('RESUMEN PITS'!C96,'IP PITSS'!$B$10:$AD$91,24),0)+IFERROR(VLOOKUP('RESUMEN PITS'!C96,'IP PITSS'!$B$10:$AD$91,26),0)+IFERROR(VLOOKUP('RESUMEN PITS'!C96,'IP PITSS'!$B$10:$AD$91,28),0)+IFERROR(VLOOKUP('RESUMEN PITS'!C96,'IP PITSS'!$B$10:$AD$91,29),0)+IFERROR(VLOOKUP('RESUMEN PITS'!C96,'IP PITSS'!$B$10:$AD$91,9),0)*2%</f>
        <v>4537.7236416666665</v>
      </c>
      <c r="V96" s="99">
        <f t="shared" si="5"/>
        <v>-1537.7236416666665</v>
      </c>
      <c r="W96" s="47"/>
      <c r="X96" s="29" t="s">
        <v>334</v>
      </c>
    </row>
    <row r="97" spans="1:244" s="29" customFormat="1" x14ac:dyDescent="0.2">
      <c r="A97" s="101" t="s">
        <v>371</v>
      </c>
      <c r="B97" s="21" t="s">
        <v>94</v>
      </c>
      <c r="C97" s="21" t="s">
        <v>339</v>
      </c>
      <c r="D97" s="21">
        <f>VLOOKUP(C97,'IP PITSS'!$B$10:$U$91,20,0)</f>
        <v>2446.6</v>
      </c>
      <c r="E97" s="103"/>
      <c r="F97" s="97">
        <f>VLOOKUP(C97,'SIND PITS'!$C$3:$H$104,2,0)</f>
        <v>53.400000000000091</v>
      </c>
      <c r="G97" s="97">
        <f>VLOOKUP(C97,'SIND PITS'!$C$3:$E$104,3,0)</f>
        <v>0</v>
      </c>
      <c r="H97" s="97">
        <f>VLOOKUP(C97,'SIND PITS'!$C$3:$F$104,4,0)</f>
        <v>0</v>
      </c>
      <c r="I97" s="97">
        <f>VLOOKUP(C97,'SIND PITS'!$C$3:$G$104,5,0)</f>
        <v>0</v>
      </c>
      <c r="J97" s="100"/>
      <c r="K97" s="97">
        <f t="shared" si="6"/>
        <v>2500</v>
      </c>
      <c r="L97" s="97">
        <v>5000</v>
      </c>
      <c r="M97" s="97">
        <f t="shared" si="7"/>
        <v>2500</v>
      </c>
      <c r="N97" s="100"/>
      <c r="O97" s="99">
        <f>VLOOKUP(C97,'IP PITSS'!$B$10:$I$91,8,0)</f>
        <v>0</v>
      </c>
      <c r="P97" s="29">
        <f t="shared" si="8"/>
        <v>0</v>
      </c>
      <c r="Q97" s="99">
        <f>VLOOKUP(C97,'IP PITSS'!$B$10:$K$91,10,0)+VLOOKUP('RESUMEN PITS'!C97,'IP PITSS'!$B$10:$L$91,11,0)+VLOOKUP('RESUMEN PITS'!C97,'IP PITSS'!$B$10:$M$91,12,0)</f>
        <v>0</v>
      </c>
      <c r="R97" s="99">
        <f>VLOOKUP(C97,'IP PITSS'!$B$10:$Q$91,16,0)</f>
        <v>0</v>
      </c>
      <c r="S97" s="99">
        <f>VLOOKUP(C97,'IP PITSS'!$B$10:$R$91,17,0)</f>
        <v>0</v>
      </c>
      <c r="T97" s="100"/>
      <c r="U97" s="29">
        <f>+K97-O97-P97+Q97+R97+S97+IFERROR(VLOOKUP('RESUMEN PITS'!C97,'IP PITSS'!$B$10:$M$91,10),0)+IFERROR(VLOOKUP('RESUMEN PITS'!C97,'IP PITSS'!$B$10:$M$91,11),0)+IFERROR(VLOOKUP('RESUMEN PITS'!C97,'IP PITSS'!$B$10:$M$91,12),0)+VLOOKUP("Comision",'IP PITSS'!$I$97:$J$108,2)/COUNT($F$9:$F$111)+IFERROR(VLOOKUP('RESUMEN PITS'!C97,'IP PITSS'!$B$10:$AD$91,15),0)+IFERROR(VLOOKUP('RESUMEN PITS'!C97,'IP PITSS'!$B$10:$AD$91,21),0)+IFERROR(VLOOKUP('RESUMEN PITS'!C97,'IP PITSS'!$B$10:$AD$91,22),0)+IFERROR(VLOOKUP('RESUMEN PITS'!C97,'IP PITSS'!$B$10:$AD$91,23),0)+IFERROR(VLOOKUP('RESUMEN PITS'!C97,'IP PITSS'!$B$10:$AD$91,24),0)+IFERROR(VLOOKUP('RESUMEN PITS'!C97,'IP PITSS'!$B$10:$AD$91,26),0)+IFERROR(VLOOKUP('RESUMEN PITS'!C97,'IP PITSS'!$B$10:$AD$91,28),0)+IFERROR(VLOOKUP('RESUMEN PITS'!C97,'IP PITSS'!$B$10:$AD$91,29),0)+IFERROR(VLOOKUP('RESUMEN PITS'!C97,'IP PITSS'!$B$10:$AD$91,9),0)*2%</f>
        <v>2556.5626416666664</v>
      </c>
      <c r="V97" s="99">
        <f t="shared" si="5"/>
        <v>-56.562641666666423</v>
      </c>
      <c r="W97" s="47"/>
    </row>
    <row r="98" spans="1:244" s="29" customFormat="1" ht="15" x14ac:dyDescent="0.25">
      <c r="A98" s="110" t="s">
        <v>372</v>
      </c>
      <c r="B98" s="21" t="s">
        <v>94</v>
      </c>
      <c r="C98" s="110" t="s">
        <v>341</v>
      </c>
      <c r="D98" s="21">
        <f>VLOOKUP(C98,'IP PITSS'!$B$10:$U$91,20,0)</f>
        <v>2865.8</v>
      </c>
      <c r="E98" s="103"/>
      <c r="F98" s="97">
        <f>VLOOKUP(C98,'SIND PITS'!$C$3:$H$104,2,0)</f>
        <v>134.19999999999982</v>
      </c>
      <c r="G98" s="97">
        <f>VLOOKUP(C98,'SIND PITS'!$C$3:$E$104,3,0)</f>
        <v>487.5</v>
      </c>
      <c r="H98" s="97">
        <f>VLOOKUP(C98,'SIND PITS'!$C$3:$F$104,4,0)</f>
        <v>0</v>
      </c>
      <c r="I98" s="97">
        <f>VLOOKUP(C98,'SIND PITS'!$C$3:$G$104,5,0)</f>
        <v>0</v>
      </c>
      <c r="J98" s="100"/>
      <c r="K98" s="97">
        <f t="shared" si="6"/>
        <v>3487.5</v>
      </c>
      <c r="L98" s="97">
        <v>6000</v>
      </c>
      <c r="M98" s="97">
        <f t="shared" si="7"/>
        <v>3000</v>
      </c>
      <c r="N98" s="100"/>
      <c r="O98" s="99">
        <f>VLOOKUP(C98,'IP PITSS'!$B$10:$I$91,8,0)</f>
        <v>0</v>
      </c>
      <c r="P98" s="29">
        <f t="shared" si="8"/>
        <v>487.5</v>
      </c>
      <c r="Q98" s="99">
        <f>VLOOKUP(C98,'IP PITSS'!$B$10:$K$91,10,0)+VLOOKUP('RESUMEN PITS'!C98,'IP PITSS'!$B$10:$L$91,11,0)+VLOOKUP('RESUMEN PITS'!C98,'IP PITSS'!$B$10:$M$91,12,0)</f>
        <v>0</v>
      </c>
      <c r="R98" s="99">
        <f>VLOOKUP(C98,'IP PITSS'!$B$10:$Q$91,16,0)</f>
        <v>0</v>
      </c>
      <c r="S98" s="99">
        <f>VLOOKUP(C98,'IP PITSS'!$B$10:$R$91,17,0)</f>
        <v>0</v>
      </c>
      <c r="T98" s="100"/>
      <c r="U98" s="29">
        <f>+K98-O98-P98+Q98+R98+S98+IFERROR(VLOOKUP('RESUMEN PITS'!C98,'IP PITSS'!$B$10:$M$91,10),0)+IFERROR(VLOOKUP('RESUMEN PITS'!C98,'IP PITSS'!$B$10:$M$91,11),0)+IFERROR(VLOOKUP('RESUMEN PITS'!C98,'IP PITSS'!$B$10:$M$91,12),0)+VLOOKUP("Comision",'IP PITSS'!$I$97:$J$108,2)/COUNT($F$9:$F$111)+IFERROR(VLOOKUP('RESUMEN PITS'!C98,'IP PITSS'!$B$10:$AD$91,15),0)+IFERROR(VLOOKUP('RESUMEN PITS'!C98,'IP PITSS'!$B$10:$AD$91,21),0)+IFERROR(VLOOKUP('RESUMEN PITS'!C98,'IP PITSS'!$B$10:$AD$91,22),0)+IFERROR(VLOOKUP('RESUMEN PITS'!C98,'IP PITSS'!$B$10:$AD$91,23),0)+IFERROR(VLOOKUP('RESUMEN PITS'!C98,'IP PITSS'!$B$10:$AD$91,24),0)+IFERROR(VLOOKUP('RESUMEN PITS'!C98,'IP PITSS'!$B$10:$AD$91,26),0)+IFERROR(VLOOKUP('RESUMEN PITS'!C98,'IP PITSS'!$B$10:$AD$91,28),0)+IFERROR(VLOOKUP('RESUMEN PITS'!C98,'IP PITSS'!$B$10:$AD$91,29),0)+IFERROR(VLOOKUP('RESUMEN PITS'!C98,'IP PITSS'!$B$10:$AD$91,9),0)*2%</f>
        <v>4915.953641666667</v>
      </c>
      <c r="V98" s="99">
        <f t="shared" si="5"/>
        <v>-1915.953641666667</v>
      </c>
      <c r="W98" s="47"/>
    </row>
    <row r="99" spans="1:244" s="29" customFormat="1" ht="14.25" customHeight="1" x14ac:dyDescent="0.25">
      <c r="A99" s="110"/>
      <c r="B99" s="21" t="s">
        <v>94</v>
      </c>
      <c r="C99" s="110" t="s">
        <v>279</v>
      </c>
      <c r="D99" s="21">
        <f>VLOOKUP(C99,'IP PITSS'!$B$10:$U$91,20,0)</f>
        <v>1314.8</v>
      </c>
      <c r="E99" s="103"/>
      <c r="F99" s="97">
        <f>VLOOKUP(C99,'SIND PITS'!$C$3:$H$104,2,0)</f>
        <v>207.63000000000011</v>
      </c>
      <c r="G99" s="97">
        <f>VLOOKUP(C99,'SIND PITS'!$C$3:$E$104,3,0)</f>
        <v>3503.7</v>
      </c>
      <c r="H99" s="97">
        <f>VLOOKUP(C99,'SIND PITS'!$C$3:$F$104,4,0)</f>
        <v>0</v>
      </c>
      <c r="I99" s="97">
        <f>VLOOKUP(C99,'SIND PITS'!$C$3:$G$104,5,0)</f>
        <v>0</v>
      </c>
      <c r="J99" s="100"/>
      <c r="K99" s="97">
        <f t="shared" si="6"/>
        <v>5026.13</v>
      </c>
      <c r="L99" s="97">
        <v>5000</v>
      </c>
      <c r="M99" s="97">
        <f t="shared" si="7"/>
        <v>2500</v>
      </c>
      <c r="N99" s="100"/>
      <c r="O99" s="99">
        <f>VLOOKUP(C99,'IP PITSS'!$B$10:$I$91,8,0)</f>
        <v>0</v>
      </c>
      <c r="P99" s="29">
        <f t="shared" si="8"/>
        <v>3503.7</v>
      </c>
      <c r="Q99" s="99">
        <f>VLOOKUP(C99,'IP PITSS'!$B$10:$K$91,10,0)+VLOOKUP('RESUMEN PITS'!C99,'IP PITSS'!$B$10:$L$91,11,0)+VLOOKUP('RESUMEN PITS'!C99,'IP PITSS'!$B$10:$M$91,12,0)</f>
        <v>977.57</v>
      </c>
      <c r="R99" s="99">
        <f>VLOOKUP(C99,'IP PITSS'!$B$10:$Q$91,16,0)</f>
        <v>0</v>
      </c>
      <c r="S99" s="99">
        <f>VLOOKUP(C99,'IP PITSS'!$B$10:$R$91,17,0)</f>
        <v>0</v>
      </c>
      <c r="T99" s="100"/>
      <c r="U99" s="29">
        <f>+K99-O99-P99+Q99+R99+S99+IFERROR(VLOOKUP('RESUMEN PITS'!C99,'IP PITSS'!$B$10:$M$91,10),0)+IFERROR(VLOOKUP('RESUMEN PITS'!C99,'IP PITSS'!$B$10:$M$91,11),0)+IFERROR(VLOOKUP('RESUMEN PITS'!C99,'IP PITSS'!$B$10:$M$91,12),0)+VLOOKUP("Comision",'IP PITSS'!$I$97:$J$108,2)/COUNT($F$9:$F$111)+IFERROR(VLOOKUP('RESUMEN PITS'!C99,'IP PITSS'!$B$10:$AD$91,15),0)+IFERROR(VLOOKUP('RESUMEN PITS'!C99,'IP PITSS'!$B$10:$AD$91,21),0)+IFERROR(VLOOKUP('RESUMEN PITS'!C99,'IP PITSS'!$B$10:$AD$91,22),0)+IFERROR(VLOOKUP('RESUMEN PITS'!C99,'IP PITSS'!$B$10:$AD$91,23),0)+IFERROR(VLOOKUP('RESUMEN PITS'!C99,'IP PITSS'!$B$10:$AD$91,24),0)+IFERROR(VLOOKUP('RESUMEN PITS'!C99,'IP PITSS'!$B$10:$AD$91,26),0)+IFERROR(VLOOKUP('RESUMEN PITS'!C99,'IP PITSS'!$B$10:$AD$91,28),0)+IFERROR(VLOOKUP('RESUMEN PITS'!C99,'IP PITSS'!$B$10:$AD$91,29),0)+IFERROR(VLOOKUP('RESUMEN PITS'!C99,'IP PITSS'!$B$10:$AD$91,9),0)*2%</f>
        <v>3844.8726416666668</v>
      </c>
      <c r="V99" s="99">
        <f t="shared" si="5"/>
        <v>-1344.8726416666668</v>
      </c>
      <c r="W99" s="47"/>
    </row>
    <row r="100" spans="1:244" s="29" customFormat="1" ht="14.25" customHeight="1" x14ac:dyDescent="0.25">
      <c r="A100" s="110"/>
      <c r="B100" s="21" t="s">
        <v>94</v>
      </c>
      <c r="C100" s="110" t="s">
        <v>427</v>
      </c>
      <c r="D100" s="21">
        <f>VLOOKUP(C100,'IP PITSS'!$B$10:$U$91,20,0)</f>
        <v>2975.4</v>
      </c>
      <c r="E100" s="103"/>
      <c r="F100" s="97">
        <f>VLOOKUP(C100,'SIND PITS'!$C$3:$H$104,2,0)</f>
        <v>174.59999999999991</v>
      </c>
      <c r="G100" s="97">
        <f>VLOOKUP(C100,'SIND PITS'!$C$3:$E$104,3,0)</f>
        <v>0</v>
      </c>
      <c r="H100" s="97">
        <f>VLOOKUP(C100,'SIND PITS'!$C$3:$F$104,4,0)</f>
        <v>0</v>
      </c>
      <c r="I100" s="97">
        <f>VLOOKUP(C100,'SIND PITS'!$C$3:$G$104,5,0)</f>
        <v>0</v>
      </c>
      <c r="J100" s="100"/>
      <c r="K100" s="97">
        <f t="shared" si="6"/>
        <v>3150</v>
      </c>
      <c r="L100" s="97">
        <v>6300</v>
      </c>
      <c r="M100" s="97">
        <f t="shared" si="7"/>
        <v>3150</v>
      </c>
      <c r="N100" s="100"/>
      <c r="O100" s="99">
        <f>VLOOKUP(C100,'IP PITSS'!$B$10:$I$91,8,0)</f>
        <v>0</v>
      </c>
      <c r="P100" s="29">
        <f t="shared" si="8"/>
        <v>0</v>
      </c>
      <c r="Q100" s="99">
        <f>VLOOKUP(C100,'IP PITSS'!$B$10:$K$91,10,0)+VLOOKUP('RESUMEN PITS'!C100,'IP PITSS'!$B$10:$L$91,11,0)+VLOOKUP('RESUMEN PITS'!C100,'IP PITSS'!$B$10:$M$91,12,0)</f>
        <v>0</v>
      </c>
      <c r="R100" s="99">
        <f>VLOOKUP(C100,'IP PITSS'!$B$10:$Q$91,16,0)</f>
        <v>0</v>
      </c>
      <c r="S100" s="99">
        <f>VLOOKUP(C100,'IP PITSS'!$B$10:$R$91,17,0)</f>
        <v>0</v>
      </c>
      <c r="T100" s="100"/>
      <c r="U100" s="29">
        <f>+K100-O100-P100+Q100+R100+S100+IFERROR(VLOOKUP('RESUMEN PITS'!C100,'IP PITSS'!$B$10:$M$91,10),0)+IFERROR(VLOOKUP('RESUMEN PITS'!C100,'IP PITSS'!$B$10:$M$91,11),0)+IFERROR(VLOOKUP('RESUMEN PITS'!C100,'IP PITSS'!$B$10:$M$91,12),0)+VLOOKUP("Comision",'IP PITSS'!$I$97:$J$108,2)/COUNT($F$9:$F$111)+IFERROR(VLOOKUP('RESUMEN PITS'!C100,'IP PITSS'!$B$10:$AD$91,15),0)+IFERROR(VLOOKUP('RESUMEN PITS'!C100,'IP PITSS'!$B$10:$AD$91,21),0)+IFERROR(VLOOKUP('RESUMEN PITS'!C100,'IP PITSS'!$B$10:$AD$91,22),0)+IFERROR(VLOOKUP('RESUMEN PITS'!C100,'IP PITSS'!$B$10:$AD$91,23),0)+IFERROR(VLOOKUP('RESUMEN PITS'!C100,'IP PITSS'!$B$10:$AD$91,24),0)+IFERROR(VLOOKUP('RESUMEN PITS'!C100,'IP PITSS'!$B$10:$AD$91,26),0)+IFERROR(VLOOKUP('RESUMEN PITS'!C100,'IP PITSS'!$B$10:$AD$91,28),0)+IFERROR(VLOOKUP('RESUMEN PITS'!C100,'IP PITSS'!$B$10:$AD$91,29),0)+IFERROR(VLOOKUP('RESUMEN PITS'!C100,'IP PITSS'!$B$10:$AD$91,9),0)*2%</f>
        <v>5065.953641666667</v>
      </c>
      <c r="V100" s="99">
        <f t="shared" si="5"/>
        <v>-1915.953641666667</v>
      </c>
      <c r="W100" s="47"/>
    </row>
    <row r="101" spans="1:244" s="29" customFormat="1" ht="14.25" customHeight="1" x14ac:dyDescent="0.25">
      <c r="A101" s="110" t="s">
        <v>428</v>
      </c>
      <c r="B101" s="21" t="s">
        <v>94</v>
      </c>
      <c r="C101" s="110" t="s">
        <v>429</v>
      </c>
      <c r="D101" s="21">
        <f>VLOOKUP(C101,'IP PITSS'!$B$10:$U$91,20,0)</f>
        <v>2975.4</v>
      </c>
      <c r="E101" s="103"/>
      <c r="F101" s="97">
        <f>VLOOKUP(C101,'SIND PITS'!$C$3:$H$104,2,0)</f>
        <v>174.59999999999991</v>
      </c>
      <c r="G101" s="97">
        <f>VLOOKUP(C101,'SIND PITS'!$C$3:$E$104,3,0)</f>
        <v>0</v>
      </c>
      <c r="H101" s="97">
        <f>VLOOKUP(C101,'SIND PITS'!$C$3:$F$104,4,0)</f>
        <v>0</v>
      </c>
      <c r="I101" s="97">
        <f>VLOOKUP(C101,'SIND PITS'!$C$3:$G$104,5,0)</f>
        <v>0</v>
      </c>
      <c r="J101" s="100"/>
      <c r="K101" s="97">
        <f t="shared" si="6"/>
        <v>3150</v>
      </c>
      <c r="L101" s="97">
        <v>6300</v>
      </c>
      <c r="M101" s="97">
        <f t="shared" si="7"/>
        <v>3150</v>
      </c>
      <c r="N101" s="100"/>
      <c r="O101" s="99">
        <f>VLOOKUP(C101,'IP PITSS'!$B$10:$I$91,8,0)</f>
        <v>0</v>
      </c>
      <c r="P101" s="29">
        <f t="shared" si="8"/>
        <v>0</v>
      </c>
      <c r="Q101" s="99">
        <f>VLOOKUP(C101,'IP PITSS'!$B$10:$K$91,10,0)+VLOOKUP('RESUMEN PITS'!C101,'IP PITSS'!$B$10:$L$91,11,0)+VLOOKUP('RESUMEN PITS'!C101,'IP PITSS'!$B$10:$M$91,12,0)</f>
        <v>0</v>
      </c>
      <c r="R101" s="99">
        <f>VLOOKUP(C101,'IP PITSS'!$B$10:$Q$91,16,0)</f>
        <v>0</v>
      </c>
      <c r="S101" s="99">
        <f>VLOOKUP(C101,'IP PITSS'!$B$10:$R$91,17,0)</f>
        <v>0</v>
      </c>
      <c r="T101" s="100"/>
      <c r="U101" s="29">
        <f>+K101-O101-P101+Q101+R101+S101+IFERROR(VLOOKUP('RESUMEN PITS'!C101,'IP PITSS'!$B$10:$M$91,10),0)+IFERROR(VLOOKUP('RESUMEN PITS'!C101,'IP PITSS'!$B$10:$M$91,11),0)+IFERROR(VLOOKUP('RESUMEN PITS'!C101,'IP PITSS'!$B$10:$M$91,12),0)+VLOOKUP("Comision",'IP PITSS'!$I$97:$J$108,2)/COUNT($F$9:$F$111)+IFERROR(VLOOKUP('RESUMEN PITS'!C101,'IP PITSS'!$B$10:$AD$91,15),0)+IFERROR(VLOOKUP('RESUMEN PITS'!C101,'IP PITSS'!$B$10:$AD$91,21),0)+IFERROR(VLOOKUP('RESUMEN PITS'!C101,'IP PITSS'!$B$10:$AD$91,22),0)+IFERROR(VLOOKUP('RESUMEN PITS'!C101,'IP PITSS'!$B$10:$AD$91,23),0)+IFERROR(VLOOKUP('RESUMEN PITS'!C101,'IP PITSS'!$B$10:$AD$91,24),0)+IFERROR(VLOOKUP('RESUMEN PITS'!C101,'IP PITSS'!$B$10:$AD$91,26),0)+IFERROR(VLOOKUP('RESUMEN PITS'!C101,'IP PITSS'!$B$10:$AD$91,28),0)+IFERROR(VLOOKUP('RESUMEN PITS'!C101,'IP PITSS'!$B$10:$AD$91,29),0)+IFERROR(VLOOKUP('RESUMEN PITS'!C101,'IP PITSS'!$B$10:$AD$91,9),0)*2%</f>
        <v>5065.953641666667</v>
      </c>
      <c r="V101" s="99">
        <f t="shared" ref="V101:V102" si="9">+M101-U101</f>
        <v>-1915.953641666667</v>
      </c>
      <c r="W101" s="47"/>
    </row>
    <row r="102" spans="1:244" s="29" customFormat="1" ht="14.25" customHeight="1" x14ac:dyDescent="0.25">
      <c r="A102" s="110" t="s">
        <v>430</v>
      </c>
      <c r="B102" s="21" t="s">
        <v>94</v>
      </c>
      <c r="C102" s="110" t="s">
        <v>431</v>
      </c>
      <c r="D102" s="21">
        <f>VLOOKUP(C102,'IP PITSS'!$B$10:$U$91,20,0)</f>
        <v>2865.8</v>
      </c>
      <c r="E102" s="103"/>
      <c r="F102" s="97">
        <f>VLOOKUP(C102,'SIND PITS'!$C$3:$H$104,2,0)</f>
        <v>134.19999999999982</v>
      </c>
      <c r="G102" s="97">
        <f>VLOOKUP(C102,'SIND PITS'!$C$3:$E$104,3,0)</f>
        <v>390</v>
      </c>
      <c r="H102" s="97">
        <f>VLOOKUP(C102,'SIND PITS'!$C$3:$F$104,4,0)</f>
        <v>0</v>
      </c>
      <c r="I102" s="97">
        <f>VLOOKUP(C102,'SIND PITS'!$C$3:$G$104,5,0)</f>
        <v>0</v>
      </c>
      <c r="J102" s="100"/>
      <c r="K102" s="97">
        <f t="shared" si="6"/>
        <v>3390</v>
      </c>
      <c r="L102" s="97">
        <v>6000</v>
      </c>
      <c r="M102" s="97">
        <f t="shared" si="7"/>
        <v>3000</v>
      </c>
      <c r="N102" s="100"/>
      <c r="O102" s="99">
        <f>VLOOKUP(C102,'IP PITSS'!$B$10:$I$91,8,0)</f>
        <v>0</v>
      </c>
      <c r="P102" s="29">
        <f t="shared" si="8"/>
        <v>390</v>
      </c>
      <c r="Q102" s="99">
        <f>VLOOKUP(C102,'IP PITSS'!$B$10:$K$91,10,0)+VLOOKUP('RESUMEN PITS'!C102,'IP PITSS'!$B$10:$L$91,11,0)+VLOOKUP('RESUMEN PITS'!C102,'IP PITSS'!$B$10:$M$91,12,0)</f>
        <v>0</v>
      </c>
      <c r="R102" s="99">
        <f>VLOOKUP(C102,'IP PITSS'!$B$10:$Q$91,16,0)</f>
        <v>0</v>
      </c>
      <c r="S102" s="99">
        <f>VLOOKUP(C102,'IP PITSS'!$B$10:$R$91,17,0)</f>
        <v>0</v>
      </c>
      <c r="T102" s="100"/>
      <c r="U102" s="29">
        <f>+K102-O102-P102+Q102+R102+S102+IFERROR(VLOOKUP('RESUMEN PITS'!C102,'IP PITSS'!$B$10:$M$91,10),0)+IFERROR(VLOOKUP('RESUMEN PITS'!C102,'IP PITSS'!$B$10:$M$91,11),0)+IFERROR(VLOOKUP('RESUMEN PITS'!C102,'IP PITSS'!$B$10:$M$91,12),0)+VLOOKUP("Comision",'IP PITSS'!$I$97:$J$108,2)/COUNT($F$9:$F$111)+IFERROR(VLOOKUP('RESUMEN PITS'!C102,'IP PITSS'!$B$10:$AD$91,15),0)+IFERROR(VLOOKUP('RESUMEN PITS'!C102,'IP PITSS'!$B$10:$AD$91,21),0)+IFERROR(VLOOKUP('RESUMEN PITS'!C102,'IP PITSS'!$B$10:$AD$91,22),0)+IFERROR(VLOOKUP('RESUMEN PITS'!C102,'IP PITSS'!$B$10:$AD$91,23),0)+IFERROR(VLOOKUP('RESUMEN PITS'!C102,'IP PITSS'!$B$10:$AD$91,24),0)+IFERROR(VLOOKUP('RESUMEN PITS'!C102,'IP PITSS'!$B$10:$AD$91,26),0)+IFERROR(VLOOKUP('RESUMEN PITS'!C102,'IP PITSS'!$B$10:$AD$91,28),0)+IFERROR(VLOOKUP('RESUMEN PITS'!C102,'IP PITSS'!$B$10:$AD$91,29),0)+IFERROR(VLOOKUP('RESUMEN PITS'!C102,'IP PITSS'!$B$10:$AD$91,9),0)*2%</f>
        <v>4313.9226416666661</v>
      </c>
      <c r="V102" s="99">
        <f t="shared" si="9"/>
        <v>-1313.9226416666661</v>
      </c>
      <c r="W102" s="47"/>
    </row>
    <row r="103" spans="1:244" s="48" customFormat="1" ht="24.75" customHeight="1" x14ac:dyDescent="0.2">
      <c r="C103" s="48" t="s">
        <v>373</v>
      </c>
      <c r="D103" s="48">
        <f t="shared" ref="D103:V103" si="10">SUBTOTAL(9,D3:D102)</f>
        <v>306740.8000000001</v>
      </c>
      <c r="E103" s="48">
        <f t="shared" si="10"/>
        <v>0</v>
      </c>
      <c r="F103" s="48">
        <f t="shared" si="10"/>
        <v>148607.19500000007</v>
      </c>
      <c r="G103" s="48">
        <f t="shared" si="10"/>
        <v>36199.199999999997</v>
      </c>
      <c r="H103" s="48">
        <f>SUBTOTAL(9,H3:H102)</f>
        <v>2800</v>
      </c>
      <c r="I103" s="48">
        <f t="shared" si="10"/>
        <v>991.31</v>
      </c>
      <c r="J103" s="48">
        <f t="shared" si="10"/>
        <v>0</v>
      </c>
      <c r="K103" s="48">
        <f t="shared" si="10"/>
        <v>495338.505</v>
      </c>
      <c r="L103" s="48">
        <f t="shared" si="10"/>
        <v>1010431.01</v>
      </c>
      <c r="M103" s="48">
        <f t="shared" si="10"/>
        <v>505215.505</v>
      </c>
      <c r="N103" s="48">
        <f t="shared" si="10"/>
        <v>0</v>
      </c>
      <c r="O103" s="48">
        <f t="shared" si="10"/>
        <v>1567.19</v>
      </c>
      <c r="P103" s="48">
        <f t="shared" si="10"/>
        <v>39990.509999999995</v>
      </c>
      <c r="Q103" s="48">
        <f t="shared" si="10"/>
        <v>43562.640000000007</v>
      </c>
      <c r="R103" s="48">
        <f t="shared" si="10"/>
        <v>1236.5999999999999</v>
      </c>
      <c r="S103" s="48">
        <f t="shared" si="10"/>
        <v>6439.7600000000011</v>
      </c>
      <c r="T103" s="48">
        <f t="shared" si="10"/>
        <v>0</v>
      </c>
      <c r="U103" s="29">
        <f>+K103-O103-P103+Q103+R103+S103+IFERROR(VLOOKUP('RESUMEN PITS'!C103,'IP PITSS'!$B$10:$M$91,10),0)+IFERROR(VLOOKUP('RESUMEN PITS'!C103,'IP PITSS'!$B$10:$M$91,11),0)+IFERROR(VLOOKUP('RESUMEN PITS'!C103,'IP PITSS'!$B$10:$M$91,12),0)+VLOOKUP("Comision",'IP PITSS'!$I$97:$J$108,2)/COUNT($F$9:$F$111)+IFERROR(VLOOKUP('RESUMEN PITS'!C103,'IP PITSS'!$B$10:$AD$91,15),0)+IFERROR(VLOOKUP('RESUMEN PITS'!C103,'IP PITSS'!$B$10:$AD$91,21),0)+IFERROR(VLOOKUP('RESUMEN PITS'!C103,'IP PITSS'!$B$10:$AD$91,22),0)+IFERROR(VLOOKUP('RESUMEN PITS'!C103,'IP PITSS'!$B$10:$AD$91,23),0)+IFERROR(VLOOKUP('RESUMEN PITS'!C103,'IP PITSS'!$B$10:$AD$91,24),0)+IFERROR(VLOOKUP('RESUMEN PITS'!C103,'IP PITSS'!$B$10:$AD$91,26),0)+IFERROR(VLOOKUP('RESUMEN PITS'!C103,'IP PITSS'!$B$10:$AD$91,28),0)+IFERROR(VLOOKUP('RESUMEN PITS'!C103,'IP PITSS'!$B$10:$AD$91,29),0)+IFERROR(VLOOKUP('RESUMEN PITS'!C103,'IP PITSS'!$B$10:$AD$91,9),0)*2%</f>
        <v>506364.67764166661</v>
      </c>
      <c r="V103" s="48">
        <f t="shared" si="10"/>
        <v>-113000.2971666666</v>
      </c>
      <c r="W103" s="48">
        <f>SUBTOTAL(9,W3:W99)</f>
        <v>0</v>
      </c>
      <c r="X103" s="48">
        <f>SUBTOTAL(9,X3:X99)</f>
        <v>0</v>
      </c>
      <c r="Y103" s="48">
        <f>SUM(Y3:Y98)</f>
        <v>0</v>
      </c>
      <c r="Z103" s="48">
        <f>SUM(Z3:Z98)</f>
        <v>0</v>
      </c>
      <c r="AA103" s="48">
        <f t="shared" ref="AA103:AE103" si="11">SUM(AA3:AA97)</f>
        <v>0</v>
      </c>
      <c r="AB103" s="48">
        <f t="shared" si="11"/>
        <v>0</v>
      </c>
      <c r="AC103" s="48">
        <f t="shared" si="11"/>
        <v>0</v>
      </c>
      <c r="AD103" s="48">
        <f t="shared" si="11"/>
        <v>0</v>
      </c>
      <c r="AE103" s="48">
        <f t="shared" si="11"/>
        <v>0</v>
      </c>
      <c r="AF103" s="48">
        <f>SUM(AF3:AF88)</f>
        <v>0</v>
      </c>
    </row>
    <row r="104" spans="1:244" s="49" customFormat="1" x14ac:dyDescent="0.2">
      <c r="C104" s="50"/>
      <c r="E104" s="40"/>
      <c r="J104" s="26"/>
      <c r="N104" s="26"/>
      <c r="Q104" s="49">
        <f>+Q103-'IP PITSS'!K93-'IP PITSS'!L93-'IP PITSS'!M93-'CPD PITSS'!N29-'CPD PITSS'!O29</f>
        <v>0</v>
      </c>
      <c r="R104" s="49">
        <f>+R103-'IP PITSS'!Q93</f>
        <v>0</v>
      </c>
      <c r="S104" s="49">
        <f>+S103-'CPD PITSS'!S29-'IP PITSS'!R93</f>
        <v>0</v>
      </c>
      <c r="T104" s="26"/>
      <c r="V104" s="46"/>
      <c r="W104" s="46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</row>
    <row r="105" spans="1:244" s="49" customFormat="1" x14ac:dyDescent="0.2">
      <c r="C105" s="50"/>
      <c r="E105" s="40"/>
      <c r="J105" s="26"/>
      <c r="N105" s="26"/>
      <c r="T105" s="26"/>
      <c r="V105" s="46"/>
      <c r="W105" s="46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</row>
    <row r="106" spans="1:244" x14ac:dyDescent="0.2">
      <c r="F106" s="18">
        <f>+F98+D98+H106</f>
        <v>3000</v>
      </c>
    </row>
  </sheetData>
  <autoFilter ref="A2:W105" xr:uid="{00000000-0009-0000-0000-000003000000}"/>
  <mergeCells count="4">
    <mergeCell ref="A1:D1"/>
    <mergeCell ref="F1:I1"/>
    <mergeCell ref="K1:M1"/>
    <mergeCell ref="O1:S1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0637-FC03-4693-93C4-425351C4327D}">
  <dimension ref="A4:F12"/>
  <sheetViews>
    <sheetView workbookViewId="0">
      <selection activeCell="F7" sqref="F7"/>
    </sheetView>
  </sheetViews>
  <sheetFormatPr baseColWidth="10" defaultRowHeight="15" x14ac:dyDescent="0.25"/>
  <cols>
    <col min="1" max="1" width="15.140625" bestFit="1" customWidth="1"/>
    <col min="2" max="3" width="15.140625" customWidth="1"/>
    <col min="4" max="4" width="17.140625" bestFit="1" customWidth="1"/>
    <col min="5" max="5" width="47.5703125" bestFit="1" customWidth="1"/>
    <col min="6" max="6" width="17.140625" bestFit="1" customWidth="1"/>
  </cols>
  <sheetData>
    <row r="4" spans="1:6" ht="26.25" x14ac:dyDescent="0.4">
      <c r="A4" s="182" t="s">
        <v>429</v>
      </c>
      <c r="B4" s="182"/>
      <c r="C4" s="182"/>
      <c r="D4" s="182"/>
      <c r="E4" s="182"/>
      <c r="F4" s="182"/>
    </row>
    <row r="5" spans="1:6" ht="27" thickBot="1" x14ac:dyDescent="0.45">
      <c r="A5" s="162"/>
      <c r="B5" s="162"/>
      <c r="C5" s="162"/>
      <c r="D5" s="162"/>
      <c r="E5" s="182" t="s">
        <v>450</v>
      </c>
      <c r="F5" s="182"/>
    </row>
    <row r="6" spans="1:6" ht="20.25" x14ac:dyDescent="0.3">
      <c r="A6" s="187" t="s">
        <v>447</v>
      </c>
      <c r="B6" s="188"/>
      <c r="C6" s="188"/>
      <c r="D6" s="166">
        <v>6300</v>
      </c>
      <c r="E6" s="164" t="s">
        <v>451</v>
      </c>
      <c r="F6" s="165">
        <f>D6/2</f>
        <v>3150</v>
      </c>
    </row>
    <row r="7" spans="1:6" ht="20.25" x14ac:dyDescent="0.3">
      <c r="A7" s="183" t="s">
        <v>448</v>
      </c>
      <c r="B7" s="184"/>
      <c r="C7" s="184"/>
      <c r="D7" s="167">
        <v>2700</v>
      </c>
      <c r="E7" s="161" t="s">
        <v>453</v>
      </c>
      <c r="F7" s="161"/>
    </row>
    <row r="8" spans="1:6" ht="22.5" customHeight="1" thickBot="1" x14ac:dyDescent="0.45">
      <c r="A8" s="185" t="s">
        <v>449</v>
      </c>
      <c r="B8" s="186"/>
      <c r="C8" s="186"/>
      <c r="D8" s="169">
        <f>D7+D6</f>
        <v>9000</v>
      </c>
      <c r="E8" s="163"/>
      <c r="F8" s="163"/>
    </row>
    <row r="9" spans="1:6" ht="21.75" customHeight="1" x14ac:dyDescent="0.3">
      <c r="D9" s="160"/>
      <c r="E9" s="168" t="s">
        <v>452</v>
      </c>
      <c r="F9" s="168">
        <f>F6</f>
        <v>3150</v>
      </c>
    </row>
    <row r="10" spans="1:6" x14ac:dyDescent="0.25">
      <c r="D10" s="160"/>
      <c r="E10" s="160"/>
      <c r="F10" s="160"/>
    </row>
    <row r="11" spans="1:6" x14ac:dyDescent="0.25">
      <c r="D11" s="160"/>
      <c r="E11" s="160"/>
      <c r="F11" s="160"/>
    </row>
    <row r="12" spans="1:6" x14ac:dyDescent="0.25">
      <c r="D12" s="160"/>
    </row>
  </sheetData>
  <mergeCells count="5">
    <mergeCell ref="A4:F4"/>
    <mergeCell ref="A7:C7"/>
    <mergeCell ref="A8:C8"/>
    <mergeCell ref="E5:F5"/>
    <mergeCell ref="A6:C6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8:K36"/>
  <sheetViews>
    <sheetView showGridLines="0" topLeftCell="C25" zoomScale="130" zoomScaleNormal="130" workbookViewId="0">
      <selection activeCell="J31" sqref="J31"/>
    </sheetView>
  </sheetViews>
  <sheetFormatPr baseColWidth="10" defaultRowHeight="15.75" x14ac:dyDescent="0.25"/>
  <cols>
    <col min="1" max="3" width="11.42578125" style="52"/>
    <col min="4" max="4" width="19.5703125" style="52" bestFit="1" customWidth="1"/>
    <col min="5" max="5" width="16.28515625" style="52" customWidth="1"/>
    <col min="6" max="6" width="16.5703125" style="52" bestFit="1" customWidth="1"/>
    <col min="7" max="7" width="11.42578125" style="52"/>
    <col min="8" max="8" width="14" style="52" customWidth="1"/>
    <col min="9" max="9" width="23.28515625" style="52" customWidth="1"/>
    <col min="10" max="10" width="13.140625" style="52" bestFit="1" customWidth="1"/>
    <col min="11" max="16384" width="11.42578125" style="52"/>
  </cols>
  <sheetData>
    <row r="8" spans="4:9" ht="28.5" customHeight="1" x14ac:dyDescent="0.25">
      <c r="D8" s="189" t="s">
        <v>374</v>
      </c>
      <c r="E8" s="189"/>
      <c r="H8" s="190" t="s">
        <v>375</v>
      </c>
      <c r="I8" s="190"/>
    </row>
    <row r="9" spans="4:9" x14ac:dyDescent="0.25">
      <c r="D9" s="53" t="s">
        <v>376</v>
      </c>
      <c r="E9" s="54">
        <f>+'CPD PITSS'!M42</f>
        <v>112590.10260000001</v>
      </c>
      <c r="F9" s="54"/>
      <c r="G9" s="54"/>
      <c r="H9" s="53" t="s">
        <v>376</v>
      </c>
      <c r="I9" s="54">
        <f>+'CPD PITSS'!M54</f>
        <v>6065.6935853685263</v>
      </c>
    </row>
    <row r="10" spans="4:9" x14ac:dyDescent="0.25">
      <c r="D10" s="53" t="s">
        <v>377</v>
      </c>
      <c r="E10" s="54">
        <f>+'IP PITSS'!J106</f>
        <v>391278.81779999996</v>
      </c>
      <c r="F10" s="54"/>
      <c r="G10" s="54"/>
      <c r="H10" s="53" t="s">
        <v>377</v>
      </c>
      <c r="I10" s="54">
        <f>+'IP PITSS'!J118</f>
        <v>19541.351361296664</v>
      </c>
    </row>
    <row r="11" spans="4:9" x14ac:dyDescent="0.25">
      <c r="D11" s="53" t="s">
        <v>378</v>
      </c>
      <c r="E11" s="54">
        <f>+'SIND PITS'!H115</f>
        <v>193552.85909999994</v>
      </c>
      <c r="F11" s="54"/>
      <c r="G11" s="54"/>
      <c r="H11" s="53"/>
      <c r="I11" s="55"/>
    </row>
    <row r="12" spans="4:9" x14ac:dyDescent="0.25">
      <c r="D12" s="54"/>
      <c r="E12" s="56">
        <f>+E9+E10+E11</f>
        <v>697421.77949999995</v>
      </c>
      <c r="F12" s="56"/>
      <c r="G12" s="54"/>
      <c r="H12" s="54"/>
      <c r="I12" s="56">
        <f>+I9+I10+I11</f>
        <v>25607.044946665192</v>
      </c>
    </row>
    <row r="13" spans="4:9" x14ac:dyDescent="0.25">
      <c r="F13" s="54"/>
      <c r="G13" s="54"/>
    </row>
    <row r="14" spans="4:9" x14ac:dyDescent="0.25">
      <c r="D14" s="189" t="s">
        <v>379</v>
      </c>
      <c r="E14" s="189"/>
      <c r="F14" s="74"/>
      <c r="G14" s="54"/>
      <c r="H14" s="189" t="s">
        <v>379</v>
      </c>
      <c r="I14" s="189"/>
    </row>
    <row r="15" spans="4:9" x14ac:dyDescent="0.25">
      <c r="D15" s="53" t="s">
        <v>380</v>
      </c>
      <c r="E15" s="54">
        <f>+E12*4%</f>
        <v>27896.871179999998</v>
      </c>
      <c r="F15" s="54"/>
      <c r="G15" s="54"/>
      <c r="H15" s="53" t="s">
        <v>380</v>
      </c>
      <c r="I15" s="54">
        <f>+I12*4%</f>
        <v>1024.2817978666076</v>
      </c>
    </row>
    <row r="16" spans="4:9" x14ac:dyDescent="0.25">
      <c r="D16" s="53" t="s">
        <v>381</v>
      </c>
      <c r="E16" s="54">
        <f>+E12*12%</f>
        <v>83690.613539999991</v>
      </c>
      <c r="F16" s="54"/>
      <c r="G16" s="54"/>
      <c r="H16" s="53" t="s">
        <v>381</v>
      </c>
      <c r="I16" s="54">
        <f>+I12*12%</f>
        <v>3072.8453935998227</v>
      </c>
    </row>
    <row r="17" spans="4:10" x14ac:dyDescent="0.25">
      <c r="D17" s="53" t="s">
        <v>382</v>
      </c>
      <c r="E17" s="54">
        <f>+E12*11%</f>
        <v>76716.395745000002</v>
      </c>
      <c r="F17" s="54"/>
      <c r="G17" s="54"/>
      <c r="H17" s="53" t="s">
        <v>382</v>
      </c>
      <c r="I17" s="54">
        <f>+I12*11%</f>
        <v>2816.7749441331712</v>
      </c>
    </row>
    <row r="18" spans="4:10" x14ac:dyDescent="0.25">
      <c r="D18" s="53" t="s">
        <v>383</v>
      </c>
      <c r="E18" s="54">
        <f>+E12*73%</f>
        <v>509117.89903499995</v>
      </c>
      <c r="F18" s="54"/>
      <c r="H18" s="53" t="s">
        <v>383</v>
      </c>
      <c r="I18" s="54">
        <f>+I12*73%</f>
        <v>18693.142811065591</v>
      </c>
    </row>
    <row r="19" spans="4:10" x14ac:dyDescent="0.25">
      <c r="E19" s="57">
        <f>SUM(E15:E18)</f>
        <v>697421.77949999995</v>
      </c>
      <c r="F19" s="54"/>
      <c r="I19" s="57">
        <f>SUM(I15:I18)</f>
        <v>25607.044946665192</v>
      </c>
    </row>
    <row r="20" spans="4:10" x14ac:dyDescent="0.25">
      <c r="E20" s="54"/>
      <c r="F20" s="54"/>
    </row>
    <row r="25" spans="4:10" x14ac:dyDescent="0.25">
      <c r="E25" s="78"/>
      <c r="F25" s="128">
        <v>0.73</v>
      </c>
      <c r="G25" s="128">
        <v>0.11</v>
      </c>
      <c r="H25" s="128">
        <v>0.12</v>
      </c>
      <c r="I25" s="128">
        <v>0.04</v>
      </c>
    </row>
    <row r="26" spans="4:10" x14ac:dyDescent="0.25">
      <c r="E26" s="78"/>
      <c r="F26" s="127" t="s">
        <v>443</v>
      </c>
      <c r="G26" s="127" t="s">
        <v>444</v>
      </c>
      <c r="H26" s="127" t="s">
        <v>446</v>
      </c>
      <c r="I26" s="127" t="s">
        <v>445</v>
      </c>
    </row>
    <row r="27" spans="4:10" x14ac:dyDescent="0.25">
      <c r="E27" s="123" t="s">
        <v>441</v>
      </c>
      <c r="F27" s="156">
        <f>'SIND PITS'!K125+'IP PITSS'!L114+'CPD PITSS'!P48</f>
        <v>449653.30623599992</v>
      </c>
      <c r="G27" s="156">
        <f>'SIND PITS'!L125+'IP PITSS'!M114+'CPD PITSS'!Q48</f>
        <v>67755.977651999987</v>
      </c>
      <c r="H27" s="156">
        <f>'SIND PITS'!M125+'IP PITSS'!N114+'CPD PITSS'!R48</f>
        <v>73915.611983999988</v>
      </c>
      <c r="I27" s="156">
        <f>'SIND PITS'!N125+'IP PITSS'!O114+'CPD PITSS'!S48</f>
        <v>24638.537327999995</v>
      </c>
    </row>
    <row r="28" spans="4:10" x14ac:dyDescent="0.25">
      <c r="E28" s="124" t="s">
        <v>439</v>
      </c>
      <c r="F28" s="157">
        <f>'SIND PITS'!K126+'CPD PITSS'!P49</f>
        <v>21382.256406</v>
      </c>
      <c r="G28" s="157">
        <f>'SIND PITS'!L126+'CPD PITSS'!Q49</f>
        <v>3221.9838420000001</v>
      </c>
      <c r="H28" s="157">
        <f>'SIND PITS'!M126+'CPD PITSS'!R49</f>
        <v>3514.8914639999998</v>
      </c>
      <c r="I28" s="157">
        <f>'SIND PITS'!N126+'CPD PITSS'!S49</f>
        <v>1171.6304880000002</v>
      </c>
    </row>
    <row r="29" spans="4:10" x14ac:dyDescent="0.25">
      <c r="E29" s="125" t="s">
        <v>440</v>
      </c>
      <c r="F29" s="145">
        <f>'SIND PITS'!K127+'IP PITSS'!L116+'CPD PITSS'!P50</f>
        <v>30092.260019999998</v>
      </c>
      <c r="G29" s="158">
        <f>'SIND PITS'!L127+'IP PITSS'!M116+'CPD PITSS'!Q50</f>
        <v>4534.4501399999999</v>
      </c>
      <c r="H29" s="158">
        <f>'SIND PITS'!M127+'IP PITSS'!N116+'CPD PITSS'!R50</f>
        <v>4946.6728800000001</v>
      </c>
      <c r="I29" s="158">
        <f>'SIND PITS'!N127+'IP PITSS'!O116+'CPD PITSS'!S50</f>
        <v>1648.8909600000002</v>
      </c>
    </row>
    <row r="30" spans="4:10" x14ac:dyDescent="0.25">
      <c r="E30" s="126" t="s">
        <v>85</v>
      </c>
      <c r="F30" s="145">
        <f>'SIND PITS'!K128+'IP PITSS'!L117+'CPD PITSS'!P51</f>
        <v>7990.0763729999981</v>
      </c>
      <c r="G30" s="159">
        <f>'SIND PITS'!L128+'IP PITSS'!M117+'CPD PITSS'!Q51</f>
        <v>1203.9841109999998</v>
      </c>
      <c r="H30" s="159">
        <f>'SIND PITS'!M128+'IP PITSS'!N117+'CPD PITSS'!R51</f>
        <v>1313.4372119999996</v>
      </c>
      <c r="I30" s="159">
        <f>'SIND PITS'!N128+'IP PITSS'!O117+'CPD PITSS'!S51</f>
        <v>437.8124039999999</v>
      </c>
    </row>
    <row r="31" spans="4:10" x14ac:dyDescent="0.25">
      <c r="E31" s="122" t="s">
        <v>393</v>
      </c>
      <c r="F31" s="155">
        <f>SUM(F27:F30)</f>
        <v>509117.89903499989</v>
      </c>
      <c r="G31" s="155">
        <f>SUM(G27:G30)</f>
        <v>76716.395744999987</v>
      </c>
      <c r="H31" s="155">
        <f>SUM(H27:H30)</f>
        <v>83690.613539999991</v>
      </c>
      <c r="I31" s="155">
        <f>SUM(I27:I30)</f>
        <v>27896.871179999995</v>
      </c>
      <c r="J31" s="52">
        <f>SUM(F31:I31)</f>
        <v>697421.77949999995</v>
      </c>
    </row>
    <row r="32" spans="4:10" x14ac:dyDescent="0.25">
      <c r="E32" s="122" t="s">
        <v>442</v>
      </c>
      <c r="F32" s="146">
        <f>F31*16%</f>
        <v>81458.86384559999</v>
      </c>
      <c r="G32" s="146">
        <f>G31*16%</f>
        <v>12274.623319199998</v>
      </c>
      <c r="H32" s="146">
        <f>H31*16%</f>
        <v>13390.498166399999</v>
      </c>
      <c r="I32" s="146">
        <f>I31*16%</f>
        <v>4463.499388799999</v>
      </c>
      <c r="J32" s="52">
        <f t="shared" ref="J32:J33" si="0">SUM(F32:I32)</f>
        <v>111587.48471999998</v>
      </c>
    </row>
    <row r="33" spans="5:11" x14ac:dyDescent="0.25">
      <c r="E33" s="122" t="s">
        <v>87</v>
      </c>
      <c r="F33" s="147">
        <f>F32+F31</f>
        <v>590576.76288059982</v>
      </c>
      <c r="G33" s="147">
        <f>G32+G31</f>
        <v>88991.01906419998</v>
      </c>
      <c r="H33" s="147">
        <f>H32+H31</f>
        <v>97081.111706399985</v>
      </c>
      <c r="I33" s="147">
        <f>I32+I31</f>
        <v>32360.370568799994</v>
      </c>
      <c r="J33" s="52">
        <f>SUM(F33:I33)</f>
        <v>809009.26421999978</v>
      </c>
      <c r="K33" s="1"/>
    </row>
    <row r="34" spans="5:11" x14ac:dyDescent="0.25">
      <c r="E34" s="1"/>
      <c r="F34" s="1"/>
      <c r="G34" s="1"/>
      <c r="H34" s="1"/>
      <c r="I34" s="1"/>
      <c r="K34" s="1"/>
    </row>
    <row r="35" spans="5:11" x14ac:dyDescent="0.25">
      <c r="G35" s="1"/>
      <c r="H35" s="1"/>
      <c r="I35" s="1"/>
      <c r="J35" s="1"/>
      <c r="K35" s="1"/>
    </row>
    <row r="36" spans="5:11" x14ac:dyDescent="0.25">
      <c r="G36" s="1"/>
      <c r="H36" s="1"/>
      <c r="I36" s="1"/>
      <c r="J36" s="1"/>
      <c r="K36" s="1"/>
    </row>
  </sheetData>
  <mergeCells count="4">
    <mergeCell ref="D8:E8"/>
    <mergeCell ref="H8:I8"/>
    <mergeCell ref="D14:E14"/>
    <mergeCell ref="H14:I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zoomScale="90" zoomScaleNormal="90" workbookViewId="0">
      <selection activeCell="I20" sqref="I20"/>
    </sheetView>
  </sheetViews>
  <sheetFormatPr baseColWidth="10" defaultRowHeight="15" x14ac:dyDescent="0.25"/>
  <cols>
    <col min="1" max="1" width="39.5703125" customWidth="1"/>
    <col min="2" max="2" width="16.85546875" customWidth="1"/>
    <col min="3" max="3" width="11.140625" customWidth="1"/>
    <col min="6" max="6" width="12.28515625" bestFit="1" customWidth="1"/>
    <col min="8" max="8" width="12.28515625" bestFit="1" customWidth="1"/>
    <col min="9" max="9" width="20.28515625" bestFit="1" customWidth="1"/>
  </cols>
  <sheetData>
    <row r="1" spans="1:9" x14ac:dyDescent="0.25">
      <c r="A1" s="58" t="s">
        <v>384</v>
      </c>
      <c r="B1" s="58"/>
      <c r="C1" s="58"/>
    </row>
    <row r="2" spans="1:9" x14ac:dyDescent="0.25">
      <c r="A2" s="58" t="s">
        <v>385</v>
      </c>
      <c r="B2" s="58"/>
      <c r="C2" s="58"/>
    </row>
    <row r="6" spans="1:9" ht="15.75" thickBot="1" x14ac:dyDescent="0.3">
      <c r="D6" s="59" t="s">
        <v>386</v>
      </c>
      <c r="E6" s="191" t="s">
        <v>387</v>
      </c>
      <c r="F6" s="192"/>
      <c r="G6" s="192"/>
      <c r="H6" s="192"/>
    </row>
    <row r="7" spans="1:9" ht="29.25" customHeight="1" x14ac:dyDescent="0.25">
      <c r="A7" s="60" t="s">
        <v>388</v>
      </c>
      <c r="B7" s="60" t="s">
        <v>389</v>
      </c>
      <c r="C7" s="60" t="s">
        <v>390</v>
      </c>
      <c r="D7" s="60" t="s">
        <v>391</v>
      </c>
      <c r="E7" s="60" t="s">
        <v>392</v>
      </c>
      <c r="F7" s="60" t="s">
        <v>393</v>
      </c>
      <c r="G7" s="60" t="s">
        <v>30</v>
      </c>
      <c r="H7" s="60" t="s">
        <v>87</v>
      </c>
    </row>
    <row r="8" spans="1:9" x14ac:dyDescent="0.25">
      <c r="A8" s="61" t="s">
        <v>394</v>
      </c>
      <c r="B8" s="62">
        <v>70000</v>
      </c>
      <c r="C8" s="62">
        <v>2865.8</v>
      </c>
      <c r="D8" s="63">
        <f>(B8/2)-C8</f>
        <v>32134.2</v>
      </c>
      <c r="E8" s="62">
        <f>+D8*0.02</f>
        <v>642.68400000000008</v>
      </c>
      <c r="F8" s="62">
        <f>+D8+E8</f>
        <v>32776.883999999998</v>
      </c>
      <c r="G8" s="62">
        <f>F8*0.16</f>
        <v>5244.3014400000002</v>
      </c>
      <c r="H8" s="62">
        <f>+F8+G8</f>
        <v>38021.185440000001</v>
      </c>
      <c r="I8" t="s">
        <v>395</v>
      </c>
    </row>
    <row r="9" spans="1:9" ht="24" customHeight="1" x14ac:dyDescent="0.25">
      <c r="A9" s="61"/>
      <c r="B9" s="62"/>
      <c r="C9" s="62"/>
      <c r="D9" s="64"/>
      <c r="E9" s="62"/>
      <c r="F9" s="62"/>
      <c r="G9" s="62"/>
      <c r="H9" s="62"/>
    </row>
    <row r="10" spans="1:9" s="58" customFormat="1" x14ac:dyDescent="0.25">
      <c r="A10" s="65" t="s">
        <v>396</v>
      </c>
      <c r="B10" s="66">
        <f t="shared" ref="B10:H10" si="0">SUM(B8:B8)</f>
        <v>70000</v>
      </c>
      <c r="C10" s="66">
        <f t="shared" si="0"/>
        <v>2865.8</v>
      </c>
      <c r="D10" s="67">
        <f t="shared" si="0"/>
        <v>32134.2</v>
      </c>
      <c r="E10" s="66">
        <f t="shared" si="0"/>
        <v>642.68400000000008</v>
      </c>
      <c r="F10" s="66">
        <f t="shared" si="0"/>
        <v>32776.883999999998</v>
      </c>
      <c r="G10" s="66">
        <f t="shared" si="0"/>
        <v>5244.3014400000002</v>
      </c>
      <c r="H10" s="66">
        <f t="shared" si="0"/>
        <v>38021.185440000001</v>
      </c>
    </row>
    <row r="11" spans="1:9" x14ac:dyDescent="0.25">
      <c r="A11" s="61"/>
      <c r="B11" s="61"/>
      <c r="C11" s="61"/>
      <c r="D11" s="61"/>
      <c r="E11" s="61"/>
      <c r="F11" s="61"/>
      <c r="G11" s="61"/>
      <c r="H11" s="61"/>
    </row>
    <row r="12" spans="1:9" x14ac:dyDescent="0.25">
      <c r="D12" s="68"/>
    </row>
    <row r="13" spans="1:9" x14ac:dyDescent="0.25">
      <c r="D13" s="69"/>
      <c r="E13" s="69"/>
      <c r="F13" s="68"/>
      <c r="G13" s="68"/>
      <c r="H13" s="68"/>
    </row>
    <row r="14" spans="1:9" x14ac:dyDescent="0.25">
      <c r="G14" s="70"/>
    </row>
  </sheetData>
  <mergeCells count="1">
    <mergeCell ref="E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CPD PITSS</vt:lpstr>
      <vt:lpstr>IP PITSS</vt:lpstr>
      <vt:lpstr>SIND PITS</vt:lpstr>
      <vt:lpstr>RESUMEN PITS</vt:lpstr>
      <vt:lpstr>Hoja1</vt:lpstr>
      <vt:lpstr>FACTURACION</vt:lpstr>
      <vt:lpstr>ASIMILADOS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HG-LAP-03</dc:creator>
  <cp:lastModifiedBy>Alfonso Aguilar Aguirre</cp:lastModifiedBy>
  <dcterms:created xsi:type="dcterms:W3CDTF">2019-05-15T00:59:26Z</dcterms:created>
  <dcterms:modified xsi:type="dcterms:W3CDTF">2019-08-28T16:49:21Z</dcterms:modified>
</cp:coreProperties>
</file>