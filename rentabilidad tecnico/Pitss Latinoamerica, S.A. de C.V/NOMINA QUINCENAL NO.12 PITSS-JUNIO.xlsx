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aguilar\Documents\PITSS\rentabilidad tecnico\Pitss Latinoamerica, S.A. de C.V\"/>
    </mc:Choice>
  </mc:AlternateContent>
  <xr:revisionPtr revIDLastSave="0" documentId="13_ncr:1_{8BD1AAF9-1453-489C-A68E-4A485DE6855C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CPD PITSS" sheetId="1" r:id="rId1"/>
    <sheet name="IP PITSS" sheetId="6" r:id="rId2"/>
    <sheet name="SIND PITS" sheetId="2" r:id="rId3"/>
    <sheet name="EXTRAS Y FESTIVOS" sheetId="7" state="hidden" r:id="rId4"/>
    <sheet name="RESUMEN PITS" sheetId="3" r:id="rId5"/>
    <sheet name="FACTURACION" sheetId="4" r:id="rId6"/>
    <sheet name="ASIMILADOS" sheetId="5" state="hidden" r:id="rId7"/>
  </sheets>
  <definedNames>
    <definedName name="_xlnm._FilterDatabase" localSheetId="0" hidden="1">'CPD PITSS'!$A$8:$AG$8</definedName>
    <definedName name="_xlnm._FilterDatabase" localSheetId="3" hidden="1">'EXTRAS Y FESTIVOS'!$A$8:$AC$113</definedName>
    <definedName name="_xlnm._FilterDatabase" localSheetId="1" hidden="1">'IP PITSS'!$A$8:$AF$8</definedName>
    <definedName name="_xlnm._FilterDatabase" localSheetId="4" hidden="1">'RESUMEN PITS'!$A$8:$X$115</definedName>
    <definedName name="_xlnm._FilterDatabase" localSheetId="2" hidden="1">'SIND PITS'!$B$8:$J$112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9" i="3" l="1"/>
  <c r="J103" i="6"/>
  <c r="J104" i="6" s="1"/>
  <c r="O47" i="1"/>
  <c r="P44" i="1"/>
  <c r="O48" i="1"/>
  <c r="P50" i="1"/>
  <c r="O50" i="1"/>
  <c r="M36" i="1"/>
  <c r="M37" i="1" s="1"/>
  <c r="J101" i="6"/>
  <c r="J107" i="6"/>
  <c r="J106" i="6"/>
  <c r="J102" i="6"/>
  <c r="J99" i="6"/>
  <c r="J100" i="6"/>
  <c r="L117" i="2" l="1"/>
  <c r="H116" i="2"/>
  <c r="M116" i="2" s="1"/>
  <c r="L109" i="6"/>
  <c r="L110" i="6" s="1"/>
  <c r="K107" i="6"/>
  <c r="K103" i="6"/>
  <c r="K104" i="6" s="1"/>
  <c r="L104" i="6"/>
  <c r="L105" i="6" s="1"/>
  <c r="O115" i="6"/>
  <c r="N115" i="6"/>
  <c r="M115" i="6"/>
  <c r="L115" i="6"/>
  <c r="O40" i="1"/>
  <c r="O37" i="1"/>
  <c r="O36" i="1"/>
  <c r="O38" i="1" s="1"/>
  <c r="O41" i="1" s="1"/>
  <c r="N36" i="1"/>
  <c r="O33" i="1"/>
  <c r="O44" i="1" l="1"/>
  <c r="O42" i="1"/>
  <c r="O43" i="1" s="1"/>
  <c r="L119" i="2"/>
  <c r="L122" i="2" s="1"/>
  <c r="L118" i="2"/>
  <c r="K105" i="6"/>
  <c r="K108" i="6" s="1"/>
  <c r="L123" i="2" l="1"/>
  <c r="L126" i="2"/>
  <c r="L124" i="2"/>
  <c r="K109" i="6"/>
  <c r="K110" i="6" s="1"/>
  <c r="K111" i="6"/>
  <c r="R47" i="1"/>
  <c r="Q47" i="1"/>
  <c r="P47" i="1"/>
  <c r="D84" i="2"/>
  <c r="D85" i="2"/>
  <c r="D97" i="2"/>
  <c r="R117" i="2" l="1"/>
  <c r="I25" i="4" s="1"/>
  <c r="Q117" i="2"/>
  <c r="P117" i="2"/>
  <c r="S117" i="2"/>
  <c r="J25" i="4" s="1"/>
  <c r="H25" i="4"/>
  <c r="M117" i="6"/>
  <c r="L117" i="6"/>
  <c r="O117" i="6"/>
  <c r="N117" i="6"/>
  <c r="E81" i="2"/>
  <c r="G25" i="4" l="1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R111" i="3"/>
  <c r="R110" i="3"/>
  <c r="R109" i="3"/>
  <c r="R108" i="3"/>
  <c r="R107" i="3"/>
  <c r="R106" i="3"/>
  <c r="R105" i="3"/>
  <c r="R104" i="3"/>
  <c r="R103" i="3"/>
  <c r="R102" i="3"/>
  <c r="R101" i="3"/>
  <c r="R100" i="3"/>
  <c r="R99" i="3"/>
  <c r="R98" i="3"/>
  <c r="R97" i="3"/>
  <c r="R96" i="3"/>
  <c r="R95" i="3"/>
  <c r="R94" i="3"/>
  <c r="R93" i="3"/>
  <c r="R92" i="3"/>
  <c r="R91" i="3"/>
  <c r="R90" i="3"/>
  <c r="R89" i="3"/>
  <c r="R88" i="3"/>
  <c r="R87" i="3"/>
  <c r="R86" i="3"/>
  <c r="R85" i="3"/>
  <c r="R84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9" i="3"/>
  <c r="R68" i="3"/>
  <c r="R67" i="3"/>
  <c r="R66" i="3"/>
  <c r="R65" i="3"/>
  <c r="R64" i="3"/>
  <c r="R63" i="3"/>
  <c r="R62" i="3"/>
  <c r="R61" i="3"/>
  <c r="R60" i="3"/>
  <c r="R59" i="3"/>
  <c r="R58" i="3"/>
  <c r="R57" i="3"/>
  <c r="R56" i="3"/>
  <c r="R55" i="3"/>
  <c r="R54" i="3"/>
  <c r="R53" i="3"/>
  <c r="R52" i="3"/>
  <c r="R51" i="3"/>
  <c r="R50" i="3"/>
  <c r="R49" i="3"/>
  <c r="R48" i="3"/>
  <c r="R47" i="3"/>
  <c r="R46" i="3"/>
  <c r="R45" i="3"/>
  <c r="R44" i="3"/>
  <c r="R43" i="3"/>
  <c r="R42" i="3"/>
  <c r="R41" i="3"/>
  <c r="R40" i="3"/>
  <c r="R39" i="3"/>
  <c r="R38" i="3"/>
  <c r="R37" i="3"/>
  <c r="R36" i="3"/>
  <c r="R35" i="3"/>
  <c r="R34" i="3"/>
  <c r="R33" i="3"/>
  <c r="R32" i="3"/>
  <c r="R31" i="3"/>
  <c r="R30" i="3"/>
  <c r="R29" i="3"/>
  <c r="R28" i="3"/>
  <c r="R27" i="3"/>
  <c r="Q111" i="3"/>
  <c r="Q110" i="3"/>
  <c r="Q109" i="3"/>
  <c r="Q108" i="3"/>
  <c r="Q107" i="3"/>
  <c r="Q106" i="3"/>
  <c r="Q105" i="3"/>
  <c r="Q104" i="3"/>
  <c r="Q103" i="3"/>
  <c r="Q102" i="3"/>
  <c r="Q101" i="3"/>
  <c r="Q100" i="3"/>
  <c r="Q99" i="3"/>
  <c r="Q98" i="3"/>
  <c r="Q97" i="3"/>
  <c r="Q96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 l="1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M111" i="3"/>
  <c r="H111" i="3"/>
  <c r="G111" i="3"/>
  <c r="F111" i="3"/>
  <c r="M110" i="3"/>
  <c r="H110" i="3"/>
  <c r="G110" i="3"/>
  <c r="F110" i="3"/>
  <c r="M109" i="3"/>
  <c r="H109" i="3"/>
  <c r="G109" i="3"/>
  <c r="Y113" i="3"/>
  <c r="X113" i="3"/>
  <c r="U113" i="3"/>
  <c r="T113" i="3"/>
  <c r="R113" i="3"/>
  <c r="N113" i="3"/>
  <c r="L113" i="3"/>
  <c r="J113" i="3"/>
  <c r="E113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S111" i="7"/>
  <c r="Q111" i="7"/>
  <c r="N111" i="7"/>
  <c r="L111" i="7"/>
  <c r="F111" i="7"/>
  <c r="G111" i="7" s="1"/>
  <c r="D111" i="7"/>
  <c r="AF111" i="7" s="1"/>
  <c r="C111" i="7"/>
  <c r="I111" i="7" s="1"/>
  <c r="S110" i="7"/>
  <c r="Q110" i="7"/>
  <c r="N110" i="7"/>
  <c r="L110" i="7"/>
  <c r="F110" i="7"/>
  <c r="G110" i="7" s="1"/>
  <c r="AE110" i="7" s="1"/>
  <c r="D110" i="7"/>
  <c r="AF110" i="7" s="1"/>
  <c r="C110" i="7"/>
  <c r="I110" i="7" s="1"/>
  <c r="S109" i="7"/>
  <c r="Q109" i="7"/>
  <c r="N109" i="7"/>
  <c r="L109" i="7"/>
  <c r="F109" i="7"/>
  <c r="G109" i="7" s="1"/>
  <c r="D109" i="7"/>
  <c r="AF109" i="7" s="1"/>
  <c r="C109" i="7"/>
  <c r="I109" i="7" s="1"/>
  <c r="AG110" i="7" l="1"/>
  <c r="D113" i="3"/>
  <c r="Q113" i="3"/>
  <c r="O113" i="3"/>
  <c r="J110" i="7"/>
  <c r="S110" i="3" s="1"/>
  <c r="R109" i="7"/>
  <c r="T109" i="7" s="1"/>
  <c r="G97" i="2" s="1"/>
  <c r="M109" i="7"/>
  <c r="O109" i="7" s="1"/>
  <c r="AE109" i="7"/>
  <c r="AG109" i="7" s="1"/>
  <c r="R111" i="7"/>
  <c r="T111" i="7" s="1"/>
  <c r="G80" i="2" s="1"/>
  <c r="M111" i="7"/>
  <c r="O111" i="7" s="1"/>
  <c r="AE111" i="7"/>
  <c r="AG111" i="7" s="1"/>
  <c r="J109" i="7"/>
  <c r="S109" i="3" s="1"/>
  <c r="J111" i="7"/>
  <c r="S111" i="3" s="1"/>
  <c r="R110" i="7"/>
  <c r="T110" i="7" s="1"/>
  <c r="G85" i="2" s="1"/>
  <c r="M110" i="7"/>
  <c r="O110" i="7" s="1"/>
  <c r="H80" i="2" l="1"/>
  <c r="I111" i="3"/>
  <c r="H85" i="2"/>
  <c r="I110" i="3"/>
  <c r="I109" i="3"/>
  <c r="P109" i="3" l="1"/>
  <c r="P110" i="3"/>
  <c r="K110" i="3"/>
  <c r="P111" i="3"/>
  <c r="K111" i="3"/>
  <c r="I113" i="2" l="1"/>
  <c r="AF93" i="6" l="1"/>
  <c r="AF92" i="6"/>
  <c r="AF91" i="6"/>
  <c r="S108" i="7" l="1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Q108" i="7"/>
  <c r="Q107" i="7"/>
  <c r="R107" i="7" s="1"/>
  <c r="T107" i="7" s="1"/>
  <c r="G59" i="2" s="1"/>
  <c r="H59" i="2" s="1"/>
  <c r="Q106" i="7"/>
  <c r="Q105" i="7"/>
  <c r="Q104" i="7"/>
  <c r="Q103" i="7"/>
  <c r="R103" i="7" s="1"/>
  <c r="T103" i="7" s="1"/>
  <c r="G111" i="2" s="1"/>
  <c r="H111" i="2" s="1"/>
  <c r="Q102" i="7"/>
  <c r="Q101" i="7"/>
  <c r="Q100" i="7"/>
  <c r="Q99" i="7"/>
  <c r="R99" i="7" s="1"/>
  <c r="Q98" i="7"/>
  <c r="Q97" i="7"/>
  <c r="Q96" i="7"/>
  <c r="Q95" i="7"/>
  <c r="R95" i="7" s="1"/>
  <c r="T95" i="7" s="1"/>
  <c r="G100" i="2" s="1"/>
  <c r="H100" i="2" s="1"/>
  <c r="Q94" i="7"/>
  <c r="Q93" i="7"/>
  <c r="Q92" i="7"/>
  <c r="Q91" i="7"/>
  <c r="R91" i="7" s="1"/>
  <c r="T91" i="7" s="1"/>
  <c r="G94" i="2" s="1"/>
  <c r="H94" i="2" s="1"/>
  <c r="Q90" i="7"/>
  <c r="Q89" i="7"/>
  <c r="Q88" i="7"/>
  <c r="Q87" i="7"/>
  <c r="R87" i="7" s="1"/>
  <c r="T87" i="7" s="1"/>
  <c r="G89" i="2" s="1"/>
  <c r="H89" i="2" s="1"/>
  <c r="Q86" i="7"/>
  <c r="Q85" i="7"/>
  <c r="Q84" i="7"/>
  <c r="Q83" i="7"/>
  <c r="R83" i="7" s="1"/>
  <c r="T83" i="7" s="1"/>
  <c r="G83" i="2" s="1"/>
  <c r="H83" i="2" s="1"/>
  <c r="Q82" i="7"/>
  <c r="Q81" i="7"/>
  <c r="Q80" i="7"/>
  <c r="Q79" i="7"/>
  <c r="R79" i="7" s="1"/>
  <c r="T79" i="7" s="1"/>
  <c r="G76" i="2" s="1"/>
  <c r="H76" i="2" s="1"/>
  <c r="Q78" i="7"/>
  <c r="Q77" i="7"/>
  <c r="Q76" i="7"/>
  <c r="Q75" i="7"/>
  <c r="R75" i="7" s="1"/>
  <c r="T75" i="7" s="1"/>
  <c r="G73" i="2" s="1"/>
  <c r="H73" i="2" s="1"/>
  <c r="Q74" i="7"/>
  <c r="Q73" i="7"/>
  <c r="Q72" i="7"/>
  <c r="Q71" i="7"/>
  <c r="R71" i="7" s="1"/>
  <c r="T71" i="7" s="1"/>
  <c r="G69" i="2" s="1"/>
  <c r="H69" i="2" s="1"/>
  <c r="Q70" i="7"/>
  <c r="Q69" i="7"/>
  <c r="Q68" i="7"/>
  <c r="Q67" i="7"/>
  <c r="R67" i="7" s="1"/>
  <c r="T67" i="7" s="1"/>
  <c r="G65" i="2" s="1"/>
  <c r="H65" i="2" s="1"/>
  <c r="Q66" i="7"/>
  <c r="Q65" i="7"/>
  <c r="Q64" i="7"/>
  <c r="Q63" i="7"/>
  <c r="R63" i="7" s="1"/>
  <c r="T63" i="7" s="1"/>
  <c r="G57" i="2" s="1"/>
  <c r="H57" i="2" s="1"/>
  <c r="Q62" i="7"/>
  <c r="Q61" i="7"/>
  <c r="Q60" i="7"/>
  <c r="Q59" i="7"/>
  <c r="R59" i="7" s="1"/>
  <c r="T59" i="7" s="1"/>
  <c r="G52" i="2" s="1"/>
  <c r="H52" i="2" s="1"/>
  <c r="Q58" i="7"/>
  <c r="Q57" i="7"/>
  <c r="Q56" i="7"/>
  <c r="Q55" i="7"/>
  <c r="R55" i="7" s="1"/>
  <c r="T55" i="7" s="1"/>
  <c r="G46" i="2" s="1"/>
  <c r="H46" i="2" s="1"/>
  <c r="Q54" i="7"/>
  <c r="Q53" i="7"/>
  <c r="Q52" i="7"/>
  <c r="Q51" i="7"/>
  <c r="R51" i="7" s="1"/>
  <c r="T51" i="7" s="1"/>
  <c r="G41" i="2" s="1"/>
  <c r="H41" i="2" s="1"/>
  <c r="Q50" i="7"/>
  <c r="Q49" i="7"/>
  <c r="Q48" i="7"/>
  <c r="Q47" i="7"/>
  <c r="R47" i="7" s="1"/>
  <c r="T47" i="7" s="1"/>
  <c r="G37" i="2" s="1"/>
  <c r="H37" i="2" s="1"/>
  <c r="Q46" i="7"/>
  <c r="Q45" i="7"/>
  <c r="Q44" i="7"/>
  <c r="Q43" i="7"/>
  <c r="R43" i="7" s="1"/>
  <c r="T43" i="7" s="1"/>
  <c r="G32" i="2" s="1"/>
  <c r="H32" i="2" s="1"/>
  <c r="Q42" i="7"/>
  <c r="Q41" i="7"/>
  <c r="Q40" i="7"/>
  <c r="Q39" i="7"/>
  <c r="R39" i="7" s="1"/>
  <c r="T39" i="7" s="1"/>
  <c r="G28" i="2" s="1"/>
  <c r="H28" i="2" s="1"/>
  <c r="Q38" i="7"/>
  <c r="Q37" i="7"/>
  <c r="Q36" i="7"/>
  <c r="Q35" i="7"/>
  <c r="R35" i="7" s="1"/>
  <c r="T35" i="7" s="1"/>
  <c r="G24" i="2" s="1"/>
  <c r="H24" i="2" s="1"/>
  <c r="Q34" i="7"/>
  <c r="Q33" i="7"/>
  <c r="Q32" i="7"/>
  <c r="Q31" i="7"/>
  <c r="R31" i="7" s="1"/>
  <c r="T31" i="7" s="1"/>
  <c r="G16" i="2" s="1"/>
  <c r="H16" i="2" s="1"/>
  <c r="Q30" i="7"/>
  <c r="Q29" i="7"/>
  <c r="Q28" i="7"/>
  <c r="Q27" i="7"/>
  <c r="R27" i="7" s="1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N108" i="7"/>
  <c r="N107" i="7"/>
  <c r="N106" i="7"/>
  <c r="N105" i="7"/>
  <c r="N104" i="7"/>
  <c r="N103" i="7"/>
  <c r="N102" i="7"/>
  <c r="N101" i="7"/>
  <c r="N100" i="7"/>
  <c r="N99" i="7"/>
  <c r="N98" i="7"/>
  <c r="N97" i="7"/>
  <c r="N96" i="7"/>
  <c r="N95" i="7"/>
  <c r="N94" i="7"/>
  <c r="N93" i="7"/>
  <c r="N92" i="7"/>
  <c r="N91" i="7"/>
  <c r="N90" i="7"/>
  <c r="N89" i="7"/>
  <c r="N88" i="7"/>
  <c r="N87" i="7"/>
  <c r="N86" i="7"/>
  <c r="N85" i="7"/>
  <c r="N84" i="7"/>
  <c r="N83" i="7"/>
  <c r="N82" i="7"/>
  <c r="N81" i="7"/>
  <c r="N80" i="7"/>
  <c r="N79" i="7"/>
  <c r="N78" i="7"/>
  <c r="N77" i="7"/>
  <c r="N76" i="7"/>
  <c r="N75" i="7"/>
  <c r="N74" i="7"/>
  <c r="N73" i="7"/>
  <c r="N72" i="7"/>
  <c r="N71" i="7"/>
  <c r="N70" i="7"/>
  <c r="N69" i="7"/>
  <c r="N68" i="7"/>
  <c r="N67" i="7"/>
  <c r="N66" i="7"/>
  <c r="N65" i="7"/>
  <c r="N64" i="7"/>
  <c r="N63" i="7"/>
  <c r="N62" i="7"/>
  <c r="N61" i="7"/>
  <c r="N60" i="7"/>
  <c r="N59" i="7"/>
  <c r="N58" i="7"/>
  <c r="N57" i="7"/>
  <c r="N56" i="7"/>
  <c r="N55" i="7"/>
  <c r="N54" i="7"/>
  <c r="N53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F108" i="7"/>
  <c r="G108" i="7" s="1"/>
  <c r="F107" i="7"/>
  <c r="G107" i="7" s="1"/>
  <c r="AE107" i="7" s="1"/>
  <c r="F106" i="7"/>
  <c r="G106" i="7" s="1"/>
  <c r="AE106" i="7" s="1"/>
  <c r="F105" i="7"/>
  <c r="G105" i="7" s="1"/>
  <c r="AE105" i="7" s="1"/>
  <c r="F104" i="7"/>
  <c r="G104" i="7" s="1"/>
  <c r="F103" i="7"/>
  <c r="G103" i="7" s="1"/>
  <c r="AE103" i="7" s="1"/>
  <c r="F102" i="7"/>
  <c r="G102" i="7" s="1"/>
  <c r="F101" i="7"/>
  <c r="G101" i="7" s="1"/>
  <c r="AE101" i="7" s="1"/>
  <c r="F100" i="7"/>
  <c r="G100" i="7" s="1"/>
  <c r="F99" i="7"/>
  <c r="G99" i="7" s="1"/>
  <c r="AE99" i="7" s="1"/>
  <c r="F98" i="7"/>
  <c r="G98" i="7" s="1"/>
  <c r="F97" i="7"/>
  <c r="G97" i="7" s="1"/>
  <c r="AE97" i="7" s="1"/>
  <c r="F96" i="7"/>
  <c r="G96" i="7" s="1"/>
  <c r="AE96" i="7" s="1"/>
  <c r="F95" i="7"/>
  <c r="G95" i="7" s="1"/>
  <c r="AE95" i="7" s="1"/>
  <c r="F94" i="7"/>
  <c r="G94" i="7" s="1"/>
  <c r="F93" i="7"/>
  <c r="G93" i="7" s="1"/>
  <c r="AE93" i="7" s="1"/>
  <c r="F92" i="7"/>
  <c r="G92" i="7" s="1"/>
  <c r="F91" i="7"/>
  <c r="G91" i="7" s="1"/>
  <c r="AE91" i="7" s="1"/>
  <c r="F90" i="7"/>
  <c r="G90" i="7" s="1"/>
  <c r="AE90" i="7" s="1"/>
  <c r="F89" i="7"/>
  <c r="G89" i="7" s="1"/>
  <c r="AE89" i="7" s="1"/>
  <c r="F88" i="7"/>
  <c r="G88" i="7" s="1"/>
  <c r="F87" i="7"/>
  <c r="G87" i="7" s="1"/>
  <c r="AE87" i="7" s="1"/>
  <c r="F86" i="7"/>
  <c r="G86" i="7" s="1"/>
  <c r="F85" i="7"/>
  <c r="G85" i="7" s="1"/>
  <c r="AE85" i="7" s="1"/>
  <c r="F84" i="7"/>
  <c r="G84" i="7" s="1"/>
  <c r="F83" i="7"/>
  <c r="G83" i="7" s="1"/>
  <c r="AE83" i="7" s="1"/>
  <c r="F82" i="7"/>
  <c r="G82" i="7" s="1"/>
  <c r="F81" i="7"/>
  <c r="G81" i="7" s="1"/>
  <c r="AE81" i="7" s="1"/>
  <c r="F80" i="7"/>
  <c r="G80" i="7" s="1"/>
  <c r="AE80" i="7" s="1"/>
  <c r="F79" i="7"/>
  <c r="G79" i="7" s="1"/>
  <c r="F78" i="7"/>
  <c r="G78" i="7" s="1"/>
  <c r="F77" i="7"/>
  <c r="G77" i="7" s="1"/>
  <c r="AE77" i="7" s="1"/>
  <c r="F76" i="7"/>
  <c r="G76" i="7" s="1"/>
  <c r="F75" i="7"/>
  <c r="G75" i="7" s="1"/>
  <c r="AE75" i="7" s="1"/>
  <c r="F74" i="7"/>
  <c r="G74" i="7" s="1"/>
  <c r="AE74" i="7" s="1"/>
  <c r="F73" i="7"/>
  <c r="G73" i="7" s="1"/>
  <c r="AE73" i="7" s="1"/>
  <c r="F72" i="7"/>
  <c r="G72" i="7" s="1"/>
  <c r="J72" i="7" s="1"/>
  <c r="S75" i="3" s="1"/>
  <c r="F71" i="7"/>
  <c r="G71" i="7" s="1"/>
  <c r="F70" i="7"/>
  <c r="G70" i="7" s="1"/>
  <c r="F69" i="7"/>
  <c r="G69" i="7" s="1"/>
  <c r="AE69" i="7" s="1"/>
  <c r="F68" i="7"/>
  <c r="G68" i="7" s="1"/>
  <c r="F67" i="7"/>
  <c r="G67" i="7" s="1"/>
  <c r="AE67" i="7" s="1"/>
  <c r="F66" i="7"/>
  <c r="G66" i="7" s="1"/>
  <c r="F65" i="7"/>
  <c r="G65" i="7" s="1"/>
  <c r="AE65" i="7" s="1"/>
  <c r="F64" i="7"/>
  <c r="G64" i="7" s="1"/>
  <c r="AE64" i="7" s="1"/>
  <c r="F63" i="7"/>
  <c r="G63" i="7" s="1"/>
  <c r="AE63" i="7" s="1"/>
  <c r="F62" i="7"/>
  <c r="G62" i="7" s="1"/>
  <c r="F61" i="7"/>
  <c r="G61" i="7" s="1"/>
  <c r="F60" i="7"/>
  <c r="G60" i="7" s="1"/>
  <c r="F59" i="7"/>
  <c r="G59" i="7" s="1"/>
  <c r="AE59" i="7" s="1"/>
  <c r="F58" i="7"/>
  <c r="G58" i="7" s="1"/>
  <c r="AE58" i="7" s="1"/>
  <c r="F57" i="7"/>
  <c r="G57" i="7" s="1"/>
  <c r="F56" i="7"/>
  <c r="G56" i="7" s="1"/>
  <c r="F55" i="7"/>
  <c r="G55" i="7" s="1"/>
  <c r="AE55" i="7" s="1"/>
  <c r="F54" i="7"/>
  <c r="G54" i="7" s="1"/>
  <c r="F53" i="7"/>
  <c r="G53" i="7" s="1"/>
  <c r="AE53" i="7" s="1"/>
  <c r="F52" i="7"/>
  <c r="G52" i="7" s="1"/>
  <c r="F51" i="7"/>
  <c r="G51" i="7" s="1"/>
  <c r="AE51" i="7" s="1"/>
  <c r="F50" i="7"/>
  <c r="G50" i="7" s="1"/>
  <c r="F49" i="7"/>
  <c r="G49" i="7" s="1"/>
  <c r="F48" i="7"/>
  <c r="G48" i="7" s="1"/>
  <c r="AE48" i="7" s="1"/>
  <c r="F47" i="7"/>
  <c r="G47" i="7" s="1"/>
  <c r="AE47" i="7" s="1"/>
  <c r="F46" i="7"/>
  <c r="G46" i="7" s="1"/>
  <c r="F45" i="7"/>
  <c r="G45" i="7" s="1"/>
  <c r="F44" i="7"/>
  <c r="G44" i="7" s="1"/>
  <c r="F43" i="7"/>
  <c r="G43" i="7" s="1"/>
  <c r="AE43" i="7" s="1"/>
  <c r="F42" i="7"/>
  <c r="G42" i="7" s="1"/>
  <c r="AE42" i="7" s="1"/>
  <c r="F41" i="7"/>
  <c r="G41" i="7" s="1"/>
  <c r="F40" i="7"/>
  <c r="G40" i="7" s="1"/>
  <c r="F39" i="7"/>
  <c r="G39" i="7" s="1"/>
  <c r="AE39" i="7" s="1"/>
  <c r="F38" i="7"/>
  <c r="G38" i="7" s="1"/>
  <c r="F37" i="7"/>
  <c r="G37" i="7" s="1"/>
  <c r="AE37" i="7" s="1"/>
  <c r="F36" i="7"/>
  <c r="G36" i="7" s="1"/>
  <c r="F35" i="7"/>
  <c r="G35" i="7" s="1"/>
  <c r="AE35" i="7" s="1"/>
  <c r="F34" i="7"/>
  <c r="G34" i="7" s="1"/>
  <c r="F33" i="7"/>
  <c r="G33" i="7" s="1"/>
  <c r="J33" i="7" s="1"/>
  <c r="S50" i="3" s="1"/>
  <c r="F32" i="7"/>
  <c r="G32" i="7" s="1"/>
  <c r="AE32" i="7" s="1"/>
  <c r="F31" i="7"/>
  <c r="G31" i="7" s="1"/>
  <c r="AE31" i="7" s="1"/>
  <c r="F30" i="7"/>
  <c r="G30" i="7" s="1"/>
  <c r="F29" i="7"/>
  <c r="G29" i="7" s="1"/>
  <c r="F28" i="7"/>
  <c r="G28" i="7" s="1"/>
  <c r="AE28" i="7" s="1"/>
  <c r="F27" i="7"/>
  <c r="G27" i="7" s="1"/>
  <c r="AE27" i="7" s="1"/>
  <c r="F26" i="7"/>
  <c r="G26" i="7" s="1"/>
  <c r="AE26" i="7" s="1"/>
  <c r="F25" i="7"/>
  <c r="G25" i="7" s="1"/>
  <c r="AE25" i="7" s="1"/>
  <c r="F24" i="7"/>
  <c r="G24" i="7" s="1"/>
  <c r="F23" i="7"/>
  <c r="G23" i="7" s="1"/>
  <c r="AE23" i="7" s="1"/>
  <c r="F22" i="7"/>
  <c r="G22" i="7" s="1"/>
  <c r="F21" i="7"/>
  <c r="G21" i="7" s="1"/>
  <c r="AE21" i="7" s="1"/>
  <c r="F20" i="7"/>
  <c r="G20" i="7" s="1"/>
  <c r="AE20" i="7" s="1"/>
  <c r="F19" i="7"/>
  <c r="G19" i="7" s="1"/>
  <c r="F18" i="7"/>
  <c r="G18" i="7" s="1"/>
  <c r="AE18" i="7" s="1"/>
  <c r="F17" i="7"/>
  <c r="G17" i="7" s="1"/>
  <c r="AE17" i="7" s="1"/>
  <c r="F16" i="7"/>
  <c r="G16" i="7" s="1"/>
  <c r="F15" i="7"/>
  <c r="G15" i="7" s="1"/>
  <c r="AE15" i="7" s="1"/>
  <c r="F14" i="7"/>
  <c r="G14" i="7" s="1"/>
  <c r="F13" i="7"/>
  <c r="G13" i="7" s="1"/>
  <c r="AE13" i="7" s="1"/>
  <c r="F12" i="7"/>
  <c r="G12" i="7" s="1"/>
  <c r="F11" i="7"/>
  <c r="G11" i="7" s="1"/>
  <c r="F10" i="7"/>
  <c r="G10" i="7" s="1"/>
  <c r="F9" i="7"/>
  <c r="D108" i="7"/>
  <c r="AF108" i="7" s="1"/>
  <c r="D107" i="7"/>
  <c r="AF107" i="7" s="1"/>
  <c r="D106" i="7"/>
  <c r="AF106" i="7" s="1"/>
  <c r="AG106" i="7" s="1"/>
  <c r="D105" i="7"/>
  <c r="AF105" i="7" s="1"/>
  <c r="D104" i="7"/>
  <c r="AF104" i="7" s="1"/>
  <c r="D103" i="7"/>
  <c r="AF103" i="7" s="1"/>
  <c r="D102" i="7"/>
  <c r="AF102" i="7" s="1"/>
  <c r="D101" i="7"/>
  <c r="AF101" i="7" s="1"/>
  <c r="D100" i="7"/>
  <c r="AF100" i="7" s="1"/>
  <c r="D99" i="7"/>
  <c r="AF99" i="7" s="1"/>
  <c r="D98" i="7"/>
  <c r="AF98" i="7" s="1"/>
  <c r="D97" i="7"/>
  <c r="AF97" i="7" s="1"/>
  <c r="D96" i="7"/>
  <c r="AF96" i="7" s="1"/>
  <c r="D95" i="7"/>
  <c r="AF95" i="7" s="1"/>
  <c r="D94" i="7"/>
  <c r="AF94" i="7" s="1"/>
  <c r="D93" i="7"/>
  <c r="AF93" i="7" s="1"/>
  <c r="D92" i="7"/>
  <c r="AF92" i="7" s="1"/>
  <c r="D91" i="7"/>
  <c r="AF91" i="7" s="1"/>
  <c r="D90" i="7"/>
  <c r="AF90" i="7" s="1"/>
  <c r="AG90" i="7" s="1"/>
  <c r="D89" i="7"/>
  <c r="AF89" i="7" s="1"/>
  <c r="D88" i="7"/>
  <c r="AF88" i="7" s="1"/>
  <c r="D87" i="7"/>
  <c r="AF87" i="7" s="1"/>
  <c r="D86" i="7"/>
  <c r="AF86" i="7" s="1"/>
  <c r="D85" i="7"/>
  <c r="AF85" i="7" s="1"/>
  <c r="D84" i="7"/>
  <c r="AF84" i="7" s="1"/>
  <c r="D83" i="7"/>
  <c r="AF83" i="7" s="1"/>
  <c r="D82" i="7"/>
  <c r="AF82" i="7" s="1"/>
  <c r="D81" i="7"/>
  <c r="AF81" i="7" s="1"/>
  <c r="D80" i="7"/>
  <c r="AF80" i="7" s="1"/>
  <c r="D79" i="7"/>
  <c r="AF79" i="7" s="1"/>
  <c r="D78" i="7"/>
  <c r="AF78" i="7" s="1"/>
  <c r="D77" i="7"/>
  <c r="AF77" i="7" s="1"/>
  <c r="D76" i="7"/>
  <c r="AF76" i="7" s="1"/>
  <c r="D75" i="7"/>
  <c r="AF75" i="7" s="1"/>
  <c r="D74" i="7"/>
  <c r="AF74" i="7" s="1"/>
  <c r="AG74" i="7" s="1"/>
  <c r="D73" i="7"/>
  <c r="AF73" i="7" s="1"/>
  <c r="D72" i="7"/>
  <c r="AF72" i="7" s="1"/>
  <c r="D71" i="7"/>
  <c r="AF71" i="7" s="1"/>
  <c r="D70" i="7"/>
  <c r="AF70" i="7" s="1"/>
  <c r="D69" i="7"/>
  <c r="AF69" i="7" s="1"/>
  <c r="D68" i="7"/>
  <c r="AF68" i="7" s="1"/>
  <c r="D67" i="7"/>
  <c r="AF67" i="7" s="1"/>
  <c r="D66" i="7"/>
  <c r="AF66" i="7" s="1"/>
  <c r="D65" i="7"/>
  <c r="AF65" i="7" s="1"/>
  <c r="D64" i="7"/>
  <c r="AF64" i="7" s="1"/>
  <c r="D63" i="7"/>
  <c r="AF63" i="7" s="1"/>
  <c r="D62" i="7"/>
  <c r="AF62" i="7" s="1"/>
  <c r="D61" i="7"/>
  <c r="AF61" i="7" s="1"/>
  <c r="D60" i="7"/>
  <c r="AF60" i="7" s="1"/>
  <c r="D59" i="7"/>
  <c r="AF59" i="7" s="1"/>
  <c r="D58" i="7"/>
  <c r="AF58" i="7" s="1"/>
  <c r="AG58" i="7" s="1"/>
  <c r="D57" i="7"/>
  <c r="AF57" i="7" s="1"/>
  <c r="D56" i="7"/>
  <c r="AF56" i="7" s="1"/>
  <c r="D55" i="7"/>
  <c r="AF55" i="7" s="1"/>
  <c r="D54" i="7"/>
  <c r="AF54" i="7" s="1"/>
  <c r="D53" i="7"/>
  <c r="AF53" i="7" s="1"/>
  <c r="D52" i="7"/>
  <c r="AF52" i="7" s="1"/>
  <c r="D51" i="7"/>
  <c r="AF51" i="7" s="1"/>
  <c r="D50" i="7"/>
  <c r="AF50" i="7" s="1"/>
  <c r="D49" i="7"/>
  <c r="AF49" i="7" s="1"/>
  <c r="D48" i="7"/>
  <c r="AF48" i="7" s="1"/>
  <c r="D47" i="7"/>
  <c r="AF47" i="7" s="1"/>
  <c r="D46" i="7"/>
  <c r="AF46" i="7" s="1"/>
  <c r="D45" i="7"/>
  <c r="AF45" i="7" s="1"/>
  <c r="D44" i="7"/>
  <c r="AF44" i="7" s="1"/>
  <c r="D43" i="7"/>
  <c r="AF43" i="7" s="1"/>
  <c r="D42" i="7"/>
  <c r="AF42" i="7" s="1"/>
  <c r="AG42" i="7" s="1"/>
  <c r="D41" i="7"/>
  <c r="AF41" i="7" s="1"/>
  <c r="D40" i="7"/>
  <c r="AF40" i="7" s="1"/>
  <c r="D39" i="7"/>
  <c r="AF39" i="7" s="1"/>
  <c r="D38" i="7"/>
  <c r="AF38" i="7" s="1"/>
  <c r="D37" i="7"/>
  <c r="AF37" i="7" s="1"/>
  <c r="D36" i="7"/>
  <c r="AF36" i="7" s="1"/>
  <c r="D35" i="7"/>
  <c r="AF35" i="7" s="1"/>
  <c r="D34" i="7"/>
  <c r="AF34" i="7" s="1"/>
  <c r="D33" i="7"/>
  <c r="AF33" i="7" s="1"/>
  <c r="D32" i="7"/>
  <c r="AF32" i="7" s="1"/>
  <c r="D31" i="7"/>
  <c r="AF31" i="7" s="1"/>
  <c r="D30" i="7"/>
  <c r="AF30" i="7" s="1"/>
  <c r="D29" i="7"/>
  <c r="AF29" i="7" s="1"/>
  <c r="D28" i="7"/>
  <c r="AF28" i="7" s="1"/>
  <c r="D27" i="7"/>
  <c r="AF27" i="7" s="1"/>
  <c r="D26" i="7"/>
  <c r="AF26" i="7" s="1"/>
  <c r="AG26" i="7" s="1"/>
  <c r="D25" i="7"/>
  <c r="AF25" i="7" s="1"/>
  <c r="D24" i="7"/>
  <c r="AF24" i="7" s="1"/>
  <c r="D23" i="7"/>
  <c r="AF23" i="7" s="1"/>
  <c r="D22" i="7"/>
  <c r="AF22" i="7" s="1"/>
  <c r="D21" i="7"/>
  <c r="AF21" i="7" s="1"/>
  <c r="D20" i="7"/>
  <c r="AF20" i="7" s="1"/>
  <c r="D19" i="7"/>
  <c r="AF19" i="7" s="1"/>
  <c r="D18" i="7"/>
  <c r="AF18" i="7" s="1"/>
  <c r="AG18" i="7" s="1"/>
  <c r="D17" i="7"/>
  <c r="AF17" i="7" s="1"/>
  <c r="D16" i="7"/>
  <c r="AF16" i="7" s="1"/>
  <c r="D15" i="7"/>
  <c r="AF15" i="7" s="1"/>
  <c r="D14" i="7"/>
  <c r="AF14" i="7" s="1"/>
  <c r="D13" i="7"/>
  <c r="AF13" i="7" s="1"/>
  <c r="D12" i="7"/>
  <c r="AF12" i="7" s="1"/>
  <c r="D11" i="7"/>
  <c r="AF11" i="7" s="1"/>
  <c r="D10" i="7"/>
  <c r="AF10" i="7" s="1"/>
  <c r="D9" i="7"/>
  <c r="C108" i="7"/>
  <c r="I108" i="7" s="1"/>
  <c r="J108" i="7" s="1"/>
  <c r="S108" i="3" s="1"/>
  <c r="C107" i="7"/>
  <c r="I107" i="7" s="1"/>
  <c r="J107" i="7" s="1"/>
  <c r="S107" i="3" s="1"/>
  <c r="C106" i="7"/>
  <c r="I106" i="7" s="1"/>
  <c r="J106" i="7" s="1"/>
  <c r="S106" i="3" s="1"/>
  <c r="C105" i="7"/>
  <c r="I105" i="7" s="1"/>
  <c r="J105" i="7" s="1"/>
  <c r="S104" i="3" s="1"/>
  <c r="C104" i="7"/>
  <c r="I104" i="7" s="1"/>
  <c r="J104" i="7" s="1"/>
  <c r="S103" i="3" s="1"/>
  <c r="C103" i="7"/>
  <c r="I103" i="7" s="1"/>
  <c r="J103" i="7" s="1"/>
  <c r="S32" i="3" s="1"/>
  <c r="C102" i="7"/>
  <c r="I102" i="7" s="1"/>
  <c r="J102" i="7" s="1"/>
  <c r="S102" i="3" s="1"/>
  <c r="C101" i="7"/>
  <c r="I101" i="7" s="1"/>
  <c r="J101" i="7" s="1"/>
  <c r="S55" i="3" s="1"/>
  <c r="C100" i="7"/>
  <c r="I100" i="7" s="1"/>
  <c r="J100" i="7" s="1"/>
  <c r="S71" i="3" s="1"/>
  <c r="C99" i="7"/>
  <c r="I99" i="7" s="1"/>
  <c r="J99" i="7" s="1"/>
  <c r="S58" i="3" s="1"/>
  <c r="C98" i="7"/>
  <c r="I98" i="7" s="1"/>
  <c r="J98" i="7" s="1"/>
  <c r="S27" i="3" s="1"/>
  <c r="C97" i="7"/>
  <c r="I97" i="7" s="1"/>
  <c r="J97" i="7" s="1"/>
  <c r="S70" i="3" s="1"/>
  <c r="C96" i="7"/>
  <c r="I96" i="7" s="1"/>
  <c r="J96" i="7" s="1"/>
  <c r="S72" i="3" s="1"/>
  <c r="C95" i="7"/>
  <c r="I95" i="7" s="1"/>
  <c r="J95" i="7" s="1"/>
  <c r="S96" i="3" s="1"/>
  <c r="C94" i="7"/>
  <c r="I94" i="7" s="1"/>
  <c r="J94" i="7" s="1"/>
  <c r="S61" i="3" s="1"/>
  <c r="C93" i="7"/>
  <c r="I93" i="7" s="1"/>
  <c r="J93" i="7" s="1"/>
  <c r="S54" i="3" s="1"/>
  <c r="C92" i="7"/>
  <c r="I92" i="7" s="1"/>
  <c r="J92" i="7" s="1"/>
  <c r="S85" i="3" s="1"/>
  <c r="C91" i="7"/>
  <c r="I91" i="7" s="1"/>
  <c r="J91" i="7" s="1"/>
  <c r="S34" i="3" s="1"/>
  <c r="C90" i="7"/>
  <c r="I90" i="7" s="1"/>
  <c r="J90" i="7" s="1"/>
  <c r="S46" i="3" s="1"/>
  <c r="C89" i="7"/>
  <c r="I89" i="7" s="1"/>
  <c r="J89" i="7" s="1"/>
  <c r="S77" i="3" s="1"/>
  <c r="C88" i="7"/>
  <c r="I88" i="7" s="1"/>
  <c r="J88" i="7" s="1"/>
  <c r="S84" i="3" s="1"/>
  <c r="C87" i="7"/>
  <c r="I87" i="7" s="1"/>
  <c r="J87" i="7" s="1"/>
  <c r="S39" i="3" s="1"/>
  <c r="C86" i="7"/>
  <c r="I86" i="7" s="1"/>
  <c r="J86" i="7" s="1"/>
  <c r="S87" i="3" s="1"/>
  <c r="C85" i="7"/>
  <c r="I85" i="7" s="1"/>
  <c r="J85" i="7" s="1"/>
  <c r="S105" i="3" s="1"/>
  <c r="C84" i="7"/>
  <c r="I84" i="7" s="1"/>
  <c r="J84" i="7" s="1"/>
  <c r="S33" i="3" s="1"/>
  <c r="C83" i="7"/>
  <c r="I83" i="7" s="1"/>
  <c r="J83" i="7" s="1"/>
  <c r="S29" i="3" s="1"/>
  <c r="C82" i="7"/>
  <c r="I82" i="7" s="1"/>
  <c r="J82" i="7" s="1"/>
  <c r="S59" i="3" s="1"/>
  <c r="C81" i="7"/>
  <c r="I81" i="7" s="1"/>
  <c r="J81" i="7" s="1"/>
  <c r="S98" i="3" s="1"/>
  <c r="C80" i="7"/>
  <c r="I80" i="7" s="1"/>
  <c r="J80" i="7" s="1"/>
  <c r="S28" i="3" s="1"/>
  <c r="C79" i="7"/>
  <c r="C78" i="7"/>
  <c r="I78" i="7" s="1"/>
  <c r="J78" i="7" s="1"/>
  <c r="S38" i="3" s="1"/>
  <c r="C77" i="7"/>
  <c r="I77" i="7" s="1"/>
  <c r="J77" i="7" s="1"/>
  <c r="S63" i="3" s="1"/>
  <c r="C76" i="7"/>
  <c r="I76" i="7" s="1"/>
  <c r="J76" i="7" s="1"/>
  <c r="S82" i="3" s="1"/>
  <c r="C75" i="7"/>
  <c r="I75" i="7" s="1"/>
  <c r="J75" i="7" s="1"/>
  <c r="S80" i="3" s="1"/>
  <c r="C74" i="7"/>
  <c r="I74" i="7" s="1"/>
  <c r="J74" i="7" s="1"/>
  <c r="S69" i="3" s="1"/>
  <c r="C73" i="7"/>
  <c r="I73" i="7" s="1"/>
  <c r="J73" i="7" s="1"/>
  <c r="S49" i="3" s="1"/>
  <c r="C72" i="7"/>
  <c r="C71" i="7"/>
  <c r="C70" i="7"/>
  <c r="I70" i="7" s="1"/>
  <c r="J70" i="7" s="1"/>
  <c r="S56" i="3" s="1"/>
  <c r="C69" i="7"/>
  <c r="I69" i="7" s="1"/>
  <c r="J69" i="7" s="1"/>
  <c r="S76" i="3" s="1"/>
  <c r="C68" i="7"/>
  <c r="I68" i="7" s="1"/>
  <c r="J68" i="7" s="1"/>
  <c r="S40" i="3" s="1"/>
  <c r="C67" i="7"/>
  <c r="I67" i="7" s="1"/>
  <c r="J67" i="7" s="1"/>
  <c r="S44" i="3" s="1"/>
  <c r="C66" i="7"/>
  <c r="I66" i="7" s="1"/>
  <c r="J66" i="7" s="1"/>
  <c r="S31" i="3" s="1"/>
  <c r="C65" i="7"/>
  <c r="I65" i="7" s="1"/>
  <c r="J65" i="7" s="1"/>
  <c r="S83" i="3" s="1"/>
  <c r="C64" i="7"/>
  <c r="I64" i="7" s="1"/>
  <c r="J64" i="7" s="1"/>
  <c r="S41" i="3" s="1"/>
  <c r="C63" i="7"/>
  <c r="I63" i="7" s="1"/>
  <c r="J63" i="7" s="1"/>
  <c r="S88" i="3" s="1"/>
  <c r="C62" i="7"/>
  <c r="I62" i="7" s="1"/>
  <c r="J62" i="7" s="1"/>
  <c r="S81" i="3" s="1"/>
  <c r="C61" i="7"/>
  <c r="I61" i="7" s="1"/>
  <c r="J61" i="7" s="1"/>
  <c r="S53" i="3" s="1"/>
  <c r="C60" i="7"/>
  <c r="I60" i="7" s="1"/>
  <c r="J60" i="7" s="1"/>
  <c r="S86" i="3" s="1"/>
  <c r="C59" i="7"/>
  <c r="I59" i="7" s="1"/>
  <c r="J59" i="7" s="1"/>
  <c r="S95" i="3" s="1"/>
  <c r="C58" i="7"/>
  <c r="I58" i="7" s="1"/>
  <c r="J58" i="7" s="1"/>
  <c r="S60" i="3" s="1"/>
  <c r="C57" i="7"/>
  <c r="I57" i="7" s="1"/>
  <c r="J57" i="7" s="1"/>
  <c r="S65" i="3" s="1"/>
  <c r="C56" i="7"/>
  <c r="I56" i="7" s="1"/>
  <c r="J56" i="7" s="1"/>
  <c r="S79" i="3" s="1"/>
  <c r="C55" i="7"/>
  <c r="I55" i="7" s="1"/>
  <c r="J55" i="7" s="1"/>
  <c r="S48" i="3" s="1"/>
  <c r="C54" i="7"/>
  <c r="I54" i="7" s="1"/>
  <c r="J54" i="7" s="1"/>
  <c r="S30" i="3" s="1"/>
  <c r="C53" i="7"/>
  <c r="I53" i="7" s="1"/>
  <c r="J53" i="7" s="1"/>
  <c r="S92" i="3" s="1"/>
  <c r="C52" i="7"/>
  <c r="I52" i="7" s="1"/>
  <c r="J52" i="7" s="1"/>
  <c r="S93" i="3" s="1"/>
  <c r="C51" i="7"/>
  <c r="I51" i="7" s="1"/>
  <c r="J51" i="7" s="1"/>
  <c r="S51" i="3" s="1"/>
  <c r="C50" i="7"/>
  <c r="I50" i="7" s="1"/>
  <c r="J50" i="7" s="1"/>
  <c r="S45" i="3" s="1"/>
  <c r="C49" i="7"/>
  <c r="I49" i="7" s="1"/>
  <c r="J49" i="7" s="1"/>
  <c r="S66" i="3" s="1"/>
  <c r="C48" i="7"/>
  <c r="I48" i="7" s="1"/>
  <c r="J48" i="7" s="1"/>
  <c r="S36" i="3" s="1"/>
  <c r="C47" i="7"/>
  <c r="I47" i="7" s="1"/>
  <c r="J47" i="7" s="1"/>
  <c r="S100" i="3" s="1"/>
  <c r="C46" i="7"/>
  <c r="I46" i="7" s="1"/>
  <c r="J46" i="7" s="1"/>
  <c r="S91" i="3" s="1"/>
  <c r="C45" i="7"/>
  <c r="I45" i="7" s="1"/>
  <c r="J45" i="7" s="1"/>
  <c r="S62" i="3" s="1"/>
  <c r="C44" i="7"/>
  <c r="I44" i="7" s="1"/>
  <c r="J44" i="7" s="1"/>
  <c r="S74" i="3" s="1"/>
  <c r="C43" i="7"/>
  <c r="I43" i="7" s="1"/>
  <c r="J43" i="7" s="1"/>
  <c r="S37" i="3" s="1"/>
  <c r="C42" i="7"/>
  <c r="I42" i="7" s="1"/>
  <c r="J42" i="7" s="1"/>
  <c r="S97" i="3" s="1"/>
  <c r="C41" i="7"/>
  <c r="I41" i="7" s="1"/>
  <c r="J41" i="7" s="1"/>
  <c r="S47" i="3" s="1"/>
  <c r="C40" i="7"/>
  <c r="I40" i="7" s="1"/>
  <c r="J40" i="7" s="1"/>
  <c r="S52" i="3" s="1"/>
  <c r="C39" i="7"/>
  <c r="I39" i="7" s="1"/>
  <c r="J39" i="7" s="1"/>
  <c r="S42" i="3" s="1"/>
  <c r="C38" i="7"/>
  <c r="I38" i="7" s="1"/>
  <c r="J38" i="7" s="1"/>
  <c r="S99" i="3" s="1"/>
  <c r="C37" i="7"/>
  <c r="I37" i="7" s="1"/>
  <c r="J37" i="7" s="1"/>
  <c r="S73" i="3" s="1"/>
  <c r="C36" i="7"/>
  <c r="I36" i="7" s="1"/>
  <c r="J36" i="7" s="1"/>
  <c r="S78" i="3" s="1"/>
  <c r="C35" i="7"/>
  <c r="I35" i="7" s="1"/>
  <c r="J35" i="7" s="1"/>
  <c r="S67" i="3" s="1"/>
  <c r="C34" i="7"/>
  <c r="I34" i="7" s="1"/>
  <c r="J34" i="7" s="1"/>
  <c r="S43" i="3" s="1"/>
  <c r="C33" i="7"/>
  <c r="C32" i="7"/>
  <c r="I32" i="7" s="1"/>
  <c r="J32" i="7" s="1"/>
  <c r="S90" i="3" s="1"/>
  <c r="C31" i="7"/>
  <c r="I31" i="7" s="1"/>
  <c r="J31" i="7" s="1"/>
  <c r="S57" i="3" s="1"/>
  <c r="C30" i="7"/>
  <c r="I30" i="7" s="1"/>
  <c r="J30" i="7" s="1"/>
  <c r="S35" i="3" s="1"/>
  <c r="C29" i="7"/>
  <c r="I29" i="7" s="1"/>
  <c r="J29" i="7" s="1"/>
  <c r="S94" i="3" s="1"/>
  <c r="C28" i="7"/>
  <c r="I28" i="7" s="1"/>
  <c r="J28" i="7" s="1"/>
  <c r="S89" i="3" s="1"/>
  <c r="C27" i="7"/>
  <c r="I27" i="7" s="1"/>
  <c r="J27" i="7" s="1"/>
  <c r="S101" i="3" s="1"/>
  <c r="C26" i="7"/>
  <c r="I26" i="7" s="1"/>
  <c r="J26" i="7" s="1"/>
  <c r="S12" i="3" s="1"/>
  <c r="C25" i="7"/>
  <c r="I25" i="7" s="1"/>
  <c r="J25" i="7" s="1"/>
  <c r="S26" i="3" s="1"/>
  <c r="C24" i="7"/>
  <c r="I24" i="7" s="1"/>
  <c r="J24" i="7" s="1"/>
  <c r="S22" i="3" s="1"/>
  <c r="C23" i="7"/>
  <c r="I23" i="7" s="1"/>
  <c r="J23" i="7" s="1"/>
  <c r="S10" i="3" s="1"/>
  <c r="C22" i="7"/>
  <c r="C21" i="7"/>
  <c r="I21" i="7" s="1"/>
  <c r="J21" i="7" s="1"/>
  <c r="S13" i="3" s="1"/>
  <c r="C20" i="7"/>
  <c r="I20" i="7" s="1"/>
  <c r="J20" i="7" s="1"/>
  <c r="S11" i="3" s="1"/>
  <c r="C19" i="7"/>
  <c r="C18" i="7"/>
  <c r="I18" i="7" s="1"/>
  <c r="J18" i="7" s="1"/>
  <c r="S20" i="3" s="1"/>
  <c r="C17" i="7"/>
  <c r="I17" i="7" s="1"/>
  <c r="J17" i="7" s="1"/>
  <c r="S9" i="3" s="1"/>
  <c r="C16" i="7"/>
  <c r="I16" i="7" s="1"/>
  <c r="J16" i="7" s="1"/>
  <c r="S15" i="3" s="1"/>
  <c r="C15" i="7"/>
  <c r="I15" i="7" s="1"/>
  <c r="J15" i="7" s="1"/>
  <c r="S23" i="3" s="1"/>
  <c r="C14" i="7"/>
  <c r="C13" i="7"/>
  <c r="I13" i="7" s="1"/>
  <c r="J13" i="7" s="1"/>
  <c r="S24" i="3" s="1"/>
  <c r="C12" i="7"/>
  <c r="I12" i="7" s="1"/>
  <c r="J12" i="7" s="1"/>
  <c r="S16" i="3" s="1"/>
  <c r="C11" i="7"/>
  <c r="I11" i="7" s="1"/>
  <c r="J11" i="7" s="1"/>
  <c r="S25" i="3" s="1"/>
  <c r="C10" i="7"/>
  <c r="C9" i="7"/>
  <c r="T99" i="7" l="1"/>
  <c r="G105" i="2" s="1"/>
  <c r="H105" i="2" s="1"/>
  <c r="R101" i="7"/>
  <c r="T101" i="7" s="1"/>
  <c r="G107" i="2" s="1"/>
  <c r="H107" i="2" s="1"/>
  <c r="M13" i="7"/>
  <c r="O13" i="7" s="1"/>
  <c r="M17" i="7"/>
  <c r="O17" i="7" s="1"/>
  <c r="M21" i="7"/>
  <c r="O21" i="7" s="1"/>
  <c r="M37" i="7"/>
  <c r="M49" i="7"/>
  <c r="M65" i="7"/>
  <c r="O65" i="7" s="1"/>
  <c r="M89" i="7"/>
  <c r="O89" i="7" s="1"/>
  <c r="R69" i="7"/>
  <c r="T69" i="7" s="1"/>
  <c r="G67" i="2" s="1"/>
  <c r="H67" i="2" s="1"/>
  <c r="R53" i="7"/>
  <c r="T53" i="7" s="1"/>
  <c r="G44" i="2" s="1"/>
  <c r="H44" i="2" s="1"/>
  <c r="M25" i="7"/>
  <c r="O25" i="7" s="1"/>
  <c r="M33" i="7"/>
  <c r="O33" i="7" s="1"/>
  <c r="M41" i="7"/>
  <c r="O41" i="7" s="1"/>
  <c r="M45" i="7"/>
  <c r="O45" i="7" s="1"/>
  <c r="M57" i="7"/>
  <c r="O57" i="7" s="1"/>
  <c r="M61" i="7"/>
  <c r="O61" i="7" s="1"/>
  <c r="M81" i="7"/>
  <c r="M85" i="7"/>
  <c r="O85" i="7" s="1"/>
  <c r="M97" i="7"/>
  <c r="O97" i="7" s="1"/>
  <c r="R85" i="7"/>
  <c r="T85" i="7" s="1"/>
  <c r="G86" i="2" s="1"/>
  <c r="H86" i="2" s="1"/>
  <c r="K115" i="2" s="1"/>
  <c r="K117" i="2" s="1"/>
  <c r="M29" i="7"/>
  <c r="M53" i="7"/>
  <c r="M69" i="7"/>
  <c r="O69" i="7" s="1"/>
  <c r="M73" i="7"/>
  <c r="O73" i="7" s="1"/>
  <c r="M77" i="7"/>
  <c r="O77" i="7" s="1"/>
  <c r="M93" i="7"/>
  <c r="O93" i="7" s="1"/>
  <c r="R106" i="7"/>
  <c r="T106" i="7" s="1"/>
  <c r="G54" i="2" s="1"/>
  <c r="H54" i="2" s="1"/>
  <c r="R32" i="7"/>
  <c r="T32" i="7" s="1"/>
  <c r="G20" i="2" s="1"/>
  <c r="H20" i="2" s="1"/>
  <c r="R96" i="7"/>
  <c r="T96" i="7" s="1"/>
  <c r="G102" i="2" s="1"/>
  <c r="H102" i="2" s="1"/>
  <c r="AE22" i="7"/>
  <c r="J22" i="7"/>
  <c r="S21" i="3" s="1"/>
  <c r="AE30" i="7"/>
  <c r="AG30" i="7" s="1"/>
  <c r="R30" i="7"/>
  <c r="T30" i="7" s="1"/>
  <c r="G13" i="2" s="1"/>
  <c r="H13" i="2" s="1"/>
  <c r="AE38" i="7"/>
  <c r="R38" i="7"/>
  <c r="T38" i="7" s="1"/>
  <c r="G27" i="2" s="1"/>
  <c r="H27" i="2" s="1"/>
  <c r="AE46" i="7"/>
  <c r="AG46" i="7" s="1"/>
  <c r="R46" i="7"/>
  <c r="T46" i="7" s="1"/>
  <c r="G36" i="2" s="1"/>
  <c r="H36" i="2" s="1"/>
  <c r="AE70" i="7"/>
  <c r="R70" i="7"/>
  <c r="T70" i="7" s="1"/>
  <c r="G68" i="2" s="1"/>
  <c r="H68" i="2" s="1"/>
  <c r="AE78" i="7"/>
  <c r="AG78" i="7" s="1"/>
  <c r="R78" i="7"/>
  <c r="T78" i="7" s="1"/>
  <c r="G63" i="2" s="1"/>
  <c r="H63" i="2" s="1"/>
  <c r="AE98" i="7"/>
  <c r="AG98" i="7" s="1"/>
  <c r="R98" i="7"/>
  <c r="T98" i="7" s="1"/>
  <c r="G104" i="2" s="1"/>
  <c r="H104" i="2" s="1"/>
  <c r="R74" i="7"/>
  <c r="T74" i="7" s="1"/>
  <c r="G72" i="2" s="1"/>
  <c r="H72" i="2" s="1"/>
  <c r="AE11" i="7"/>
  <c r="AG11" i="7" s="1"/>
  <c r="M11" i="7"/>
  <c r="O11" i="7" s="1"/>
  <c r="R11" i="7"/>
  <c r="T11" i="7" s="1"/>
  <c r="G17" i="2" s="1"/>
  <c r="H17" i="2" s="1"/>
  <c r="AG15" i="7"/>
  <c r="AE19" i="7"/>
  <c r="AG19" i="7" s="1"/>
  <c r="J19" i="7"/>
  <c r="S18" i="3" s="1"/>
  <c r="AG23" i="7"/>
  <c r="AG27" i="7"/>
  <c r="AG31" i="7"/>
  <c r="AG35" i="7"/>
  <c r="AG39" i="7"/>
  <c r="AG43" i="7"/>
  <c r="AG47" i="7"/>
  <c r="AG51" i="7"/>
  <c r="AG55" i="7"/>
  <c r="AG59" i="7"/>
  <c r="AG63" i="7"/>
  <c r="AG67" i="7"/>
  <c r="AE71" i="7"/>
  <c r="AG71" i="7" s="1"/>
  <c r="J71" i="7"/>
  <c r="S68" i="3" s="1"/>
  <c r="AG75" i="7"/>
  <c r="AE79" i="7"/>
  <c r="AG79" i="7" s="1"/>
  <c r="J79" i="7"/>
  <c r="S64" i="3" s="1"/>
  <c r="AG83" i="7"/>
  <c r="AG87" i="7"/>
  <c r="AG91" i="7"/>
  <c r="AG95" i="7"/>
  <c r="AG99" i="7"/>
  <c r="AG103" i="7"/>
  <c r="AG107" i="7"/>
  <c r="R37" i="7"/>
  <c r="T37" i="7" s="1"/>
  <c r="G26" i="2" s="1"/>
  <c r="H26" i="2" s="1"/>
  <c r="R58" i="7"/>
  <c r="T58" i="7" s="1"/>
  <c r="G50" i="2" s="1"/>
  <c r="H50" i="2" s="1"/>
  <c r="R80" i="7"/>
  <c r="T80" i="7" s="1"/>
  <c r="G77" i="2" s="1"/>
  <c r="H77" i="2" s="1"/>
  <c r="AG22" i="7"/>
  <c r="AG70" i="7"/>
  <c r="AE10" i="7"/>
  <c r="AG10" i="7" s="1"/>
  <c r="M10" i="7"/>
  <c r="O10" i="7" s="1"/>
  <c r="J10" i="7"/>
  <c r="S19" i="3" s="1"/>
  <c r="AE14" i="7"/>
  <c r="AG14" i="7" s="1"/>
  <c r="J14" i="7"/>
  <c r="S17" i="3" s="1"/>
  <c r="AE34" i="7"/>
  <c r="AG34" i="7" s="1"/>
  <c r="R34" i="7"/>
  <c r="T34" i="7" s="1"/>
  <c r="G23" i="2" s="1"/>
  <c r="H23" i="2" s="1"/>
  <c r="AE50" i="7"/>
  <c r="AG50" i="7" s="1"/>
  <c r="R50" i="7"/>
  <c r="T50" i="7" s="1"/>
  <c r="G40" i="2" s="1"/>
  <c r="H40" i="2" s="1"/>
  <c r="AE66" i="7"/>
  <c r="AG66" i="7" s="1"/>
  <c r="R66" i="7"/>
  <c r="T66" i="7" s="1"/>
  <c r="G62" i="2" s="1"/>
  <c r="H62" i="2" s="1"/>
  <c r="AE94" i="7"/>
  <c r="AG94" i="7" s="1"/>
  <c r="R94" i="7"/>
  <c r="T94" i="7" s="1"/>
  <c r="G99" i="2" s="1"/>
  <c r="H99" i="2" s="1"/>
  <c r="AE12" i="7"/>
  <c r="AG12" i="7" s="1"/>
  <c r="R12" i="7"/>
  <c r="T12" i="7" s="1"/>
  <c r="G18" i="2" s="1"/>
  <c r="H18" i="2" s="1"/>
  <c r="AE16" i="7"/>
  <c r="AG16" i="7" s="1"/>
  <c r="R16" i="7"/>
  <c r="T16" i="7" s="1"/>
  <c r="G43" i="2" s="1"/>
  <c r="H43" i="2" s="1"/>
  <c r="AG20" i="7"/>
  <c r="AE24" i="7"/>
  <c r="AG24" i="7" s="1"/>
  <c r="R24" i="7"/>
  <c r="T24" i="7" s="1"/>
  <c r="G95" i="2" s="1"/>
  <c r="H95" i="2" s="1"/>
  <c r="AG28" i="7"/>
  <c r="AG32" i="7"/>
  <c r="AE36" i="7"/>
  <c r="AG36" i="7" s="1"/>
  <c r="R36" i="7"/>
  <c r="T36" i="7" s="1"/>
  <c r="G25" i="2" s="1"/>
  <c r="H25" i="2" s="1"/>
  <c r="AE40" i="7"/>
  <c r="AG40" i="7" s="1"/>
  <c r="R40" i="7"/>
  <c r="T40" i="7" s="1"/>
  <c r="G29" i="2" s="1"/>
  <c r="H29" i="2" s="1"/>
  <c r="AE44" i="7"/>
  <c r="AG44" i="7" s="1"/>
  <c r="R44" i="7"/>
  <c r="T44" i="7" s="1"/>
  <c r="G33" i="2" s="1"/>
  <c r="H33" i="2" s="1"/>
  <c r="AG48" i="7"/>
  <c r="AE52" i="7"/>
  <c r="AG52" i="7" s="1"/>
  <c r="R52" i="7"/>
  <c r="T52" i="7" s="1"/>
  <c r="G42" i="2" s="1"/>
  <c r="H42" i="2" s="1"/>
  <c r="AE56" i="7"/>
  <c r="AG56" i="7" s="1"/>
  <c r="R56" i="7"/>
  <c r="T56" i="7" s="1"/>
  <c r="G47" i="2" s="1"/>
  <c r="H47" i="2" s="1"/>
  <c r="AE60" i="7"/>
  <c r="AG60" i="7" s="1"/>
  <c r="R60" i="7"/>
  <c r="T60" i="7" s="1"/>
  <c r="G53" i="2" s="1"/>
  <c r="H53" i="2" s="1"/>
  <c r="AG64" i="7"/>
  <c r="AE68" i="7"/>
  <c r="AG68" i="7" s="1"/>
  <c r="R68" i="7"/>
  <c r="T68" i="7" s="1"/>
  <c r="G66" i="2" s="1"/>
  <c r="H66" i="2" s="1"/>
  <c r="AE72" i="7"/>
  <c r="AG72" i="7" s="1"/>
  <c r="R72" i="7"/>
  <c r="T72" i="7" s="1"/>
  <c r="G70" i="2" s="1"/>
  <c r="H70" i="2" s="1"/>
  <c r="AE76" i="7"/>
  <c r="AG76" i="7" s="1"/>
  <c r="R76" i="7"/>
  <c r="T76" i="7" s="1"/>
  <c r="G74" i="2" s="1"/>
  <c r="H74" i="2" s="1"/>
  <c r="AG80" i="7"/>
  <c r="AE84" i="7"/>
  <c r="AG84" i="7" s="1"/>
  <c r="R84" i="7"/>
  <c r="T84" i="7" s="1"/>
  <c r="G84" i="2" s="1"/>
  <c r="H84" i="2" s="1"/>
  <c r="AE88" i="7"/>
  <c r="AG88" i="7" s="1"/>
  <c r="R88" i="7"/>
  <c r="T88" i="7" s="1"/>
  <c r="G90" i="2" s="1"/>
  <c r="H90" i="2" s="1"/>
  <c r="AE92" i="7"/>
  <c r="AG92" i="7" s="1"/>
  <c r="R92" i="7"/>
  <c r="T92" i="7" s="1"/>
  <c r="G96" i="2" s="1"/>
  <c r="H96" i="2" s="1"/>
  <c r="AG96" i="7"/>
  <c r="AE100" i="7"/>
  <c r="AG100" i="7" s="1"/>
  <c r="R100" i="7"/>
  <c r="T100" i="7" s="1"/>
  <c r="G106" i="2" s="1"/>
  <c r="H106" i="2" s="1"/>
  <c r="AE104" i="7"/>
  <c r="AG104" i="7" s="1"/>
  <c r="R104" i="7"/>
  <c r="T104" i="7" s="1"/>
  <c r="G10" i="2" s="1"/>
  <c r="H10" i="2" s="1"/>
  <c r="AE108" i="7"/>
  <c r="AG108" i="7" s="1"/>
  <c r="R108" i="7"/>
  <c r="T108" i="7" s="1"/>
  <c r="G108" i="2" s="1"/>
  <c r="H108" i="2" s="1"/>
  <c r="R15" i="7"/>
  <c r="T15" i="7" s="1"/>
  <c r="G35" i="2" s="1"/>
  <c r="H35" i="2" s="1"/>
  <c r="R19" i="7"/>
  <c r="T19" i="7" s="1"/>
  <c r="G64" i="2" s="1"/>
  <c r="H64" i="2" s="1"/>
  <c r="R23" i="7"/>
  <c r="T23" i="7" s="1"/>
  <c r="G91" i="2" s="1"/>
  <c r="H91" i="2" s="1"/>
  <c r="R10" i="7"/>
  <c r="T10" i="7" s="1"/>
  <c r="G15" i="2" s="1"/>
  <c r="H15" i="2" s="1"/>
  <c r="R42" i="7"/>
  <c r="T42" i="7" s="1"/>
  <c r="G31" i="2" s="1"/>
  <c r="H31" i="2" s="1"/>
  <c r="R64" i="7"/>
  <c r="T64" i="7" s="1"/>
  <c r="G60" i="2" s="1"/>
  <c r="H60" i="2" s="1"/>
  <c r="AG38" i="7"/>
  <c r="AE54" i="7"/>
  <c r="AG54" i="7" s="1"/>
  <c r="R54" i="7"/>
  <c r="T54" i="7" s="1"/>
  <c r="G45" i="2" s="1"/>
  <c r="H45" i="2" s="1"/>
  <c r="AE62" i="7"/>
  <c r="AG62" i="7" s="1"/>
  <c r="R62" i="7"/>
  <c r="T62" i="7" s="1"/>
  <c r="G58" i="2" s="1"/>
  <c r="H58" i="2" s="1"/>
  <c r="AE82" i="7"/>
  <c r="AG82" i="7" s="1"/>
  <c r="R82" i="7"/>
  <c r="T82" i="7" s="1"/>
  <c r="G81" i="2" s="1"/>
  <c r="H81" i="2" s="1"/>
  <c r="AE86" i="7"/>
  <c r="AG86" i="7" s="1"/>
  <c r="R86" i="7"/>
  <c r="T86" i="7" s="1"/>
  <c r="G88" i="2" s="1"/>
  <c r="H88" i="2" s="1"/>
  <c r="AE102" i="7"/>
  <c r="AG102" i="7" s="1"/>
  <c r="R102" i="7"/>
  <c r="T102" i="7" s="1"/>
  <c r="G109" i="2" s="1"/>
  <c r="H109" i="2" s="1"/>
  <c r="AG13" i="7"/>
  <c r="AG17" i="7"/>
  <c r="AG21" i="7"/>
  <c r="AG25" i="7"/>
  <c r="AE29" i="7"/>
  <c r="AG29" i="7" s="1"/>
  <c r="R29" i="7"/>
  <c r="T29" i="7" s="1"/>
  <c r="G12" i="2" s="1"/>
  <c r="H12" i="2" s="1"/>
  <c r="AE33" i="7"/>
  <c r="AG33" i="7" s="1"/>
  <c r="R33" i="7"/>
  <c r="T33" i="7" s="1"/>
  <c r="G22" i="2" s="1"/>
  <c r="H22" i="2" s="1"/>
  <c r="AG37" i="7"/>
  <c r="AE41" i="7"/>
  <c r="AG41" i="7" s="1"/>
  <c r="R41" i="7"/>
  <c r="T41" i="7" s="1"/>
  <c r="G30" i="2" s="1"/>
  <c r="H30" i="2" s="1"/>
  <c r="AE45" i="7"/>
  <c r="AG45" i="7" s="1"/>
  <c r="R45" i="7"/>
  <c r="T45" i="7" s="1"/>
  <c r="G34" i="2" s="1"/>
  <c r="H34" i="2" s="1"/>
  <c r="AE49" i="7"/>
  <c r="AG49" i="7" s="1"/>
  <c r="R49" i="7"/>
  <c r="T49" i="7" s="1"/>
  <c r="G39" i="2" s="1"/>
  <c r="H39" i="2" s="1"/>
  <c r="AG53" i="7"/>
  <c r="AE57" i="7"/>
  <c r="AG57" i="7" s="1"/>
  <c r="R57" i="7"/>
  <c r="T57" i="7" s="1"/>
  <c r="G49" i="2" s="1"/>
  <c r="H49" i="2" s="1"/>
  <c r="AE61" i="7"/>
  <c r="AG61" i="7" s="1"/>
  <c r="R61" i="7"/>
  <c r="T61" i="7" s="1"/>
  <c r="G55" i="2" s="1"/>
  <c r="H55" i="2" s="1"/>
  <c r="M12" i="7"/>
  <c r="O12" i="7" s="1"/>
  <c r="M16" i="7"/>
  <c r="O16" i="7" s="1"/>
  <c r="M20" i="7"/>
  <c r="O20" i="7" s="1"/>
  <c r="M24" i="7"/>
  <c r="O24" i="7" s="1"/>
  <c r="M28" i="7"/>
  <c r="O28" i="7" s="1"/>
  <c r="M32" i="7"/>
  <c r="O32" i="7" s="1"/>
  <c r="M36" i="7"/>
  <c r="O36" i="7" s="1"/>
  <c r="M40" i="7"/>
  <c r="O40" i="7" s="1"/>
  <c r="M44" i="7"/>
  <c r="O44" i="7" s="1"/>
  <c r="M48" i="7"/>
  <c r="O48" i="7" s="1"/>
  <c r="M52" i="7"/>
  <c r="O52" i="7" s="1"/>
  <c r="M56" i="7"/>
  <c r="O56" i="7" s="1"/>
  <c r="M60" i="7"/>
  <c r="O60" i="7" s="1"/>
  <c r="M64" i="7"/>
  <c r="O64" i="7" s="1"/>
  <c r="M68" i="7"/>
  <c r="O68" i="7" s="1"/>
  <c r="M72" i="7"/>
  <c r="O72" i="7" s="1"/>
  <c r="M76" i="7"/>
  <c r="O76" i="7" s="1"/>
  <c r="M80" i="7"/>
  <c r="O80" i="7" s="1"/>
  <c r="M84" i="7"/>
  <c r="O84" i="7" s="1"/>
  <c r="M88" i="7"/>
  <c r="O88" i="7" s="1"/>
  <c r="M92" i="7"/>
  <c r="O92" i="7" s="1"/>
  <c r="M96" i="7"/>
  <c r="O96" i="7" s="1"/>
  <c r="M100" i="7"/>
  <c r="O100" i="7" s="1"/>
  <c r="M104" i="7"/>
  <c r="O104" i="7" s="1"/>
  <c r="M108" i="7"/>
  <c r="O108" i="7" s="1"/>
  <c r="R20" i="7"/>
  <c r="T20" i="7" s="1"/>
  <c r="G78" i="2" s="1"/>
  <c r="H78" i="2" s="1"/>
  <c r="R48" i="7"/>
  <c r="T48" i="7" s="1"/>
  <c r="G38" i="2" s="1"/>
  <c r="H38" i="2" s="1"/>
  <c r="R90" i="7"/>
  <c r="T90" i="7" s="1"/>
  <c r="G93" i="2" s="1"/>
  <c r="H93" i="2" s="1"/>
  <c r="M101" i="7"/>
  <c r="O101" i="7" s="1"/>
  <c r="M105" i="7"/>
  <c r="O105" i="7" s="1"/>
  <c r="R65" i="7"/>
  <c r="T65" i="7" s="1"/>
  <c r="G61" i="2" s="1"/>
  <c r="H61" i="2" s="1"/>
  <c r="R81" i="7"/>
  <c r="T81" i="7" s="1"/>
  <c r="G79" i="2" s="1"/>
  <c r="H79" i="2" s="1"/>
  <c r="R97" i="7"/>
  <c r="T97" i="7" s="1"/>
  <c r="G103" i="2" s="1"/>
  <c r="H103" i="2" s="1"/>
  <c r="R28" i="7"/>
  <c r="T28" i="7" s="1"/>
  <c r="G11" i="2" s="1"/>
  <c r="H11" i="2" s="1"/>
  <c r="AG65" i="7"/>
  <c r="AG69" i="7"/>
  <c r="AG73" i="7"/>
  <c r="AG77" i="7"/>
  <c r="AG81" i="7"/>
  <c r="AG85" i="7"/>
  <c r="AG89" i="7"/>
  <c r="AG93" i="7"/>
  <c r="AG97" i="7"/>
  <c r="AG101" i="7"/>
  <c r="AG105" i="7"/>
  <c r="M14" i="7"/>
  <c r="O14" i="7" s="1"/>
  <c r="M18" i="7"/>
  <c r="O18" i="7" s="1"/>
  <c r="M22" i="7"/>
  <c r="O22" i="7" s="1"/>
  <c r="M26" i="7"/>
  <c r="O26" i="7" s="1"/>
  <c r="M30" i="7"/>
  <c r="O30" i="7" s="1"/>
  <c r="M34" i="7"/>
  <c r="O34" i="7" s="1"/>
  <c r="M38" i="7"/>
  <c r="O38" i="7" s="1"/>
  <c r="M42" i="7"/>
  <c r="O42" i="7" s="1"/>
  <c r="M46" i="7"/>
  <c r="O46" i="7" s="1"/>
  <c r="M50" i="7"/>
  <c r="O50" i="7" s="1"/>
  <c r="M54" i="7"/>
  <c r="O54" i="7" s="1"/>
  <c r="M58" i="7"/>
  <c r="O58" i="7" s="1"/>
  <c r="M62" i="7"/>
  <c r="O62" i="7" s="1"/>
  <c r="M66" i="7"/>
  <c r="O66" i="7" s="1"/>
  <c r="M70" i="7"/>
  <c r="O70" i="7" s="1"/>
  <c r="M74" i="7"/>
  <c r="O74" i="7" s="1"/>
  <c r="M78" i="7"/>
  <c r="O78" i="7" s="1"/>
  <c r="M82" i="7"/>
  <c r="O82" i="7" s="1"/>
  <c r="M86" i="7"/>
  <c r="O86" i="7" s="1"/>
  <c r="M90" i="7"/>
  <c r="O90" i="7" s="1"/>
  <c r="M94" i="7"/>
  <c r="O94" i="7" s="1"/>
  <c r="M98" i="7"/>
  <c r="O98" i="7" s="1"/>
  <c r="M102" i="7"/>
  <c r="O102" i="7" s="1"/>
  <c r="M106" i="7"/>
  <c r="O106" i="7" s="1"/>
  <c r="R13" i="7"/>
  <c r="T13" i="7" s="1"/>
  <c r="G19" i="2" s="1"/>
  <c r="H19" i="2" s="1"/>
  <c r="R17" i="7"/>
  <c r="T17" i="7" s="1"/>
  <c r="G48" i="2" s="1"/>
  <c r="H48" i="2" s="1"/>
  <c r="R21" i="7"/>
  <c r="T21" i="7" s="1"/>
  <c r="G82" i="2" s="1"/>
  <c r="H82" i="2" s="1"/>
  <c r="R25" i="7"/>
  <c r="T25" i="7" s="1"/>
  <c r="G101" i="2" s="1"/>
  <c r="H101" i="2" s="1"/>
  <c r="R77" i="7"/>
  <c r="T77" i="7" s="1"/>
  <c r="G75" i="2" s="1"/>
  <c r="H75" i="2" s="1"/>
  <c r="R93" i="7"/>
  <c r="T93" i="7" s="1"/>
  <c r="G98" i="2" s="1"/>
  <c r="H98" i="2" s="1"/>
  <c r="M15" i="7"/>
  <c r="O15" i="7" s="1"/>
  <c r="M19" i="7"/>
  <c r="O19" i="7" s="1"/>
  <c r="M23" i="7"/>
  <c r="O23" i="7" s="1"/>
  <c r="M27" i="7"/>
  <c r="O27" i="7" s="1"/>
  <c r="M31" i="7"/>
  <c r="O31" i="7" s="1"/>
  <c r="M35" i="7"/>
  <c r="O35" i="7" s="1"/>
  <c r="M39" i="7"/>
  <c r="O39" i="7" s="1"/>
  <c r="M43" i="7"/>
  <c r="O43" i="7" s="1"/>
  <c r="M47" i="7"/>
  <c r="O47" i="7" s="1"/>
  <c r="M51" i="7"/>
  <c r="O51" i="7" s="1"/>
  <c r="M55" i="7"/>
  <c r="O55" i="7" s="1"/>
  <c r="M59" i="7"/>
  <c r="O59" i="7" s="1"/>
  <c r="M63" i="7"/>
  <c r="O63" i="7" s="1"/>
  <c r="M67" i="7"/>
  <c r="O67" i="7" s="1"/>
  <c r="M71" i="7"/>
  <c r="O71" i="7" s="1"/>
  <c r="M75" i="7"/>
  <c r="O75" i="7" s="1"/>
  <c r="M79" i="7"/>
  <c r="O79" i="7" s="1"/>
  <c r="M83" i="7"/>
  <c r="O83" i="7" s="1"/>
  <c r="M87" i="7"/>
  <c r="O87" i="7" s="1"/>
  <c r="M91" i="7"/>
  <c r="O91" i="7" s="1"/>
  <c r="M95" i="7"/>
  <c r="O95" i="7" s="1"/>
  <c r="M99" i="7"/>
  <c r="O99" i="7" s="1"/>
  <c r="M103" i="7"/>
  <c r="O103" i="7" s="1"/>
  <c r="M107" i="7"/>
  <c r="O107" i="7" s="1"/>
  <c r="R14" i="7"/>
  <c r="T14" i="7" s="1"/>
  <c r="G21" i="2" s="1"/>
  <c r="H21" i="2" s="1"/>
  <c r="R18" i="7"/>
  <c r="T18" i="7" s="1"/>
  <c r="G51" i="2" s="1"/>
  <c r="H51" i="2" s="1"/>
  <c r="R22" i="7"/>
  <c r="T22" i="7" s="1"/>
  <c r="G87" i="2" s="1"/>
  <c r="H87" i="2" s="1"/>
  <c r="R26" i="7"/>
  <c r="T26" i="7" s="1"/>
  <c r="G110" i="2" s="1"/>
  <c r="H110" i="2" s="1"/>
  <c r="R73" i="7"/>
  <c r="T73" i="7" s="1"/>
  <c r="G71" i="2" s="1"/>
  <c r="H71" i="2" s="1"/>
  <c r="R89" i="7"/>
  <c r="T89" i="7" s="1"/>
  <c r="G92" i="2" s="1"/>
  <c r="H92" i="2" s="1"/>
  <c r="R105" i="7"/>
  <c r="T105" i="7" s="1"/>
  <c r="G56" i="2" s="1"/>
  <c r="H56" i="2" s="1"/>
  <c r="O53" i="7"/>
  <c r="O81" i="7"/>
  <c r="O29" i="7"/>
  <c r="O49" i="7"/>
  <c r="O37" i="7"/>
  <c r="T27" i="7"/>
  <c r="G9" i="2" s="1"/>
  <c r="H9" i="2" s="1"/>
  <c r="K118" i="2" l="1"/>
  <c r="K119" i="2" s="1"/>
  <c r="K122" i="2" s="1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M100" i="6" s="1"/>
  <c r="Q95" i="6"/>
  <c r="M102" i="6" s="1"/>
  <c r="P95" i="6"/>
  <c r="M106" i="6" s="1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M101" i="6" l="1"/>
  <c r="K126" i="2"/>
  <c r="K123" i="2"/>
  <c r="K124" i="2" s="1"/>
  <c r="AH113" i="7"/>
  <c r="AD113" i="7"/>
  <c r="AB113" i="7"/>
  <c r="Y113" i="7"/>
  <c r="W113" i="7"/>
  <c r="V113" i="7"/>
  <c r="U113" i="7"/>
  <c r="K113" i="7"/>
  <c r="H113" i="7"/>
  <c r="F113" i="7"/>
  <c r="S113" i="7"/>
  <c r="N113" i="7"/>
  <c r="G9" i="7"/>
  <c r="D113" i="7"/>
  <c r="R119" i="2" l="1"/>
  <c r="I27" i="4" s="1"/>
  <c r="Q119" i="2"/>
  <c r="H27" i="4" s="1"/>
  <c r="S119" i="2"/>
  <c r="J27" i="4" s="1"/>
  <c r="P119" i="2"/>
  <c r="G27" i="4" s="1"/>
  <c r="X9" i="7"/>
  <c r="X113" i="7" s="1"/>
  <c r="M9" i="7"/>
  <c r="AE9" i="7"/>
  <c r="L113" i="7"/>
  <c r="E113" i="7"/>
  <c r="Q113" i="7"/>
  <c r="G113" i="7"/>
  <c r="R9" i="7"/>
  <c r="AF9" i="7"/>
  <c r="C113" i="7"/>
  <c r="I9" i="7"/>
  <c r="AA9" i="7" l="1"/>
  <c r="AA113" i="7" s="1"/>
  <c r="Z9" i="7"/>
  <c r="Z113" i="7" s="1"/>
  <c r="AF113" i="7"/>
  <c r="AG9" i="7"/>
  <c r="AG113" i="7" s="1"/>
  <c r="R113" i="7"/>
  <c r="T9" i="7"/>
  <c r="I113" i="7"/>
  <c r="J9" i="7"/>
  <c r="M113" i="7"/>
  <c r="O9" i="7"/>
  <c r="O113" i="7" s="1"/>
  <c r="AE113" i="7"/>
  <c r="AC9" i="7" l="1"/>
  <c r="AC113" i="7" s="1"/>
  <c r="J113" i="7"/>
  <c r="S14" i="3"/>
  <c r="S113" i="3" s="1"/>
  <c r="T113" i="7"/>
  <c r="G14" i="2"/>
  <c r="M30" i="3"/>
  <c r="E113" i="2"/>
  <c r="F113" i="2"/>
  <c r="M9" i="3" l="1"/>
  <c r="C28" i="1" l="1"/>
  <c r="AF9" i="6" l="1"/>
  <c r="AF10" i="6"/>
  <c r="AF11" i="6"/>
  <c r="AF12" i="6"/>
  <c r="AF13" i="6"/>
  <c r="AF14" i="6"/>
  <c r="AF15" i="6"/>
  <c r="AF16" i="6"/>
  <c r="AF17" i="6"/>
  <c r="AF18" i="6"/>
  <c r="AF19" i="6"/>
  <c r="AF20" i="6"/>
  <c r="AF21" i="6"/>
  <c r="AF22" i="6"/>
  <c r="AF23" i="6"/>
  <c r="AF24" i="6"/>
  <c r="AF25" i="6"/>
  <c r="AF26" i="6"/>
  <c r="AF27" i="6"/>
  <c r="AF28" i="6"/>
  <c r="AF29" i="6"/>
  <c r="AF30" i="6"/>
  <c r="AF31" i="6"/>
  <c r="AF32" i="6"/>
  <c r="AF33" i="6"/>
  <c r="AF34" i="6"/>
  <c r="AF35" i="6"/>
  <c r="AF36" i="6"/>
  <c r="AF37" i="6"/>
  <c r="AF38" i="6"/>
  <c r="AF39" i="6"/>
  <c r="AF40" i="6"/>
  <c r="AF41" i="6"/>
  <c r="AF42" i="6"/>
  <c r="AF43" i="6"/>
  <c r="AF44" i="6"/>
  <c r="AF45" i="6"/>
  <c r="AF46" i="6"/>
  <c r="AF47" i="6"/>
  <c r="AF48" i="6"/>
  <c r="AF49" i="6"/>
  <c r="AF50" i="6"/>
  <c r="AF51" i="6"/>
  <c r="AF52" i="6"/>
  <c r="AF53" i="6"/>
  <c r="AF54" i="6"/>
  <c r="AF55" i="6"/>
  <c r="AF56" i="6"/>
  <c r="AF57" i="6"/>
  <c r="AF58" i="6"/>
  <c r="AF59" i="6"/>
  <c r="AF60" i="6"/>
  <c r="AF61" i="6"/>
  <c r="AF62" i="6"/>
  <c r="AF63" i="6"/>
  <c r="AF64" i="6"/>
  <c r="AF65" i="6"/>
  <c r="AF66" i="6"/>
  <c r="AF67" i="6"/>
  <c r="AF68" i="6"/>
  <c r="AF69" i="6"/>
  <c r="AF70" i="6"/>
  <c r="AF71" i="6"/>
  <c r="AF72" i="6"/>
  <c r="AF73" i="6"/>
  <c r="AF74" i="6"/>
  <c r="AF75" i="6"/>
  <c r="AF76" i="6"/>
  <c r="AF77" i="6"/>
  <c r="AF78" i="6"/>
  <c r="AF79" i="6"/>
  <c r="AF80" i="6"/>
  <c r="AF81" i="6"/>
  <c r="AF82" i="6"/>
  <c r="AF83" i="6"/>
  <c r="AF84" i="6"/>
  <c r="AF85" i="6"/>
  <c r="AF86" i="6"/>
  <c r="AF87" i="6"/>
  <c r="AF88" i="6"/>
  <c r="AF89" i="6"/>
  <c r="AF90" i="6"/>
  <c r="AF95" i="6" l="1"/>
  <c r="A33" i="1"/>
  <c r="A100" i="6" l="1"/>
  <c r="I28" i="3" l="1"/>
  <c r="I101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9" i="3"/>
  <c r="M108" i="3"/>
  <c r="M107" i="3"/>
  <c r="K101" i="3" l="1"/>
  <c r="K28" i="3"/>
  <c r="P101" i="3"/>
  <c r="P28" i="3"/>
  <c r="G113" i="3"/>
  <c r="H113" i="3"/>
  <c r="I108" i="3"/>
  <c r="K108" i="3" s="1"/>
  <c r="P108" i="3" l="1"/>
  <c r="I107" i="3"/>
  <c r="P107" i="3" l="1"/>
  <c r="K107" i="3"/>
  <c r="M99" i="6" l="1"/>
  <c r="M103" i="6" s="1"/>
  <c r="M106" i="3"/>
  <c r="M107" i="6"/>
  <c r="M104" i="6" l="1"/>
  <c r="M105" i="6" s="1"/>
  <c r="M108" i="6" s="1"/>
  <c r="R114" i="3"/>
  <c r="I106" i="3"/>
  <c r="I104" i="3"/>
  <c r="J114" i="6"/>
  <c r="J117" i="6" s="1"/>
  <c r="C7" i="1"/>
  <c r="D7" i="1" s="1"/>
  <c r="E7" i="1" s="1"/>
  <c r="F7" i="1" s="1"/>
  <c r="G7" i="1" s="1"/>
  <c r="H7" i="1" s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D10" i="5"/>
  <c r="C10" i="5"/>
  <c r="B10" i="5"/>
  <c r="D8" i="5"/>
  <c r="E8" i="5" s="1"/>
  <c r="M105" i="3"/>
  <c r="M104" i="3"/>
  <c r="F116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I105" i="3"/>
  <c r="I31" i="3"/>
  <c r="I45" i="3"/>
  <c r="M109" i="6" l="1"/>
  <c r="M110" i="6" s="1"/>
  <c r="M111" i="6"/>
  <c r="M118" i="6"/>
  <c r="L118" i="6"/>
  <c r="N118" i="6"/>
  <c r="O118" i="6"/>
  <c r="J105" i="6"/>
  <c r="J108" i="6" s="1"/>
  <c r="M113" i="3"/>
  <c r="P45" i="3"/>
  <c r="K45" i="3"/>
  <c r="P105" i="3"/>
  <c r="K105" i="3"/>
  <c r="P106" i="3"/>
  <c r="K106" i="3"/>
  <c r="P31" i="3"/>
  <c r="K31" i="3"/>
  <c r="P104" i="3"/>
  <c r="K104" i="3"/>
  <c r="J115" i="6"/>
  <c r="J116" i="6" s="1"/>
  <c r="J118" i="6" s="1"/>
  <c r="J119" i="6" s="1"/>
  <c r="J120" i="6" s="1"/>
  <c r="I10" i="4" s="1"/>
  <c r="I21" i="3"/>
  <c r="I22" i="3"/>
  <c r="I9" i="3"/>
  <c r="I11" i="3"/>
  <c r="I12" i="3"/>
  <c r="I35" i="3"/>
  <c r="I68" i="3"/>
  <c r="I74" i="3"/>
  <c r="I20" i="3"/>
  <c r="I44" i="3"/>
  <c r="I10" i="3"/>
  <c r="I66" i="3"/>
  <c r="I78" i="3"/>
  <c r="I37" i="3"/>
  <c r="I56" i="3"/>
  <c r="I80" i="3"/>
  <c r="I33" i="3"/>
  <c r="I87" i="3"/>
  <c r="I96" i="3"/>
  <c r="F8" i="5"/>
  <c r="E10" i="5"/>
  <c r="M116" i="6" l="1"/>
  <c r="M119" i="6" s="1"/>
  <c r="M120" i="6" s="1"/>
  <c r="M121" i="6" s="1"/>
  <c r="L116" i="6"/>
  <c r="L119" i="6" s="1"/>
  <c r="N116" i="6"/>
  <c r="N119" i="6" s="1"/>
  <c r="N120" i="6" s="1"/>
  <c r="N121" i="6" s="1"/>
  <c r="O116" i="6"/>
  <c r="O119" i="6" s="1"/>
  <c r="O120" i="6" s="1"/>
  <c r="O121" i="6" s="1"/>
  <c r="P96" i="3"/>
  <c r="K96" i="3"/>
  <c r="P56" i="3"/>
  <c r="K56" i="3"/>
  <c r="P10" i="3"/>
  <c r="K10" i="3"/>
  <c r="P44" i="3"/>
  <c r="K44" i="3"/>
  <c r="P33" i="3"/>
  <c r="K33" i="3"/>
  <c r="P78" i="3"/>
  <c r="K78" i="3"/>
  <c r="P20" i="3"/>
  <c r="K20" i="3"/>
  <c r="P12" i="3"/>
  <c r="K12" i="3"/>
  <c r="P21" i="3"/>
  <c r="K21" i="3"/>
  <c r="P68" i="3"/>
  <c r="K68" i="3"/>
  <c r="P87" i="3"/>
  <c r="K87" i="3"/>
  <c r="P37" i="3"/>
  <c r="K37" i="3"/>
  <c r="P35" i="3"/>
  <c r="K35" i="3"/>
  <c r="P22" i="3"/>
  <c r="K22" i="3"/>
  <c r="P80" i="3"/>
  <c r="K80" i="3"/>
  <c r="P66" i="3"/>
  <c r="K66" i="3"/>
  <c r="P74" i="3"/>
  <c r="K74" i="3"/>
  <c r="P11" i="3"/>
  <c r="K11" i="3"/>
  <c r="K9" i="3"/>
  <c r="J109" i="6"/>
  <c r="J110" i="6" s="1"/>
  <c r="E10" i="4"/>
  <c r="I25" i="3"/>
  <c r="I24" i="3"/>
  <c r="I17" i="3"/>
  <c r="I23" i="3"/>
  <c r="I18" i="3"/>
  <c r="I26" i="3"/>
  <c r="I13" i="3"/>
  <c r="I15" i="3"/>
  <c r="I16" i="3"/>
  <c r="I79" i="3"/>
  <c r="I19" i="3"/>
  <c r="I95" i="3"/>
  <c r="I103" i="3"/>
  <c r="I75" i="3"/>
  <c r="I65" i="3"/>
  <c r="I36" i="3"/>
  <c r="I67" i="3"/>
  <c r="I70" i="3"/>
  <c r="I29" i="3"/>
  <c r="I53" i="3"/>
  <c r="I62" i="3"/>
  <c r="I27" i="3"/>
  <c r="I46" i="3"/>
  <c r="I100" i="3"/>
  <c r="I76" i="3"/>
  <c r="I64" i="3"/>
  <c r="I77" i="3"/>
  <c r="I41" i="3"/>
  <c r="I38" i="3"/>
  <c r="I40" i="3"/>
  <c r="I91" i="3"/>
  <c r="I61" i="3"/>
  <c r="I59" i="3"/>
  <c r="I60" i="3"/>
  <c r="I32" i="3"/>
  <c r="I72" i="3"/>
  <c r="I39" i="3"/>
  <c r="I50" i="3"/>
  <c r="I52" i="3"/>
  <c r="I51" i="3"/>
  <c r="I92" i="3"/>
  <c r="I82" i="3"/>
  <c r="I83" i="3"/>
  <c r="I30" i="3"/>
  <c r="I47" i="3"/>
  <c r="I89" i="3"/>
  <c r="I55" i="3"/>
  <c r="I85" i="3"/>
  <c r="I102" i="3"/>
  <c r="I54" i="3"/>
  <c r="I90" i="3"/>
  <c r="I99" i="3"/>
  <c r="I97" i="3"/>
  <c r="I34" i="3"/>
  <c r="I49" i="3"/>
  <c r="I73" i="3"/>
  <c r="I98" i="3"/>
  <c r="I94" i="3"/>
  <c r="I69" i="3"/>
  <c r="I86" i="3"/>
  <c r="I93" i="3"/>
  <c r="I42" i="3"/>
  <c r="I57" i="3"/>
  <c r="I58" i="3"/>
  <c r="I84" i="3"/>
  <c r="I88" i="3"/>
  <c r="I48" i="3"/>
  <c r="I71" i="3"/>
  <c r="I81" i="3"/>
  <c r="I63" i="3"/>
  <c r="I43" i="3"/>
  <c r="F10" i="5"/>
  <c r="G8" i="5"/>
  <c r="G10" i="5" s="1"/>
  <c r="P9" i="3"/>
  <c r="L120" i="6" l="1"/>
  <c r="L121" i="6" s="1"/>
  <c r="P71" i="3"/>
  <c r="K71" i="3"/>
  <c r="P85" i="3"/>
  <c r="K85" i="3"/>
  <c r="P30" i="3"/>
  <c r="K30" i="3"/>
  <c r="P72" i="3"/>
  <c r="K72" i="3"/>
  <c r="P100" i="3"/>
  <c r="K100" i="3"/>
  <c r="P95" i="3"/>
  <c r="K95" i="3"/>
  <c r="P15" i="3"/>
  <c r="K15" i="3"/>
  <c r="P23" i="3"/>
  <c r="K23" i="3"/>
  <c r="P43" i="3"/>
  <c r="K43" i="3"/>
  <c r="P48" i="3"/>
  <c r="K48" i="3"/>
  <c r="P57" i="3"/>
  <c r="K57" i="3"/>
  <c r="P69" i="3"/>
  <c r="K69" i="3"/>
  <c r="P49" i="3"/>
  <c r="K49" i="3"/>
  <c r="P90" i="3"/>
  <c r="K90" i="3"/>
  <c r="P55" i="3"/>
  <c r="K55" i="3"/>
  <c r="P83" i="3"/>
  <c r="K83" i="3"/>
  <c r="P52" i="3"/>
  <c r="K52" i="3"/>
  <c r="P32" i="3"/>
  <c r="K32" i="3"/>
  <c r="P91" i="3"/>
  <c r="K91" i="3"/>
  <c r="P77" i="3"/>
  <c r="K77" i="3"/>
  <c r="P46" i="3"/>
  <c r="K46" i="3"/>
  <c r="P29" i="3"/>
  <c r="K29" i="3"/>
  <c r="P65" i="3"/>
  <c r="K65" i="3"/>
  <c r="P19" i="3"/>
  <c r="K19" i="3"/>
  <c r="P13" i="3"/>
  <c r="K13" i="3"/>
  <c r="P17" i="3"/>
  <c r="K17" i="3"/>
  <c r="P58" i="3"/>
  <c r="K58" i="3"/>
  <c r="P73" i="3"/>
  <c r="K73" i="3"/>
  <c r="P51" i="3"/>
  <c r="K51" i="3"/>
  <c r="P41" i="3"/>
  <c r="K41" i="3"/>
  <c r="P36" i="3"/>
  <c r="K36" i="3"/>
  <c r="P63" i="3"/>
  <c r="K63" i="3"/>
  <c r="P42" i="3"/>
  <c r="K42" i="3"/>
  <c r="P94" i="3"/>
  <c r="K94" i="3"/>
  <c r="P34" i="3"/>
  <c r="K34" i="3"/>
  <c r="P54" i="3"/>
  <c r="K54" i="3"/>
  <c r="P89" i="3"/>
  <c r="K89" i="3"/>
  <c r="P82" i="3"/>
  <c r="K82" i="3"/>
  <c r="P50" i="3"/>
  <c r="K50" i="3"/>
  <c r="P60" i="3"/>
  <c r="K60" i="3"/>
  <c r="P40" i="3"/>
  <c r="K40" i="3"/>
  <c r="P64" i="3"/>
  <c r="K64" i="3"/>
  <c r="P27" i="3"/>
  <c r="K27" i="3"/>
  <c r="P70" i="3"/>
  <c r="K70" i="3"/>
  <c r="P75" i="3"/>
  <c r="K75" i="3"/>
  <c r="P79" i="3"/>
  <c r="K79" i="3"/>
  <c r="P26" i="3"/>
  <c r="K26" i="3"/>
  <c r="P24" i="3"/>
  <c r="K24" i="3"/>
  <c r="P86" i="3"/>
  <c r="K86" i="3"/>
  <c r="P99" i="3"/>
  <c r="K99" i="3"/>
  <c r="P61" i="3"/>
  <c r="K61" i="3"/>
  <c r="P53" i="3"/>
  <c r="K53" i="3"/>
  <c r="P88" i="3"/>
  <c r="K88" i="3"/>
  <c r="P81" i="3"/>
  <c r="K81" i="3"/>
  <c r="P84" i="3"/>
  <c r="K84" i="3"/>
  <c r="P93" i="3"/>
  <c r="K93" i="3"/>
  <c r="P98" i="3"/>
  <c r="K98" i="3"/>
  <c r="P97" i="3"/>
  <c r="K97" i="3"/>
  <c r="P102" i="3"/>
  <c r="K102" i="3"/>
  <c r="P47" i="3"/>
  <c r="K47" i="3"/>
  <c r="P92" i="3"/>
  <c r="K92" i="3"/>
  <c r="P39" i="3"/>
  <c r="K39" i="3"/>
  <c r="P59" i="3"/>
  <c r="K59" i="3"/>
  <c r="P38" i="3"/>
  <c r="K38" i="3"/>
  <c r="P76" i="3"/>
  <c r="K76" i="3"/>
  <c r="P62" i="3"/>
  <c r="K62" i="3"/>
  <c r="P67" i="3"/>
  <c r="K67" i="3"/>
  <c r="P103" i="3"/>
  <c r="K103" i="3"/>
  <c r="P16" i="3"/>
  <c r="K16" i="3"/>
  <c r="P18" i="3"/>
  <c r="K18" i="3"/>
  <c r="P25" i="3"/>
  <c r="K25" i="3"/>
  <c r="G113" i="2"/>
  <c r="H8" i="5"/>
  <c r="H10" i="5" s="1"/>
  <c r="I14" i="3" l="1"/>
  <c r="K14" i="3" s="1"/>
  <c r="H14" i="2"/>
  <c r="I113" i="3" l="1"/>
  <c r="P14" i="3"/>
  <c r="P113" i="3" s="1"/>
  <c r="AF28" i="1" l="1"/>
  <c r="AE28" i="1"/>
  <c r="AD28" i="1"/>
  <c r="AC28" i="1"/>
  <c r="AB28" i="1"/>
  <c r="AA28" i="1"/>
  <c r="Z28" i="1"/>
  <c r="Y28" i="1"/>
  <c r="X28" i="1"/>
  <c r="W28" i="1"/>
  <c r="V28" i="1"/>
  <c r="M32" i="1" s="1"/>
  <c r="U28" i="1"/>
  <c r="T28" i="1"/>
  <c r="S28" i="1"/>
  <c r="R28" i="1"/>
  <c r="Q28" i="1"/>
  <c r="P28" i="1"/>
  <c r="O28" i="1"/>
  <c r="N28" i="1"/>
  <c r="M34" i="1" s="1"/>
  <c r="P34" i="1" s="1"/>
  <c r="M28" i="1"/>
  <c r="M40" i="1" s="1"/>
  <c r="P40" i="1" s="1"/>
  <c r="L28" i="1"/>
  <c r="K28" i="1"/>
  <c r="J28" i="1"/>
  <c r="I28" i="1"/>
  <c r="H28" i="1"/>
  <c r="G28" i="1"/>
  <c r="F28" i="1"/>
  <c r="E28" i="1"/>
  <c r="D28" i="1"/>
  <c r="AG26" i="1"/>
  <c r="AG25" i="1"/>
  <c r="AG24" i="1"/>
  <c r="AG23" i="1"/>
  <c r="AG22" i="1"/>
  <c r="AG21" i="1"/>
  <c r="AG20" i="1"/>
  <c r="AG19" i="1"/>
  <c r="AG18" i="1"/>
  <c r="AG17" i="1"/>
  <c r="AG16" i="1"/>
  <c r="AG15" i="1"/>
  <c r="AG14" i="1"/>
  <c r="AG13" i="1"/>
  <c r="AG12" i="1"/>
  <c r="AG11" i="1"/>
  <c r="AG10" i="1"/>
  <c r="AG9" i="1"/>
  <c r="P32" i="1" l="1"/>
  <c r="M33" i="1"/>
  <c r="P33" i="1" s="1"/>
  <c r="T114" i="3"/>
  <c r="Q114" i="3"/>
  <c r="M39" i="1"/>
  <c r="P39" i="1" s="1"/>
  <c r="AG28" i="1"/>
  <c r="M47" i="1" s="1"/>
  <c r="M48" i="1" s="1"/>
  <c r="M49" i="1" s="1"/>
  <c r="M50" i="1" l="1"/>
  <c r="P36" i="1"/>
  <c r="M51" i="1"/>
  <c r="M52" i="1" s="1"/>
  <c r="M53" i="1" s="1"/>
  <c r="I9" i="4" s="1"/>
  <c r="I12" i="4" s="1"/>
  <c r="I17" i="4" s="1"/>
  <c r="M38" i="1" l="1"/>
  <c r="M41" i="1" s="1"/>
  <c r="P37" i="1"/>
  <c r="P38" i="1" s="1"/>
  <c r="P41" i="1" s="1"/>
  <c r="I15" i="4"/>
  <c r="I16" i="4"/>
  <c r="I18" i="4"/>
  <c r="P42" i="1" l="1"/>
  <c r="P43" i="1" s="1"/>
  <c r="M42" i="1"/>
  <c r="M43" i="1"/>
  <c r="E9" i="4"/>
  <c r="R50" i="1"/>
  <c r="Q50" i="1"/>
  <c r="I19" i="4"/>
  <c r="R51" i="1" l="1"/>
  <c r="R52" i="1" s="1"/>
  <c r="R53" i="1" s="1"/>
  <c r="Q51" i="1"/>
  <c r="Q52" i="1" s="1"/>
  <c r="Q53" i="1" s="1"/>
  <c r="R48" i="1"/>
  <c r="Q48" i="1"/>
  <c r="P48" i="1"/>
  <c r="H97" i="2"/>
  <c r="H113" i="2"/>
  <c r="H115" i="2" s="1"/>
  <c r="F109" i="3"/>
  <c r="F113" i="3" l="1"/>
  <c r="V112" i="3"/>
  <c r="V111" i="3"/>
  <c r="W111" i="3" s="1"/>
  <c r="J80" i="2" s="1"/>
  <c r="V110" i="3"/>
  <c r="W110" i="3" s="1"/>
  <c r="J85" i="2" s="1"/>
  <c r="V101" i="3"/>
  <c r="W101" i="3" s="1"/>
  <c r="J9" i="2" s="1"/>
  <c r="V28" i="3"/>
  <c r="W28" i="3" s="1"/>
  <c r="J77" i="2" s="1"/>
  <c r="V108" i="3"/>
  <c r="W108" i="3" s="1"/>
  <c r="J108" i="2" s="1"/>
  <c r="V107" i="3"/>
  <c r="W107" i="3" s="1"/>
  <c r="J59" i="2" s="1"/>
  <c r="V31" i="3"/>
  <c r="W31" i="3" s="1"/>
  <c r="J62" i="2" s="1"/>
  <c r="V105" i="3"/>
  <c r="W105" i="3" s="1"/>
  <c r="J86" i="2" s="1"/>
  <c r="V45" i="3"/>
  <c r="W45" i="3" s="1"/>
  <c r="J40" i="2" s="1"/>
  <c r="V104" i="3"/>
  <c r="W104" i="3" s="1"/>
  <c r="J56" i="2" s="1"/>
  <c r="V106" i="3"/>
  <c r="W106" i="3" s="1"/>
  <c r="J54" i="2" s="1"/>
  <c r="V66" i="3"/>
  <c r="W66" i="3" s="1"/>
  <c r="J39" i="2" s="1"/>
  <c r="V56" i="3"/>
  <c r="W56" i="3" s="1"/>
  <c r="J68" i="2" s="1"/>
  <c r="V87" i="3"/>
  <c r="W87" i="3" s="1"/>
  <c r="J88" i="2" s="1"/>
  <c r="V10" i="3"/>
  <c r="W10" i="3" s="1"/>
  <c r="J91" i="2" s="1"/>
  <c r="V12" i="3"/>
  <c r="W12" i="3" s="1"/>
  <c r="J110" i="2" s="1"/>
  <c r="V78" i="3"/>
  <c r="W78" i="3" s="1"/>
  <c r="J25" i="2" s="1"/>
  <c r="V37" i="3"/>
  <c r="W37" i="3" s="1"/>
  <c r="J32" i="2" s="1"/>
  <c r="V22" i="3"/>
  <c r="W22" i="3" s="1"/>
  <c r="J95" i="2" s="1"/>
  <c r="V74" i="3"/>
  <c r="W74" i="3" s="1"/>
  <c r="J33" i="2" s="1"/>
  <c r="V21" i="3"/>
  <c r="W21" i="3" s="1"/>
  <c r="J87" i="2" s="1"/>
  <c r="V96" i="3"/>
  <c r="W96" i="3" s="1"/>
  <c r="J100" i="2" s="1"/>
  <c r="V44" i="3"/>
  <c r="W44" i="3" s="1"/>
  <c r="J65" i="2" s="1"/>
  <c r="V33" i="3"/>
  <c r="W33" i="3" s="1"/>
  <c r="J84" i="2" s="1"/>
  <c r="V68" i="3"/>
  <c r="W68" i="3" s="1"/>
  <c r="J69" i="2" s="1"/>
  <c r="V80" i="3"/>
  <c r="W80" i="3" s="1"/>
  <c r="J73" i="2" s="1"/>
  <c r="V20" i="3"/>
  <c r="W20" i="3" s="1"/>
  <c r="J51" i="2" s="1"/>
  <c r="V11" i="3"/>
  <c r="W11" i="3" s="1"/>
  <c r="J78" i="2" s="1"/>
  <c r="V35" i="3"/>
  <c r="W35" i="3" s="1"/>
  <c r="J13" i="2" s="1"/>
  <c r="V16" i="3"/>
  <c r="W16" i="3" s="1"/>
  <c r="J18" i="2" s="1"/>
  <c r="V89" i="3"/>
  <c r="W89" i="3" s="1"/>
  <c r="J11" i="2" s="1"/>
  <c r="V43" i="3"/>
  <c r="W43" i="3" s="1"/>
  <c r="J23" i="2" s="1"/>
  <c r="V102" i="3"/>
  <c r="W102" i="3" s="1"/>
  <c r="J109" i="2" s="1"/>
  <c r="V50" i="3"/>
  <c r="W50" i="3" s="1"/>
  <c r="J22" i="2" s="1"/>
  <c r="V91" i="3"/>
  <c r="W91" i="3" s="1"/>
  <c r="J36" i="2" s="1"/>
  <c r="V71" i="3"/>
  <c r="W71" i="3" s="1"/>
  <c r="J106" i="2" s="1"/>
  <c r="V61" i="3"/>
  <c r="W61" i="3" s="1"/>
  <c r="J99" i="2" s="1"/>
  <c r="V51" i="3"/>
  <c r="W51" i="3" s="1"/>
  <c r="J41" i="2" s="1"/>
  <c r="V18" i="3"/>
  <c r="W18" i="3" s="1"/>
  <c r="J64" i="2" s="1"/>
  <c r="V39" i="3"/>
  <c r="W39" i="3" s="1"/>
  <c r="J89" i="2" s="1"/>
  <c r="V81" i="3"/>
  <c r="W81" i="3" s="1"/>
  <c r="J58" i="2" s="1"/>
  <c r="V79" i="3"/>
  <c r="W79" i="3" s="1"/>
  <c r="J47" i="2" s="1"/>
  <c r="V82" i="3"/>
  <c r="W82" i="3" s="1"/>
  <c r="J74" i="2" s="1"/>
  <c r="V41" i="3"/>
  <c r="W41" i="3" s="1"/>
  <c r="J60" i="2" s="1"/>
  <c r="V29" i="3"/>
  <c r="W29" i="3" s="1"/>
  <c r="J83" i="2" s="1"/>
  <c r="V90" i="3"/>
  <c r="W90" i="3" s="1"/>
  <c r="J20" i="2" s="1"/>
  <c r="V95" i="3"/>
  <c r="W95" i="3" s="1"/>
  <c r="J52" i="2" s="1"/>
  <c r="V32" i="3"/>
  <c r="W32" i="3" s="1"/>
  <c r="J111" i="2" s="1"/>
  <c r="V55" i="3"/>
  <c r="W55" i="3" s="1"/>
  <c r="J107" i="2" s="1"/>
  <c r="V65" i="3"/>
  <c r="W65" i="3" s="1"/>
  <c r="J49" i="2" s="1"/>
  <c r="V34" i="3"/>
  <c r="W34" i="3" s="1"/>
  <c r="J94" i="2" s="1"/>
  <c r="V38" i="3"/>
  <c r="W38" i="3" s="1"/>
  <c r="J63" i="2" s="1"/>
  <c r="V60" i="3"/>
  <c r="W60" i="3" s="1"/>
  <c r="J50" i="2" s="1"/>
  <c r="V83" i="3"/>
  <c r="W83" i="3" s="1"/>
  <c r="J61" i="2" s="1"/>
  <c r="V92" i="3"/>
  <c r="W92" i="3" s="1"/>
  <c r="J44" i="2" s="1"/>
  <c r="V36" i="3"/>
  <c r="W36" i="3" s="1"/>
  <c r="J38" i="2" s="1"/>
  <c r="V30" i="3"/>
  <c r="W30" i="3" s="1"/>
  <c r="J45" i="2" s="1"/>
  <c r="V84" i="3"/>
  <c r="W84" i="3" s="1"/>
  <c r="J90" i="2" s="1"/>
  <c r="V42" i="3"/>
  <c r="W42" i="3" s="1"/>
  <c r="J28" i="2" s="1"/>
  <c r="V49" i="3"/>
  <c r="W49" i="3" s="1"/>
  <c r="J71" i="2" s="1"/>
  <c r="V67" i="3"/>
  <c r="W67" i="3" s="1"/>
  <c r="J24" i="2" s="1"/>
  <c r="V26" i="3"/>
  <c r="W26" i="3" s="1"/>
  <c r="J101" i="2" s="1"/>
  <c r="V46" i="3"/>
  <c r="W46" i="3" s="1"/>
  <c r="J93" i="2" s="1"/>
  <c r="V103" i="3"/>
  <c r="W103" i="3" s="1"/>
  <c r="J10" i="2" s="1"/>
  <c r="V47" i="3"/>
  <c r="W47" i="3" s="1"/>
  <c r="J30" i="2" s="1"/>
  <c r="V53" i="3"/>
  <c r="W53" i="3" s="1"/>
  <c r="J55" i="2" s="1"/>
  <c r="V70" i="3"/>
  <c r="W70" i="3" s="1"/>
  <c r="J103" i="2" s="1"/>
  <c r="V54" i="3"/>
  <c r="W54" i="3" s="1"/>
  <c r="J98" i="2" s="1"/>
  <c r="V73" i="3"/>
  <c r="W73" i="3" s="1"/>
  <c r="J26" i="2" s="1"/>
  <c r="V77" i="3"/>
  <c r="W77" i="3" s="1"/>
  <c r="J92" i="2" s="1"/>
  <c r="V69" i="3"/>
  <c r="W69" i="3" s="1"/>
  <c r="J72" i="2" s="1"/>
  <c r="V72" i="3"/>
  <c r="W72" i="3" s="1"/>
  <c r="J102" i="2" s="1"/>
  <c r="V17" i="3"/>
  <c r="W17" i="3" s="1"/>
  <c r="J21" i="2" s="1"/>
  <c r="V48" i="3"/>
  <c r="W48" i="3" s="1"/>
  <c r="J46" i="2" s="1"/>
  <c r="V75" i="3"/>
  <c r="W75" i="3" s="1"/>
  <c r="J70" i="2" s="1"/>
  <c r="V27" i="3"/>
  <c r="W27" i="3" s="1"/>
  <c r="J104" i="2" s="1"/>
  <c r="V100" i="3"/>
  <c r="W100" i="3" s="1"/>
  <c r="J37" i="2" s="1"/>
  <c r="V57" i="3"/>
  <c r="W57" i="3" s="1"/>
  <c r="J16" i="2" s="1"/>
  <c r="V24" i="3"/>
  <c r="W24" i="3" s="1"/>
  <c r="J19" i="2" s="1"/>
  <c r="V63" i="3"/>
  <c r="W63" i="3" s="1"/>
  <c r="J75" i="2" s="1"/>
  <c r="V23" i="3"/>
  <c r="W23" i="3" s="1"/>
  <c r="J35" i="2" s="1"/>
  <c r="V88" i="3"/>
  <c r="W88" i="3" s="1"/>
  <c r="J57" i="2" s="1"/>
  <c r="V13" i="3"/>
  <c r="W13" i="3" s="1"/>
  <c r="J82" i="2" s="1"/>
  <c r="V25" i="3"/>
  <c r="W25" i="3" s="1"/>
  <c r="J17" i="2" s="1"/>
  <c r="V86" i="3"/>
  <c r="W86" i="3" s="1"/>
  <c r="J53" i="2" s="1"/>
  <c r="V58" i="3"/>
  <c r="W58" i="3" s="1"/>
  <c r="J105" i="2" s="1"/>
  <c r="V15" i="3"/>
  <c r="W15" i="3" s="1"/>
  <c r="J43" i="2" s="1"/>
  <c r="V59" i="3"/>
  <c r="W59" i="3" s="1"/>
  <c r="J81" i="2" s="1"/>
  <c r="V40" i="3"/>
  <c r="W40" i="3" s="1"/>
  <c r="J66" i="2" s="1"/>
  <c r="V52" i="3"/>
  <c r="W52" i="3" s="1"/>
  <c r="J29" i="2" s="1"/>
  <c r="V62" i="3"/>
  <c r="W62" i="3" s="1"/>
  <c r="J34" i="2" s="1"/>
  <c r="V97" i="3"/>
  <c r="W97" i="3" s="1"/>
  <c r="J31" i="2" s="1"/>
  <c r="V99" i="3"/>
  <c r="W99" i="3" s="1"/>
  <c r="J27" i="2" s="1"/>
  <c r="V64" i="3"/>
  <c r="W64" i="3" s="1"/>
  <c r="J76" i="2" s="1"/>
  <c r="V94" i="3"/>
  <c r="W94" i="3" s="1"/>
  <c r="J12" i="2" s="1"/>
  <c r="V85" i="3"/>
  <c r="W85" i="3" s="1"/>
  <c r="J96" i="2" s="1"/>
  <c r="V76" i="3"/>
  <c r="W76" i="3" s="1"/>
  <c r="J67" i="2" s="1"/>
  <c r="V98" i="3"/>
  <c r="W98" i="3" s="1"/>
  <c r="J79" i="2" s="1"/>
  <c r="V93" i="3"/>
  <c r="W93" i="3" s="1"/>
  <c r="J42" i="2" s="1"/>
  <c r="V19" i="3"/>
  <c r="W19" i="3" s="1"/>
  <c r="J15" i="2" s="1"/>
  <c r="V14" i="3"/>
  <c r="W14" i="3" s="1"/>
  <c r="J14" i="2" s="1"/>
  <c r="H117" i="2"/>
  <c r="H118" i="2" s="1"/>
  <c r="M115" i="2"/>
  <c r="M117" i="2" s="1"/>
  <c r="O51" i="1"/>
  <c r="O52" i="1" s="1"/>
  <c r="O53" i="1" s="1"/>
  <c r="P51" i="1"/>
  <c r="P52" i="1" s="1"/>
  <c r="P53" i="1" s="1"/>
  <c r="K109" i="3"/>
  <c r="V109" i="3" s="1"/>
  <c r="Z9" i="3" l="1"/>
  <c r="R120" i="2"/>
  <c r="I28" i="4" s="1"/>
  <c r="Q120" i="2"/>
  <c r="H28" i="4" s="1"/>
  <c r="P120" i="2"/>
  <c r="G28" i="4" s="1"/>
  <c r="S120" i="2"/>
  <c r="J28" i="4" s="1"/>
  <c r="M118" i="2"/>
  <c r="M119" i="2"/>
  <c r="M122" i="2" s="1"/>
  <c r="H119" i="2"/>
  <c r="H122" i="2" s="1"/>
  <c r="E11" i="4" s="1"/>
  <c r="E12" i="4" s="1"/>
  <c r="K113" i="3"/>
  <c r="V113" i="3" s="1"/>
  <c r="H123" i="2" l="1"/>
  <c r="H124" i="2" s="1"/>
  <c r="M126" i="2"/>
  <c r="M123" i="2"/>
  <c r="M124" i="2" s="1"/>
  <c r="E16" i="4"/>
  <c r="E18" i="4"/>
  <c r="E17" i="4"/>
  <c r="E15" i="4"/>
  <c r="W109" i="3"/>
  <c r="R118" i="2" l="1"/>
  <c r="Q118" i="2"/>
  <c r="P118" i="2"/>
  <c r="S118" i="2"/>
  <c r="E19" i="4"/>
  <c r="J97" i="2"/>
  <c r="S121" i="2" l="1"/>
  <c r="S122" i="2" s="1"/>
  <c r="S123" i="2" s="1"/>
  <c r="J26" i="4"/>
  <c r="J29" i="4" s="1"/>
  <c r="J30" i="4" s="1"/>
  <c r="J31" i="4" s="1"/>
  <c r="P121" i="2"/>
  <c r="P122" i="2" s="1"/>
  <c r="P123" i="2" s="1"/>
  <c r="G26" i="4"/>
  <c r="G29" i="4" s="1"/>
  <c r="Q121" i="2"/>
  <c r="Q122" i="2" s="1"/>
  <c r="Q123" i="2" s="1"/>
  <c r="H26" i="4"/>
  <c r="H29" i="4" s="1"/>
  <c r="H30" i="4" s="1"/>
  <c r="H31" i="4" s="1"/>
  <c r="R121" i="2"/>
  <c r="R122" i="2" s="1"/>
  <c r="R123" i="2" s="1"/>
  <c r="I26" i="4"/>
  <c r="I29" i="4" s="1"/>
  <c r="I30" i="4" s="1"/>
  <c r="I31" i="4" s="1"/>
  <c r="K29" i="4" l="1"/>
  <c r="G30" i="4"/>
  <c r="G31" i="4" l="1"/>
  <c r="K31" i="4" s="1"/>
  <c r="K30" i="4"/>
  <c r="J48" i="2" l="1"/>
  <c r="W9" i="3"/>
  <c r="W113" i="3" s="1"/>
</calcChain>
</file>

<file path=xl/sharedStrings.xml><?xml version="1.0" encoding="utf-8"?>
<sst xmlns="http://schemas.openxmlformats.org/spreadsheetml/2006/main" count="1673" uniqueCount="475">
  <si>
    <t>CONSULTORIA EN PROYECTOS DINAMICOS S DE RL DE CV</t>
  </si>
  <si>
    <t>Lista de Raya (forma tabular)</t>
  </si>
  <si>
    <t>Reg Pat IMSS: Z2940859106</t>
  </si>
  <si>
    <t xml:space="preserve">RFC: CPD -150911-FA3 </t>
  </si>
  <si>
    <t>Código</t>
  </si>
  <si>
    <t>Empleado</t>
  </si>
  <si>
    <t>Sueldo</t>
  </si>
  <si>
    <t>Vacaciones a tiempo</t>
  </si>
  <si>
    <t>Prima de vacaciones a tiempo</t>
  </si>
  <si>
    <t>Ayuda de Transporte</t>
  </si>
  <si>
    <t>Ayuda Alimentaria</t>
  </si>
  <si>
    <t>Ayuda de Renta</t>
  </si>
  <si>
    <t>*TOTAL* *PERCEPCIONES*</t>
  </si>
  <si>
    <t>Seguro de vivienda Infonavit</t>
  </si>
  <si>
    <t>Préstamo Infonavit (vsm)</t>
  </si>
  <si>
    <t>Subsidio al Empleo (sp)</t>
  </si>
  <si>
    <t>I.S.R. (sp)</t>
  </si>
  <si>
    <t>I.M.S.S.</t>
  </si>
  <si>
    <t>Ajuste al neto</t>
  </si>
  <si>
    <t>*TOTAL* *DEDUCCIONES*</t>
  </si>
  <si>
    <t>*NETO*</t>
  </si>
  <si>
    <t>Invalidez y Vida</t>
  </si>
  <si>
    <t>Cesantia y Vejez</t>
  </si>
  <si>
    <t>Enf. y Mat. Patron</t>
  </si>
  <si>
    <t>2% Fondo retiro SAR (8)</t>
  </si>
  <si>
    <t>2% Impuesto estatal</t>
  </si>
  <si>
    <t>Riesgo de trabajo (9)</t>
  </si>
  <si>
    <t>I.M.S.S. empresa</t>
  </si>
  <si>
    <t>Infonavit empresa</t>
  </si>
  <si>
    <t>Guarderia I.M.S.S. (7)</t>
  </si>
  <si>
    <t>IVA</t>
  </si>
  <si>
    <t>Dias Laborados</t>
  </si>
  <si>
    <t>Dias Vacaciones</t>
  </si>
  <si>
    <t>Salario Diario</t>
  </si>
  <si>
    <t>Salario Diario Integrado</t>
  </si>
  <si>
    <t>Banco</t>
  </si>
  <si>
    <t>SEI0010</t>
  </si>
  <si>
    <t>SEI0449</t>
  </si>
  <si>
    <t>SEI0009</t>
  </si>
  <si>
    <t>Gutierrez Gutierrez Luis Arturo</t>
  </si>
  <si>
    <t>SEI0026</t>
  </si>
  <si>
    <t>Patricio Aguilar Jhonattan Cristian</t>
  </si>
  <si>
    <t>SEI0040</t>
  </si>
  <si>
    <t>Mora Ramirez Acal Aldo Isidro</t>
  </si>
  <si>
    <t>SEI0041</t>
  </si>
  <si>
    <t>Vazquez Perez Miguel Angel</t>
  </si>
  <si>
    <t>SEI0088</t>
  </si>
  <si>
    <t>Morgado Fernandez Martin</t>
  </si>
  <si>
    <t>SEI0097</t>
  </si>
  <si>
    <t>Arreola Jimenez Jose Nieves</t>
  </si>
  <si>
    <t>SEI0099</t>
  </si>
  <si>
    <t>Garcia Villicaña Ricardo Pascual</t>
  </si>
  <si>
    <t>SEI0108</t>
  </si>
  <si>
    <t>Caballero Diaz Francisco Javier</t>
  </si>
  <si>
    <t>SEI0116</t>
  </si>
  <si>
    <t>Casillas Cardona Cesar Alejandro</t>
  </si>
  <si>
    <t>SEI0117</t>
  </si>
  <si>
    <t>Mariscal Romero Luis Adrian</t>
  </si>
  <si>
    <t>SEI0118</t>
  </si>
  <si>
    <t>Arroyo Ramirez Hector Hugo</t>
  </si>
  <si>
    <t>SEI0127</t>
  </si>
  <si>
    <t>Hernandez Ochoa Eduardo</t>
  </si>
  <si>
    <t>SEI0173</t>
  </si>
  <si>
    <t>Nieto Ortiz Jose Luis</t>
  </si>
  <si>
    <t>SEI0221</t>
  </si>
  <si>
    <t>Rogel Teran Marco Antonio</t>
  </si>
  <si>
    <t>SEI0401</t>
  </si>
  <si>
    <t>De La Torre Zambara Francisco Ernesto</t>
  </si>
  <si>
    <t>SEI0425</t>
  </si>
  <si>
    <t>Carbajal Cabuto Jose Luis</t>
  </si>
  <si>
    <t>SEI0435</t>
  </si>
  <si>
    <t>Benavides Herrera Alejandra</t>
  </si>
  <si>
    <t>SEI0442</t>
  </si>
  <si>
    <t>Sierra Escamilla Daniela</t>
  </si>
  <si>
    <t xml:space="preserve">  =============</t>
  </si>
  <si>
    <t>Total Gral.</t>
  </si>
  <si>
    <t xml:space="preserve"> </t>
  </si>
  <si>
    <t>Aguinaldo</t>
  </si>
  <si>
    <t>SINDICATO</t>
  </si>
  <si>
    <t>PRIMA VACACIONAL</t>
  </si>
  <si>
    <t>CLAVE</t>
  </si>
  <si>
    <t>EMPRESA</t>
  </si>
  <si>
    <t>NOMBRE</t>
  </si>
  <si>
    <t xml:space="preserve">SUELDO SINDICATO </t>
  </si>
  <si>
    <t>BONO</t>
  </si>
  <si>
    <t>COMISION</t>
  </si>
  <si>
    <t>prima vacaciones</t>
  </si>
  <si>
    <t>TOTAL</t>
  </si>
  <si>
    <t>SEI0544</t>
  </si>
  <si>
    <t>IP INNOVACION</t>
  </si>
  <si>
    <t>Aguilar Aguirre Alfonso</t>
  </si>
  <si>
    <t xml:space="preserve"> SEI0652</t>
  </si>
  <si>
    <t>SEI0431</t>
  </si>
  <si>
    <t>SEI0527</t>
  </si>
  <si>
    <t>Alejandro Peña Deivi</t>
  </si>
  <si>
    <t xml:space="preserve"> SEI0628</t>
  </si>
  <si>
    <t>SEI0535</t>
  </si>
  <si>
    <t>Alejandro Vazquez Erasmo Miguel</t>
  </si>
  <si>
    <t xml:space="preserve"> SEI0638</t>
  </si>
  <si>
    <t>SEI0029</t>
  </si>
  <si>
    <t>Arceo Garcia Manuel Federico</t>
  </si>
  <si>
    <t xml:space="preserve"> SEI0029</t>
  </si>
  <si>
    <t>CONSULTORIA</t>
  </si>
  <si>
    <t xml:space="preserve"> SEI0097</t>
  </si>
  <si>
    <t xml:space="preserve"> SEI0118</t>
  </si>
  <si>
    <t>SEI0472</t>
  </si>
  <si>
    <t>Arzate Gil Juan Sebastian</t>
  </si>
  <si>
    <t xml:space="preserve"> SEI0550</t>
  </si>
  <si>
    <t>SEI0377</t>
  </si>
  <si>
    <t xml:space="preserve"> SEI0377</t>
  </si>
  <si>
    <t xml:space="preserve"> SEI0108</t>
  </si>
  <si>
    <t xml:space="preserve"> SEI0453</t>
  </si>
  <si>
    <t>SEI0528</t>
  </si>
  <si>
    <t>Casas Chavarria Rafael</t>
  </si>
  <si>
    <t xml:space="preserve"> SEI0629</t>
  </si>
  <si>
    <t xml:space="preserve"> SEI0116</t>
  </si>
  <si>
    <t>SEI0460</t>
  </si>
  <si>
    <t>Castellon Ramos Rene</t>
  </si>
  <si>
    <t xml:space="preserve"> SEI0499</t>
  </si>
  <si>
    <t>SEI0443</t>
  </si>
  <si>
    <t>Castillo Nungaray Nestor Roman</t>
  </si>
  <si>
    <t xml:space="preserve"> SEI0468</t>
  </si>
  <si>
    <t>SEI0490</t>
  </si>
  <si>
    <t>Castillo Ramirez Hector Ivan</t>
  </si>
  <si>
    <t xml:space="preserve"> SEI0448</t>
  </si>
  <si>
    <t>SEI0508</t>
  </si>
  <si>
    <t>Cerro Garcia Elvis</t>
  </si>
  <si>
    <t xml:space="preserve"> SEI0513</t>
  </si>
  <si>
    <t>SEI0499</t>
  </si>
  <si>
    <t>Chavez Dominguez Salvador</t>
  </si>
  <si>
    <t xml:space="preserve"> SEI0483</t>
  </si>
  <si>
    <t>SEI0541</t>
  </si>
  <si>
    <t>Chavez Govea Edgar Aram</t>
  </si>
  <si>
    <t xml:space="preserve"> SEI0644</t>
  </si>
  <si>
    <t>Chavez Pedraza Samuel</t>
  </si>
  <si>
    <t xml:space="preserve"> SEI0467</t>
  </si>
  <si>
    <t>SEI0462</t>
  </si>
  <si>
    <t>Chavez Saucedo Jorge Arturo</t>
  </si>
  <si>
    <t xml:space="preserve"> SEI0516</t>
  </si>
  <si>
    <t>SEI0456</t>
  </si>
  <si>
    <t>Chavira Garcia David Fernando</t>
  </si>
  <si>
    <t xml:space="preserve"> SEI0495</t>
  </si>
  <si>
    <t>SEI0015</t>
  </si>
  <si>
    <t>Cota Jaramillo Miguel Angel</t>
  </si>
  <si>
    <t xml:space="preserve"> SEI0015</t>
  </si>
  <si>
    <t>SEI0413</t>
  </si>
  <si>
    <t>Courtenay Gutierrez Barry Vladimir</t>
  </si>
  <si>
    <t xml:space="preserve"> SEI0436</t>
  </si>
  <si>
    <t>SEI0501</t>
  </si>
  <si>
    <t>Cruz Herrera Roberto</t>
  </si>
  <si>
    <t xml:space="preserve"> SEI0485</t>
  </si>
  <si>
    <t>SEI479</t>
  </si>
  <si>
    <t>Cruz Perez Alejandro Nezahualcoyotl</t>
  </si>
  <si>
    <t xml:space="preserve"> SEI0606</t>
  </si>
  <si>
    <t xml:space="preserve"> SEI0401</t>
  </si>
  <si>
    <t>SEI0530</t>
  </si>
  <si>
    <t>Del Pilar Mendez Lucio</t>
  </si>
  <si>
    <t xml:space="preserve"> SEI0630</t>
  </si>
  <si>
    <t>SEI0543</t>
  </si>
  <si>
    <t>Diaz Ortiz Hiram Guillermo</t>
  </si>
  <si>
    <t xml:space="preserve"> SEI0646</t>
  </si>
  <si>
    <t>SEI0364</t>
  </si>
  <si>
    <t>Dominguez Lopez Mayeli Del Pilar</t>
  </si>
  <si>
    <t xml:space="preserve"> SEI0364</t>
  </si>
  <si>
    <t>SEI0489</t>
  </si>
  <si>
    <t>Escobedo Olivares Juan Guadalupe</t>
  </si>
  <si>
    <t xml:space="preserve"> SEI0447</t>
  </si>
  <si>
    <t>Flores Cerrillos Jorge Humberto</t>
  </si>
  <si>
    <t xml:space="preserve"> SEI0474</t>
  </si>
  <si>
    <t>SEI0461</t>
  </si>
  <si>
    <t>Flores Franco Marco</t>
  </si>
  <si>
    <t xml:space="preserve"> SEI0500</t>
  </si>
  <si>
    <t>SEI0500</t>
  </si>
  <si>
    <t>Garcia Gutierrez Jose Juan</t>
  </si>
  <si>
    <t xml:space="preserve"> SEI0484</t>
  </si>
  <si>
    <t xml:space="preserve"> SEI0099</t>
  </si>
  <si>
    <t>SEI0534</t>
  </si>
  <si>
    <t>Gonzalez Ramirez Paul</t>
  </si>
  <si>
    <t>0SEI0635</t>
  </si>
  <si>
    <t>SEI0019</t>
  </si>
  <si>
    <t>Gonzalez Rasgado Miguel Isaias</t>
  </si>
  <si>
    <t xml:space="preserve"> SEI0019</t>
  </si>
  <si>
    <t>SEI0457</t>
  </si>
  <si>
    <t>Guerrero Lara Cesar Adrian</t>
  </si>
  <si>
    <t xml:space="preserve"> SEI0496</t>
  </si>
  <si>
    <t>SEI0509</t>
  </si>
  <si>
    <t xml:space="preserve"> SEI0610</t>
  </si>
  <si>
    <t xml:space="preserve"> SEI0009</t>
  </si>
  <si>
    <t>SEI0483</t>
  </si>
  <si>
    <t>Gutierrez Muñoz Carlos Alejandro</t>
  </si>
  <si>
    <t xml:space="preserve"> SEI0095</t>
  </si>
  <si>
    <t>SEI0476</t>
  </si>
  <si>
    <t>Hernandez Garcia Manuel Alejandro</t>
  </si>
  <si>
    <t xml:space="preserve"> SEI0602</t>
  </si>
  <si>
    <t xml:space="preserve"> SEI0127</t>
  </si>
  <si>
    <t>SEI0536</t>
  </si>
  <si>
    <t>Hernandez Ojeda Julio Cesar</t>
  </si>
  <si>
    <t xml:space="preserve"> SEI0640</t>
  </si>
  <si>
    <t>SEI0523</t>
  </si>
  <si>
    <t>Hernandez Rodriguez Jorge</t>
  </si>
  <si>
    <t xml:space="preserve"> SEI0624</t>
  </si>
  <si>
    <t>SEI0464</t>
  </si>
  <si>
    <t>Hueramo Hueramo Jesus Daniel</t>
  </si>
  <si>
    <t xml:space="preserve"> SEI 502</t>
  </si>
  <si>
    <t>SEI0511</t>
  </si>
  <si>
    <t>Lizaran Maceda Jose Guadalupe</t>
  </si>
  <si>
    <t xml:space="preserve"> SEI0517</t>
  </si>
  <si>
    <t>SEI0525</t>
  </si>
  <si>
    <t>Lizaran Maceda Jesus</t>
  </si>
  <si>
    <t xml:space="preserve"> SEI0626</t>
  </si>
  <si>
    <t>SEI0438</t>
  </si>
  <si>
    <t>Lopez Terron Roberto Porfirio</t>
  </si>
  <si>
    <t xml:space="preserve"> SEI0463</t>
  </si>
  <si>
    <t>SEI0517</t>
  </si>
  <si>
    <t>Macias Torres Enrique</t>
  </si>
  <si>
    <t xml:space="preserve"> SEI0120</t>
  </si>
  <si>
    <t>SEI0020</t>
  </si>
  <si>
    <t>Mar Marquez Cesar Eduardo</t>
  </si>
  <si>
    <t xml:space="preserve"> SEI0020</t>
  </si>
  <si>
    <t xml:space="preserve"> SEI0117</t>
  </si>
  <si>
    <t>SEI0444</t>
  </si>
  <si>
    <t>Marquez Hernandez Rogelio</t>
  </si>
  <si>
    <t xml:space="preserve"> SEI0469</t>
  </si>
  <si>
    <t>SEI0428</t>
  </si>
  <si>
    <t>Martinez Hernandez J. Antonio</t>
  </si>
  <si>
    <t xml:space="preserve"> SEI0452</t>
  </si>
  <si>
    <t>SEI0504</t>
  </si>
  <si>
    <t>Martinez Malo Cesar</t>
  </si>
  <si>
    <t xml:space="preserve"> SEI0488</t>
  </si>
  <si>
    <t>SEI0469</t>
  </si>
  <si>
    <t>Martinez Morales Jose Martin</t>
  </si>
  <si>
    <t xml:space="preserve"> SEI0511</t>
  </si>
  <si>
    <t>SEI0493</t>
  </si>
  <si>
    <t>Martinez Morales Tomas</t>
  </si>
  <si>
    <t xml:space="preserve"> SEI0477</t>
  </si>
  <si>
    <t>SEI0503</t>
  </si>
  <si>
    <t>Martinez Rodriguez Paulo Cesar</t>
  </si>
  <si>
    <t xml:space="preserve"> SEI0487</t>
  </si>
  <si>
    <t>SEI0458</t>
  </si>
  <si>
    <t>Martinez Zamora Gerardo Mario</t>
  </si>
  <si>
    <t xml:space="preserve"> SEI0497</t>
  </si>
  <si>
    <t>SEI0494</t>
  </si>
  <si>
    <t>Medellin Colunga Ruben Dario</t>
  </si>
  <si>
    <t xml:space="preserve"> SEI0478</t>
  </si>
  <si>
    <t>SEI0506</t>
  </si>
  <si>
    <t xml:space="preserve"> SEI0506</t>
  </si>
  <si>
    <t>SEI0513</t>
  </si>
  <si>
    <t>Mendez Rivera Ivan Israel</t>
  </si>
  <si>
    <t xml:space="preserve"> SEI0612</t>
  </si>
  <si>
    <t>SEI0488</t>
  </si>
  <si>
    <t>Mireles Casillas Brenda Cristina</t>
  </si>
  <si>
    <t xml:space="preserve"> SEI0446</t>
  </si>
  <si>
    <t>Marin Avila Hector</t>
  </si>
  <si>
    <t xml:space="preserve"> SEI0445</t>
  </si>
  <si>
    <t>SEI0485</t>
  </si>
  <si>
    <t>Molina Ramirez Gerardo Daniel</t>
  </si>
  <si>
    <t xml:space="preserve"> SEI0033</t>
  </si>
  <si>
    <t xml:space="preserve"> SEI0014 </t>
  </si>
  <si>
    <t>Montoya Portillo Carlos Alberto</t>
  </si>
  <si>
    <t xml:space="preserve"> SEI0014</t>
  </si>
  <si>
    <t xml:space="preserve"> SEI0040</t>
  </si>
  <si>
    <t>SEI0540</t>
  </si>
  <si>
    <t>Morales Martinez Eduardo</t>
  </si>
  <si>
    <t xml:space="preserve"> SEI0648</t>
  </si>
  <si>
    <t>SEI0475</t>
  </si>
  <si>
    <t>Moreno Quiroga Ana Sarahi</t>
  </si>
  <si>
    <t xml:space="preserve"> SEI0601</t>
  </si>
  <si>
    <t xml:space="preserve"> SEI0088</t>
  </si>
  <si>
    <t>SEI0017</t>
  </si>
  <si>
    <t>Muñoz Reyes Luis Eduardo</t>
  </si>
  <si>
    <t xml:space="preserve"> SEI0017</t>
  </si>
  <si>
    <t>SEI0022</t>
  </si>
  <si>
    <t>Najera Lopez Raul</t>
  </si>
  <si>
    <t xml:space="preserve"> SEI0022</t>
  </si>
  <si>
    <t>Negrete Bejar Aide Sarai</t>
  </si>
  <si>
    <t xml:space="preserve"> SEI0016</t>
  </si>
  <si>
    <t xml:space="preserve"> SEI0173</t>
  </si>
  <si>
    <t>SEI0524</t>
  </si>
  <si>
    <t>Orea Gonzalez Concepcion Esteban</t>
  </si>
  <si>
    <t xml:space="preserve"> SEI0625</t>
  </si>
  <si>
    <t>SEI0424</t>
  </si>
  <si>
    <t>Palacios Ramos Jesus</t>
  </si>
  <si>
    <t xml:space="preserve"> SEI0424</t>
  </si>
  <si>
    <t>SEI0519</t>
  </si>
  <si>
    <t>Palacios Vega Luis Rosendo</t>
  </si>
  <si>
    <t xml:space="preserve"> SEI0519</t>
  </si>
  <si>
    <t xml:space="preserve"> SEI0026</t>
  </si>
  <si>
    <t>SEI0505</t>
  </si>
  <si>
    <t>Perez Balboa Cesar</t>
  </si>
  <si>
    <t xml:space="preserve"> SEI0489</t>
  </si>
  <si>
    <t>SEI0455</t>
  </si>
  <si>
    <t>Perez Garcia Andres Alvaro</t>
  </si>
  <si>
    <t xml:space="preserve"> SEI0494</t>
  </si>
  <si>
    <t>SEI0023</t>
  </si>
  <si>
    <t>Puente Murguia Luis Felipe</t>
  </si>
  <si>
    <t xml:space="preserve"> SEI0023</t>
  </si>
  <si>
    <t xml:space="preserve"> SEI0221</t>
  </si>
  <si>
    <t>SEI0521</t>
  </si>
  <si>
    <t>Rondero Savin Jacinto</t>
  </si>
  <si>
    <t xml:space="preserve"> SEI0622</t>
  </si>
  <si>
    <t>SEI0465</t>
  </si>
  <si>
    <t>Sandoval Garcia Luis</t>
  </si>
  <si>
    <t xml:space="preserve"> SEI0503</t>
  </si>
  <si>
    <t>SEI0477</t>
  </si>
  <si>
    <t>Sandoval Medina Demetrio</t>
  </si>
  <si>
    <t xml:space="preserve"> SEI0603</t>
  </si>
  <si>
    <t>SEI0537</t>
  </si>
  <si>
    <t>Serrano Esquivel Armando</t>
  </si>
  <si>
    <t xml:space="preserve"> SEI0641</t>
  </si>
  <si>
    <t xml:space="preserve"> SEI0618</t>
  </si>
  <si>
    <t>SEI0498</t>
  </si>
  <si>
    <t>Tenorio Alvarez Alberto Antonio</t>
  </si>
  <si>
    <t xml:space="preserve"> SEI0482</t>
  </si>
  <si>
    <t>SEI0495</t>
  </si>
  <si>
    <t>Torres Perez Carlos Alberto</t>
  </si>
  <si>
    <t xml:space="preserve"> SEI0479</t>
  </si>
  <si>
    <t>Torres Ricardez Alfredo</t>
  </si>
  <si>
    <t xml:space="preserve"> SEI0010</t>
  </si>
  <si>
    <t>SEI0473</t>
  </si>
  <si>
    <t>Torres Velazquez Juan Antonio</t>
  </si>
  <si>
    <t xml:space="preserve"> SEI0604</t>
  </si>
  <si>
    <t>SEI0497</t>
  </si>
  <si>
    <t>Treviño Alvarez Jorge Alberto</t>
  </si>
  <si>
    <t xml:space="preserve"> SEI0481</t>
  </si>
  <si>
    <t>SEI0467</t>
  </si>
  <si>
    <t>Vaca Valdez Guillermo</t>
  </si>
  <si>
    <t xml:space="preserve"> SEI0505</t>
  </si>
  <si>
    <t>SEI0545</t>
  </si>
  <si>
    <t>Vallarta Fonseca Mayra Karina</t>
  </si>
  <si>
    <t xml:space="preserve"> SEI0653</t>
  </si>
  <si>
    <t xml:space="preserve"> SEI0041</t>
  </si>
  <si>
    <t>SEI0021</t>
  </si>
  <si>
    <t>Velez Rodriguez Jaime</t>
  </si>
  <si>
    <t xml:space="preserve"> SEI0021</t>
  </si>
  <si>
    <t>Aguilar Garcia Rosa Paola</t>
  </si>
  <si>
    <t xml:space="preserve"> SEI0654</t>
  </si>
  <si>
    <t>Jauregui Madera Jorge Silvestre</t>
  </si>
  <si>
    <t xml:space="preserve"> SEI0656</t>
  </si>
  <si>
    <t>SUELDO SINDICATO</t>
  </si>
  <si>
    <t>PRIMA VACACIONAL SINDICATO</t>
  </si>
  <si>
    <t>B</t>
  </si>
  <si>
    <t>NETO A PAGAR</t>
  </si>
  <si>
    <t>NETO MENSUAL</t>
  </si>
  <si>
    <t>NETO QUINCENAL SEITON</t>
  </si>
  <si>
    <t>C</t>
  </si>
  <si>
    <t>prima vacacional</t>
  </si>
  <si>
    <t>COMISION Y PRIMA VACACIONAL</t>
  </si>
  <si>
    <t>INFONAVIT</t>
  </si>
  <si>
    <t>FONACOT</t>
  </si>
  <si>
    <t>DESCUENTOS</t>
  </si>
  <si>
    <t>D</t>
  </si>
  <si>
    <t>TOTAL GENERAL</t>
  </si>
  <si>
    <t>DIFERENCIAS</t>
  </si>
  <si>
    <t>OBSERVACIONES</t>
  </si>
  <si>
    <t>SEI0421</t>
  </si>
  <si>
    <t>SEI0415</t>
  </si>
  <si>
    <t>SEI0033</t>
  </si>
  <si>
    <t>SEI0095</t>
  </si>
  <si>
    <t>SEI0416</t>
  </si>
  <si>
    <t>SEI0417</t>
  </si>
  <si>
    <t>SEI0420</t>
  </si>
  <si>
    <t>SEI0422</t>
  </si>
  <si>
    <t>SEI0426</t>
  </si>
  <si>
    <t>SEI0430</t>
  </si>
  <si>
    <t>SEI0432</t>
  </si>
  <si>
    <t>SEI0433</t>
  </si>
  <si>
    <t>SEI0547</t>
  </si>
  <si>
    <t>SEI0548</t>
  </si>
  <si>
    <t xml:space="preserve">TOTAL GENERAL </t>
  </si>
  <si>
    <t>TOTAL FACTURACION NOMINA</t>
  </si>
  <si>
    <t>TOTAL PROV AGUINALDOS</t>
  </si>
  <si>
    <t>TOTAL CPD</t>
  </si>
  <si>
    <t>TOTAL IP</t>
  </si>
  <si>
    <t>TOTAL SINDICATO</t>
  </si>
  <si>
    <t>PORCENTAJES POR EMPRESA</t>
  </si>
  <si>
    <t>EM 4%</t>
  </si>
  <si>
    <t>CPD 12%</t>
  </si>
  <si>
    <t>IP 11%</t>
  </si>
  <si>
    <t>ITA 73%</t>
  </si>
  <si>
    <t>CONSULTORIA EN PROYECTOS DINAMICOS</t>
  </si>
  <si>
    <t>CALCULO DE PAGO POR ASIMILADOS Y/O COMISIONES</t>
  </si>
  <si>
    <t>QUINCENAL</t>
  </si>
  <si>
    <t>FACTURACION</t>
  </si>
  <si>
    <t>Nombre</t>
  </si>
  <si>
    <t>SUELDO MENSUAL</t>
  </si>
  <si>
    <t>IMSS</t>
  </si>
  <si>
    <t>Asimilados</t>
  </si>
  <si>
    <t>Comision 2%</t>
  </si>
  <si>
    <t>SUBTOTAL</t>
  </si>
  <si>
    <t>PABLO BENAVIDES HERRERA</t>
  </si>
  <si>
    <t>SE FACTURA A PITSS</t>
  </si>
  <si>
    <t>TOTALES</t>
  </si>
  <si>
    <t>Devengado Salario</t>
  </si>
  <si>
    <t>RETORNOS</t>
  </si>
  <si>
    <t>Infonavit</t>
  </si>
  <si>
    <t>Prestamo Prospera</t>
  </si>
  <si>
    <t>Subtotal 1</t>
  </si>
  <si>
    <t>Comision</t>
  </si>
  <si>
    <t>Subtotal 2</t>
  </si>
  <si>
    <t>Costo Patronal Imss</t>
  </si>
  <si>
    <t xml:space="preserve">2% Sobre Nomina </t>
  </si>
  <si>
    <t>Importe de Factura</t>
  </si>
  <si>
    <t>PROVISION AGUINALDO</t>
  </si>
  <si>
    <t>FACTURACION PITS</t>
  </si>
  <si>
    <t>QNA PASADA</t>
  </si>
  <si>
    <t>SUBTOTAL 2</t>
  </si>
  <si>
    <t>SUBTOTAL 3</t>
  </si>
  <si>
    <t>TOTA</t>
  </si>
  <si>
    <t xml:space="preserve">Devengado Salario </t>
  </si>
  <si>
    <t>Deduccion General</t>
  </si>
  <si>
    <t>IP INNOVACION EN PROYECTOS S DE RL DE CV</t>
  </si>
  <si>
    <t>Reg Pat IMSS: R1363592103</t>
  </si>
  <si>
    <t xml:space="preserve">RFC: IIP -150923-DT7 </t>
  </si>
  <si>
    <t>Préstamo Infonavit (cf)</t>
  </si>
  <si>
    <t>Préstamo FONACOT</t>
  </si>
  <si>
    <t>Deduccion general</t>
  </si>
  <si>
    <t xml:space="preserve">Aguinaldo </t>
  </si>
  <si>
    <t>SEI0014</t>
  </si>
  <si>
    <t>SEI0016</t>
  </si>
  <si>
    <t>Mejia  Duarte Jose Luis</t>
  </si>
  <si>
    <t xml:space="preserve">Gutierrez  Castillo  Jose De Jesus </t>
  </si>
  <si>
    <t>SEI0549</t>
  </si>
  <si>
    <t>Hinojosa  Guerrero  Alejandro</t>
  </si>
  <si>
    <t>SEI0550</t>
  </si>
  <si>
    <t>Lopez Blanco Luis Eduardo</t>
  </si>
  <si>
    <t>SEI0551</t>
  </si>
  <si>
    <t>Vallarta Fonseca Maria Esmeralda</t>
  </si>
  <si>
    <t>NETO IMSS</t>
  </si>
  <si>
    <t xml:space="preserve">  Nomina </t>
  </si>
  <si>
    <t xml:space="preserve">  Altas    </t>
  </si>
  <si>
    <t xml:space="preserve">  Bajas  </t>
  </si>
  <si>
    <t xml:space="preserve">  Total Nomina </t>
  </si>
  <si>
    <t>HORAS EXTRAS Y DIAS FESTIVOS</t>
  </si>
  <si>
    <t>Clave</t>
  </si>
  <si>
    <t>DIAS LABORADOS</t>
  </si>
  <si>
    <t>SDI</t>
  </si>
  <si>
    <t>Sueldo Mensual</t>
  </si>
  <si>
    <t>Sueldo quincenal</t>
  </si>
  <si>
    <t>Sueldo diario con bonos</t>
  </si>
  <si>
    <t>Faltas</t>
  </si>
  <si>
    <t>Monto</t>
  </si>
  <si>
    <t>DIAS VACACIONES</t>
  </si>
  <si>
    <t>Total de Vacaciones</t>
  </si>
  <si>
    <t>VACACIONES IMSS</t>
  </si>
  <si>
    <t>VACACIONES SINDICATO</t>
  </si>
  <si>
    <t>Total de Prima vacacional</t>
  </si>
  <si>
    <t>PRIMA IMSS</t>
  </si>
  <si>
    <t>PRIMA SINDICATO</t>
  </si>
  <si>
    <t>VACACIONES PAGADAS</t>
  </si>
  <si>
    <t>Total</t>
  </si>
  <si>
    <t>INCAPACIDAD</t>
  </si>
  <si>
    <t xml:space="preserve">  -----------------------</t>
  </si>
  <si>
    <t>RESUMEN</t>
  </si>
  <si>
    <t>SEI0479</t>
  </si>
  <si>
    <t>SEI0552</t>
  </si>
  <si>
    <t>Rubio Ventura Juan Eduardo</t>
  </si>
  <si>
    <t>SEI0553</t>
  </si>
  <si>
    <t>Navarro  Vargas  Alberto</t>
  </si>
  <si>
    <t>SEI0554</t>
  </si>
  <si>
    <t>Moreno Castillo Paulina Yamileth</t>
  </si>
  <si>
    <t>CLAVE SINDICATO</t>
  </si>
  <si>
    <t>CUADRE</t>
  </si>
  <si>
    <t>FALTAS</t>
  </si>
  <si>
    <t>1 PERMISO SIN GOCE</t>
  </si>
  <si>
    <t>INGRESO 17/06/2019</t>
  </si>
  <si>
    <t>INGRESO 18/06/2019</t>
  </si>
  <si>
    <t>INGRESO 25/06/2019</t>
  </si>
  <si>
    <t>VENTAS</t>
  </si>
  <si>
    <t>ADMON</t>
  </si>
  <si>
    <t>SERVICIO</t>
  </si>
  <si>
    <t>COMISIONES</t>
  </si>
  <si>
    <t>EM</t>
  </si>
  <si>
    <t>CPD</t>
  </si>
  <si>
    <t>IP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</si>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</sst>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i/>
      <sz val="9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i/>
      <sz val="10"/>
      <name val="Calibri"/>
      <family val="2"/>
    </font>
    <font>
      <b/>
      <i/>
      <sz val="10"/>
      <name val="Calibri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Calibri"/>
      <family val="2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b/>
      <sz val="11"/>
      <color rgb="FF0000FF"/>
      <name val="Calibri"/>
      <family val="2"/>
      <scheme val="minor"/>
    </font>
    <font>
      <sz val="11"/>
      <color rgb="FFFF9900"/>
      <name val="Calibri"/>
      <family val="2"/>
      <scheme val="minor"/>
    </font>
    <font>
      <i/>
      <sz val="11"/>
      <color rgb="FFFF9900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9"/>
      <color theme="1"/>
      <name val="Arial"/>
      <family val="2"/>
    </font>
    <font>
      <b/>
      <sz val="9"/>
      <color indexed="12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  <border>
      <left style="thin">
        <color rgb="FF0000FD"/>
      </left>
      <right/>
      <top style="thin">
        <color rgb="FF0000FD"/>
      </top>
      <bottom style="double">
        <color rgb="FF0000FD"/>
      </bottom>
      <diagonal/>
    </border>
    <border>
      <left/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 style="thin">
        <color rgb="FF0000FD"/>
      </top>
      <bottom style="double">
        <color rgb="FF0000FD"/>
      </bottom>
      <diagonal/>
    </border>
    <border>
      <left style="thin">
        <color rgb="FF0000FD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rgb="FF0000FD"/>
      </bottom>
      <diagonal/>
    </border>
    <border>
      <left style="thin">
        <color rgb="FF0000FD"/>
      </left>
      <right style="thin">
        <color rgb="FF0000FD"/>
      </right>
      <top style="thin">
        <color rgb="FF0000FD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FD"/>
      </left>
      <right style="thin">
        <color rgb="FF0000FD"/>
      </right>
      <top style="thin">
        <color indexed="64"/>
      </top>
      <bottom style="thin">
        <color indexed="64"/>
      </bottom>
      <diagonal/>
    </border>
    <border>
      <left style="thin">
        <color rgb="FF0000FD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FD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/>
    <xf numFmtId="0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3">
    <xf numFmtId="0" fontId="0" fillId="0" borderId="0" xfId="0"/>
    <xf numFmtId="43" fontId="3" fillId="0" borderId="0" xfId="0" applyNumberFormat="1" applyFont="1"/>
    <xf numFmtId="43" fontId="6" fillId="3" borderId="1" xfId="2" applyNumberFormat="1" applyFont="1" applyFill="1" applyBorder="1" applyAlignment="1">
      <alignment horizontal="center" vertical="center" wrapText="1"/>
    </xf>
    <xf numFmtId="43" fontId="6" fillId="4" borderId="3" xfId="2" applyNumberFormat="1" applyFont="1" applyFill="1" applyBorder="1" applyAlignment="1">
      <alignment horizontal="center" vertical="center" wrapText="1"/>
    </xf>
    <xf numFmtId="43" fontId="3" fillId="0" borderId="0" xfId="0" applyNumberFormat="1" applyFont="1" applyFill="1"/>
    <xf numFmtId="43" fontId="7" fillId="6" borderId="0" xfId="3" applyNumberFormat="1" applyFont="1" applyFill="1"/>
    <xf numFmtId="43" fontId="3" fillId="2" borderId="0" xfId="0" applyNumberFormat="1" applyFont="1" applyFill="1"/>
    <xf numFmtId="43" fontId="3" fillId="6" borderId="0" xfId="0" applyNumberFormat="1" applyFont="1" applyFill="1"/>
    <xf numFmtId="43" fontId="4" fillId="0" borderId="0" xfId="0" applyNumberFormat="1" applyFont="1"/>
    <xf numFmtId="43" fontId="8" fillId="0" borderId="0" xfId="0" applyNumberFormat="1" applyFont="1"/>
    <xf numFmtId="43" fontId="8" fillId="0" borderId="0" xfId="0" applyNumberFormat="1" applyFont="1" applyFill="1"/>
    <xf numFmtId="43" fontId="7" fillId="0" borderId="0" xfId="3" applyNumberFormat="1" applyFont="1" applyFill="1"/>
    <xf numFmtId="43" fontId="9" fillId="0" borderId="0" xfId="3" applyNumberFormat="1" applyFont="1"/>
    <xf numFmtId="43" fontId="6" fillId="6" borderId="0" xfId="3" applyNumberFormat="1" applyFont="1" applyFill="1"/>
    <xf numFmtId="43" fontId="10" fillId="3" borderId="0" xfId="2" applyNumberFormat="1" applyFont="1" applyFill="1"/>
    <xf numFmtId="43" fontId="9" fillId="3" borderId="0" xfId="2" applyNumberFormat="1" applyFont="1" applyFill="1"/>
    <xf numFmtId="43" fontId="8" fillId="5" borderId="0" xfId="0" applyNumberFormat="1" applyFont="1" applyFill="1" applyBorder="1"/>
    <xf numFmtId="43" fontId="8" fillId="5" borderId="0" xfId="0" applyNumberFormat="1" applyFont="1" applyFill="1"/>
    <xf numFmtId="43" fontId="8" fillId="0" borderId="0" xfId="0" applyNumberFormat="1" applyFont="1" applyFill="1" applyAlignment="1"/>
    <xf numFmtId="43" fontId="8" fillId="6" borderId="0" xfId="0" applyNumberFormat="1" applyFont="1" applyFill="1"/>
    <xf numFmtId="43" fontId="12" fillId="3" borderId="1" xfId="2" applyNumberFormat="1" applyFont="1" applyFill="1" applyBorder="1" applyAlignment="1">
      <alignment horizontal="center" vertical="center" wrapText="1"/>
    </xf>
    <xf numFmtId="43" fontId="12" fillId="5" borderId="0" xfId="2" applyNumberFormat="1" applyFont="1" applyFill="1" applyBorder="1" applyAlignment="1">
      <alignment horizontal="center" vertical="center" wrapText="1"/>
    </xf>
    <xf numFmtId="43" fontId="12" fillId="3" borderId="5" xfId="2" applyNumberFormat="1" applyFont="1" applyFill="1" applyBorder="1" applyAlignment="1">
      <alignment horizontal="center" vertical="center" wrapText="1"/>
    </xf>
    <xf numFmtId="43" fontId="12" fillId="3" borderId="4" xfId="2" applyNumberFormat="1" applyFont="1" applyFill="1" applyBorder="1" applyAlignment="1">
      <alignment horizontal="center" vertical="center" wrapText="1"/>
    </xf>
    <xf numFmtId="43" fontId="12" fillId="4" borderId="1" xfId="2" applyNumberFormat="1" applyFont="1" applyFill="1" applyBorder="1" applyAlignment="1">
      <alignment horizontal="center" vertical="center" wrapText="1"/>
    </xf>
    <xf numFmtId="43" fontId="12" fillId="3" borderId="6" xfId="2" applyNumberFormat="1" applyFont="1" applyFill="1" applyBorder="1" applyAlignment="1">
      <alignment horizontal="center" vertical="center" wrapText="1"/>
    </xf>
    <xf numFmtId="43" fontId="12" fillId="3" borderId="6" xfId="2" applyNumberFormat="1" applyFont="1" applyFill="1" applyBorder="1" applyAlignment="1">
      <alignment horizontal="center" vertical="center"/>
    </xf>
    <xf numFmtId="43" fontId="7" fillId="6" borderId="0" xfId="3" applyNumberFormat="1" applyFont="1" applyFill="1" applyAlignment="1">
      <alignment horizontal="left" vertical="center"/>
    </xf>
    <xf numFmtId="43" fontId="7" fillId="5" borderId="0" xfId="3" applyNumberFormat="1" applyFont="1" applyFill="1" applyBorder="1"/>
    <xf numFmtId="43" fontId="7" fillId="0" borderId="0" xfId="3" applyNumberFormat="1" applyFont="1" applyFill="1" applyAlignment="1">
      <alignment horizontal="left" vertical="center"/>
    </xf>
    <xf numFmtId="43" fontId="11" fillId="5" borderId="0" xfId="0" applyNumberFormat="1" applyFont="1" applyFill="1" applyBorder="1"/>
    <xf numFmtId="43" fontId="11" fillId="6" borderId="0" xfId="0" applyNumberFormat="1" applyFont="1" applyFill="1"/>
    <xf numFmtId="14" fontId="8" fillId="0" borderId="0" xfId="0" applyNumberFormat="1" applyFont="1" applyFill="1"/>
    <xf numFmtId="43" fontId="8" fillId="0" borderId="0" xfId="0" applyNumberFormat="1" applyFont="1" applyFill="1" applyAlignment="1">
      <alignment horizontal="center"/>
    </xf>
    <xf numFmtId="14" fontId="11" fillId="0" borderId="0" xfId="0" applyNumberFormat="1" applyFont="1" applyFill="1"/>
    <xf numFmtId="0" fontId="8" fillId="0" borderId="0" xfId="0" applyNumberFormat="1" applyFont="1" applyFill="1" applyAlignment="1"/>
    <xf numFmtId="43" fontId="11" fillId="0" borderId="0" xfId="0" applyNumberFormat="1" applyFont="1" applyFill="1"/>
    <xf numFmtId="14" fontId="8" fillId="0" borderId="0" xfId="0" applyNumberFormat="1" applyFont="1" applyFill="1" applyAlignment="1">
      <alignment horizontal="center"/>
    </xf>
    <xf numFmtId="43" fontId="11" fillId="4" borderId="0" xfId="0" applyNumberFormat="1" applyFont="1" applyFill="1" applyAlignment="1">
      <alignment vertical="center"/>
    </xf>
    <xf numFmtId="43" fontId="11" fillId="0" borderId="0" xfId="0" applyNumberFormat="1" applyFont="1"/>
    <xf numFmtId="43" fontId="11" fillId="0" borderId="0" xfId="0" applyNumberFormat="1" applyFont="1" applyAlignment="1">
      <alignment horizontal="left" vertical="center"/>
    </xf>
    <xf numFmtId="43" fontId="8" fillId="0" borderId="0" xfId="0" applyNumberFormat="1" applyFont="1" applyAlignment="1">
      <alignment horizontal="left" vertical="center"/>
    </xf>
    <xf numFmtId="43" fontId="14" fillId="0" borderId="0" xfId="0" applyNumberFormat="1" applyFont="1"/>
    <xf numFmtId="43" fontId="13" fillId="0" borderId="0" xfId="0" applyNumberFormat="1" applyFont="1" applyFill="1"/>
    <xf numFmtId="43" fontId="14" fillId="0" borderId="0" xfId="0" applyNumberFormat="1" applyFont="1" applyFill="1"/>
    <xf numFmtId="43" fontId="15" fillId="0" borderId="0" xfId="2" applyNumberFormat="1" applyFont="1" applyFill="1"/>
    <xf numFmtId="43" fontId="16" fillId="0" borderId="0" xfId="2" applyNumberFormat="1" applyFont="1" applyFill="1"/>
    <xf numFmtId="43" fontId="13" fillId="0" borderId="0" xfId="0" applyNumberFormat="1" applyFont="1"/>
    <xf numFmtId="0" fontId="2" fillId="0" borderId="0" xfId="0" applyFont="1"/>
    <xf numFmtId="0" fontId="2" fillId="2" borderId="7" xfId="0" applyFont="1" applyFill="1" applyBorder="1" applyAlignment="1">
      <alignment horizontal="center"/>
    </xf>
    <xf numFmtId="43" fontId="11" fillId="3" borderId="9" xfId="0" applyNumberFormat="1" applyFont="1" applyFill="1" applyBorder="1" applyAlignment="1">
      <alignment horizontal="center" vertical="center" wrapText="1"/>
    </xf>
    <xf numFmtId="0" fontId="0" fillId="0" borderId="0" xfId="0" applyBorder="1"/>
    <xf numFmtId="43" fontId="0" fillId="0" borderId="0" xfId="1" applyFont="1" applyBorder="1"/>
    <xf numFmtId="43" fontId="0" fillId="2" borderId="0" xfId="1" applyFont="1" applyFill="1" applyBorder="1"/>
    <xf numFmtId="43" fontId="0" fillId="0" borderId="0" xfId="1" applyFont="1" applyFill="1" applyBorder="1"/>
    <xf numFmtId="0" fontId="2" fillId="0" borderId="0" xfId="0" applyFont="1" applyBorder="1"/>
    <xf numFmtId="43" fontId="2" fillId="0" borderId="0" xfId="0" applyNumberFormat="1" applyFont="1" applyBorder="1"/>
    <xf numFmtId="43" fontId="2" fillId="0" borderId="0" xfId="0" applyNumberFormat="1" applyFont="1" applyFill="1" applyBorder="1"/>
    <xf numFmtId="43" fontId="0" fillId="0" borderId="0" xfId="0" applyNumberFormat="1"/>
    <xf numFmtId="43" fontId="2" fillId="0" borderId="0" xfId="0" applyNumberFormat="1" applyFont="1"/>
    <xf numFmtId="43" fontId="0" fillId="0" borderId="0" xfId="1" applyFont="1"/>
    <xf numFmtId="43" fontId="14" fillId="0" borderId="0" xfId="0" applyNumberFormat="1" applyFont="1" applyFill="1" applyAlignment="1">
      <alignment horizontal="center" vertical="center"/>
    </xf>
    <xf numFmtId="43" fontId="8" fillId="0" borderId="0" xfId="1" applyFont="1"/>
    <xf numFmtId="43" fontId="18" fillId="3" borderId="0" xfId="0" applyNumberFormat="1" applyFont="1" applyFill="1"/>
    <xf numFmtId="43" fontId="19" fillId="6" borderId="0" xfId="0" applyNumberFormat="1" applyFont="1" applyFill="1"/>
    <xf numFmtId="43" fontId="19" fillId="0" borderId="0" xfId="0" applyNumberFormat="1" applyFont="1" applyFill="1"/>
    <xf numFmtId="43" fontId="7" fillId="0" borderId="0" xfId="0" applyNumberFormat="1" applyFont="1" applyFill="1"/>
    <xf numFmtId="43" fontId="20" fillId="6" borderId="0" xfId="0" applyNumberFormat="1" applyFont="1" applyFill="1"/>
    <xf numFmtId="43" fontId="20" fillId="0" borderId="0" xfId="0" applyNumberFormat="1" applyFont="1" applyFill="1"/>
    <xf numFmtId="43" fontId="20" fillId="5" borderId="0" xfId="0" applyNumberFormat="1" applyFont="1" applyFill="1" applyBorder="1"/>
    <xf numFmtId="43" fontId="7" fillId="0" borderId="0" xfId="0" applyNumberFormat="1" applyFont="1"/>
    <xf numFmtId="43" fontId="7" fillId="6" borderId="0" xfId="0" applyNumberFormat="1" applyFont="1" applyFill="1"/>
    <xf numFmtId="43" fontId="12" fillId="5" borderId="0" xfId="0" applyNumberFormat="1" applyFont="1" applyFill="1" applyBorder="1"/>
    <xf numFmtId="43" fontId="20" fillId="2" borderId="0" xfId="0" applyNumberFormat="1" applyFont="1" applyFill="1"/>
    <xf numFmtId="43" fontId="20" fillId="5" borderId="0" xfId="0" applyNumberFormat="1" applyFont="1" applyFill="1"/>
    <xf numFmtId="43" fontId="12" fillId="6" borderId="0" xfId="0" applyNumberFormat="1" applyFont="1" applyFill="1"/>
    <xf numFmtId="43" fontId="20" fillId="4" borderId="0" xfId="0" applyNumberFormat="1" applyFont="1" applyFill="1"/>
    <xf numFmtId="43" fontId="20" fillId="0" borderId="0" xfId="1" applyFont="1"/>
    <xf numFmtId="43" fontId="20" fillId="0" borderId="0" xfId="0" applyNumberFormat="1" applyFont="1"/>
    <xf numFmtId="43" fontId="21" fillId="0" borderId="0" xfId="0" applyNumberFormat="1" applyFo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0" fillId="0" borderId="0" xfId="0" applyFont="1"/>
    <xf numFmtId="49" fontId="0" fillId="0" borderId="0" xfId="0" applyNumberFormat="1" applyFont="1"/>
    <xf numFmtId="0" fontId="0" fillId="0" borderId="0" xfId="0" applyFont="1" applyAlignment="1">
      <alignment horizontal="right"/>
    </xf>
    <xf numFmtId="43" fontId="0" fillId="0" borderId="0" xfId="1" applyFont="1" applyAlignment="1">
      <alignment horizontal="right"/>
    </xf>
    <xf numFmtId="43" fontId="2" fillId="0" borderId="0" xfId="1" applyFont="1" applyAlignment="1">
      <alignment horizontal="left"/>
    </xf>
    <xf numFmtId="43" fontId="2" fillId="0" borderId="0" xfId="1" applyFont="1"/>
    <xf numFmtId="43" fontId="2" fillId="0" borderId="0" xfId="1" applyFont="1" applyFill="1"/>
    <xf numFmtId="43" fontId="2" fillId="3" borderId="0" xfId="0" applyNumberFormat="1" applyFont="1" applyFill="1"/>
    <xf numFmtId="43" fontId="0" fillId="3" borderId="0" xfId="0" applyNumberFormat="1" applyFont="1" applyFill="1"/>
    <xf numFmtId="43" fontId="0" fillId="0" borderId="0" xfId="0" applyNumberFormat="1" applyFont="1"/>
    <xf numFmtId="49" fontId="26" fillId="3" borderId="1" xfId="0" applyNumberFormat="1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49" fontId="22" fillId="0" borderId="0" xfId="0" applyNumberFormat="1" applyFont="1" applyAlignment="1">
      <alignment horizontal="center"/>
    </xf>
    <xf numFmtId="0" fontId="23" fillId="0" borderId="0" xfId="0" applyFont="1" applyAlignment="1"/>
    <xf numFmtId="49" fontId="24" fillId="0" borderId="0" xfId="0" applyNumberFormat="1" applyFont="1" applyAlignment="1">
      <alignment horizontal="center" vertical="top"/>
    </xf>
    <xf numFmtId="0" fontId="2" fillId="0" borderId="0" xfId="0" applyFont="1" applyAlignment="1">
      <alignment vertical="center"/>
    </xf>
    <xf numFmtId="43" fontId="17" fillId="4" borderId="0" xfId="0" applyNumberFormat="1" applyFont="1" applyFill="1" applyAlignment="1">
      <alignment wrapText="1"/>
    </xf>
    <xf numFmtId="43" fontId="2" fillId="4" borderId="0" xfId="0" applyNumberFormat="1" applyFont="1" applyFill="1" applyAlignment="1"/>
    <xf numFmtId="43" fontId="2" fillId="4" borderId="0" xfId="0" applyNumberFormat="1" applyFont="1" applyFill="1" applyAlignment="1">
      <alignment wrapText="1"/>
    </xf>
    <xf numFmtId="43" fontId="0" fillId="0" borderId="0" xfId="1" applyFont="1" applyFill="1"/>
    <xf numFmtId="0" fontId="0" fillId="0" borderId="0" xfId="0" applyFont="1" applyFill="1"/>
    <xf numFmtId="0" fontId="0" fillId="0" borderId="0" xfId="0" applyFill="1"/>
    <xf numFmtId="43" fontId="0" fillId="0" borderId="0" xfId="0" applyNumberFormat="1" applyFill="1"/>
    <xf numFmtId="0" fontId="0" fillId="0" borderId="0" xfId="0" applyFont="1" applyBorder="1" applyAlignment="1"/>
    <xf numFmtId="43" fontId="26" fillId="3" borderId="10" xfId="0" applyNumberFormat="1" applyFont="1" applyFill="1" applyBorder="1" applyAlignment="1">
      <alignment horizontal="center" vertical="center" wrapText="1"/>
    </xf>
    <xf numFmtId="43" fontId="26" fillId="3" borderId="11" xfId="0" applyNumberFormat="1" applyFont="1" applyFill="1" applyBorder="1" applyAlignment="1">
      <alignment horizontal="center" vertical="center" wrapText="1"/>
    </xf>
    <xf numFmtId="164" fontId="27" fillId="3" borderId="12" xfId="0" applyNumberFormat="1" applyFont="1" applyFill="1" applyBorder="1" applyAlignment="1">
      <alignment horizontal="center" vertical="center" wrapText="1"/>
    </xf>
    <xf numFmtId="164" fontId="27" fillId="3" borderId="13" xfId="0" applyNumberFormat="1" applyFont="1" applyFill="1" applyBorder="1" applyAlignment="1">
      <alignment horizontal="center" vertical="center" wrapText="1"/>
    </xf>
    <xf numFmtId="43" fontId="26" fillId="3" borderId="13" xfId="0" applyNumberFormat="1" applyFont="1" applyFill="1" applyBorder="1" applyAlignment="1">
      <alignment horizontal="center" vertical="center" wrapText="1"/>
    </xf>
    <xf numFmtId="0" fontId="29" fillId="7" borderId="14" xfId="0" applyFont="1" applyFill="1" applyBorder="1" applyAlignment="1">
      <alignment vertical="center"/>
    </xf>
    <xf numFmtId="43" fontId="26" fillId="3" borderId="14" xfId="0" applyNumberFormat="1" applyFont="1" applyFill="1" applyBorder="1" applyAlignment="1">
      <alignment horizontal="center" vertical="center" wrapText="1"/>
    </xf>
    <xf numFmtId="164" fontId="27" fillId="3" borderId="15" xfId="0" applyNumberFormat="1" applyFont="1" applyFill="1" applyBorder="1" applyAlignment="1">
      <alignment horizontal="center" vertical="center" wrapText="1"/>
    </xf>
    <xf numFmtId="0" fontId="29" fillId="7" borderId="0" xfId="0" applyFont="1" applyFill="1" applyAlignment="1">
      <alignment vertical="center"/>
    </xf>
    <xf numFmtId="0" fontId="0" fillId="0" borderId="0" xfId="0" applyAlignment="1">
      <alignment vertical="center"/>
    </xf>
    <xf numFmtId="43" fontId="31" fillId="0" borderId="0" xfId="0" applyNumberFormat="1" applyFont="1"/>
    <xf numFmtId="43" fontId="0" fillId="0" borderId="0" xfId="0" applyNumberFormat="1" applyFont="1" applyFill="1" applyBorder="1" applyAlignment="1">
      <alignment horizontal="center"/>
    </xf>
    <xf numFmtId="0" fontId="0" fillId="7" borderId="0" xfId="0" applyFont="1" applyFill="1"/>
    <xf numFmtId="43" fontId="32" fillId="0" borderId="0" xfId="0" applyNumberFormat="1" applyFont="1" applyFill="1"/>
    <xf numFmtId="43" fontId="31" fillId="0" borderId="0" xfId="1" applyFont="1" applyAlignment="1">
      <alignment horizontal="center"/>
    </xf>
    <xf numFmtId="43" fontId="31" fillId="0" borderId="0" xfId="1" applyFont="1" applyAlignment="1">
      <alignment horizontal="right"/>
    </xf>
    <xf numFmtId="43" fontId="31" fillId="0" borderId="0" xfId="1" applyFont="1" applyFill="1" applyAlignment="1">
      <alignment horizontal="right"/>
    </xf>
    <xf numFmtId="43" fontId="30" fillId="0" borderId="0" xfId="4" applyFont="1"/>
    <xf numFmtId="0" fontId="0" fillId="0" borderId="0" xfId="0" applyFont="1"/>
    <xf numFmtId="49" fontId="0" fillId="0" borderId="0" xfId="0" applyNumberFormat="1" applyFont="1"/>
    <xf numFmtId="43" fontId="0" fillId="0" borderId="0" xfId="4" applyFont="1"/>
    <xf numFmtId="43" fontId="25" fillId="0" borderId="0" xfId="4" applyFont="1"/>
    <xf numFmtId="0" fontId="0" fillId="0" borderId="0" xfId="0" applyFont="1"/>
    <xf numFmtId="49" fontId="0" fillId="0" borderId="0" xfId="0" applyNumberFormat="1" applyFont="1"/>
    <xf numFmtId="43" fontId="0" fillId="0" borderId="0" xfId="4" applyFont="1"/>
    <xf numFmtId="43" fontId="25" fillId="0" borderId="0" xfId="4" applyFont="1"/>
    <xf numFmtId="43" fontId="0" fillId="0" borderId="0" xfId="4" applyFont="1"/>
    <xf numFmtId="43" fontId="0" fillId="0" borderId="0" xfId="4" applyFont="1"/>
    <xf numFmtId="43" fontId="0" fillId="0" borderId="0" xfId="4" applyFont="1"/>
    <xf numFmtId="43" fontId="0" fillId="0" borderId="0" xfId="4" applyFont="1"/>
    <xf numFmtId="43" fontId="25" fillId="0" borderId="0" xfId="4" applyFont="1"/>
    <xf numFmtId="43" fontId="0" fillId="0" borderId="0" xfId="4" applyFont="1"/>
    <xf numFmtId="43" fontId="0" fillId="0" borderId="0" xfId="4" applyFont="1"/>
    <xf numFmtId="43" fontId="11" fillId="0" borderId="0" xfId="0" applyNumberFormat="1" applyFont="1" applyFill="1" applyAlignment="1">
      <alignment vertical="center"/>
    </xf>
    <xf numFmtId="43" fontId="11" fillId="5" borderId="2" xfId="0" applyNumberFormat="1" applyFont="1" applyFill="1" applyBorder="1" applyAlignment="1">
      <alignment vertical="center" wrapText="1"/>
    </xf>
    <xf numFmtId="43" fontId="0" fillId="0" borderId="0" xfId="1" applyFont="1" applyAlignment="1">
      <alignment horizontal="center"/>
    </xf>
    <xf numFmtId="43" fontId="0" fillId="0" borderId="0" xfId="5" applyFont="1"/>
    <xf numFmtId="43" fontId="2" fillId="8" borderId="0" xfId="1" applyFont="1" applyFill="1"/>
    <xf numFmtId="0" fontId="26" fillId="8" borderId="1" xfId="0" applyFont="1" applyFill="1" applyBorder="1" applyAlignment="1">
      <alignment horizontal="center" vertical="center" wrapText="1"/>
    </xf>
    <xf numFmtId="0" fontId="0" fillId="0" borderId="0" xfId="0" applyFont="1" applyBorder="1"/>
    <xf numFmtId="0" fontId="0" fillId="0" borderId="20" xfId="0" applyFont="1" applyBorder="1"/>
    <xf numFmtId="43" fontId="2" fillId="11" borderId="18" xfId="1" applyFont="1" applyFill="1" applyBorder="1" applyAlignment="1">
      <alignment horizontal="center"/>
    </xf>
    <xf numFmtId="49" fontId="0" fillId="10" borderId="0" xfId="0" applyNumberFormat="1" applyFont="1" applyFill="1"/>
    <xf numFmtId="0" fontId="0" fillId="10" borderId="0" xfId="0" applyFont="1" applyFill="1"/>
    <xf numFmtId="43" fontId="0" fillId="10" borderId="0" xfId="4" applyFont="1" applyFill="1"/>
    <xf numFmtId="43" fontId="0" fillId="10" borderId="0" xfId="1" applyFont="1" applyFill="1"/>
    <xf numFmtId="43" fontId="25" fillId="10" borderId="0" xfId="4" applyFont="1" applyFill="1"/>
    <xf numFmtId="43" fontId="0" fillId="0" borderId="20" xfId="0" applyNumberFormat="1" applyFont="1" applyBorder="1"/>
    <xf numFmtId="43" fontId="0" fillId="0" borderId="20" xfId="1" applyFont="1" applyBorder="1"/>
    <xf numFmtId="43" fontId="0" fillId="0" borderId="23" xfId="1" applyFont="1" applyBorder="1"/>
    <xf numFmtId="43" fontId="2" fillId="12" borderId="0" xfId="1" applyFont="1" applyFill="1"/>
    <xf numFmtId="0" fontId="26" fillId="12" borderId="1" xfId="0" applyFont="1" applyFill="1" applyBorder="1" applyAlignment="1">
      <alignment horizontal="center" vertical="center" wrapText="1"/>
    </xf>
    <xf numFmtId="43" fontId="0" fillId="0" borderId="24" xfId="1" applyFont="1" applyBorder="1"/>
    <xf numFmtId="43" fontId="35" fillId="9" borderId="25" xfId="1" applyFont="1" applyFill="1" applyBorder="1" applyAlignment="1">
      <alignment horizontal="center"/>
    </xf>
    <xf numFmtId="0" fontId="0" fillId="0" borderId="24" xfId="0" applyFont="1" applyBorder="1"/>
    <xf numFmtId="0" fontId="0" fillId="0" borderId="7" xfId="0" applyFont="1" applyBorder="1"/>
    <xf numFmtId="43" fontId="2" fillId="10" borderId="25" xfId="1" applyFont="1" applyFill="1" applyBorder="1" applyAlignment="1">
      <alignment horizontal="center"/>
    </xf>
    <xf numFmtId="43" fontId="0" fillId="0" borderId="7" xfId="1" applyFont="1" applyBorder="1"/>
    <xf numFmtId="0" fontId="0" fillId="9" borderId="0" xfId="0" applyFont="1" applyFill="1"/>
    <xf numFmtId="9" fontId="36" fillId="0" borderId="0" xfId="0" applyNumberFormat="1" applyFont="1" applyAlignment="1">
      <alignment horizontal="center"/>
    </xf>
    <xf numFmtId="0" fontId="34" fillId="13" borderId="16" xfId="0" applyFont="1" applyFill="1" applyBorder="1"/>
    <xf numFmtId="0" fontId="33" fillId="13" borderId="17" xfId="0" applyFont="1" applyFill="1" applyBorder="1" applyAlignment="1">
      <alignment horizontal="center"/>
    </xf>
    <xf numFmtId="0" fontId="33" fillId="13" borderId="18" xfId="0" applyFont="1" applyFill="1" applyBorder="1" applyAlignment="1">
      <alignment horizontal="center"/>
    </xf>
    <xf numFmtId="0" fontId="2" fillId="10" borderId="19" xfId="0" applyFont="1" applyFill="1" applyBorder="1"/>
    <xf numFmtId="43" fontId="0" fillId="0" borderId="0" xfId="0" applyNumberFormat="1" applyFont="1" applyBorder="1"/>
    <xf numFmtId="0" fontId="2" fillId="11" borderId="19" xfId="0" applyFont="1" applyFill="1" applyBorder="1"/>
    <xf numFmtId="0" fontId="2" fillId="9" borderId="19" xfId="0" applyFont="1" applyFill="1" applyBorder="1"/>
    <xf numFmtId="0" fontId="37" fillId="4" borderId="19" xfId="0" applyFont="1" applyFill="1" applyBorder="1"/>
    <xf numFmtId="0" fontId="34" fillId="13" borderId="19" xfId="0" applyFont="1" applyFill="1" applyBorder="1"/>
    <xf numFmtId="43" fontId="35" fillId="0" borderId="0" xfId="0" applyNumberFormat="1" applyFont="1" applyBorder="1"/>
    <xf numFmtId="43" fontId="35" fillId="0" borderId="20" xfId="0" applyNumberFormat="1" applyFont="1" applyBorder="1"/>
    <xf numFmtId="0" fontId="34" fillId="13" borderId="21" xfId="0" applyFont="1" applyFill="1" applyBorder="1"/>
    <xf numFmtId="43" fontId="35" fillId="0" borderId="22" xfId="0" applyNumberFormat="1" applyFont="1" applyBorder="1"/>
    <xf numFmtId="43" fontId="35" fillId="0" borderId="23" xfId="0" applyNumberFormat="1" applyFont="1" applyBorder="1"/>
    <xf numFmtId="49" fontId="0" fillId="9" borderId="0" xfId="0" applyNumberFormat="1" applyFont="1" applyFill="1"/>
    <xf numFmtId="43" fontId="0" fillId="9" borderId="0" xfId="4" applyFont="1" applyFill="1"/>
    <xf numFmtId="43" fontId="25" fillId="9" borderId="0" xfId="4" applyFont="1" applyFill="1"/>
    <xf numFmtId="43" fontId="0" fillId="9" borderId="0" xfId="1" applyFont="1" applyFill="1"/>
    <xf numFmtId="43" fontId="0" fillId="9" borderId="0" xfId="0" applyNumberFormat="1" applyFont="1" applyFill="1"/>
    <xf numFmtId="43" fontId="0" fillId="11" borderId="0" xfId="0" applyNumberFormat="1" applyFont="1" applyFill="1"/>
    <xf numFmtId="43" fontId="3" fillId="9" borderId="0" xfId="0" applyNumberFormat="1" applyFont="1" applyFill="1"/>
    <xf numFmtId="43" fontId="3" fillId="10" borderId="0" xfId="0" applyNumberFormat="1" applyFont="1" applyFill="1"/>
    <xf numFmtId="43" fontId="0" fillId="0" borderId="0" xfId="0" applyNumberFormat="1" applyFont="1" applyFill="1"/>
    <xf numFmtId="43" fontId="35" fillId="0" borderId="7" xfId="1" applyFont="1" applyBorder="1"/>
    <xf numFmtId="43" fontId="35" fillId="14" borderId="0" xfId="0" applyNumberFormat="1" applyFont="1" applyFill="1" applyBorder="1"/>
    <xf numFmtId="43" fontId="14" fillId="14" borderId="0" xfId="0" applyNumberFormat="1" applyFont="1" applyFill="1"/>
    <xf numFmtId="43" fontId="35" fillId="14" borderId="20" xfId="0" applyNumberFormat="1" applyFont="1" applyFill="1" applyBorder="1"/>
    <xf numFmtId="43" fontId="0" fillId="14" borderId="20" xfId="0" applyNumberFormat="1" applyFont="1" applyFill="1" applyBorder="1"/>
    <xf numFmtId="43" fontId="0" fillId="14" borderId="0" xfId="0" applyNumberFormat="1" applyFont="1" applyFill="1" applyBorder="1"/>
    <xf numFmtId="43" fontId="7" fillId="15" borderId="0" xfId="0" applyNumberFormat="1" applyFont="1" applyFill="1"/>
    <xf numFmtId="43" fontId="7" fillId="15" borderId="0" xfId="3" applyNumberFormat="1" applyFont="1" applyFill="1"/>
    <xf numFmtId="43" fontId="12" fillId="15" borderId="0" xfId="0" applyNumberFormat="1" applyFont="1" applyFill="1" applyBorder="1"/>
    <xf numFmtId="43" fontId="20" fillId="15" borderId="0" xfId="0" applyNumberFormat="1" applyFont="1" applyFill="1"/>
    <xf numFmtId="43" fontId="20" fillId="15" borderId="0" xfId="0" applyNumberFormat="1" applyFont="1" applyFill="1" applyBorder="1"/>
    <xf numFmtId="43" fontId="8" fillId="15" borderId="0" xfId="0" applyNumberFormat="1" applyFont="1" applyFill="1"/>
    <xf numFmtId="14" fontId="8" fillId="15" borderId="0" xfId="0" applyNumberFormat="1" applyFont="1" applyFill="1"/>
    <xf numFmtId="43" fontId="2" fillId="2" borderId="0" xfId="0" applyNumberFormat="1" applyFont="1" applyFill="1"/>
    <xf numFmtId="0" fontId="26" fillId="2" borderId="1" xfId="0" applyFont="1" applyFill="1" applyBorder="1" applyAlignment="1">
      <alignment horizontal="center" vertical="center" wrapText="1"/>
    </xf>
    <xf numFmtId="43" fontId="4" fillId="5" borderId="2" xfId="0" applyNumberFormat="1" applyFont="1" applyFill="1" applyBorder="1" applyAlignment="1">
      <alignment horizontal="center" vertical="center" wrapText="1"/>
    </xf>
    <xf numFmtId="43" fontId="11" fillId="5" borderId="2" xfId="0" applyNumberFormat="1" applyFont="1" applyFill="1" applyBorder="1" applyAlignment="1">
      <alignment horizontal="center" vertical="center" wrapText="1"/>
    </xf>
    <xf numFmtId="43" fontId="13" fillId="3" borderId="0" xfId="0" applyNumberFormat="1" applyFont="1" applyFill="1" applyAlignment="1">
      <alignment horizontal="center" vertical="center" wrapText="1"/>
    </xf>
    <xf numFmtId="43" fontId="13" fillId="3" borderId="0" xfId="0" applyNumberFormat="1" applyFont="1" applyFill="1" applyAlignment="1">
      <alignment horizontal="center" vertical="center"/>
    </xf>
    <xf numFmtId="0" fontId="17" fillId="4" borderId="8" xfId="0" applyFont="1" applyFill="1" applyBorder="1" applyAlignment="1">
      <alignment horizontal="center"/>
    </xf>
    <xf numFmtId="0" fontId="17" fillId="4" borderId="2" xfId="0" applyFont="1" applyFill="1" applyBorder="1" applyAlignment="1">
      <alignment horizontal="center"/>
    </xf>
  </cellXfs>
  <cellStyles count="6">
    <cellStyle name="Millares" xfId="1" builtinId="3"/>
    <cellStyle name="Millares 2" xfId="4" xr:uid="{00000000-0005-0000-0000-000001000000}"/>
    <cellStyle name="Millares 3" xfId="5" xr:uid="{00000000-0005-0000-0000-000002000000}"/>
    <cellStyle name="Normal" xfId="0" builtinId="0"/>
    <cellStyle name="Normal 2" xfId="3" xr:uid="{00000000-0005-0000-0000-000004000000}"/>
    <cellStyle name="Normal 3 2" xfId="2" xr:uid="{00000000-0005-0000-0000-000005000000}"/>
  </cellStyles>
  <dxfs count="0"/>
  <tableStyles count="0" defaultTableStyle="TableStyleMedium2" defaultPivotStyle="PivotStyleLight16"/>
  <colors>
    <mruColors>
      <color rgb="FFCC99FF"/>
      <color rgb="FF99FF99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3"/>
  <sheetViews>
    <sheetView showGridLines="0" tabSelected="1" zoomScale="90" zoomScaleNormal="90" workbookViewId="0">
      <pane xSplit="2" ySplit="8" topLeftCell="J24" activePane="bottomRight" state="frozen"/>
      <selection pane="topRight" activeCell="C1" sqref="C1"/>
      <selection pane="bottomLeft" activeCell="A9" sqref="A9"/>
      <selection pane="bottomRight" activeCell="I9" sqref="I9"/>
    </sheetView>
  </sheetViews>
  <sheetFormatPr baseColWidth="10" defaultColWidth="11.42578125" defaultRowHeight="15" x14ac:dyDescent="0.25"/>
  <cols>
    <col min="1" max="1" width="12.28515625" style="83" customWidth="1"/>
    <col min="2" max="2" width="34.140625" style="82" customWidth="1"/>
    <col min="3" max="11" width="15.7109375" style="82" customWidth="1"/>
    <col min="12" max="12" width="17.7109375" style="82" customWidth="1"/>
    <col min="13" max="32" width="15.7109375" style="82" customWidth="1"/>
    <col min="33" max="16384" width="11.42578125" style="82"/>
  </cols>
  <sheetData>
    <row r="1" spans="1:33" ht="18" customHeight="1" x14ac:dyDescent="0.25">
      <c r="A1" s="97"/>
      <c r="B1" s="98" t="s">
        <v>76</v>
      </c>
      <c r="C1" s="81"/>
      <c r="D1" s="81"/>
      <c r="E1" s="81"/>
      <c r="F1" s="81"/>
    </row>
    <row r="2" spans="1:33" ht="24.95" customHeight="1" x14ac:dyDescent="0.25">
      <c r="A2" s="99"/>
      <c r="B2" s="100" t="s">
        <v>0</v>
      </c>
      <c r="C2" s="80"/>
      <c r="D2" s="80"/>
      <c r="E2" s="80"/>
      <c r="F2" s="80"/>
    </row>
    <row r="3" spans="1:33" x14ac:dyDescent="0.25">
      <c r="B3" s="81" t="s">
        <v>1</v>
      </c>
      <c r="C3" s="81"/>
      <c r="D3" s="81"/>
      <c r="E3" s="81"/>
      <c r="F3" s="81"/>
      <c r="G3" s="84"/>
    </row>
    <row r="4" spans="1:33" x14ac:dyDescent="0.25">
      <c r="B4" s="81" t="s">
        <v>2</v>
      </c>
      <c r="C4" s="81"/>
      <c r="D4" s="81"/>
      <c r="E4" s="81"/>
      <c r="F4" s="81"/>
      <c r="G4" s="84"/>
    </row>
    <row r="5" spans="1:33" x14ac:dyDescent="0.25">
      <c r="B5" s="81" t="s">
        <v>3</v>
      </c>
      <c r="C5" s="81"/>
      <c r="D5" s="81"/>
      <c r="E5" s="81"/>
      <c r="F5" s="81"/>
    </row>
    <row r="6" spans="1:33" x14ac:dyDescent="0.25">
      <c r="C6" s="81"/>
      <c r="D6" s="81"/>
      <c r="E6" s="81"/>
      <c r="F6" s="81"/>
    </row>
    <row r="7" spans="1:33" x14ac:dyDescent="0.25">
      <c r="B7" s="82">
        <v>1</v>
      </c>
      <c r="C7" s="82">
        <f>+B7+1</f>
        <v>2</v>
      </c>
      <c r="D7" s="82">
        <f t="shared" ref="D7:V7" si="0">+C7+1</f>
        <v>3</v>
      </c>
      <c r="E7" s="82">
        <f t="shared" si="0"/>
        <v>4</v>
      </c>
      <c r="F7" s="82">
        <f t="shared" si="0"/>
        <v>5</v>
      </c>
      <c r="G7" s="82">
        <f t="shared" si="0"/>
        <v>6</v>
      </c>
      <c r="H7" s="82">
        <f t="shared" si="0"/>
        <v>7</v>
      </c>
      <c r="I7" s="82">
        <f t="shared" si="0"/>
        <v>8</v>
      </c>
      <c r="J7" s="82">
        <f t="shared" si="0"/>
        <v>9</v>
      </c>
      <c r="K7" s="82">
        <f t="shared" si="0"/>
        <v>10</v>
      </c>
      <c r="L7" s="82">
        <f t="shared" si="0"/>
        <v>11</v>
      </c>
      <c r="M7" s="82">
        <f t="shared" si="0"/>
        <v>12</v>
      </c>
      <c r="N7" s="82">
        <f t="shared" si="0"/>
        <v>13</v>
      </c>
      <c r="O7" s="82">
        <f t="shared" si="0"/>
        <v>14</v>
      </c>
      <c r="P7" s="82">
        <f t="shared" si="0"/>
        <v>15</v>
      </c>
      <c r="Q7" s="82">
        <f t="shared" si="0"/>
        <v>16</v>
      </c>
      <c r="R7" s="82">
        <f t="shared" si="0"/>
        <v>17</v>
      </c>
      <c r="S7" s="82">
        <f t="shared" si="0"/>
        <v>18</v>
      </c>
      <c r="T7" s="82">
        <f>+S7+1</f>
        <v>19</v>
      </c>
      <c r="U7" s="82">
        <f t="shared" si="0"/>
        <v>20</v>
      </c>
      <c r="V7" s="82">
        <f t="shared" si="0"/>
        <v>21</v>
      </c>
    </row>
    <row r="8" spans="1:33" s="96" customFormat="1" ht="36.75" thickBot="1" x14ac:dyDescent="0.3">
      <c r="A8" s="92" t="s">
        <v>4</v>
      </c>
      <c r="B8" s="93" t="s">
        <v>5</v>
      </c>
      <c r="C8" s="93" t="s">
        <v>31</v>
      </c>
      <c r="D8" s="93" t="s">
        <v>32</v>
      </c>
      <c r="E8" s="93" t="s">
        <v>33</v>
      </c>
      <c r="F8" s="93" t="s">
        <v>34</v>
      </c>
      <c r="G8" s="93" t="s">
        <v>6</v>
      </c>
      <c r="H8" s="93" t="s">
        <v>7</v>
      </c>
      <c r="I8" s="93" t="s">
        <v>8</v>
      </c>
      <c r="J8" s="93" t="s">
        <v>9</v>
      </c>
      <c r="K8" s="93" t="s">
        <v>10</v>
      </c>
      <c r="L8" s="93" t="s">
        <v>11</v>
      </c>
      <c r="M8" s="94" t="s">
        <v>12</v>
      </c>
      <c r="N8" s="93" t="s">
        <v>13</v>
      </c>
      <c r="O8" s="93" t="s">
        <v>14</v>
      </c>
      <c r="P8" s="93" t="s">
        <v>15</v>
      </c>
      <c r="Q8" s="93" t="s">
        <v>16</v>
      </c>
      <c r="R8" s="160" t="s">
        <v>17</v>
      </c>
      <c r="S8" s="93" t="s">
        <v>409</v>
      </c>
      <c r="T8" s="93" t="s">
        <v>18</v>
      </c>
      <c r="U8" s="94" t="s">
        <v>19</v>
      </c>
      <c r="V8" s="95" t="s">
        <v>20</v>
      </c>
      <c r="W8" s="160" t="s">
        <v>21</v>
      </c>
      <c r="X8" s="160" t="s">
        <v>22</v>
      </c>
      <c r="Y8" s="160" t="s">
        <v>23</v>
      </c>
      <c r="Z8" s="160" t="s">
        <v>24</v>
      </c>
      <c r="AA8" s="93" t="s">
        <v>25</v>
      </c>
      <c r="AB8" s="160" t="s">
        <v>26</v>
      </c>
      <c r="AC8" s="93" t="s">
        <v>27</v>
      </c>
      <c r="AD8" s="160" t="s">
        <v>28</v>
      </c>
      <c r="AE8" s="160" t="s">
        <v>29</v>
      </c>
      <c r="AF8" s="93" t="s">
        <v>35</v>
      </c>
      <c r="AG8" s="93" t="s">
        <v>77</v>
      </c>
    </row>
    <row r="9" spans="1:33" s="60" customFormat="1" ht="15.75" thickTop="1" x14ac:dyDescent="0.25">
      <c r="A9" s="132" t="s">
        <v>38</v>
      </c>
      <c r="B9" s="131" t="s">
        <v>39</v>
      </c>
      <c r="C9" s="133">
        <v>15</v>
      </c>
      <c r="D9" s="133">
        <v>0</v>
      </c>
      <c r="E9" s="133">
        <v>141.66999999999999</v>
      </c>
      <c r="F9" s="133">
        <v>150.25</v>
      </c>
      <c r="G9" s="133">
        <v>2125.0500000000002</v>
      </c>
      <c r="H9" s="133">
        <v>0</v>
      </c>
      <c r="I9" s="133">
        <v>0</v>
      </c>
      <c r="J9" s="133">
        <v>212.51</v>
      </c>
      <c r="K9" s="133">
        <v>212.51</v>
      </c>
      <c r="L9" s="133">
        <v>212.51</v>
      </c>
      <c r="M9" s="133">
        <v>2762.58</v>
      </c>
      <c r="N9" s="133">
        <v>0</v>
      </c>
      <c r="O9" s="133">
        <v>0</v>
      </c>
      <c r="P9" s="134">
        <v>-65.5</v>
      </c>
      <c r="Q9" s="133">
        <v>0</v>
      </c>
      <c r="R9" s="133">
        <v>53.52</v>
      </c>
      <c r="S9" s="133">
        <v>0</v>
      </c>
      <c r="T9" s="134">
        <v>-0.04</v>
      </c>
      <c r="U9" s="133">
        <v>-12.02</v>
      </c>
      <c r="V9" s="133">
        <v>2774.6</v>
      </c>
      <c r="W9" s="133">
        <v>39.44</v>
      </c>
      <c r="X9" s="133">
        <v>70.989999999999995</v>
      </c>
      <c r="Y9" s="133">
        <v>297.98</v>
      </c>
      <c r="Z9" s="133">
        <v>183.93</v>
      </c>
      <c r="AA9" s="133">
        <v>55.25</v>
      </c>
      <c r="AB9" s="133">
        <v>11.27</v>
      </c>
      <c r="AC9" s="133">
        <v>408.41</v>
      </c>
      <c r="AD9" s="133">
        <v>112.69</v>
      </c>
      <c r="AE9" s="133">
        <v>161.38999999999999</v>
      </c>
      <c r="AF9" s="60">
        <v>110</v>
      </c>
      <c r="AG9" s="60">
        <f>((20/365.24)*15)*($E9*1.3)</f>
        <v>151.2739568502902</v>
      </c>
    </row>
    <row r="10" spans="1:33" s="60" customFormat="1" x14ac:dyDescent="0.25">
      <c r="A10" s="132" t="s">
        <v>40</v>
      </c>
      <c r="B10" s="131" t="s">
        <v>41</v>
      </c>
      <c r="C10" s="133">
        <v>15</v>
      </c>
      <c r="D10" s="133">
        <v>0</v>
      </c>
      <c r="E10" s="133">
        <v>150</v>
      </c>
      <c r="F10" s="133">
        <v>159.07</v>
      </c>
      <c r="G10" s="133">
        <v>2250</v>
      </c>
      <c r="H10" s="133">
        <v>0</v>
      </c>
      <c r="I10" s="133">
        <v>0</v>
      </c>
      <c r="J10" s="133">
        <v>225</v>
      </c>
      <c r="K10" s="133">
        <v>225</v>
      </c>
      <c r="L10" s="133">
        <v>225</v>
      </c>
      <c r="M10" s="133">
        <v>2925</v>
      </c>
      <c r="N10" s="133">
        <v>0</v>
      </c>
      <c r="O10" s="133">
        <v>0</v>
      </c>
      <c r="P10" s="134">
        <v>-43.57</v>
      </c>
      <c r="Q10" s="133">
        <v>0</v>
      </c>
      <c r="R10" s="133">
        <v>56.67</v>
      </c>
      <c r="S10" s="133">
        <v>0</v>
      </c>
      <c r="T10" s="134">
        <v>-0.1</v>
      </c>
      <c r="U10" s="133">
        <v>13</v>
      </c>
      <c r="V10" s="133">
        <v>2912</v>
      </c>
      <c r="W10" s="133">
        <v>41.76</v>
      </c>
      <c r="X10" s="133">
        <v>75.16</v>
      </c>
      <c r="Y10" s="133">
        <v>300.29000000000002</v>
      </c>
      <c r="Z10" s="133">
        <v>186.57</v>
      </c>
      <c r="AA10" s="133">
        <v>58.5</v>
      </c>
      <c r="AB10" s="133">
        <v>11.93</v>
      </c>
      <c r="AC10" s="133">
        <v>417.21</v>
      </c>
      <c r="AD10" s="133">
        <v>119.31</v>
      </c>
      <c r="AE10" s="133">
        <v>162.70999999999998</v>
      </c>
      <c r="AF10" s="60">
        <v>110</v>
      </c>
      <c r="AG10" s="60">
        <f t="shared" ref="AG10:AG26" si="1">((20/365.24)*15)*($E10*1.3)</f>
        <v>160.16865622604314</v>
      </c>
    </row>
    <row r="11" spans="1:33" s="154" customFormat="1" x14ac:dyDescent="0.25">
      <c r="A11" s="151" t="s">
        <v>42</v>
      </c>
      <c r="B11" s="152" t="s">
        <v>43</v>
      </c>
      <c r="C11" s="153">
        <v>15</v>
      </c>
      <c r="D11" s="153">
        <v>0</v>
      </c>
      <c r="E11" s="153">
        <v>216.67</v>
      </c>
      <c r="F11" s="153">
        <v>229.79</v>
      </c>
      <c r="G11" s="153">
        <v>3250.05</v>
      </c>
      <c r="H11" s="153">
        <v>0</v>
      </c>
      <c r="I11" s="153">
        <v>0</v>
      </c>
      <c r="J11" s="153">
        <v>325.01</v>
      </c>
      <c r="K11" s="153">
        <v>325.01</v>
      </c>
      <c r="L11" s="153">
        <v>325.01</v>
      </c>
      <c r="M11" s="153">
        <v>4225.08</v>
      </c>
      <c r="N11" s="153">
        <v>0</v>
      </c>
      <c r="O11" s="153">
        <v>0</v>
      </c>
      <c r="P11" s="153">
        <v>0</v>
      </c>
      <c r="Q11" s="153">
        <v>107.17</v>
      </c>
      <c r="R11" s="153">
        <v>81.87</v>
      </c>
      <c r="S11" s="153">
        <v>0</v>
      </c>
      <c r="T11" s="153">
        <v>0.04</v>
      </c>
      <c r="U11" s="153">
        <v>189.08</v>
      </c>
      <c r="V11" s="153">
        <v>4036</v>
      </c>
      <c r="W11" s="153">
        <v>60.32</v>
      </c>
      <c r="X11" s="153">
        <v>108.58</v>
      </c>
      <c r="Y11" s="153">
        <v>318.86</v>
      </c>
      <c r="Z11" s="153">
        <v>207.79</v>
      </c>
      <c r="AA11" s="153">
        <v>84.5</v>
      </c>
      <c r="AB11" s="153">
        <v>17.23</v>
      </c>
      <c r="AC11" s="153">
        <v>487.76</v>
      </c>
      <c r="AD11" s="153">
        <v>172.34</v>
      </c>
      <c r="AE11" s="153">
        <v>173.32</v>
      </c>
      <c r="AF11" s="154">
        <v>110</v>
      </c>
      <c r="AG11" s="154">
        <f t="shared" si="1"/>
        <v>231.35828496331177</v>
      </c>
    </row>
    <row r="12" spans="1:33" s="60" customFormat="1" x14ac:dyDescent="0.25">
      <c r="A12" s="132" t="s">
        <v>44</v>
      </c>
      <c r="B12" s="131" t="s">
        <v>45</v>
      </c>
      <c r="C12" s="133">
        <v>15</v>
      </c>
      <c r="D12" s="133">
        <v>0</v>
      </c>
      <c r="E12" s="133">
        <v>283.33</v>
      </c>
      <c r="F12" s="133">
        <v>300.49</v>
      </c>
      <c r="G12" s="133">
        <v>4249.95</v>
      </c>
      <c r="H12" s="133">
        <v>0</v>
      </c>
      <c r="I12" s="133">
        <v>0</v>
      </c>
      <c r="J12" s="133">
        <v>425</v>
      </c>
      <c r="K12" s="133">
        <v>425</v>
      </c>
      <c r="L12" s="133">
        <v>425</v>
      </c>
      <c r="M12" s="133">
        <v>5524.95</v>
      </c>
      <c r="N12" s="133">
        <v>0</v>
      </c>
      <c r="O12" s="133">
        <v>0</v>
      </c>
      <c r="P12" s="133">
        <v>0</v>
      </c>
      <c r="Q12" s="133">
        <v>341.06</v>
      </c>
      <c r="R12" s="133">
        <v>109.87</v>
      </c>
      <c r="S12" s="133">
        <v>0</v>
      </c>
      <c r="T12" s="133">
        <v>0.02</v>
      </c>
      <c r="U12" s="133">
        <v>450.95</v>
      </c>
      <c r="V12" s="133">
        <v>5074</v>
      </c>
      <c r="W12" s="133">
        <v>78.88</v>
      </c>
      <c r="X12" s="133">
        <v>141.97999999999999</v>
      </c>
      <c r="Y12" s="133">
        <v>345.18</v>
      </c>
      <c r="Z12" s="133">
        <v>229</v>
      </c>
      <c r="AA12" s="133">
        <v>110.5</v>
      </c>
      <c r="AB12" s="133">
        <v>22.54</v>
      </c>
      <c r="AC12" s="133">
        <v>566.04</v>
      </c>
      <c r="AD12" s="133">
        <v>225.37</v>
      </c>
      <c r="AE12" s="133">
        <v>183.92</v>
      </c>
      <c r="AF12" s="60">
        <v>110</v>
      </c>
      <c r="AG12" s="60">
        <f t="shared" si="1"/>
        <v>302.53723579016537</v>
      </c>
    </row>
    <row r="13" spans="1:33" s="60" customFormat="1" x14ac:dyDescent="0.25">
      <c r="A13" s="132" t="s">
        <v>46</v>
      </c>
      <c r="B13" s="131" t="s">
        <v>47</v>
      </c>
      <c r="C13" s="133">
        <v>15</v>
      </c>
      <c r="D13" s="133">
        <v>0</v>
      </c>
      <c r="E13" s="133">
        <v>273.33</v>
      </c>
      <c r="F13" s="133">
        <v>289.87</v>
      </c>
      <c r="G13" s="133">
        <v>4099.95</v>
      </c>
      <c r="H13" s="133">
        <v>0</v>
      </c>
      <c r="I13" s="133">
        <v>0</v>
      </c>
      <c r="J13" s="133">
        <v>410</v>
      </c>
      <c r="K13" s="133">
        <v>410</v>
      </c>
      <c r="L13" s="133">
        <v>410</v>
      </c>
      <c r="M13" s="133">
        <v>5329.95</v>
      </c>
      <c r="N13" s="133">
        <v>0</v>
      </c>
      <c r="O13" s="133">
        <v>0</v>
      </c>
      <c r="P13" s="133">
        <v>0</v>
      </c>
      <c r="Q13" s="133">
        <v>324.74</v>
      </c>
      <c r="R13" s="133">
        <v>105.46</v>
      </c>
      <c r="S13" s="133">
        <v>275.95</v>
      </c>
      <c r="T13" s="133">
        <v>0</v>
      </c>
      <c r="U13" s="133">
        <v>706.15</v>
      </c>
      <c r="V13" s="133">
        <v>4623.8</v>
      </c>
      <c r="W13" s="133">
        <v>76.09</v>
      </c>
      <c r="X13" s="133">
        <v>136.96</v>
      </c>
      <c r="Y13" s="133">
        <v>340.64</v>
      </c>
      <c r="Z13" s="133">
        <v>225.81</v>
      </c>
      <c r="AA13" s="133">
        <v>106.6</v>
      </c>
      <c r="AB13" s="133">
        <v>21.74</v>
      </c>
      <c r="AC13" s="133">
        <v>553.69000000000005</v>
      </c>
      <c r="AD13" s="133">
        <v>217.4</v>
      </c>
      <c r="AE13" s="133">
        <v>182.32999999999998</v>
      </c>
      <c r="AF13" s="60">
        <v>110</v>
      </c>
      <c r="AG13" s="60">
        <f t="shared" si="1"/>
        <v>291.85932537509581</v>
      </c>
    </row>
    <row r="14" spans="1:33" s="60" customFormat="1" x14ac:dyDescent="0.25">
      <c r="A14" s="132" t="s">
        <v>48</v>
      </c>
      <c r="B14" s="131" t="s">
        <v>49</v>
      </c>
      <c r="C14" s="133">
        <v>15</v>
      </c>
      <c r="D14" s="133">
        <v>0</v>
      </c>
      <c r="E14" s="133">
        <v>185.83</v>
      </c>
      <c r="F14" s="133">
        <v>197.07</v>
      </c>
      <c r="G14" s="133">
        <v>2787.45</v>
      </c>
      <c r="H14" s="133">
        <v>0</v>
      </c>
      <c r="I14" s="133">
        <v>0</v>
      </c>
      <c r="J14" s="133">
        <v>278.75</v>
      </c>
      <c r="K14" s="133">
        <v>278.75</v>
      </c>
      <c r="L14" s="133">
        <v>278.75</v>
      </c>
      <c r="M14" s="133">
        <v>3623.7</v>
      </c>
      <c r="N14" s="133">
        <v>0</v>
      </c>
      <c r="O14" s="133">
        <v>1541.78</v>
      </c>
      <c r="P14" s="133">
        <v>0</v>
      </c>
      <c r="Q14" s="133">
        <v>36.57</v>
      </c>
      <c r="R14" s="133">
        <v>70.22</v>
      </c>
      <c r="S14" s="133">
        <v>308.55</v>
      </c>
      <c r="T14" s="134">
        <v>-0.02</v>
      </c>
      <c r="U14" s="133">
        <v>1957.1</v>
      </c>
      <c r="V14" s="133">
        <v>1666.6</v>
      </c>
      <c r="W14" s="133">
        <v>51.73</v>
      </c>
      <c r="X14" s="133">
        <v>93.12</v>
      </c>
      <c r="Y14" s="133">
        <v>310.27</v>
      </c>
      <c r="Z14" s="133">
        <v>197.97</v>
      </c>
      <c r="AA14" s="133">
        <v>72.47</v>
      </c>
      <c r="AB14" s="133">
        <v>14.78</v>
      </c>
      <c r="AC14" s="133">
        <v>455.12</v>
      </c>
      <c r="AD14" s="133">
        <v>147.80000000000001</v>
      </c>
      <c r="AE14" s="133">
        <v>168.41</v>
      </c>
      <c r="AF14" s="60">
        <v>110</v>
      </c>
      <c r="AG14" s="60">
        <f t="shared" si="1"/>
        <v>198.42760924323733</v>
      </c>
    </row>
    <row r="15" spans="1:33" s="60" customFormat="1" x14ac:dyDescent="0.25">
      <c r="A15" s="132" t="s">
        <v>50</v>
      </c>
      <c r="B15" s="131" t="s">
        <v>51</v>
      </c>
      <c r="C15" s="133">
        <v>15</v>
      </c>
      <c r="D15" s="133">
        <v>0</v>
      </c>
      <c r="E15" s="133">
        <v>273.33</v>
      </c>
      <c r="F15" s="133">
        <v>289.87</v>
      </c>
      <c r="G15" s="133">
        <v>4099.95</v>
      </c>
      <c r="H15" s="133">
        <v>0</v>
      </c>
      <c r="I15" s="133">
        <v>0</v>
      </c>
      <c r="J15" s="133">
        <v>410</v>
      </c>
      <c r="K15" s="133">
        <v>410</v>
      </c>
      <c r="L15" s="133">
        <v>410</v>
      </c>
      <c r="M15" s="133">
        <v>5329.95</v>
      </c>
      <c r="N15" s="133">
        <v>0</v>
      </c>
      <c r="O15" s="133">
        <v>0</v>
      </c>
      <c r="P15" s="133">
        <v>0</v>
      </c>
      <c r="Q15" s="133">
        <v>324.74</v>
      </c>
      <c r="R15" s="133">
        <v>105.46</v>
      </c>
      <c r="S15" s="133">
        <v>213.55</v>
      </c>
      <c r="T15" s="133">
        <v>0</v>
      </c>
      <c r="U15" s="133">
        <v>643.75</v>
      </c>
      <c r="V15" s="133">
        <v>4686.2</v>
      </c>
      <c r="W15" s="133">
        <v>76.09</v>
      </c>
      <c r="X15" s="133">
        <v>136.96</v>
      </c>
      <c r="Y15" s="133">
        <v>340.64</v>
      </c>
      <c r="Z15" s="133">
        <v>225.81</v>
      </c>
      <c r="AA15" s="133">
        <v>106.6</v>
      </c>
      <c r="AB15" s="133">
        <v>21.74</v>
      </c>
      <c r="AC15" s="133">
        <v>553.69000000000005</v>
      </c>
      <c r="AD15" s="133">
        <v>217.4</v>
      </c>
      <c r="AE15" s="133">
        <v>182.32999999999998</v>
      </c>
      <c r="AF15" s="60">
        <v>110</v>
      </c>
      <c r="AG15" s="60">
        <f t="shared" si="1"/>
        <v>291.85932537509581</v>
      </c>
    </row>
    <row r="16" spans="1:33" s="60" customFormat="1" x14ac:dyDescent="0.25">
      <c r="A16" s="132" t="s">
        <v>52</v>
      </c>
      <c r="B16" s="131" t="s">
        <v>53</v>
      </c>
      <c r="C16" s="133">
        <v>15</v>
      </c>
      <c r="D16" s="133">
        <v>0</v>
      </c>
      <c r="E16" s="133">
        <v>185.83</v>
      </c>
      <c r="F16" s="133">
        <v>197.07</v>
      </c>
      <c r="G16" s="133">
        <v>2787.45</v>
      </c>
      <c r="H16" s="133">
        <v>0</v>
      </c>
      <c r="I16" s="133">
        <v>0</v>
      </c>
      <c r="J16" s="133">
        <v>278.75</v>
      </c>
      <c r="K16" s="133">
        <v>278.75</v>
      </c>
      <c r="L16" s="133">
        <v>278.75</v>
      </c>
      <c r="M16" s="133">
        <v>3623.7</v>
      </c>
      <c r="N16" s="133">
        <v>0</v>
      </c>
      <c r="O16" s="133">
        <v>1789.38</v>
      </c>
      <c r="P16" s="133">
        <v>0</v>
      </c>
      <c r="Q16" s="133">
        <v>36.57</v>
      </c>
      <c r="R16" s="133">
        <v>70.22</v>
      </c>
      <c r="S16" s="133">
        <v>238.8</v>
      </c>
      <c r="T16" s="134">
        <v>-7.0000000000000007E-2</v>
      </c>
      <c r="U16" s="133">
        <v>2134.9</v>
      </c>
      <c r="V16" s="133">
        <v>1488.8</v>
      </c>
      <c r="W16" s="133">
        <v>51.73</v>
      </c>
      <c r="X16" s="133">
        <v>93.12</v>
      </c>
      <c r="Y16" s="133">
        <v>310.27</v>
      </c>
      <c r="Z16" s="133">
        <v>197.97</v>
      </c>
      <c r="AA16" s="133">
        <v>72.47</v>
      </c>
      <c r="AB16" s="133">
        <v>14.78</v>
      </c>
      <c r="AC16" s="133">
        <v>455.12</v>
      </c>
      <c r="AD16" s="133">
        <v>147.80000000000001</v>
      </c>
      <c r="AE16" s="133">
        <v>168.41</v>
      </c>
      <c r="AF16" s="60">
        <v>110</v>
      </c>
      <c r="AG16" s="60">
        <f t="shared" si="1"/>
        <v>198.42760924323733</v>
      </c>
    </row>
    <row r="17" spans="1:35" s="60" customFormat="1" x14ac:dyDescent="0.25">
      <c r="A17" s="132" t="s">
        <v>54</v>
      </c>
      <c r="B17" s="131" t="s">
        <v>55</v>
      </c>
      <c r="C17" s="133">
        <v>10</v>
      </c>
      <c r="D17" s="133">
        <v>5</v>
      </c>
      <c r="E17" s="133">
        <v>220.83</v>
      </c>
      <c r="F17" s="133">
        <v>234.19</v>
      </c>
      <c r="G17" s="133">
        <v>2208.3000000000002</v>
      </c>
      <c r="H17" s="133">
        <v>1104.1500000000001</v>
      </c>
      <c r="I17" s="133">
        <v>331.25</v>
      </c>
      <c r="J17" s="133">
        <v>331.25</v>
      </c>
      <c r="K17" s="133">
        <v>331.25</v>
      </c>
      <c r="L17" s="133">
        <v>331.25</v>
      </c>
      <c r="M17" s="133">
        <v>4637.45</v>
      </c>
      <c r="N17" s="133">
        <v>0</v>
      </c>
      <c r="O17" s="133">
        <v>894.93</v>
      </c>
      <c r="P17" s="133">
        <v>0</v>
      </c>
      <c r="Q17" s="133">
        <v>113.96</v>
      </c>
      <c r="R17" s="133">
        <v>83.43</v>
      </c>
      <c r="S17" s="133">
        <v>0</v>
      </c>
      <c r="T17" s="134">
        <v>-7.0000000000000007E-2</v>
      </c>
      <c r="U17" s="133">
        <v>1092.25</v>
      </c>
      <c r="V17" s="133">
        <v>3545.2</v>
      </c>
      <c r="W17" s="133">
        <v>61.47</v>
      </c>
      <c r="X17" s="133">
        <v>110.65</v>
      </c>
      <c r="Y17" s="133">
        <v>320.01</v>
      </c>
      <c r="Z17" s="133">
        <v>209.11</v>
      </c>
      <c r="AA17" s="133">
        <v>92.75</v>
      </c>
      <c r="AB17" s="133">
        <v>17.559999999999999</v>
      </c>
      <c r="AC17" s="133">
        <v>492.13</v>
      </c>
      <c r="AD17" s="133">
        <v>175.64</v>
      </c>
      <c r="AE17" s="133">
        <v>173.98</v>
      </c>
      <c r="AF17" s="60">
        <v>110</v>
      </c>
      <c r="AG17" s="60">
        <f t="shared" si="1"/>
        <v>235.80029569598071</v>
      </c>
    </row>
    <row r="18" spans="1:35" s="60" customFormat="1" x14ac:dyDescent="0.25">
      <c r="A18" s="132" t="s">
        <v>56</v>
      </c>
      <c r="B18" s="131" t="s">
        <v>57</v>
      </c>
      <c r="C18" s="133">
        <v>12</v>
      </c>
      <c r="D18" s="133">
        <v>3</v>
      </c>
      <c r="E18" s="133">
        <v>264.58</v>
      </c>
      <c r="F18" s="133">
        <v>276.54000000000002</v>
      </c>
      <c r="G18" s="133">
        <v>3174.96</v>
      </c>
      <c r="H18" s="133">
        <v>793.74</v>
      </c>
      <c r="I18" s="133">
        <v>238.12</v>
      </c>
      <c r="J18" s="133">
        <v>396.87</v>
      </c>
      <c r="K18" s="133">
        <v>396.87</v>
      </c>
      <c r="L18" s="133">
        <v>396.87</v>
      </c>
      <c r="M18" s="133">
        <v>5397.43</v>
      </c>
      <c r="N18" s="133">
        <v>0</v>
      </c>
      <c r="O18" s="133">
        <v>0</v>
      </c>
      <c r="P18" s="133">
        <v>0</v>
      </c>
      <c r="Q18" s="133">
        <v>310.45999999999998</v>
      </c>
      <c r="R18" s="133">
        <v>99.91</v>
      </c>
      <c r="S18" s="133">
        <v>0</v>
      </c>
      <c r="T18" s="134">
        <v>-0.14000000000000001</v>
      </c>
      <c r="U18" s="133">
        <v>410.23</v>
      </c>
      <c r="V18" s="133">
        <v>4987.2</v>
      </c>
      <c r="W18" s="133">
        <v>72.59</v>
      </c>
      <c r="X18" s="133">
        <v>130.66</v>
      </c>
      <c r="Y18" s="133">
        <v>334.94</v>
      </c>
      <c r="Z18" s="133">
        <v>221.81</v>
      </c>
      <c r="AA18" s="133">
        <v>107.95</v>
      </c>
      <c r="AB18" s="133">
        <v>20.74</v>
      </c>
      <c r="AC18" s="133">
        <v>538.19000000000005</v>
      </c>
      <c r="AD18" s="133">
        <v>207.4</v>
      </c>
      <c r="AE18" s="133">
        <v>180.32999999999998</v>
      </c>
      <c r="AF18" s="60">
        <v>110</v>
      </c>
      <c r="AG18" s="60">
        <f t="shared" si="1"/>
        <v>282.51615376190995</v>
      </c>
    </row>
    <row r="19" spans="1:35" s="60" customFormat="1" x14ac:dyDescent="0.25">
      <c r="A19" s="132" t="s">
        <v>58</v>
      </c>
      <c r="B19" s="131" t="s">
        <v>59</v>
      </c>
      <c r="C19" s="133">
        <v>14</v>
      </c>
      <c r="D19" s="133">
        <v>1</v>
      </c>
      <c r="E19" s="133">
        <v>238.33</v>
      </c>
      <c r="F19" s="133">
        <v>252.75</v>
      </c>
      <c r="G19" s="133">
        <v>3336.62</v>
      </c>
      <c r="H19" s="133">
        <v>238.33</v>
      </c>
      <c r="I19" s="133">
        <v>71.5</v>
      </c>
      <c r="J19" s="133">
        <v>357.5</v>
      </c>
      <c r="K19" s="133">
        <v>357.5</v>
      </c>
      <c r="L19" s="133">
        <v>357.5</v>
      </c>
      <c r="M19" s="133">
        <v>4718.95</v>
      </c>
      <c r="N19" s="133">
        <v>0</v>
      </c>
      <c r="O19" s="133">
        <v>1402.48</v>
      </c>
      <c r="P19" s="133">
        <v>0</v>
      </c>
      <c r="Q19" s="133">
        <v>160.25</v>
      </c>
      <c r="R19" s="133">
        <v>90.05</v>
      </c>
      <c r="S19" s="133">
        <v>0</v>
      </c>
      <c r="T19" s="134">
        <v>-0.01</v>
      </c>
      <c r="U19" s="133">
        <v>1660.55</v>
      </c>
      <c r="V19" s="133">
        <v>3058.4</v>
      </c>
      <c r="W19" s="133">
        <v>66.349999999999994</v>
      </c>
      <c r="X19" s="133">
        <v>119.42</v>
      </c>
      <c r="Y19" s="133">
        <v>324.89</v>
      </c>
      <c r="Z19" s="133">
        <v>214.67</v>
      </c>
      <c r="AA19" s="133">
        <v>94.38</v>
      </c>
      <c r="AB19" s="133">
        <v>18.96</v>
      </c>
      <c r="AC19" s="133">
        <v>510.66</v>
      </c>
      <c r="AD19" s="133">
        <v>189.56</v>
      </c>
      <c r="AE19" s="133">
        <v>176.76</v>
      </c>
      <c r="AF19" s="60">
        <v>110</v>
      </c>
      <c r="AG19" s="60">
        <f t="shared" si="1"/>
        <v>254.48663892235243</v>
      </c>
    </row>
    <row r="20" spans="1:35" s="60" customFormat="1" x14ac:dyDescent="0.25">
      <c r="A20" s="132" t="s">
        <v>60</v>
      </c>
      <c r="B20" s="131" t="s">
        <v>61</v>
      </c>
      <c r="C20" s="133">
        <v>15</v>
      </c>
      <c r="D20" s="133">
        <v>0</v>
      </c>
      <c r="E20" s="133">
        <v>273.33</v>
      </c>
      <c r="F20" s="133">
        <v>289.87</v>
      </c>
      <c r="G20" s="133">
        <v>4099.95</v>
      </c>
      <c r="H20" s="133">
        <v>0</v>
      </c>
      <c r="I20" s="133">
        <v>0</v>
      </c>
      <c r="J20" s="133">
        <v>410</v>
      </c>
      <c r="K20" s="133">
        <v>410</v>
      </c>
      <c r="L20" s="133">
        <v>410</v>
      </c>
      <c r="M20" s="133">
        <v>5329.95</v>
      </c>
      <c r="N20" s="133">
        <v>0</v>
      </c>
      <c r="O20" s="133">
        <v>0</v>
      </c>
      <c r="P20" s="133">
        <v>0</v>
      </c>
      <c r="Q20" s="133">
        <v>324.74</v>
      </c>
      <c r="R20" s="133">
        <v>105.46</v>
      </c>
      <c r="S20" s="133">
        <v>0</v>
      </c>
      <c r="T20" s="134">
        <v>-0.05</v>
      </c>
      <c r="U20" s="133">
        <v>430.15</v>
      </c>
      <c r="V20" s="133">
        <v>4899.8</v>
      </c>
      <c r="W20" s="133">
        <v>76.09</v>
      </c>
      <c r="X20" s="133">
        <v>136.96</v>
      </c>
      <c r="Y20" s="133">
        <v>340.64</v>
      </c>
      <c r="Z20" s="133">
        <v>225.81</v>
      </c>
      <c r="AA20" s="133">
        <v>106.6</v>
      </c>
      <c r="AB20" s="133">
        <v>21.74</v>
      </c>
      <c r="AC20" s="133">
        <v>553.69000000000005</v>
      </c>
      <c r="AD20" s="133">
        <v>217.4</v>
      </c>
      <c r="AE20" s="133">
        <v>182.32999999999998</v>
      </c>
      <c r="AF20" s="60">
        <v>110</v>
      </c>
      <c r="AG20" s="60">
        <f t="shared" si="1"/>
        <v>291.85932537509581</v>
      </c>
    </row>
    <row r="21" spans="1:35" s="60" customFormat="1" x14ac:dyDescent="0.25">
      <c r="A21" s="132" t="s">
        <v>62</v>
      </c>
      <c r="B21" s="131" t="s">
        <v>63</v>
      </c>
      <c r="C21" s="133">
        <v>6</v>
      </c>
      <c r="D21" s="133">
        <v>9</v>
      </c>
      <c r="E21" s="133">
        <v>185.83</v>
      </c>
      <c r="F21" s="133">
        <v>197.07</v>
      </c>
      <c r="G21" s="133">
        <v>1114.98</v>
      </c>
      <c r="H21" s="133">
        <v>1672.47</v>
      </c>
      <c r="I21" s="133">
        <v>501.74</v>
      </c>
      <c r="J21" s="133">
        <v>278.75</v>
      </c>
      <c r="K21" s="133">
        <v>278.75</v>
      </c>
      <c r="L21" s="133">
        <v>278.75</v>
      </c>
      <c r="M21" s="133">
        <v>4125.4399999999996</v>
      </c>
      <c r="N21" s="133">
        <v>0</v>
      </c>
      <c r="O21" s="133">
        <v>2126.25</v>
      </c>
      <c r="P21" s="133">
        <v>0</v>
      </c>
      <c r="Q21" s="133">
        <v>36.57</v>
      </c>
      <c r="R21" s="133">
        <v>70.22</v>
      </c>
      <c r="S21" s="133">
        <v>297</v>
      </c>
      <c r="T21" s="133">
        <v>0</v>
      </c>
      <c r="U21" s="133">
        <v>2530.04</v>
      </c>
      <c r="V21" s="133">
        <v>1595.4</v>
      </c>
      <c r="W21" s="133">
        <v>51.73</v>
      </c>
      <c r="X21" s="133">
        <v>93.12</v>
      </c>
      <c r="Y21" s="133">
        <v>310.27</v>
      </c>
      <c r="Z21" s="133">
        <v>197.97</v>
      </c>
      <c r="AA21" s="133">
        <v>82.51</v>
      </c>
      <c r="AB21" s="133">
        <v>14.78</v>
      </c>
      <c r="AC21" s="133">
        <v>455.12</v>
      </c>
      <c r="AD21" s="133">
        <v>147.80000000000001</v>
      </c>
      <c r="AE21" s="133">
        <v>168.41</v>
      </c>
      <c r="AF21" s="60">
        <v>110</v>
      </c>
      <c r="AG21" s="60">
        <f t="shared" si="1"/>
        <v>198.42760924323733</v>
      </c>
    </row>
    <row r="22" spans="1:35" s="154" customFormat="1" x14ac:dyDescent="0.25">
      <c r="A22" s="151" t="s">
        <v>64</v>
      </c>
      <c r="B22" s="152" t="s">
        <v>65</v>
      </c>
      <c r="C22" s="153">
        <v>15</v>
      </c>
      <c r="D22" s="153">
        <v>0</v>
      </c>
      <c r="E22" s="153">
        <v>1060.83</v>
      </c>
      <c r="F22" s="153">
        <v>1125.06</v>
      </c>
      <c r="G22" s="153">
        <v>15912.45</v>
      </c>
      <c r="H22" s="153">
        <v>0</v>
      </c>
      <c r="I22" s="153">
        <v>0</v>
      </c>
      <c r="J22" s="153">
        <v>1591.25</v>
      </c>
      <c r="K22" s="153">
        <v>1591.25</v>
      </c>
      <c r="L22" s="153">
        <v>1591.25</v>
      </c>
      <c r="M22" s="153">
        <v>20686.2</v>
      </c>
      <c r="N22" s="153">
        <v>0</v>
      </c>
      <c r="O22" s="153">
        <v>0</v>
      </c>
      <c r="P22" s="153">
        <v>0</v>
      </c>
      <c r="Q22" s="153">
        <v>2846.24</v>
      </c>
      <c r="R22" s="153">
        <v>453.09</v>
      </c>
      <c r="S22" s="153">
        <v>280.52999999999997</v>
      </c>
      <c r="T22" s="155">
        <v>-0.06</v>
      </c>
      <c r="U22" s="153">
        <v>3579.8</v>
      </c>
      <c r="V22" s="153">
        <v>17106.400000000001</v>
      </c>
      <c r="W22" s="153">
        <v>295.33</v>
      </c>
      <c r="X22" s="153">
        <v>531.59</v>
      </c>
      <c r="Y22" s="153">
        <v>697.68</v>
      </c>
      <c r="Z22" s="153">
        <v>476.37</v>
      </c>
      <c r="AA22" s="153">
        <v>413.72</v>
      </c>
      <c r="AB22" s="153">
        <v>84.38</v>
      </c>
      <c r="AC22" s="153">
        <v>1524.6</v>
      </c>
      <c r="AD22" s="153">
        <v>843.79</v>
      </c>
      <c r="AE22" s="153">
        <v>307.61</v>
      </c>
      <c r="AF22" s="154">
        <v>110</v>
      </c>
      <c r="AG22" s="154">
        <f t="shared" si="1"/>
        <v>1132.7447705618222</v>
      </c>
    </row>
    <row r="23" spans="1:35" s="60" customFormat="1" x14ac:dyDescent="0.25">
      <c r="A23" s="132" t="s">
        <v>66</v>
      </c>
      <c r="B23" s="131" t="s">
        <v>67</v>
      </c>
      <c r="C23" s="133">
        <v>15</v>
      </c>
      <c r="D23" s="133">
        <v>0</v>
      </c>
      <c r="E23" s="133">
        <v>185.83</v>
      </c>
      <c r="F23" s="133">
        <v>197.07</v>
      </c>
      <c r="G23" s="133">
        <v>2787.45</v>
      </c>
      <c r="H23" s="133">
        <v>0</v>
      </c>
      <c r="I23" s="133">
        <v>0</v>
      </c>
      <c r="J23" s="133">
        <v>278.75</v>
      </c>
      <c r="K23" s="133">
        <v>278.75</v>
      </c>
      <c r="L23" s="133">
        <v>278.75</v>
      </c>
      <c r="M23" s="133">
        <v>3623.7</v>
      </c>
      <c r="N23" s="133">
        <v>0</v>
      </c>
      <c r="O23" s="133">
        <v>0</v>
      </c>
      <c r="P23" s="133">
        <v>0</v>
      </c>
      <c r="Q23" s="133">
        <v>36.57</v>
      </c>
      <c r="R23" s="133">
        <v>70.22</v>
      </c>
      <c r="S23" s="133">
        <v>0</v>
      </c>
      <c r="T23" s="133">
        <v>0.11</v>
      </c>
      <c r="U23" s="133">
        <v>106.9</v>
      </c>
      <c r="V23" s="133">
        <v>3516.8</v>
      </c>
      <c r="W23" s="133">
        <v>51.73</v>
      </c>
      <c r="X23" s="133">
        <v>93.12</v>
      </c>
      <c r="Y23" s="133">
        <v>310.27</v>
      </c>
      <c r="Z23" s="133">
        <v>197.97</v>
      </c>
      <c r="AA23" s="133">
        <v>72.47</v>
      </c>
      <c r="AB23" s="133">
        <v>14.78</v>
      </c>
      <c r="AC23" s="133">
        <v>455.12</v>
      </c>
      <c r="AD23" s="133">
        <v>147.80000000000001</v>
      </c>
      <c r="AE23" s="133">
        <v>168.41</v>
      </c>
      <c r="AF23" s="60">
        <v>110</v>
      </c>
      <c r="AG23" s="60">
        <f t="shared" si="1"/>
        <v>198.42760924323733</v>
      </c>
    </row>
    <row r="24" spans="1:35" s="60" customFormat="1" x14ac:dyDescent="0.25">
      <c r="A24" s="132" t="s">
        <v>68</v>
      </c>
      <c r="B24" s="131" t="s">
        <v>69</v>
      </c>
      <c r="C24" s="133">
        <v>15</v>
      </c>
      <c r="D24" s="133">
        <v>0</v>
      </c>
      <c r="E24" s="133">
        <v>185.83</v>
      </c>
      <c r="F24" s="133">
        <v>197.07</v>
      </c>
      <c r="G24" s="133">
        <v>2787.45</v>
      </c>
      <c r="H24" s="133">
        <v>0</v>
      </c>
      <c r="I24" s="133">
        <v>0</v>
      </c>
      <c r="J24" s="133">
        <v>278.75</v>
      </c>
      <c r="K24" s="133">
        <v>278.75</v>
      </c>
      <c r="L24" s="133">
        <v>278.75</v>
      </c>
      <c r="M24" s="133">
        <v>3623.7</v>
      </c>
      <c r="N24" s="133">
        <v>0</v>
      </c>
      <c r="O24" s="133">
        <v>1475.23</v>
      </c>
      <c r="P24" s="133">
        <v>0</v>
      </c>
      <c r="Q24" s="133">
        <v>36.57</v>
      </c>
      <c r="R24" s="133">
        <v>70.22</v>
      </c>
      <c r="S24" s="133">
        <v>0</v>
      </c>
      <c r="T24" s="134">
        <v>-0.12</v>
      </c>
      <c r="U24" s="133">
        <v>1581.9</v>
      </c>
      <c r="V24" s="133">
        <v>2041.8</v>
      </c>
      <c r="W24" s="133">
        <v>51.73</v>
      </c>
      <c r="X24" s="133">
        <v>93.12</v>
      </c>
      <c r="Y24" s="133">
        <v>310.27</v>
      </c>
      <c r="Z24" s="133">
        <v>197.97</v>
      </c>
      <c r="AA24" s="133">
        <v>72.47</v>
      </c>
      <c r="AB24" s="133">
        <v>14.78</v>
      </c>
      <c r="AC24" s="133">
        <v>455.12</v>
      </c>
      <c r="AD24" s="133">
        <v>147.80000000000001</v>
      </c>
      <c r="AE24" s="133">
        <v>168.41</v>
      </c>
      <c r="AF24" s="60">
        <v>110</v>
      </c>
      <c r="AG24" s="60">
        <f t="shared" si="1"/>
        <v>198.42760924323733</v>
      </c>
    </row>
    <row r="25" spans="1:35" s="154" customFormat="1" x14ac:dyDescent="0.25">
      <c r="A25" s="151" t="s">
        <v>70</v>
      </c>
      <c r="B25" s="152" t="s">
        <v>71</v>
      </c>
      <c r="C25" s="153">
        <v>15</v>
      </c>
      <c r="D25" s="153">
        <v>0</v>
      </c>
      <c r="E25" s="153">
        <v>166.67</v>
      </c>
      <c r="F25" s="153">
        <v>176.76</v>
      </c>
      <c r="G25" s="153">
        <v>2500.0500000000002</v>
      </c>
      <c r="H25" s="153">
        <v>0</v>
      </c>
      <c r="I25" s="153">
        <v>0</v>
      </c>
      <c r="J25" s="153">
        <v>250.01</v>
      </c>
      <c r="K25" s="153">
        <v>250.01</v>
      </c>
      <c r="L25" s="153">
        <v>250.01</v>
      </c>
      <c r="M25" s="153">
        <v>3250.08</v>
      </c>
      <c r="N25" s="153">
        <v>0</v>
      </c>
      <c r="O25" s="153">
        <v>0</v>
      </c>
      <c r="P25" s="155">
        <v>-9.6199999999999992</v>
      </c>
      <c r="Q25" s="153">
        <v>0</v>
      </c>
      <c r="R25" s="153">
        <v>62.97</v>
      </c>
      <c r="S25" s="153">
        <v>0</v>
      </c>
      <c r="T25" s="155">
        <v>-7.0000000000000007E-2</v>
      </c>
      <c r="U25" s="153">
        <v>53.28</v>
      </c>
      <c r="V25" s="153">
        <v>3196.8</v>
      </c>
      <c r="W25" s="153">
        <v>46.4</v>
      </c>
      <c r="X25" s="153">
        <v>83.52</v>
      </c>
      <c r="Y25" s="153">
        <v>304.94</v>
      </c>
      <c r="Z25" s="153">
        <v>191.88</v>
      </c>
      <c r="AA25" s="153">
        <v>65</v>
      </c>
      <c r="AB25" s="153">
        <v>13.26</v>
      </c>
      <c r="AC25" s="153">
        <v>434.86</v>
      </c>
      <c r="AD25" s="153">
        <v>132.57</v>
      </c>
      <c r="AE25" s="153">
        <v>165.35999999999999</v>
      </c>
      <c r="AF25" s="154">
        <v>110</v>
      </c>
      <c r="AG25" s="154">
        <f t="shared" si="1"/>
        <v>177.96873288796405</v>
      </c>
    </row>
    <row r="26" spans="1:35" s="154" customFormat="1" x14ac:dyDescent="0.25">
      <c r="A26" s="151" t="s">
        <v>72</v>
      </c>
      <c r="B26" s="152" t="s">
        <v>73</v>
      </c>
      <c r="C26" s="153">
        <v>15</v>
      </c>
      <c r="D26" s="153">
        <v>0</v>
      </c>
      <c r="E26" s="153">
        <v>216.67</v>
      </c>
      <c r="F26" s="153">
        <v>229.79</v>
      </c>
      <c r="G26" s="153">
        <v>3250.05</v>
      </c>
      <c r="H26" s="153">
        <v>0</v>
      </c>
      <c r="I26" s="153">
        <v>0</v>
      </c>
      <c r="J26" s="153">
        <v>325.01</v>
      </c>
      <c r="K26" s="153">
        <v>325.01</v>
      </c>
      <c r="L26" s="153">
        <v>325.01</v>
      </c>
      <c r="M26" s="153">
        <v>4225.08</v>
      </c>
      <c r="N26" s="153">
        <v>0</v>
      </c>
      <c r="O26" s="153">
        <v>0</v>
      </c>
      <c r="P26" s="153">
        <v>0</v>
      </c>
      <c r="Q26" s="153">
        <v>107.17</v>
      </c>
      <c r="R26" s="153">
        <v>81.87</v>
      </c>
      <c r="S26" s="153">
        <v>0</v>
      </c>
      <c r="T26" s="153">
        <v>0.04</v>
      </c>
      <c r="U26" s="153">
        <v>189.08</v>
      </c>
      <c r="V26" s="153">
        <v>4036</v>
      </c>
      <c r="W26" s="153">
        <v>60.32</v>
      </c>
      <c r="X26" s="153">
        <v>108.58</v>
      </c>
      <c r="Y26" s="153">
        <v>318.86</v>
      </c>
      <c r="Z26" s="153">
        <v>207.79</v>
      </c>
      <c r="AA26" s="153">
        <v>84.5</v>
      </c>
      <c r="AB26" s="153">
        <v>17.23</v>
      </c>
      <c r="AC26" s="153">
        <v>487.76</v>
      </c>
      <c r="AD26" s="153">
        <v>172.34</v>
      </c>
      <c r="AE26" s="153">
        <v>173.32</v>
      </c>
      <c r="AF26" s="154">
        <v>110</v>
      </c>
      <c r="AG26" s="154">
        <f t="shared" si="1"/>
        <v>231.35828496331177</v>
      </c>
    </row>
    <row r="27" spans="1:35" s="85" customFormat="1" x14ac:dyDescent="0.25">
      <c r="C27" s="85" t="s">
        <v>74</v>
      </c>
      <c r="D27" s="85" t="s">
        <v>74</v>
      </c>
      <c r="E27" s="85" t="s">
        <v>74</v>
      </c>
      <c r="F27" s="85" t="s">
        <v>74</v>
      </c>
      <c r="G27" s="85" t="s">
        <v>74</v>
      </c>
      <c r="H27" s="85" t="s">
        <v>74</v>
      </c>
      <c r="I27" s="85" t="s">
        <v>74</v>
      </c>
      <c r="J27" s="85" t="s">
        <v>74</v>
      </c>
      <c r="K27" s="85" t="s">
        <v>74</v>
      </c>
      <c r="L27" s="85" t="s">
        <v>74</v>
      </c>
      <c r="M27" s="85" t="s">
        <v>74</v>
      </c>
      <c r="N27" s="85" t="s">
        <v>74</v>
      </c>
      <c r="O27" s="85" t="s">
        <v>74</v>
      </c>
      <c r="P27" s="85" t="s">
        <v>74</v>
      </c>
      <c r="Q27" s="85" t="s">
        <v>74</v>
      </c>
      <c r="R27" s="85" t="s">
        <v>74</v>
      </c>
      <c r="S27" s="85" t="s">
        <v>74</v>
      </c>
      <c r="T27" s="85" t="s">
        <v>74</v>
      </c>
      <c r="U27" s="85" t="s">
        <v>74</v>
      </c>
      <c r="V27" s="85" t="s">
        <v>74</v>
      </c>
      <c r="W27" s="85" t="s">
        <v>74</v>
      </c>
      <c r="X27" s="85" t="s">
        <v>74</v>
      </c>
      <c r="Y27" s="85" t="s">
        <v>74</v>
      </c>
      <c r="Z27" s="85" t="s">
        <v>74</v>
      </c>
      <c r="AA27" s="85" t="s">
        <v>74</v>
      </c>
      <c r="AB27" s="85" t="s">
        <v>74</v>
      </c>
      <c r="AC27" s="85" t="s">
        <v>74</v>
      </c>
      <c r="AD27" s="85" t="s">
        <v>74</v>
      </c>
      <c r="AE27" s="85" t="s">
        <v>74</v>
      </c>
      <c r="AF27" s="85" t="s">
        <v>74</v>
      </c>
      <c r="AG27" s="85" t="s">
        <v>74</v>
      </c>
      <c r="AH27" s="60"/>
      <c r="AI27" s="60"/>
    </row>
    <row r="28" spans="1:35" s="60" customFormat="1" x14ac:dyDescent="0.25">
      <c r="A28" s="86" t="s">
        <v>75</v>
      </c>
      <c r="B28" s="60" t="s">
        <v>76</v>
      </c>
      <c r="C28" s="87">
        <f>SUM(C9:C26)</f>
        <v>252</v>
      </c>
      <c r="D28" s="87">
        <f t="shared" ref="D28:AF28" si="2">SUM(D9:D26)</f>
        <v>18</v>
      </c>
      <c r="E28" s="87">
        <f t="shared" si="2"/>
        <v>4708.7199999999993</v>
      </c>
      <c r="F28" s="87">
        <f t="shared" si="2"/>
        <v>4989.6499999999996</v>
      </c>
      <c r="G28" s="88">
        <f t="shared" si="2"/>
        <v>66822.11</v>
      </c>
      <c r="H28" s="88">
        <f t="shared" si="2"/>
        <v>3808.6900000000005</v>
      </c>
      <c r="I28" s="88">
        <f t="shared" si="2"/>
        <v>1142.6100000000001</v>
      </c>
      <c r="J28" s="88">
        <f t="shared" si="2"/>
        <v>7063.16</v>
      </c>
      <c r="K28" s="88">
        <f t="shared" si="2"/>
        <v>7063.16</v>
      </c>
      <c r="L28" s="88">
        <f t="shared" si="2"/>
        <v>7063.16</v>
      </c>
      <c r="M28" s="88">
        <f t="shared" si="2"/>
        <v>92962.89</v>
      </c>
      <c r="N28" s="87">
        <f t="shared" si="2"/>
        <v>0</v>
      </c>
      <c r="O28" s="87">
        <f t="shared" si="2"/>
        <v>9230.0499999999993</v>
      </c>
      <c r="P28" s="87">
        <f t="shared" si="2"/>
        <v>-118.69</v>
      </c>
      <c r="Q28" s="87">
        <f t="shared" si="2"/>
        <v>5143.3799999999992</v>
      </c>
      <c r="R28" s="159">
        <f t="shared" si="2"/>
        <v>1840.73</v>
      </c>
      <c r="S28" s="87">
        <f t="shared" si="2"/>
        <v>1614.3799999999999</v>
      </c>
      <c r="T28" s="87">
        <f t="shared" si="2"/>
        <v>-0.54</v>
      </c>
      <c r="U28" s="87">
        <f t="shared" si="2"/>
        <v>17717.089999999997</v>
      </c>
      <c r="V28" s="87">
        <f t="shared" si="2"/>
        <v>75245.800000000017</v>
      </c>
      <c r="W28" s="159">
        <f t="shared" si="2"/>
        <v>1309.7800000000002</v>
      </c>
      <c r="X28" s="159">
        <f t="shared" si="2"/>
        <v>2357.61</v>
      </c>
      <c r="Y28" s="159">
        <f t="shared" si="2"/>
        <v>6136.9</v>
      </c>
      <c r="Z28" s="159">
        <f t="shared" si="2"/>
        <v>3996.1999999999994</v>
      </c>
      <c r="AA28" s="87">
        <f t="shared" si="2"/>
        <v>1859.2400000000002</v>
      </c>
      <c r="AB28" s="159">
        <f t="shared" si="2"/>
        <v>374.21999999999997</v>
      </c>
      <c r="AC28" s="87">
        <f t="shared" si="2"/>
        <v>9804.2900000000027</v>
      </c>
      <c r="AD28" s="159">
        <f t="shared" si="2"/>
        <v>3742.2100000000009</v>
      </c>
      <c r="AE28" s="159">
        <f t="shared" si="2"/>
        <v>3247.74</v>
      </c>
      <c r="AF28" s="87">
        <f t="shared" si="2"/>
        <v>1980</v>
      </c>
      <c r="AG28" s="87">
        <f>SUM(AG9:AG26)</f>
        <v>5027.9290329646274</v>
      </c>
    </row>
    <row r="29" spans="1:35" s="60" customFormat="1" x14ac:dyDescent="0.25"/>
    <row r="30" spans="1:35" s="60" customFormat="1" ht="15.75" thickBot="1" x14ac:dyDescent="0.3">
      <c r="A30" s="59">
        <v>18</v>
      </c>
      <c r="B30" s="59" t="s">
        <v>428</v>
      </c>
      <c r="G30" s="60" t="s">
        <v>76</v>
      </c>
      <c r="H30" s="60" t="s">
        <v>76</v>
      </c>
      <c r="I30" s="60" t="s">
        <v>76</v>
      </c>
      <c r="M30" s="60" t="s">
        <v>76</v>
      </c>
      <c r="N30" s="60" t="s">
        <v>76</v>
      </c>
      <c r="O30" s="60" t="s">
        <v>76</v>
      </c>
      <c r="P30" s="60" t="s">
        <v>76</v>
      </c>
      <c r="Q30" s="60" t="s">
        <v>76</v>
      </c>
      <c r="R30" s="60" t="s">
        <v>76</v>
      </c>
      <c r="S30" s="60" t="s">
        <v>76</v>
      </c>
      <c r="T30" s="60" t="s">
        <v>76</v>
      </c>
      <c r="U30" s="60" t="s">
        <v>76</v>
      </c>
      <c r="W30" s="60" t="s">
        <v>76</v>
      </c>
      <c r="X30" s="60" t="s">
        <v>76</v>
      </c>
      <c r="Y30" s="60" t="s">
        <v>76</v>
      </c>
      <c r="Z30" s="60" t="s">
        <v>76</v>
      </c>
      <c r="AA30" s="60" t="s">
        <v>76</v>
      </c>
      <c r="AB30" s="60" t="s">
        <v>76</v>
      </c>
      <c r="AC30" s="60" t="s">
        <v>76</v>
      </c>
      <c r="AD30" s="60" t="s">
        <v>76</v>
      </c>
      <c r="AE30" s="60" t="s">
        <v>76</v>
      </c>
      <c r="AF30" s="60" t="s">
        <v>76</v>
      </c>
    </row>
    <row r="31" spans="1:35" s="60" customFormat="1" ht="15" customHeight="1" x14ac:dyDescent="0.25">
      <c r="A31" s="59"/>
      <c r="B31" s="59" t="s">
        <v>429</v>
      </c>
      <c r="G31" s="87"/>
      <c r="H31" s="87"/>
      <c r="I31" s="87"/>
      <c r="J31" s="87"/>
      <c r="K31" s="87"/>
      <c r="L31" s="101" t="s">
        <v>403</v>
      </c>
      <c r="M31" s="101"/>
      <c r="N31" s="162" t="s">
        <v>467</v>
      </c>
      <c r="O31" s="165" t="s">
        <v>468</v>
      </c>
      <c r="P31" s="150" t="s">
        <v>469</v>
      </c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</row>
    <row r="32" spans="1:35" x14ac:dyDescent="0.25">
      <c r="A32" s="59"/>
      <c r="B32" s="59" t="s">
        <v>430</v>
      </c>
      <c r="L32" s="89" t="s">
        <v>392</v>
      </c>
      <c r="M32" s="90">
        <f>+V28</f>
        <v>75245.800000000017</v>
      </c>
      <c r="N32" s="163"/>
      <c r="O32" s="161">
        <v>28375.200000000001</v>
      </c>
      <c r="P32" s="157">
        <f>M32-O32</f>
        <v>46870.60000000002</v>
      </c>
    </row>
    <row r="33" spans="1:18" x14ac:dyDescent="0.25">
      <c r="A33" s="59">
        <f>+A30+A31-A32</f>
        <v>18</v>
      </c>
      <c r="B33" s="59" t="s">
        <v>431</v>
      </c>
      <c r="L33" s="89" t="s">
        <v>393</v>
      </c>
      <c r="M33" s="90">
        <f>+S28</f>
        <v>1614.3799999999999</v>
      </c>
      <c r="N33" s="163"/>
      <c r="O33" s="161">
        <f>S22</f>
        <v>280.52999999999997</v>
      </c>
      <c r="P33" s="157">
        <f>M33-O33</f>
        <v>1333.85</v>
      </c>
    </row>
    <row r="34" spans="1:18" x14ac:dyDescent="0.25">
      <c r="L34" s="89" t="s">
        <v>394</v>
      </c>
      <c r="M34" s="90">
        <f>+N28+O28</f>
        <v>9230.0499999999993</v>
      </c>
      <c r="N34" s="163"/>
      <c r="O34" s="161"/>
      <c r="P34" s="157">
        <f>M34</f>
        <v>9230.0499999999993</v>
      </c>
    </row>
    <row r="35" spans="1:18" x14ac:dyDescent="0.25">
      <c r="L35" s="89" t="s">
        <v>395</v>
      </c>
      <c r="M35" s="90">
        <v>0</v>
      </c>
      <c r="N35" s="163"/>
      <c r="O35" s="161"/>
      <c r="P35" s="157"/>
    </row>
    <row r="36" spans="1:18" x14ac:dyDescent="0.25">
      <c r="L36" s="89" t="s">
        <v>396</v>
      </c>
      <c r="M36" s="90">
        <f>SUM(M32:M35)</f>
        <v>86090.230000000025</v>
      </c>
      <c r="N36" s="163">
        <f>SUM(N32:N35)</f>
        <v>0</v>
      </c>
      <c r="O36" s="161">
        <f t="shared" ref="O36:P36" si="3">SUM(O32:O35)</f>
        <v>28655.73</v>
      </c>
      <c r="P36" s="157">
        <f t="shared" si="3"/>
        <v>57434.500000000015</v>
      </c>
    </row>
    <row r="37" spans="1:18" x14ac:dyDescent="0.25">
      <c r="L37" s="89" t="s">
        <v>397</v>
      </c>
      <c r="M37" s="90">
        <f>+M36*2%</f>
        <v>1721.8046000000006</v>
      </c>
      <c r="N37" s="163"/>
      <c r="O37" s="161">
        <f>O36*2%</f>
        <v>573.1146</v>
      </c>
      <c r="P37" s="157">
        <f>P36*2%</f>
        <v>1148.6900000000003</v>
      </c>
    </row>
    <row r="38" spans="1:18" x14ac:dyDescent="0.25">
      <c r="L38" s="89" t="s">
        <v>398</v>
      </c>
      <c r="M38" s="90">
        <f>+M36+M37</f>
        <v>87812.034600000028</v>
      </c>
      <c r="N38" s="163"/>
      <c r="O38" s="161">
        <f>SUM(O36:O37)</f>
        <v>29228.8446</v>
      </c>
      <c r="P38" s="157">
        <f>SUM(P36:P37)</f>
        <v>58583.190000000017</v>
      </c>
    </row>
    <row r="39" spans="1:18" x14ac:dyDescent="0.25">
      <c r="L39" s="89" t="s">
        <v>399</v>
      </c>
      <c r="M39" s="90">
        <f>+R28+W28+X28+Y28+AB28+Z28+AD28+AE28</f>
        <v>23005.39</v>
      </c>
      <c r="N39" s="163"/>
      <c r="O39" s="161">
        <v>6971.36</v>
      </c>
      <c r="P39" s="157">
        <f>M39-O39</f>
        <v>16034.029999999999</v>
      </c>
    </row>
    <row r="40" spans="1:18" x14ac:dyDescent="0.25">
      <c r="L40" s="89" t="s">
        <v>400</v>
      </c>
      <c r="M40" s="90">
        <f>+M28*2%</f>
        <v>1859.2578000000001</v>
      </c>
      <c r="N40" s="163"/>
      <c r="O40" s="161">
        <f>32386.44*2%</f>
        <v>647.72879999999998</v>
      </c>
      <c r="P40" s="157">
        <f>M40-O40</f>
        <v>1211.529</v>
      </c>
    </row>
    <row r="41" spans="1:18" x14ac:dyDescent="0.25">
      <c r="L41" s="89" t="s">
        <v>401</v>
      </c>
      <c r="M41" s="90">
        <f>+M38+M39+M40</f>
        <v>112676.68240000003</v>
      </c>
      <c r="N41" s="163"/>
      <c r="O41" s="161">
        <f>SUM(O38:O40)</f>
        <v>36847.933399999994</v>
      </c>
      <c r="P41" s="157">
        <f>SUM(P38:P40)</f>
        <v>75828.749000000011</v>
      </c>
    </row>
    <row r="42" spans="1:18" x14ac:dyDescent="0.25">
      <c r="L42" s="89" t="s">
        <v>30</v>
      </c>
      <c r="M42" s="90">
        <f>+M41*16%</f>
        <v>18028.269184000004</v>
      </c>
      <c r="N42" s="163"/>
      <c r="O42" s="161">
        <f>O41*16%</f>
        <v>5895.669343999999</v>
      </c>
      <c r="P42" s="157">
        <f>P41*16%</f>
        <v>12132.599840000003</v>
      </c>
    </row>
    <row r="43" spans="1:18" ht="15.75" thickBot="1" x14ac:dyDescent="0.3">
      <c r="L43" s="89" t="s">
        <v>87</v>
      </c>
      <c r="M43" s="90">
        <f>+M41+M42</f>
        <v>130704.95158400004</v>
      </c>
      <c r="N43" s="164"/>
      <c r="O43" s="166">
        <f>O42+O41</f>
        <v>42743.602743999996</v>
      </c>
      <c r="P43" s="158">
        <f>P42+P41</f>
        <v>87961.348840000021</v>
      </c>
    </row>
    <row r="44" spans="1:18" x14ac:dyDescent="0.25">
      <c r="L44" s="91"/>
      <c r="M44" s="91"/>
      <c r="O44" s="91">
        <f>O41-O37</f>
        <v>36274.818799999994</v>
      </c>
      <c r="P44" s="91">
        <f>P41-P37</f>
        <v>74680.059000000008</v>
      </c>
    </row>
    <row r="45" spans="1:18" ht="15.75" thickBot="1" x14ac:dyDescent="0.3">
      <c r="L45" s="102" t="s">
        <v>402</v>
      </c>
      <c r="M45" s="102"/>
      <c r="O45" s="168">
        <v>0.73</v>
      </c>
      <c r="P45" s="168">
        <v>0.11</v>
      </c>
      <c r="Q45" s="168">
        <v>0.12</v>
      </c>
      <c r="R45" s="168">
        <v>0.04</v>
      </c>
    </row>
    <row r="46" spans="1:18" ht="15" customHeight="1" x14ac:dyDescent="0.25">
      <c r="L46" s="103" t="s">
        <v>403</v>
      </c>
      <c r="M46" s="103"/>
      <c r="N46" s="169"/>
      <c r="O46" s="170" t="s">
        <v>474</v>
      </c>
      <c r="P46" s="170" t="s">
        <v>473</v>
      </c>
      <c r="Q46" s="170" t="s">
        <v>472</v>
      </c>
      <c r="R46" s="171" t="s">
        <v>471</v>
      </c>
    </row>
    <row r="47" spans="1:18" x14ac:dyDescent="0.25">
      <c r="L47" s="89" t="s">
        <v>396</v>
      </c>
      <c r="M47" s="90">
        <f>+AG28</f>
        <v>5027.9290329646274</v>
      </c>
      <c r="N47" s="172" t="s">
        <v>468</v>
      </c>
      <c r="O47" s="173">
        <f>O44*$O$45</f>
        <v>26480.617723999996</v>
      </c>
      <c r="P47" s="173">
        <f>O44*$P$45</f>
        <v>3990.2300679999994</v>
      </c>
      <c r="Q47" s="173">
        <f>O44*$Q$45</f>
        <v>4352.9782559999994</v>
      </c>
      <c r="R47" s="156">
        <f>O44*$R$45</f>
        <v>1450.9927519999999</v>
      </c>
    </row>
    <row r="48" spans="1:18" x14ac:dyDescent="0.25">
      <c r="L48" s="89" t="s">
        <v>397</v>
      </c>
      <c r="M48" s="90">
        <f>+M47*2%</f>
        <v>100.55858065929255</v>
      </c>
      <c r="N48" s="174" t="s">
        <v>469</v>
      </c>
      <c r="O48" s="173">
        <f>P44*$O$45</f>
        <v>54516.443070000001</v>
      </c>
      <c r="P48" s="173">
        <f>P44*$P$45</f>
        <v>8214.8064900000008</v>
      </c>
      <c r="Q48" s="173">
        <f>P44*Q45</f>
        <v>8961.6070799999998</v>
      </c>
      <c r="R48" s="156">
        <f>P44*$R$45</f>
        <v>2987.2023600000002</v>
      </c>
    </row>
    <row r="49" spans="12:18" x14ac:dyDescent="0.25">
      <c r="L49" s="89" t="s">
        <v>398</v>
      </c>
      <c r="M49" s="90">
        <f>+M47+M48</f>
        <v>5128.48761362392</v>
      </c>
      <c r="N49" s="175" t="s">
        <v>467</v>
      </c>
      <c r="O49" s="148"/>
      <c r="P49" s="148"/>
      <c r="Q49" s="148"/>
      <c r="R49" s="149"/>
    </row>
    <row r="50" spans="12:18" x14ac:dyDescent="0.25">
      <c r="L50" s="89" t="s">
        <v>400</v>
      </c>
      <c r="M50" s="90">
        <f>+M47*2%</f>
        <v>100.55858065929255</v>
      </c>
      <c r="N50" s="176" t="s">
        <v>470</v>
      </c>
      <c r="O50" s="173">
        <f>M37*$O$45</f>
        <v>1256.9173580000004</v>
      </c>
      <c r="P50" s="173">
        <f>M37*$P$45</f>
        <v>189.39850600000008</v>
      </c>
      <c r="Q50" s="173">
        <f>M37*$Q$45</f>
        <v>206.61655200000007</v>
      </c>
      <c r="R50" s="156">
        <f>M37*$R$45</f>
        <v>68.872184000000033</v>
      </c>
    </row>
    <row r="51" spans="12:18" x14ac:dyDescent="0.25">
      <c r="L51" s="89" t="s">
        <v>401</v>
      </c>
      <c r="M51" s="90">
        <f>+M49+M50</f>
        <v>5229.0461942832126</v>
      </c>
      <c r="N51" s="177" t="s">
        <v>388</v>
      </c>
      <c r="O51" s="178">
        <f>SUM(O47:O50)</f>
        <v>82253.978151999996</v>
      </c>
      <c r="P51" s="178">
        <f t="shared" ref="P51:R51" si="4">SUM(P47:P50)</f>
        <v>12394.435063999999</v>
      </c>
      <c r="Q51" s="178">
        <f t="shared" si="4"/>
        <v>13521.201888</v>
      </c>
      <c r="R51" s="179">
        <f t="shared" si="4"/>
        <v>4507.0672960000002</v>
      </c>
    </row>
    <row r="52" spans="12:18" x14ac:dyDescent="0.25">
      <c r="L52" s="89" t="s">
        <v>30</v>
      </c>
      <c r="M52" s="90">
        <f>+M51*16%</f>
        <v>836.64739108531398</v>
      </c>
      <c r="N52" s="177" t="s">
        <v>30</v>
      </c>
      <c r="O52" s="178">
        <f>O51*16%</f>
        <v>13160.63650432</v>
      </c>
      <c r="P52" s="178">
        <f t="shared" ref="P52:R52" si="5">P51*16%</f>
        <v>1983.1096102399999</v>
      </c>
      <c r="Q52" s="178">
        <f t="shared" si="5"/>
        <v>2163.3923020799998</v>
      </c>
      <c r="R52" s="179">
        <f t="shared" si="5"/>
        <v>721.13076736000005</v>
      </c>
    </row>
    <row r="53" spans="12:18" ht="15.75" thickBot="1" x14ac:dyDescent="0.3">
      <c r="L53" s="89" t="s">
        <v>87</v>
      </c>
      <c r="M53" s="90">
        <f>+M51+M52</f>
        <v>6065.6935853685263</v>
      </c>
      <c r="N53" s="180" t="s">
        <v>87</v>
      </c>
      <c r="O53" s="181">
        <f>SUM(O51:O52)</f>
        <v>95414.614656320002</v>
      </c>
      <c r="P53" s="181">
        <f t="shared" ref="P53:R53" si="6">SUM(P51:P52)</f>
        <v>14377.54467424</v>
      </c>
      <c r="Q53" s="181">
        <f t="shared" si="6"/>
        <v>15684.594190079999</v>
      </c>
      <c r="R53" s="182">
        <f t="shared" si="6"/>
        <v>5228.1980633600006</v>
      </c>
    </row>
  </sheetData>
  <autoFilter ref="A8:AG8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81"/>
  <sheetViews>
    <sheetView showGridLines="0" zoomScale="70" zoomScaleNormal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D9" sqref="D9"/>
    </sheetView>
  </sheetViews>
  <sheetFormatPr baseColWidth="10" defaultColWidth="11.42578125" defaultRowHeight="15" x14ac:dyDescent="0.25"/>
  <cols>
    <col min="1" max="1" width="12.28515625" style="83" customWidth="1"/>
    <col min="2" max="2" width="38.7109375" style="82" customWidth="1"/>
    <col min="3" max="11" width="15.7109375" style="82" customWidth="1"/>
    <col min="12" max="12" width="20.7109375" style="82" bestFit="1" customWidth="1"/>
    <col min="13" max="35" width="15.7109375" style="82" customWidth="1"/>
    <col min="36" max="16384" width="11.42578125" style="82"/>
  </cols>
  <sheetData>
    <row r="1" spans="1:34" ht="18" customHeight="1" x14ac:dyDescent="0.25">
      <c r="A1" s="97"/>
      <c r="B1" s="98" t="s">
        <v>76</v>
      </c>
      <c r="C1" s="81"/>
      <c r="D1" s="81"/>
      <c r="E1" s="81"/>
      <c r="F1" s="81"/>
    </row>
    <row r="2" spans="1:34" ht="24.95" customHeight="1" x14ac:dyDescent="0.25">
      <c r="A2" s="99"/>
      <c r="B2" s="100" t="s">
        <v>410</v>
      </c>
      <c r="C2" s="80"/>
      <c r="D2" s="80"/>
      <c r="E2" s="80"/>
      <c r="F2" s="80"/>
    </row>
    <row r="3" spans="1:34" x14ac:dyDescent="0.25">
      <c r="B3" s="81" t="s">
        <v>1</v>
      </c>
      <c r="C3" s="81"/>
      <c r="D3" s="81"/>
      <c r="E3" s="81"/>
      <c r="F3" s="81"/>
    </row>
    <row r="4" spans="1:34" x14ac:dyDescent="0.25">
      <c r="B4" s="81" t="s">
        <v>411</v>
      </c>
      <c r="C4" s="81"/>
      <c r="D4" s="81"/>
      <c r="E4" s="81"/>
      <c r="F4" s="81"/>
    </row>
    <row r="5" spans="1:34" x14ac:dyDescent="0.25">
      <c r="B5" s="81" t="s">
        <v>412</v>
      </c>
      <c r="C5" s="81"/>
      <c r="D5" s="81"/>
      <c r="E5" s="81"/>
      <c r="F5" s="81"/>
    </row>
    <row r="6" spans="1:34" x14ac:dyDescent="0.25">
      <c r="C6" s="81"/>
      <c r="D6" s="81"/>
      <c r="E6" s="81"/>
      <c r="F6" s="81"/>
    </row>
    <row r="8" spans="1:34" s="96" customFormat="1" ht="36.75" thickBot="1" x14ac:dyDescent="0.3">
      <c r="A8" s="92" t="s">
        <v>4</v>
      </c>
      <c r="B8" s="93" t="s">
        <v>5</v>
      </c>
      <c r="C8" s="93" t="s">
        <v>31</v>
      </c>
      <c r="D8" s="93" t="s">
        <v>32</v>
      </c>
      <c r="E8" s="93" t="s">
        <v>33</v>
      </c>
      <c r="F8" s="93" t="s">
        <v>34</v>
      </c>
      <c r="G8" s="93" t="s">
        <v>6</v>
      </c>
      <c r="H8" s="93" t="s">
        <v>7</v>
      </c>
      <c r="I8" s="93" t="s">
        <v>8</v>
      </c>
      <c r="J8" s="94" t="s">
        <v>12</v>
      </c>
      <c r="K8" s="206" t="s">
        <v>13</v>
      </c>
      <c r="L8" s="206" t="s">
        <v>14</v>
      </c>
      <c r="M8" s="206" t="s">
        <v>413</v>
      </c>
      <c r="N8" s="93" t="s">
        <v>15</v>
      </c>
      <c r="O8" s="93" t="s">
        <v>16</v>
      </c>
      <c r="P8" s="147" t="s">
        <v>17</v>
      </c>
      <c r="Q8" s="93" t="s">
        <v>414</v>
      </c>
      <c r="R8" s="93" t="s">
        <v>415</v>
      </c>
      <c r="S8" s="93" t="s">
        <v>18</v>
      </c>
      <c r="T8" s="94" t="s">
        <v>19</v>
      </c>
      <c r="U8" s="95" t="s">
        <v>20</v>
      </c>
      <c r="V8" s="147" t="s">
        <v>21</v>
      </c>
      <c r="W8" s="147" t="s">
        <v>22</v>
      </c>
      <c r="X8" s="147" t="s">
        <v>23</v>
      </c>
      <c r="Y8" s="147" t="s">
        <v>24</v>
      </c>
      <c r="Z8" s="93" t="s">
        <v>25</v>
      </c>
      <c r="AA8" s="147" t="s">
        <v>26</v>
      </c>
      <c r="AB8" s="93" t="s">
        <v>27</v>
      </c>
      <c r="AC8" s="147" t="s">
        <v>28</v>
      </c>
      <c r="AD8" s="147" t="s">
        <v>29</v>
      </c>
      <c r="AE8" s="93" t="s">
        <v>35</v>
      </c>
      <c r="AF8" s="93" t="s">
        <v>416</v>
      </c>
    </row>
    <row r="9" spans="1:34" s="60" customFormat="1" ht="15.75" thickTop="1" x14ac:dyDescent="0.25">
      <c r="A9" s="132" t="s">
        <v>36</v>
      </c>
      <c r="B9" s="131" t="s">
        <v>316</v>
      </c>
      <c r="C9" s="141">
        <v>15</v>
      </c>
      <c r="D9" s="141">
        <v>0</v>
      </c>
      <c r="E9" s="141">
        <v>266.67</v>
      </c>
      <c r="F9" s="141">
        <v>278.72000000000003</v>
      </c>
      <c r="G9" s="141">
        <v>4000.05</v>
      </c>
      <c r="H9" s="141">
        <v>0</v>
      </c>
      <c r="I9" s="141">
        <v>0</v>
      </c>
      <c r="J9" s="141">
        <v>4000.05</v>
      </c>
      <c r="K9" s="141">
        <v>0</v>
      </c>
      <c r="L9" s="141">
        <v>0</v>
      </c>
      <c r="M9" s="141">
        <v>0</v>
      </c>
      <c r="N9" s="141">
        <v>0</v>
      </c>
      <c r="O9" s="141">
        <v>313.87</v>
      </c>
      <c r="P9" s="141">
        <v>100.81</v>
      </c>
      <c r="Q9" s="141">
        <v>0</v>
      </c>
      <c r="R9" s="141">
        <v>250</v>
      </c>
      <c r="S9" s="139">
        <v>-0.03</v>
      </c>
      <c r="T9" s="141">
        <v>664.65</v>
      </c>
      <c r="U9" s="141">
        <v>3335.4</v>
      </c>
      <c r="V9" s="141">
        <v>73.16</v>
      </c>
      <c r="W9" s="141">
        <v>131.69999999999999</v>
      </c>
      <c r="X9" s="141">
        <v>335.88</v>
      </c>
      <c r="Y9" s="141">
        <v>273.62</v>
      </c>
      <c r="Z9" s="141">
        <v>80</v>
      </c>
      <c r="AA9" s="141">
        <v>33.299999999999997</v>
      </c>
      <c r="AB9" s="141">
        <v>540.74</v>
      </c>
      <c r="AC9" s="141">
        <v>209.04</v>
      </c>
      <c r="AD9" s="141">
        <v>231.81</v>
      </c>
      <c r="AE9" s="141">
        <v>110</v>
      </c>
      <c r="AF9" s="60">
        <f t="shared" ref="AF9:AF40" si="0">((20/365.24)*15)*E9</f>
        <v>219.03679772204578</v>
      </c>
    </row>
    <row r="10" spans="1:34" s="60" customFormat="1" x14ac:dyDescent="0.25">
      <c r="A10" s="128" t="s">
        <v>417</v>
      </c>
      <c r="B10" s="127" t="s">
        <v>258</v>
      </c>
      <c r="C10" s="129">
        <v>15</v>
      </c>
      <c r="D10" s="129">
        <v>0</v>
      </c>
      <c r="E10" s="129">
        <v>266.67</v>
      </c>
      <c r="F10" s="129">
        <v>278.72000000000003</v>
      </c>
      <c r="G10" s="129">
        <v>4000.05</v>
      </c>
      <c r="H10" s="129">
        <v>0</v>
      </c>
      <c r="I10" s="129">
        <v>0</v>
      </c>
      <c r="J10" s="129">
        <v>4000.05</v>
      </c>
      <c r="K10" s="129">
        <v>0</v>
      </c>
      <c r="L10" s="129">
        <v>0</v>
      </c>
      <c r="M10" s="129">
        <v>0</v>
      </c>
      <c r="N10" s="129">
        <v>0</v>
      </c>
      <c r="O10" s="129">
        <v>313.87</v>
      </c>
      <c r="P10" s="129">
        <v>100.81</v>
      </c>
      <c r="Q10" s="129">
        <v>0</v>
      </c>
      <c r="R10" s="129">
        <v>0</v>
      </c>
      <c r="S10" s="130">
        <v>-0.03</v>
      </c>
      <c r="T10" s="129">
        <v>414.65</v>
      </c>
      <c r="U10" s="129">
        <v>3585.4</v>
      </c>
      <c r="V10" s="129">
        <v>73.16</v>
      </c>
      <c r="W10" s="129">
        <v>131.69999999999999</v>
      </c>
      <c r="X10" s="129">
        <v>335.88</v>
      </c>
      <c r="Y10" s="129">
        <v>273.62</v>
      </c>
      <c r="Z10" s="129">
        <v>80</v>
      </c>
      <c r="AA10" s="129">
        <v>33.299999999999997</v>
      </c>
      <c r="AB10" s="129">
        <v>540.74</v>
      </c>
      <c r="AC10" s="129">
        <v>209.04</v>
      </c>
      <c r="AD10" s="129">
        <v>231.81</v>
      </c>
      <c r="AE10" s="129">
        <v>110</v>
      </c>
      <c r="AF10" s="60">
        <f t="shared" si="0"/>
        <v>219.03679772204578</v>
      </c>
    </row>
    <row r="11" spans="1:34" s="60" customFormat="1" x14ac:dyDescent="0.25">
      <c r="A11" s="128" t="s">
        <v>142</v>
      </c>
      <c r="B11" s="127" t="s">
        <v>143</v>
      </c>
      <c r="C11" s="129">
        <v>15</v>
      </c>
      <c r="D11" s="129">
        <v>0</v>
      </c>
      <c r="E11" s="129">
        <v>200</v>
      </c>
      <c r="F11" s="129">
        <v>209.04</v>
      </c>
      <c r="G11" s="129">
        <v>3000</v>
      </c>
      <c r="H11" s="129">
        <v>0</v>
      </c>
      <c r="I11" s="129">
        <v>0</v>
      </c>
      <c r="J11" s="129">
        <v>3000</v>
      </c>
      <c r="K11" s="129">
        <v>0</v>
      </c>
      <c r="L11" s="129">
        <v>0</v>
      </c>
      <c r="M11" s="129">
        <v>0</v>
      </c>
      <c r="N11" s="141">
        <v>0</v>
      </c>
      <c r="O11" s="129">
        <v>59.69</v>
      </c>
      <c r="P11" s="129">
        <v>74.48</v>
      </c>
      <c r="Q11" s="129">
        <v>0</v>
      </c>
      <c r="R11" s="129">
        <v>1125</v>
      </c>
      <c r="S11" s="141">
        <v>0.03</v>
      </c>
      <c r="T11" s="129">
        <v>1259.2</v>
      </c>
      <c r="U11" s="129">
        <v>1740.8</v>
      </c>
      <c r="V11" s="129">
        <v>54.87</v>
      </c>
      <c r="W11" s="129">
        <v>98.77</v>
      </c>
      <c r="X11" s="129">
        <v>313.41000000000003</v>
      </c>
      <c r="Y11" s="129">
        <v>252.71</v>
      </c>
      <c r="Z11" s="129">
        <v>60</v>
      </c>
      <c r="AA11" s="129">
        <v>24.98</v>
      </c>
      <c r="AB11" s="129">
        <v>467.05</v>
      </c>
      <c r="AC11" s="129">
        <v>156.78</v>
      </c>
      <c r="AD11" s="129">
        <v>221.36</v>
      </c>
      <c r="AE11" s="129">
        <v>110</v>
      </c>
      <c r="AF11" s="60">
        <f t="shared" si="0"/>
        <v>164.27554484722373</v>
      </c>
    </row>
    <row r="12" spans="1:34" s="186" customFormat="1" x14ac:dyDescent="0.25">
      <c r="A12" s="183" t="s">
        <v>418</v>
      </c>
      <c r="B12" s="167" t="s">
        <v>274</v>
      </c>
      <c r="C12" s="184">
        <v>15</v>
      </c>
      <c r="D12" s="184">
        <v>0</v>
      </c>
      <c r="E12" s="184">
        <v>154</v>
      </c>
      <c r="F12" s="184">
        <v>160.96</v>
      </c>
      <c r="G12" s="184">
        <v>2310</v>
      </c>
      <c r="H12" s="184">
        <v>0</v>
      </c>
      <c r="I12" s="184">
        <v>0</v>
      </c>
      <c r="J12" s="184">
        <v>2310</v>
      </c>
      <c r="K12" s="184">
        <v>0</v>
      </c>
      <c r="L12" s="184">
        <v>977.57</v>
      </c>
      <c r="M12" s="184">
        <v>0</v>
      </c>
      <c r="N12" s="185">
        <v>-39.729999999999997</v>
      </c>
      <c r="O12" s="184">
        <v>0</v>
      </c>
      <c r="P12" s="184">
        <v>57.34</v>
      </c>
      <c r="Q12" s="184">
        <v>0</v>
      </c>
      <c r="R12" s="184">
        <v>0</v>
      </c>
      <c r="S12" s="184">
        <v>0.02</v>
      </c>
      <c r="T12" s="184">
        <v>995.2</v>
      </c>
      <c r="U12" s="184">
        <v>1314.8</v>
      </c>
      <c r="V12" s="184">
        <v>42.25</v>
      </c>
      <c r="W12" s="184">
        <v>76.05</v>
      </c>
      <c r="X12" s="184">
        <v>300.79000000000002</v>
      </c>
      <c r="Y12" s="184">
        <v>238.29</v>
      </c>
      <c r="Z12" s="184">
        <v>46.2</v>
      </c>
      <c r="AA12" s="184">
        <v>19.23</v>
      </c>
      <c r="AB12" s="184">
        <v>419.09</v>
      </c>
      <c r="AC12" s="184">
        <v>120.72</v>
      </c>
      <c r="AD12" s="184">
        <v>214.14</v>
      </c>
      <c r="AE12" s="184">
        <v>110</v>
      </c>
      <c r="AF12" s="186">
        <f t="shared" si="0"/>
        <v>126.49216953236227</v>
      </c>
    </row>
    <row r="13" spans="1:34" s="60" customFormat="1" x14ac:dyDescent="0.25">
      <c r="A13" s="128" t="s">
        <v>268</v>
      </c>
      <c r="B13" s="127" t="s">
        <v>269</v>
      </c>
      <c r="C13" s="129">
        <v>15</v>
      </c>
      <c r="D13" s="129">
        <v>0</v>
      </c>
      <c r="E13" s="129">
        <v>266.67</v>
      </c>
      <c r="F13" s="129">
        <v>278.72000000000003</v>
      </c>
      <c r="G13" s="129">
        <v>4000.05</v>
      </c>
      <c r="H13" s="129">
        <v>0</v>
      </c>
      <c r="I13" s="129">
        <v>0</v>
      </c>
      <c r="J13" s="129">
        <v>4000.05</v>
      </c>
      <c r="K13" s="129">
        <v>0</v>
      </c>
      <c r="L13" s="129">
        <v>868.44</v>
      </c>
      <c r="M13" s="129">
        <v>0</v>
      </c>
      <c r="N13" s="129">
        <v>0</v>
      </c>
      <c r="O13" s="129">
        <v>313.87</v>
      </c>
      <c r="P13" s="129">
        <v>100.81</v>
      </c>
      <c r="Q13" s="129">
        <v>0</v>
      </c>
      <c r="R13" s="129">
        <v>0</v>
      </c>
      <c r="S13" s="139">
        <v>-7.0000000000000007E-2</v>
      </c>
      <c r="T13" s="129">
        <v>1283.05</v>
      </c>
      <c r="U13" s="129">
        <v>2717</v>
      </c>
      <c r="V13" s="129">
        <v>73.16</v>
      </c>
      <c r="W13" s="129">
        <v>131.69999999999999</v>
      </c>
      <c r="X13" s="129">
        <v>335.88</v>
      </c>
      <c r="Y13" s="129">
        <v>273.62</v>
      </c>
      <c r="Z13" s="129">
        <v>80</v>
      </c>
      <c r="AA13" s="129">
        <v>33.299999999999997</v>
      </c>
      <c r="AB13" s="129">
        <v>540.74</v>
      </c>
      <c r="AC13" s="129">
        <v>209.04</v>
      </c>
      <c r="AD13" s="129">
        <v>231.81</v>
      </c>
      <c r="AE13" s="129">
        <v>110</v>
      </c>
      <c r="AF13" s="60">
        <f t="shared" si="0"/>
        <v>219.03679772204578</v>
      </c>
    </row>
    <row r="14" spans="1:34" s="104" customFormat="1" x14ac:dyDescent="0.25">
      <c r="A14" s="128" t="s">
        <v>179</v>
      </c>
      <c r="B14" s="127" t="s">
        <v>180</v>
      </c>
      <c r="C14" s="129">
        <v>15</v>
      </c>
      <c r="D14" s="129">
        <v>0</v>
      </c>
      <c r="E14" s="129">
        <v>521.67999999999995</v>
      </c>
      <c r="F14" s="129">
        <v>553.24</v>
      </c>
      <c r="G14" s="129">
        <v>7825.2</v>
      </c>
      <c r="H14" s="129">
        <v>0</v>
      </c>
      <c r="I14" s="129">
        <v>0</v>
      </c>
      <c r="J14" s="129">
        <v>7825.2</v>
      </c>
      <c r="K14" s="129">
        <v>0</v>
      </c>
      <c r="L14" s="129">
        <v>0</v>
      </c>
      <c r="M14" s="129">
        <v>0</v>
      </c>
      <c r="N14" s="129">
        <v>0</v>
      </c>
      <c r="O14" s="129">
        <v>1033.24</v>
      </c>
      <c r="P14" s="129">
        <v>215.09</v>
      </c>
      <c r="Q14" s="129">
        <v>0</v>
      </c>
      <c r="R14" s="129">
        <v>0</v>
      </c>
      <c r="S14" s="130">
        <v>-0.13</v>
      </c>
      <c r="T14" s="129">
        <v>1248.2</v>
      </c>
      <c r="U14" s="129">
        <v>6577</v>
      </c>
      <c r="V14" s="129">
        <v>145.22999999999999</v>
      </c>
      <c r="W14" s="129">
        <v>261.41000000000003</v>
      </c>
      <c r="X14" s="129">
        <v>453.23</v>
      </c>
      <c r="Y14" s="129">
        <v>355.97</v>
      </c>
      <c r="Z14" s="129">
        <v>156.5</v>
      </c>
      <c r="AA14" s="129">
        <v>66.11</v>
      </c>
      <c r="AB14" s="129">
        <v>859.87</v>
      </c>
      <c r="AC14" s="129">
        <v>414.93</v>
      </c>
      <c r="AD14" s="129">
        <v>272.99</v>
      </c>
      <c r="AE14" s="129">
        <v>110</v>
      </c>
      <c r="AF14" s="60">
        <f t="shared" si="0"/>
        <v>428.49633117949833</v>
      </c>
      <c r="AG14" s="60"/>
      <c r="AH14" s="60"/>
    </row>
    <row r="15" spans="1:34" s="60" customFormat="1" x14ac:dyDescent="0.25">
      <c r="A15" s="128" t="s">
        <v>216</v>
      </c>
      <c r="B15" s="127" t="s">
        <v>217</v>
      </c>
      <c r="C15" s="129">
        <v>15</v>
      </c>
      <c r="D15" s="129">
        <v>0</v>
      </c>
      <c r="E15" s="129">
        <v>266.67</v>
      </c>
      <c r="F15" s="129">
        <v>278.72000000000003</v>
      </c>
      <c r="G15" s="129">
        <v>4000.05</v>
      </c>
      <c r="H15" s="129">
        <v>0</v>
      </c>
      <c r="I15" s="129">
        <v>0</v>
      </c>
      <c r="J15" s="129">
        <v>4000.05</v>
      </c>
      <c r="K15" s="129">
        <v>0</v>
      </c>
      <c r="L15" s="129">
        <v>0</v>
      </c>
      <c r="M15" s="129">
        <v>0</v>
      </c>
      <c r="N15" s="129">
        <v>0</v>
      </c>
      <c r="O15" s="129">
        <v>313.87</v>
      </c>
      <c r="P15" s="129">
        <v>100.81</v>
      </c>
      <c r="Q15" s="129">
        <v>0</v>
      </c>
      <c r="R15" s="129">
        <v>0</v>
      </c>
      <c r="S15" s="139">
        <v>-0.03</v>
      </c>
      <c r="T15" s="129">
        <v>414.65</v>
      </c>
      <c r="U15" s="129">
        <v>3585.4</v>
      </c>
      <c r="V15" s="129">
        <v>73.16</v>
      </c>
      <c r="W15" s="129">
        <v>131.69999999999999</v>
      </c>
      <c r="X15" s="129">
        <v>335.88</v>
      </c>
      <c r="Y15" s="129">
        <v>273.62</v>
      </c>
      <c r="Z15" s="129">
        <v>80</v>
      </c>
      <c r="AA15" s="129">
        <v>33.299999999999997</v>
      </c>
      <c r="AB15" s="129">
        <v>540.74</v>
      </c>
      <c r="AC15" s="129">
        <v>209.04</v>
      </c>
      <c r="AD15" s="129">
        <v>231.81</v>
      </c>
      <c r="AE15" s="129">
        <v>110</v>
      </c>
      <c r="AF15" s="60">
        <f t="shared" si="0"/>
        <v>219.03679772204578</v>
      </c>
    </row>
    <row r="16" spans="1:34" s="60" customFormat="1" x14ac:dyDescent="0.25">
      <c r="A16" s="128" t="s">
        <v>331</v>
      </c>
      <c r="B16" s="127" t="s">
        <v>332</v>
      </c>
      <c r="C16" s="129">
        <v>15</v>
      </c>
      <c r="D16" s="129">
        <v>0</v>
      </c>
      <c r="E16" s="129">
        <v>200</v>
      </c>
      <c r="F16" s="129">
        <v>212.1</v>
      </c>
      <c r="G16" s="129">
        <v>3000</v>
      </c>
      <c r="H16" s="129">
        <v>0</v>
      </c>
      <c r="I16" s="129">
        <v>0</v>
      </c>
      <c r="J16" s="129">
        <v>3000</v>
      </c>
      <c r="K16" s="129">
        <v>0</v>
      </c>
      <c r="L16" s="129">
        <v>1347.1</v>
      </c>
      <c r="M16" s="129">
        <v>0</v>
      </c>
      <c r="N16" s="129">
        <v>0</v>
      </c>
      <c r="O16" s="129">
        <v>59.69</v>
      </c>
      <c r="P16" s="129">
        <v>75.55</v>
      </c>
      <c r="Q16" s="129">
        <v>0</v>
      </c>
      <c r="R16" s="129">
        <v>0</v>
      </c>
      <c r="S16" s="130">
        <v>-0.14000000000000001</v>
      </c>
      <c r="T16" s="129">
        <v>1482.2</v>
      </c>
      <c r="U16" s="129">
        <v>1517.8</v>
      </c>
      <c r="V16" s="129">
        <v>55.68</v>
      </c>
      <c r="W16" s="129">
        <v>100.22</v>
      </c>
      <c r="X16" s="129">
        <v>314.22000000000003</v>
      </c>
      <c r="Y16" s="129">
        <v>253.63</v>
      </c>
      <c r="Z16" s="129">
        <v>60</v>
      </c>
      <c r="AA16" s="129">
        <v>25.34</v>
      </c>
      <c r="AB16" s="129">
        <v>470.12</v>
      </c>
      <c r="AC16" s="129">
        <v>159.08000000000001</v>
      </c>
      <c r="AD16" s="129">
        <v>221.82</v>
      </c>
      <c r="AE16" s="129">
        <v>110</v>
      </c>
      <c r="AF16" s="60">
        <f t="shared" si="0"/>
        <v>164.27554484722373</v>
      </c>
    </row>
    <row r="17" spans="1:32" s="60" customFormat="1" x14ac:dyDescent="0.25">
      <c r="A17" s="128" t="s">
        <v>271</v>
      </c>
      <c r="B17" s="127" t="s">
        <v>272</v>
      </c>
      <c r="C17" s="129">
        <v>14</v>
      </c>
      <c r="D17" s="129">
        <v>0</v>
      </c>
      <c r="E17" s="129">
        <v>333.33</v>
      </c>
      <c r="F17" s="129">
        <v>353.5</v>
      </c>
      <c r="G17" s="129">
        <v>4666.62</v>
      </c>
      <c r="H17" s="129">
        <v>0</v>
      </c>
      <c r="I17" s="129">
        <v>0</v>
      </c>
      <c r="J17" s="129">
        <v>4666.62</v>
      </c>
      <c r="K17" s="129">
        <v>0</v>
      </c>
      <c r="L17" s="129">
        <v>0</v>
      </c>
      <c r="M17" s="129">
        <v>0</v>
      </c>
      <c r="N17" s="129">
        <v>0</v>
      </c>
      <c r="O17" s="129">
        <v>407.33</v>
      </c>
      <c r="P17" s="129">
        <v>125.75</v>
      </c>
      <c r="Q17" s="129">
        <v>0</v>
      </c>
      <c r="R17" s="129">
        <v>0</v>
      </c>
      <c r="S17" s="130">
        <v>-0.06</v>
      </c>
      <c r="T17" s="129">
        <v>533.02</v>
      </c>
      <c r="U17" s="129">
        <v>4133.6000000000004</v>
      </c>
      <c r="V17" s="129">
        <v>92.79</v>
      </c>
      <c r="W17" s="129">
        <v>167.03</v>
      </c>
      <c r="X17" s="129">
        <v>367.84</v>
      </c>
      <c r="Y17" s="129">
        <v>296.05</v>
      </c>
      <c r="Z17" s="129">
        <v>93.33</v>
      </c>
      <c r="AA17" s="129">
        <v>42.24</v>
      </c>
      <c r="AB17" s="129">
        <v>627.66</v>
      </c>
      <c r="AC17" s="129">
        <v>265.12</v>
      </c>
      <c r="AD17" s="129">
        <v>243.02</v>
      </c>
      <c r="AE17" s="129">
        <v>110</v>
      </c>
      <c r="AF17" s="60">
        <f t="shared" si="0"/>
        <v>273.78983681962541</v>
      </c>
    </row>
    <row r="18" spans="1:32" s="60" customFormat="1" x14ac:dyDescent="0.25">
      <c r="A18" s="128" t="s">
        <v>293</v>
      </c>
      <c r="B18" s="127" t="s">
        <v>294</v>
      </c>
      <c r="C18" s="129">
        <v>15</v>
      </c>
      <c r="D18" s="129">
        <v>0</v>
      </c>
      <c r="E18" s="129">
        <v>233.33</v>
      </c>
      <c r="F18" s="129">
        <v>247.45</v>
      </c>
      <c r="G18" s="129">
        <v>3499.95</v>
      </c>
      <c r="H18" s="129">
        <v>0</v>
      </c>
      <c r="I18" s="129">
        <v>0</v>
      </c>
      <c r="J18" s="129">
        <v>3499.95</v>
      </c>
      <c r="K18" s="129">
        <v>0</v>
      </c>
      <c r="L18" s="129">
        <v>0</v>
      </c>
      <c r="M18" s="129">
        <v>0</v>
      </c>
      <c r="N18" s="129">
        <v>0</v>
      </c>
      <c r="O18" s="129">
        <v>134.36000000000001</v>
      </c>
      <c r="P18" s="129">
        <v>88.16</v>
      </c>
      <c r="Q18" s="129">
        <v>0</v>
      </c>
      <c r="R18" s="129">
        <v>0</v>
      </c>
      <c r="S18" s="130">
        <v>-0.17</v>
      </c>
      <c r="T18" s="129">
        <v>222.35</v>
      </c>
      <c r="U18" s="129">
        <v>3277.6</v>
      </c>
      <c r="V18" s="129">
        <v>64.95</v>
      </c>
      <c r="W18" s="129">
        <v>116.92</v>
      </c>
      <c r="X18" s="129">
        <v>323.49</v>
      </c>
      <c r="Y18" s="129">
        <v>264.23</v>
      </c>
      <c r="Z18" s="129">
        <v>70</v>
      </c>
      <c r="AA18" s="129">
        <v>29.57</v>
      </c>
      <c r="AB18" s="129">
        <v>505.36</v>
      </c>
      <c r="AC18" s="129">
        <v>185.58</v>
      </c>
      <c r="AD18" s="129">
        <v>227.12</v>
      </c>
      <c r="AE18" s="129">
        <v>110</v>
      </c>
      <c r="AF18" s="60">
        <f t="shared" si="0"/>
        <v>191.65206439601357</v>
      </c>
    </row>
    <row r="19" spans="1:32" s="60" customFormat="1" x14ac:dyDescent="0.25">
      <c r="A19" s="128" t="s">
        <v>99</v>
      </c>
      <c r="B19" s="127" t="s">
        <v>100</v>
      </c>
      <c r="C19" s="129">
        <v>15</v>
      </c>
      <c r="D19" s="129">
        <v>0</v>
      </c>
      <c r="E19" s="129">
        <v>200</v>
      </c>
      <c r="F19" s="129">
        <v>212.1</v>
      </c>
      <c r="G19" s="129">
        <v>3000</v>
      </c>
      <c r="H19" s="129">
        <v>0</v>
      </c>
      <c r="I19" s="129">
        <v>0</v>
      </c>
      <c r="J19" s="129">
        <v>3000</v>
      </c>
      <c r="K19" s="129">
        <v>0</v>
      </c>
      <c r="L19" s="129">
        <v>0</v>
      </c>
      <c r="M19" s="129">
        <v>0</v>
      </c>
      <c r="N19" s="129">
        <v>0</v>
      </c>
      <c r="O19" s="129">
        <v>59.69</v>
      </c>
      <c r="P19" s="129">
        <v>75.55</v>
      </c>
      <c r="Q19" s="129">
        <v>600</v>
      </c>
      <c r="R19" s="129">
        <v>0</v>
      </c>
      <c r="S19" s="139">
        <v>-0.04</v>
      </c>
      <c r="T19" s="129">
        <v>735.2</v>
      </c>
      <c r="U19" s="129">
        <v>2264.8000000000002</v>
      </c>
      <c r="V19" s="129">
        <v>55.68</v>
      </c>
      <c r="W19" s="129">
        <v>100.22</v>
      </c>
      <c r="X19" s="129">
        <v>314.22000000000003</v>
      </c>
      <c r="Y19" s="129">
        <v>253.63</v>
      </c>
      <c r="Z19" s="129">
        <v>60</v>
      </c>
      <c r="AA19" s="129">
        <v>25.34</v>
      </c>
      <c r="AB19" s="129">
        <v>470.12</v>
      </c>
      <c r="AC19" s="129">
        <v>159.08000000000001</v>
      </c>
      <c r="AD19" s="129">
        <v>221.82</v>
      </c>
      <c r="AE19" s="129">
        <v>110</v>
      </c>
      <c r="AF19" s="60">
        <f t="shared" si="0"/>
        <v>164.27554484722373</v>
      </c>
    </row>
    <row r="20" spans="1:32" s="60" customFormat="1" x14ac:dyDescent="0.25">
      <c r="A20" s="128" t="s">
        <v>161</v>
      </c>
      <c r="B20" s="127" t="s">
        <v>162</v>
      </c>
      <c r="C20" s="129">
        <v>15</v>
      </c>
      <c r="D20" s="129">
        <v>0</v>
      </c>
      <c r="E20" s="129">
        <v>266.67</v>
      </c>
      <c r="F20" s="129">
        <v>282.81</v>
      </c>
      <c r="G20" s="129">
        <v>4000.05</v>
      </c>
      <c r="H20" s="129">
        <v>0</v>
      </c>
      <c r="I20" s="129">
        <v>0</v>
      </c>
      <c r="J20" s="129">
        <v>4000.05</v>
      </c>
      <c r="K20" s="129">
        <v>0</v>
      </c>
      <c r="L20" s="129">
        <v>0</v>
      </c>
      <c r="M20" s="129">
        <v>0</v>
      </c>
      <c r="N20" s="141">
        <v>0</v>
      </c>
      <c r="O20" s="129">
        <v>313.87</v>
      </c>
      <c r="P20" s="129">
        <v>102.51</v>
      </c>
      <c r="Q20" s="129">
        <v>0</v>
      </c>
      <c r="R20" s="126">
        <v>0</v>
      </c>
      <c r="S20" s="135">
        <v>7.0000000000000007E-2</v>
      </c>
      <c r="T20" s="136">
        <v>416.45</v>
      </c>
      <c r="U20" s="137">
        <v>3583.6</v>
      </c>
      <c r="V20" s="129">
        <v>74.239999999999995</v>
      </c>
      <c r="W20" s="129">
        <v>133.63</v>
      </c>
      <c r="X20" s="129">
        <v>337.62</v>
      </c>
      <c r="Y20" s="129">
        <v>274.84000000000003</v>
      </c>
      <c r="Z20" s="129">
        <v>80</v>
      </c>
      <c r="AA20" s="129">
        <v>33.79</v>
      </c>
      <c r="AB20" s="129">
        <v>545.49</v>
      </c>
      <c r="AC20" s="129">
        <v>212.11</v>
      </c>
      <c r="AD20" s="129">
        <v>232.42000000000002</v>
      </c>
      <c r="AE20" s="129">
        <v>110</v>
      </c>
      <c r="AF20" s="60">
        <f t="shared" si="0"/>
        <v>219.03679772204578</v>
      </c>
    </row>
    <row r="21" spans="1:32" s="60" customFormat="1" x14ac:dyDescent="0.25">
      <c r="A21" s="128" t="s">
        <v>145</v>
      </c>
      <c r="B21" s="127" t="s">
        <v>146</v>
      </c>
      <c r="C21" s="129">
        <v>15</v>
      </c>
      <c r="D21" s="129">
        <v>0</v>
      </c>
      <c r="E21" s="129">
        <v>166.67</v>
      </c>
      <c r="F21" s="129">
        <v>174.2</v>
      </c>
      <c r="G21" s="129">
        <v>2500.0500000000002</v>
      </c>
      <c r="H21" s="129">
        <v>0</v>
      </c>
      <c r="I21" s="129">
        <v>0</v>
      </c>
      <c r="J21" s="129">
        <v>2500.0500000000002</v>
      </c>
      <c r="K21" s="129">
        <v>0</v>
      </c>
      <c r="L21" s="129">
        <v>0</v>
      </c>
      <c r="M21" s="129">
        <v>0</v>
      </c>
      <c r="N21" s="139">
        <v>-9.6199999999999992</v>
      </c>
      <c r="O21" s="129">
        <v>0</v>
      </c>
      <c r="P21" s="129">
        <v>62.06</v>
      </c>
      <c r="Q21" s="129">
        <v>0</v>
      </c>
      <c r="R21" s="129">
        <v>213.75</v>
      </c>
      <c r="S21" s="130">
        <v>-0.14000000000000001</v>
      </c>
      <c r="T21" s="129">
        <v>266.05</v>
      </c>
      <c r="U21" s="129">
        <v>2234</v>
      </c>
      <c r="V21" s="129">
        <v>45.73</v>
      </c>
      <c r="W21" s="129">
        <v>82.31</v>
      </c>
      <c r="X21" s="129">
        <v>304.27</v>
      </c>
      <c r="Y21" s="129">
        <v>242.26</v>
      </c>
      <c r="Z21" s="129">
        <v>50</v>
      </c>
      <c r="AA21" s="129">
        <v>20.82</v>
      </c>
      <c r="AB21" s="129">
        <v>432.31</v>
      </c>
      <c r="AC21" s="129">
        <v>130.65</v>
      </c>
      <c r="AD21" s="129">
        <v>216.13</v>
      </c>
      <c r="AE21" s="129">
        <v>110</v>
      </c>
      <c r="AF21" s="60">
        <f t="shared" si="0"/>
        <v>136.89902529843388</v>
      </c>
    </row>
    <row r="22" spans="1:32" s="60" customFormat="1" x14ac:dyDescent="0.25">
      <c r="A22" s="128" t="s">
        <v>354</v>
      </c>
      <c r="B22" s="127" t="s">
        <v>252</v>
      </c>
      <c r="C22" s="129">
        <v>15</v>
      </c>
      <c r="D22" s="129">
        <v>0</v>
      </c>
      <c r="E22" s="129">
        <v>275</v>
      </c>
      <c r="F22" s="129">
        <v>287.43</v>
      </c>
      <c r="G22" s="129">
        <v>4125</v>
      </c>
      <c r="H22" s="129">
        <v>0</v>
      </c>
      <c r="I22" s="129">
        <v>0</v>
      </c>
      <c r="J22" s="129">
        <v>4125</v>
      </c>
      <c r="K22" s="129">
        <v>0</v>
      </c>
      <c r="L22" s="129">
        <v>0</v>
      </c>
      <c r="M22" s="129">
        <v>0</v>
      </c>
      <c r="N22" s="129">
        <v>0</v>
      </c>
      <c r="O22" s="129">
        <v>327.47000000000003</v>
      </c>
      <c r="P22" s="129">
        <v>104.44</v>
      </c>
      <c r="Q22" s="129">
        <v>0</v>
      </c>
      <c r="R22" s="129">
        <v>0</v>
      </c>
      <c r="S22" s="129">
        <v>0.09</v>
      </c>
      <c r="T22" s="129">
        <v>432</v>
      </c>
      <c r="U22" s="129">
        <v>3693</v>
      </c>
      <c r="V22" s="129">
        <v>75.45</v>
      </c>
      <c r="W22" s="129">
        <v>135.81</v>
      </c>
      <c r="X22" s="129">
        <v>339.59</v>
      </c>
      <c r="Y22" s="129">
        <v>276.23</v>
      </c>
      <c r="Z22" s="129">
        <v>82.5</v>
      </c>
      <c r="AA22" s="129">
        <v>34.340000000000003</v>
      </c>
      <c r="AB22" s="129">
        <v>550.85</v>
      </c>
      <c r="AC22" s="129">
        <v>215.57</v>
      </c>
      <c r="AD22" s="129">
        <v>233.11</v>
      </c>
      <c r="AE22" s="129">
        <v>110</v>
      </c>
      <c r="AF22" s="60">
        <f t="shared" si="0"/>
        <v>225.87887416493263</v>
      </c>
    </row>
    <row r="23" spans="1:32" s="60" customFormat="1" x14ac:dyDescent="0.25">
      <c r="A23" s="128" t="s">
        <v>280</v>
      </c>
      <c r="B23" s="127" t="s">
        <v>281</v>
      </c>
      <c r="C23" s="129">
        <v>15</v>
      </c>
      <c r="D23" s="129">
        <v>0</v>
      </c>
      <c r="E23" s="129">
        <v>266.67</v>
      </c>
      <c r="F23" s="129">
        <v>282.81</v>
      </c>
      <c r="G23" s="129">
        <v>4000.05</v>
      </c>
      <c r="H23" s="129">
        <v>0</v>
      </c>
      <c r="I23" s="129">
        <v>0</v>
      </c>
      <c r="J23" s="129">
        <v>4000.05</v>
      </c>
      <c r="K23" s="129">
        <v>0</v>
      </c>
      <c r="L23" s="129">
        <v>0</v>
      </c>
      <c r="M23" s="129">
        <v>0</v>
      </c>
      <c r="N23" s="129">
        <v>0</v>
      </c>
      <c r="O23" s="129">
        <v>313.87</v>
      </c>
      <c r="P23" s="129">
        <v>102.51</v>
      </c>
      <c r="Q23" s="129">
        <v>0</v>
      </c>
      <c r="R23" s="129">
        <v>0</v>
      </c>
      <c r="S23" s="129">
        <v>7.0000000000000007E-2</v>
      </c>
      <c r="T23" s="129">
        <v>416.45</v>
      </c>
      <c r="U23" s="129">
        <v>3583.6</v>
      </c>
      <c r="V23" s="129">
        <v>74.239999999999995</v>
      </c>
      <c r="W23" s="129">
        <v>133.63</v>
      </c>
      <c r="X23" s="129">
        <v>337.62</v>
      </c>
      <c r="Y23" s="129">
        <v>274.84000000000003</v>
      </c>
      <c r="Z23" s="129">
        <v>80</v>
      </c>
      <c r="AA23" s="129">
        <v>33.79</v>
      </c>
      <c r="AB23" s="129">
        <v>545.49</v>
      </c>
      <c r="AC23" s="129">
        <v>212.11</v>
      </c>
      <c r="AD23" s="129">
        <v>232.42000000000002</v>
      </c>
      <c r="AE23" s="129">
        <v>110</v>
      </c>
      <c r="AF23" s="60">
        <f t="shared" si="0"/>
        <v>219.03679772204578</v>
      </c>
    </row>
    <row r="24" spans="1:32" s="60" customFormat="1" x14ac:dyDescent="0.25">
      <c r="A24" s="128" t="s">
        <v>223</v>
      </c>
      <c r="B24" s="127" t="s">
        <v>224</v>
      </c>
      <c r="C24" s="129">
        <v>15</v>
      </c>
      <c r="D24" s="129">
        <v>0</v>
      </c>
      <c r="E24" s="129">
        <v>266.67</v>
      </c>
      <c r="F24" s="129">
        <v>282.81</v>
      </c>
      <c r="G24" s="129">
        <v>4000.05</v>
      </c>
      <c r="H24" s="129">
        <v>0</v>
      </c>
      <c r="I24" s="129">
        <v>0</v>
      </c>
      <c r="J24" s="129">
        <v>4000.05</v>
      </c>
      <c r="K24" s="129">
        <v>0</v>
      </c>
      <c r="L24" s="129">
        <v>0</v>
      </c>
      <c r="M24" s="129">
        <v>0</v>
      </c>
      <c r="N24" s="129">
        <v>0</v>
      </c>
      <c r="O24" s="129">
        <v>313.87</v>
      </c>
      <c r="P24" s="129">
        <v>102.51</v>
      </c>
      <c r="Q24" s="129">
        <v>0</v>
      </c>
      <c r="R24" s="129">
        <v>0</v>
      </c>
      <c r="S24" s="130">
        <v>-0.13</v>
      </c>
      <c r="T24" s="129">
        <v>416.25</v>
      </c>
      <c r="U24" s="129">
        <v>3583.8</v>
      </c>
      <c r="V24" s="129">
        <v>74.239999999999995</v>
      </c>
      <c r="W24" s="129">
        <v>133.63</v>
      </c>
      <c r="X24" s="129">
        <v>337.62</v>
      </c>
      <c r="Y24" s="129">
        <v>274.84000000000003</v>
      </c>
      <c r="Z24" s="129">
        <v>80</v>
      </c>
      <c r="AA24" s="129">
        <v>33.79</v>
      </c>
      <c r="AB24" s="129">
        <v>545.49</v>
      </c>
      <c r="AC24" s="129">
        <v>212.11</v>
      </c>
      <c r="AD24" s="129">
        <v>232.42000000000002</v>
      </c>
      <c r="AE24" s="129">
        <v>110</v>
      </c>
      <c r="AF24" s="60">
        <f t="shared" si="0"/>
        <v>219.03679772204578</v>
      </c>
    </row>
    <row r="25" spans="1:32" s="60" customFormat="1" x14ac:dyDescent="0.25">
      <c r="A25" s="128" t="s">
        <v>210</v>
      </c>
      <c r="B25" s="127" t="s">
        <v>211</v>
      </c>
      <c r="C25" s="129">
        <v>15</v>
      </c>
      <c r="D25" s="129">
        <v>0</v>
      </c>
      <c r="E25" s="129">
        <v>466.67</v>
      </c>
      <c r="F25" s="129">
        <v>494.92</v>
      </c>
      <c r="G25" s="129">
        <v>7000.05</v>
      </c>
      <c r="H25" s="129">
        <v>0</v>
      </c>
      <c r="I25" s="129">
        <v>0</v>
      </c>
      <c r="J25" s="129">
        <v>7000.05</v>
      </c>
      <c r="K25" s="129">
        <v>0</v>
      </c>
      <c r="L25" s="129">
        <v>0</v>
      </c>
      <c r="M25" s="129">
        <v>0</v>
      </c>
      <c r="N25" s="129">
        <v>0</v>
      </c>
      <c r="O25" s="129">
        <v>856.99</v>
      </c>
      <c r="P25" s="129">
        <v>190.81</v>
      </c>
      <c r="Q25" s="129">
        <v>0</v>
      </c>
      <c r="R25" s="129">
        <v>0</v>
      </c>
      <c r="S25" s="129">
        <v>0.05</v>
      </c>
      <c r="T25" s="129">
        <v>1047.8499999999999</v>
      </c>
      <c r="U25" s="129">
        <v>5952.2</v>
      </c>
      <c r="V25" s="129">
        <v>129.91999999999999</v>
      </c>
      <c r="W25" s="129">
        <v>233.85</v>
      </c>
      <c r="X25" s="129">
        <v>428.3</v>
      </c>
      <c r="Y25" s="129">
        <v>338.48</v>
      </c>
      <c r="Z25" s="129">
        <v>140</v>
      </c>
      <c r="AA25" s="129">
        <v>59.14</v>
      </c>
      <c r="AB25" s="129">
        <v>792.07</v>
      </c>
      <c r="AC25" s="129">
        <v>371.19</v>
      </c>
      <c r="AD25" s="129">
        <v>264.24</v>
      </c>
      <c r="AE25" s="129">
        <v>110</v>
      </c>
      <c r="AF25" s="60">
        <f t="shared" si="0"/>
        <v>383.3123425692695</v>
      </c>
    </row>
    <row r="26" spans="1:32" s="60" customFormat="1" x14ac:dyDescent="0.25">
      <c r="A26" s="128" t="s">
        <v>72</v>
      </c>
      <c r="B26" s="127" t="s">
        <v>134</v>
      </c>
      <c r="C26" s="129">
        <v>15</v>
      </c>
      <c r="D26" s="129">
        <v>0</v>
      </c>
      <c r="E26" s="129">
        <v>466.67</v>
      </c>
      <c r="F26" s="129">
        <v>494.92</v>
      </c>
      <c r="G26" s="129">
        <v>7000.05</v>
      </c>
      <c r="H26" s="129">
        <v>0</v>
      </c>
      <c r="I26" s="129">
        <v>0</v>
      </c>
      <c r="J26" s="129">
        <v>7000.05</v>
      </c>
      <c r="K26" s="129">
        <v>0</v>
      </c>
      <c r="L26" s="129">
        <v>0</v>
      </c>
      <c r="M26" s="129">
        <v>0</v>
      </c>
      <c r="N26" s="129">
        <v>0</v>
      </c>
      <c r="O26" s="129">
        <v>856.99</v>
      </c>
      <c r="P26" s="129">
        <v>190.81</v>
      </c>
      <c r="Q26" s="129">
        <v>0</v>
      </c>
      <c r="R26" s="129">
        <v>0</v>
      </c>
      <c r="S26" s="129">
        <v>0.05</v>
      </c>
      <c r="T26" s="129">
        <v>1047.8499999999999</v>
      </c>
      <c r="U26" s="129">
        <v>5952.2</v>
      </c>
      <c r="V26" s="129">
        <v>129.91999999999999</v>
      </c>
      <c r="W26" s="129">
        <v>233.85</v>
      </c>
      <c r="X26" s="129">
        <v>428.3</v>
      </c>
      <c r="Y26" s="129">
        <v>338.48</v>
      </c>
      <c r="Z26" s="129">
        <v>140</v>
      </c>
      <c r="AA26" s="129">
        <v>59.14</v>
      </c>
      <c r="AB26" s="129">
        <v>792.07</v>
      </c>
      <c r="AC26" s="129">
        <v>371.19</v>
      </c>
      <c r="AD26" s="129">
        <v>264.24</v>
      </c>
      <c r="AE26" s="129">
        <v>110</v>
      </c>
      <c r="AF26" s="60">
        <f t="shared" si="0"/>
        <v>383.3123425692695</v>
      </c>
    </row>
    <row r="27" spans="1:32" s="60" customFormat="1" x14ac:dyDescent="0.25">
      <c r="A27" s="128" t="s">
        <v>119</v>
      </c>
      <c r="B27" s="127" t="s">
        <v>120</v>
      </c>
      <c r="C27" s="129">
        <v>15</v>
      </c>
      <c r="D27" s="129">
        <v>0</v>
      </c>
      <c r="E27" s="129">
        <v>200</v>
      </c>
      <c r="F27" s="129">
        <v>212.11</v>
      </c>
      <c r="G27" s="129">
        <v>3000</v>
      </c>
      <c r="H27" s="129">
        <v>0</v>
      </c>
      <c r="I27" s="129">
        <v>0</v>
      </c>
      <c r="J27" s="129">
        <v>3000</v>
      </c>
      <c r="K27" s="129">
        <v>0</v>
      </c>
      <c r="L27" s="129">
        <v>0</v>
      </c>
      <c r="M27" s="129">
        <v>0</v>
      </c>
      <c r="N27" s="141">
        <v>0</v>
      </c>
      <c r="O27" s="129">
        <v>59.69</v>
      </c>
      <c r="P27" s="129">
        <v>75.56</v>
      </c>
      <c r="Q27" s="129">
        <v>0</v>
      </c>
      <c r="R27" s="129">
        <v>0</v>
      </c>
      <c r="S27" s="130">
        <v>-0.05</v>
      </c>
      <c r="T27" s="129">
        <v>135.19999999999999</v>
      </c>
      <c r="U27" s="129">
        <v>2864.8</v>
      </c>
      <c r="V27" s="129">
        <v>55.68</v>
      </c>
      <c r="W27" s="129">
        <v>100.22</v>
      </c>
      <c r="X27" s="129">
        <v>314.22000000000003</v>
      </c>
      <c r="Y27" s="129">
        <v>253.63</v>
      </c>
      <c r="Z27" s="129">
        <v>60</v>
      </c>
      <c r="AA27" s="129">
        <v>25.34</v>
      </c>
      <c r="AB27" s="129">
        <v>470.12</v>
      </c>
      <c r="AC27" s="129">
        <v>159.08000000000001</v>
      </c>
      <c r="AD27" s="129">
        <v>221.82</v>
      </c>
      <c r="AE27" s="129">
        <v>110</v>
      </c>
      <c r="AF27" s="60">
        <f t="shared" si="0"/>
        <v>164.27554484722373</v>
      </c>
    </row>
    <row r="28" spans="1:32" s="60" customFormat="1" x14ac:dyDescent="0.25">
      <c r="A28" s="128" t="s">
        <v>220</v>
      </c>
      <c r="B28" s="127" t="s">
        <v>221</v>
      </c>
      <c r="C28" s="129">
        <v>15</v>
      </c>
      <c r="D28" s="129">
        <v>0</v>
      </c>
      <c r="E28" s="129">
        <v>266.67</v>
      </c>
      <c r="F28" s="129">
        <v>282.81</v>
      </c>
      <c r="G28" s="129">
        <v>4000.05</v>
      </c>
      <c r="H28" s="129">
        <v>0</v>
      </c>
      <c r="I28" s="129">
        <v>0</v>
      </c>
      <c r="J28" s="129">
        <v>4000.05</v>
      </c>
      <c r="K28" s="129">
        <v>0</v>
      </c>
      <c r="L28" s="129">
        <v>0</v>
      </c>
      <c r="M28" s="129">
        <v>0</v>
      </c>
      <c r="N28" s="129">
        <v>0</v>
      </c>
      <c r="O28" s="129">
        <v>313.87</v>
      </c>
      <c r="P28" s="129">
        <v>102.51</v>
      </c>
      <c r="Q28" s="129">
        <v>0</v>
      </c>
      <c r="R28" s="129">
        <v>441</v>
      </c>
      <c r="S28" s="129">
        <v>7.0000000000000007E-2</v>
      </c>
      <c r="T28" s="129">
        <v>857.45</v>
      </c>
      <c r="U28" s="129">
        <v>3142.6</v>
      </c>
      <c r="V28" s="129">
        <v>74.239999999999995</v>
      </c>
      <c r="W28" s="129">
        <v>133.63</v>
      </c>
      <c r="X28" s="129">
        <v>337.62</v>
      </c>
      <c r="Y28" s="129">
        <v>274.84000000000003</v>
      </c>
      <c r="Z28" s="129">
        <v>80</v>
      </c>
      <c r="AA28" s="129">
        <v>33.79</v>
      </c>
      <c r="AB28" s="129">
        <v>545.49</v>
      </c>
      <c r="AC28" s="129">
        <v>212.11</v>
      </c>
      <c r="AD28" s="129">
        <v>232.42000000000002</v>
      </c>
      <c r="AE28" s="129">
        <v>110</v>
      </c>
      <c r="AF28" s="60">
        <f t="shared" si="0"/>
        <v>219.03679772204578</v>
      </c>
    </row>
    <row r="29" spans="1:32" s="60" customFormat="1" x14ac:dyDescent="0.25">
      <c r="A29" s="128" t="s">
        <v>37</v>
      </c>
      <c r="B29" s="127" t="s">
        <v>167</v>
      </c>
      <c r="C29" s="129">
        <v>15</v>
      </c>
      <c r="D29" s="129">
        <v>0</v>
      </c>
      <c r="E29" s="129">
        <v>266.67</v>
      </c>
      <c r="F29" s="129">
        <v>282.81</v>
      </c>
      <c r="G29" s="129">
        <v>4000.05</v>
      </c>
      <c r="H29" s="129">
        <v>0</v>
      </c>
      <c r="I29" s="129">
        <v>0</v>
      </c>
      <c r="J29" s="129">
        <v>4000.05</v>
      </c>
      <c r="K29" s="129">
        <v>0</v>
      </c>
      <c r="L29" s="129">
        <v>0</v>
      </c>
      <c r="M29" s="129">
        <v>0</v>
      </c>
      <c r="N29" s="129">
        <v>0</v>
      </c>
      <c r="O29" s="129">
        <v>313.87</v>
      </c>
      <c r="P29" s="129">
        <v>102.51</v>
      </c>
      <c r="Q29" s="129">
        <v>0</v>
      </c>
      <c r="R29" s="129">
        <v>0</v>
      </c>
      <c r="S29" s="139">
        <v>-0.13</v>
      </c>
      <c r="T29" s="129">
        <v>416.25</v>
      </c>
      <c r="U29" s="129">
        <v>3583.8</v>
      </c>
      <c r="V29" s="129">
        <v>74.239999999999995</v>
      </c>
      <c r="W29" s="129">
        <v>133.63</v>
      </c>
      <c r="X29" s="129">
        <v>337.62</v>
      </c>
      <c r="Y29" s="129">
        <v>274.84000000000003</v>
      </c>
      <c r="Z29" s="129">
        <v>80</v>
      </c>
      <c r="AA29" s="129">
        <v>33.79</v>
      </c>
      <c r="AB29" s="129">
        <v>545.49</v>
      </c>
      <c r="AC29" s="129">
        <v>212.11</v>
      </c>
      <c r="AD29" s="129">
        <v>232.42000000000002</v>
      </c>
      <c r="AE29" s="129">
        <v>110</v>
      </c>
      <c r="AF29" s="60">
        <f t="shared" si="0"/>
        <v>219.03679772204578</v>
      </c>
    </row>
    <row r="30" spans="1:32" s="60" customFormat="1" x14ac:dyDescent="0.25">
      <c r="A30" s="128" t="s">
        <v>290</v>
      </c>
      <c r="B30" s="127" t="s">
        <v>291</v>
      </c>
      <c r="C30" s="129">
        <v>15</v>
      </c>
      <c r="D30" s="129">
        <v>0</v>
      </c>
      <c r="E30" s="129">
        <v>266.67</v>
      </c>
      <c r="F30" s="129">
        <v>282.81</v>
      </c>
      <c r="G30" s="129">
        <v>4000</v>
      </c>
      <c r="H30" s="129">
        <v>0</v>
      </c>
      <c r="I30" s="129">
        <v>0</v>
      </c>
      <c r="J30" s="129">
        <v>4000</v>
      </c>
      <c r="K30" s="129">
        <v>0</v>
      </c>
      <c r="L30" s="129">
        <v>0</v>
      </c>
      <c r="M30" s="129">
        <v>0</v>
      </c>
      <c r="N30" s="129">
        <v>0</v>
      </c>
      <c r="O30" s="129">
        <v>313.87</v>
      </c>
      <c r="P30" s="129">
        <v>102.51</v>
      </c>
      <c r="Q30" s="129">
        <v>0</v>
      </c>
      <c r="R30" s="129">
        <v>250</v>
      </c>
      <c r="S30" s="129">
        <v>0.02</v>
      </c>
      <c r="T30" s="129">
        <v>666.4</v>
      </c>
      <c r="U30" s="129">
        <v>3333.6</v>
      </c>
      <c r="V30" s="129">
        <v>74.239999999999995</v>
      </c>
      <c r="W30" s="129">
        <v>133.63</v>
      </c>
      <c r="X30" s="129">
        <v>337.62</v>
      </c>
      <c r="Y30" s="129">
        <v>274.84000000000003</v>
      </c>
      <c r="Z30" s="129">
        <v>80</v>
      </c>
      <c r="AA30" s="129">
        <v>33.79</v>
      </c>
      <c r="AB30" s="129">
        <v>545.49</v>
      </c>
      <c r="AC30" s="129">
        <v>212.11</v>
      </c>
      <c r="AD30" s="129">
        <v>232.42000000000002</v>
      </c>
      <c r="AE30" s="129">
        <v>110</v>
      </c>
      <c r="AF30" s="60">
        <f t="shared" si="0"/>
        <v>219.03679772204578</v>
      </c>
    </row>
    <row r="31" spans="1:32" s="60" customFormat="1" x14ac:dyDescent="0.25">
      <c r="A31" s="128" t="s">
        <v>139</v>
      </c>
      <c r="B31" s="127" t="s">
        <v>140</v>
      </c>
      <c r="C31" s="129">
        <v>15</v>
      </c>
      <c r="D31" s="129">
        <v>0</v>
      </c>
      <c r="E31" s="129">
        <v>333.33</v>
      </c>
      <c r="F31" s="129">
        <v>353.52</v>
      </c>
      <c r="G31" s="129">
        <v>5000</v>
      </c>
      <c r="H31" s="129">
        <v>0</v>
      </c>
      <c r="I31" s="129">
        <v>0</v>
      </c>
      <c r="J31" s="129">
        <v>5000</v>
      </c>
      <c r="K31" s="129">
        <v>0</v>
      </c>
      <c r="L31" s="129">
        <v>0</v>
      </c>
      <c r="M31" s="129">
        <v>0</v>
      </c>
      <c r="N31" s="129">
        <v>0</v>
      </c>
      <c r="O31" s="129">
        <v>461.64</v>
      </c>
      <c r="P31" s="129">
        <v>131.94999999999999</v>
      </c>
      <c r="Q31" s="129">
        <v>0</v>
      </c>
      <c r="R31" s="129">
        <v>0</v>
      </c>
      <c r="S31" s="129">
        <v>0.01</v>
      </c>
      <c r="T31" s="129">
        <v>593.6</v>
      </c>
      <c r="U31" s="129">
        <v>4406.3999999999996</v>
      </c>
      <c r="V31" s="129">
        <v>92.8</v>
      </c>
      <c r="W31" s="129">
        <v>167.04</v>
      </c>
      <c r="X31" s="129">
        <v>367.85</v>
      </c>
      <c r="Y31" s="129">
        <v>296.05</v>
      </c>
      <c r="Z31" s="129">
        <v>100</v>
      </c>
      <c r="AA31" s="129">
        <v>42.24</v>
      </c>
      <c r="AB31" s="129">
        <v>627.69000000000005</v>
      </c>
      <c r="AC31" s="129">
        <v>265.14</v>
      </c>
      <c r="AD31" s="129">
        <v>243.03</v>
      </c>
      <c r="AE31" s="129">
        <v>110</v>
      </c>
      <c r="AF31" s="60">
        <f t="shared" si="0"/>
        <v>273.78983681962541</v>
      </c>
    </row>
    <row r="32" spans="1:32" s="60" customFormat="1" x14ac:dyDescent="0.25">
      <c r="A32" s="128" t="s">
        <v>182</v>
      </c>
      <c r="B32" s="127" t="s">
        <v>183</v>
      </c>
      <c r="C32" s="129">
        <v>15</v>
      </c>
      <c r="D32" s="129">
        <v>0</v>
      </c>
      <c r="E32" s="129">
        <v>266.67</v>
      </c>
      <c r="F32" s="129">
        <v>282.81</v>
      </c>
      <c r="G32" s="129">
        <v>4000</v>
      </c>
      <c r="H32" s="129">
        <v>0</v>
      </c>
      <c r="I32" s="129">
        <v>0</v>
      </c>
      <c r="J32" s="129">
        <v>4000</v>
      </c>
      <c r="K32" s="129">
        <v>0</v>
      </c>
      <c r="L32" s="129">
        <v>0</v>
      </c>
      <c r="M32" s="129">
        <v>0</v>
      </c>
      <c r="N32" s="129">
        <v>0</v>
      </c>
      <c r="O32" s="129">
        <v>313.87</v>
      </c>
      <c r="P32" s="129">
        <v>102.51</v>
      </c>
      <c r="Q32" s="129">
        <v>0</v>
      </c>
      <c r="R32" s="141">
        <v>0</v>
      </c>
      <c r="S32" s="129">
        <v>0.02</v>
      </c>
      <c r="T32" s="129">
        <v>416.4</v>
      </c>
      <c r="U32" s="129">
        <v>3583.6</v>
      </c>
      <c r="V32" s="129">
        <v>74.239999999999995</v>
      </c>
      <c r="W32" s="129">
        <v>133.63</v>
      </c>
      <c r="X32" s="129">
        <v>337.62</v>
      </c>
      <c r="Y32" s="129">
        <v>274.84000000000003</v>
      </c>
      <c r="Z32" s="129">
        <v>80</v>
      </c>
      <c r="AA32" s="129">
        <v>33.79</v>
      </c>
      <c r="AB32" s="129">
        <v>545.49</v>
      </c>
      <c r="AC32" s="129">
        <v>212.11</v>
      </c>
      <c r="AD32" s="129">
        <v>232.42000000000002</v>
      </c>
      <c r="AE32" s="129">
        <v>110</v>
      </c>
      <c r="AF32" s="60">
        <f t="shared" si="0"/>
        <v>219.03679772204578</v>
      </c>
    </row>
    <row r="33" spans="1:32" s="60" customFormat="1" x14ac:dyDescent="0.25">
      <c r="A33" s="128" t="s">
        <v>238</v>
      </c>
      <c r="B33" s="127" t="s">
        <v>239</v>
      </c>
      <c r="C33" s="129">
        <v>15</v>
      </c>
      <c r="D33" s="129">
        <v>0</v>
      </c>
      <c r="E33" s="129">
        <v>318.33</v>
      </c>
      <c r="F33" s="129">
        <v>337.61</v>
      </c>
      <c r="G33" s="129">
        <v>4775</v>
      </c>
      <c r="H33" s="129">
        <v>0</v>
      </c>
      <c r="I33" s="129">
        <v>0</v>
      </c>
      <c r="J33" s="129">
        <v>4775</v>
      </c>
      <c r="K33" s="129">
        <v>0</v>
      </c>
      <c r="L33" s="129">
        <v>1515.33</v>
      </c>
      <c r="M33" s="129">
        <v>0</v>
      </c>
      <c r="N33" s="129">
        <v>0</v>
      </c>
      <c r="O33" s="129">
        <v>424.67</v>
      </c>
      <c r="P33" s="129">
        <v>125.32</v>
      </c>
      <c r="Q33" s="129">
        <v>0</v>
      </c>
      <c r="R33" s="129">
        <v>0</v>
      </c>
      <c r="S33" s="141">
        <v>0.08</v>
      </c>
      <c r="T33" s="129">
        <v>2065.4</v>
      </c>
      <c r="U33" s="129">
        <v>2709.6</v>
      </c>
      <c r="V33" s="129">
        <v>88.62</v>
      </c>
      <c r="W33" s="129">
        <v>159.52000000000001</v>
      </c>
      <c r="X33" s="129">
        <v>361.04</v>
      </c>
      <c r="Y33" s="129">
        <v>291.27999999999997</v>
      </c>
      <c r="Z33" s="129">
        <v>95.5</v>
      </c>
      <c r="AA33" s="129">
        <v>40.340000000000003</v>
      </c>
      <c r="AB33" s="129">
        <v>609.17999999999995</v>
      </c>
      <c r="AC33" s="129">
        <v>253.21</v>
      </c>
      <c r="AD33" s="129">
        <v>240.64</v>
      </c>
      <c r="AE33" s="129">
        <v>110</v>
      </c>
      <c r="AF33" s="60">
        <f t="shared" si="0"/>
        <v>261.46917095608364</v>
      </c>
    </row>
    <row r="34" spans="1:32" s="60" customFormat="1" x14ac:dyDescent="0.25">
      <c r="A34" s="128" t="s">
        <v>116</v>
      </c>
      <c r="B34" s="127" t="s">
        <v>117</v>
      </c>
      <c r="C34" s="129">
        <v>14</v>
      </c>
      <c r="D34" s="129">
        <v>1</v>
      </c>
      <c r="E34" s="129">
        <v>250</v>
      </c>
      <c r="F34" s="129">
        <v>265.14</v>
      </c>
      <c r="G34" s="129">
        <v>3500</v>
      </c>
      <c r="H34" s="129">
        <v>250</v>
      </c>
      <c r="I34" s="129">
        <v>75</v>
      </c>
      <c r="J34" s="129">
        <v>3825</v>
      </c>
      <c r="K34" s="129">
        <v>0</v>
      </c>
      <c r="L34" s="129">
        <v>0</v>
      </c>
      <c r="M34" s="129">
        <v>1373.01</v>
      </c>
      <c r="N34" s="129">
        <v>0</v>
      </c>
      <c r="O34" s="129">
        <v>286.67</v>
      </c>
      <c r="P34" s="129">
        <v>95.15</v>
      </c>
      <c r="Q34" s="129">
        <v>0</v>
      </c>
      <c r="R34" s="129">
        <v>185.6</v>
      </c>
      <c r="S34" s="130">
        <v>-0.03</v>
      </c>
      <c r="T34" s="129">
        <v>1940.4</v>
      </c>
      <c r="U34" s="129">
        <v>1884.6</v>
      </c>
      <c r="V34" s="129">
        <v>69.599999999999994</v>
      </c>
      <c r="W34" s="129">
        <v>125.28</v>
      </c>
      <c r="X34" s="129">
        <v>330.07</v>
      </c>
      <c r="Y34" s="129">
        <v>269.54000000000002</v>
      </c>
      <c r="Z34" s="129">
        <v>76.5</v>
      </c>
      <c r="AA34" s="129">
        <v>31.68</v>
      </c>
      <c r="AB34" s="129">
        <v>524.95000000000005</v>
      </c>
      <c r="AC34" s="129">
        <v>198.85</v>
      </c>
      <c r="AD34" s="129">
        <v>229.77</v>
      </c>
      <c r="AE34" s="129">
        <v>110</v>
      </c>
      <c r="AF34" s="60">
        <f t="shared" si="0"/>
        <v>205.34443105902966</v>
      </c>
    </row>
    <row r="35" spans="1:32" s="60" customFormat="1" x14ac:dyDescent="0.25">
      <c r="A35" s="128" t="s">
        <v>169</v>
      </c>
      <c r="B35" s="127" t="s">
        <v>170</v>
      </c>
      <c r="C35" s="129">
        <v>15</v>
      </c>
      <c r="D35" s="129">
        <v>0</v>
      </c>
      <c r="E35" s="129">
        <v>283.33</v>
      </c>
      <c r="F35" s="129">
        <v>300.49</v>
      </c>
      <c r="G35" s="129">
        <v>4250</v>
      </c>
      <c r="H35" s="129">
        <v>0</v>
      </c>
      <c r="I35" s="129">
        <v>0</v>
      </c>
      <c r="J35" s="129">
        <v>4250</v>
      </c>
      <c r="K35" s="129">
        <v>0</v>
      </c>
      <c r="L35" s="129">
        <v>0</v>
      </c>
      <c r="M35" s="129">
        <v>3673.4</v>
      </c>
      <c r="N35" s="129">
        <v>0</v>
      </c>
      <c r="O35" s="129">
        <v>341.07</v>
      </c>
      <c r="P35" s="129">
        <v>109.87</v>
      </c>
      <c r="Q35" s="129">
        <v>0</v>
      </c>
      <c r="R35" s="129">
        <v>0</v>
      </c>
      <c r="S35" s="129">
        <v>0.06</v>
      </c>
      <c r="T35" s="129">
        <v>4124.3999999999996</v>
      </c>
      <c r="U35" s="129">
        <v>125.6</v>
      </c>
      <c r="V35" s="129">
        <v>78.88</v>
      </c>
      <c r="W35" s="129">
        <v>141.97999999999999</v>
      </c>
      <c r="X35" s="129">
        <v>345.18</v>
      </c>
      <c r="Y35" s="129">
        <v>280.14999999999998</v>
      </c>
      <c r="Z35" s="129">
        <v>85</v>
      </c>
      <c r="AA35" s="129">
        <v>35.9</v>
      </c>
      <c r="AB35" s="129">
        <v>566.04</v>
      </c>
      <c r="AC35" s="129">
        <v>225.37</v>
      </c>
      <c r="AD35" s="129">
        <v>235.07</v>
      </c>
      <c r="AE35" s="129">
        <v>110</v>
      </c>
      <c r="AF35" s="60">
        <f t="shared" si="0"/>
        <v>232.72095060781947</v>
      </c>
    </row>
    <row r="36" spans="1:32" s="60" customFormat="1" x14ac:dyDescent="0.25">
      <c r="A36" s="128" t="s">
        <v>136</v>
      </c>
      <c r="B36" s="127" t="s">
        <v>137</v>
      </c>
      <c r="C36" s="129">
        <v>15</v>
      </c>
      <c r="D36" s="129">
        <v>0</v>
      </c>
      <c r="E36" s="129">
        <v>266.67</v>
      </c>
      <c r="F36" s="129">
        <v>278.72000000000003</v>
      </c>
      <c r="G36" s="129">
        <v>4000.05</v>
      </c>
      <c r="H36" s="129">
        <v>0</v>
      </c>
      <c r="I36" s="129">
        <v>0</v>
      </c>
      <c r="J36" s="129">
        <v>4000.05</v>
      </c>
      <c r="K36" s="129">
        <v>0</v>
      </c>
      <c r="L36" s="129">
        <v>0</v>
      </c>
      <c r="M36" s="129">
        <v>0</v>
      </c>
      <c r="N36" s="129">
        <v>0</v>
      </c>
      <c r="O36" s="129">
        <v>313.87</v>
      </c>
      <c r="P36" s="129">
        <v>100.81</v>
      </c>
      <c r="Q36" s="129">
        <v>0</v>
      </c>
      <c r="R36" s="129">
        <v>0</v>
      </c>
      <c r="S36" s="130">
        <v>-0.03</v>
      </c>
      <c r="T36" s="129">
        <v>414.65</v>
      </c>
      <c r="U36" s="129">
        <v>3585.4</v>
      </c>
      <c r="V36" s="129">
        <v>73.17</v>
      </c>
      <c r="W36" s="129">
        <v>131.69999999999999</v>
      </c>
      <c r="X36" s="129">
        <v>335.88</v>
      </c>
      <c r="Y36" s="129">
        <v>273.62</v>
      </c>
      <c r="Z36" s="129">
        <v>80</v>
      </c>
      <c r="AA36" s="129">
        <v>33.299999999999997</v>
      </c>
      <c r="AB36" s="129">
        <v>540.75</v>
      </c>
      <c r="AC36" s="129">
        <v>209.04</v>
      </c>
      <c r="AD36" s="129">
        <v>231.81</v>
      </c>
      <c r="AE36" s="129">
        <v>110</v>
      </c>
      <c r="AF36" s="60">
        <f t="shared" si="0"/>
        <v>219.03679772204578</v>
      </c>
    </row>
    <row r="37" spans="1:32" s="60" customFormat="1" x14ac:dyDescent="0.25">
      <c r="A37" s="128" t="s">
        <v>201</v>
      </c>
      <c r="B37" s="127" t="s">
        <v>202</v>
      </c>
      <c r="C37" s="129">
        <v>15</v>
      </c>
      <c r="D37" s="129">
        <v>0</v>
      </c>
      <c r="E37" s="129">
        <v>283.33</v>
      </c>
      <c r="F37" s="129">
        <v>300.49</v>
      </c>
      <c r="G37" s="129">
        <v>4250</v>
      </c>
      <c r="H37" s="129">
        <v>0</v>
      </c>
      <c r="I37" s="129">
        <v>0</v>
      </c>
      <c r="J37" s="129">
        <v>4250</v>
      </c>
      <c r="K37" s="129">
        <v>0</v>
      </c>
      <c r="L37" s="129">
        <v>0</v>
      </c>
      <c r="M37" s="129">
        <v>606.75</v>
      </c>
      <c r="N37" s="129">
        <v>0</v>
      </c>
      <c r="O37" s="129">
        <v>341.07</v>
      </c>
      <c r="P37" s="129">
        <v>109.87</v>
      </c>
      <c r="Q37" s="129">
        <v>0</v>
      </c>
      <c r="R37" s="129">
        <v>270</v>
      </c>
      <c r="S37" s="130">
        <v>-0.09</v>
      </c>
      <c r="T37" s="129">
        <v>1327.6</v>
      </c>
      <c r="U37" s="129">
        <v>2922.4</v>
      </c>
      <c r="V37" s="129">
        <v>78.88</v>
      </c>
      <c r="W37" s="129">
        <v>141.97999999999999</v>
      </c>
      <c r="X37" s="129">
        <v>345.18</v>
      </c>
      <c r="Y37" s="129">
        <v>280.14999999999998</v>
      </c>
      <c r="Z37" s="129">
        <v>85</v>
      </c>
      <c r="AA37" s="129">
        <v>35.9</v>
      </c>
      <c r="AB37" s="129">
        <v>566.04</v>
      </c>
      <c r="AC37" s="129">
        <v>225.37</v>
      </c>
      <c r="AD37" s="129">
        <v>235.07</v>
      </c>
      <c r="AE37" s="129">
        <v>110</v>
      </c>
      <c r="AF37" s="60">
        <f t="shared" si="0"/>
        <v>232.72095060781947</v>
      </c>
    </row>
    <row r="38" spans="1:32" s="60" customFormat="1" x14ac:dyDescent="0.25">
      <c r="A38" s="128" t="s">
        <v>300</v>
      </c>
      <c r="B38" s="127" t="s">
        <v>301</v>
      </c>
      <c r="C38" s="129">
        <v>15</v>
      </c>
      <c r="D38" s="129">
        <v>0</v>
      </c>
      <c r="E38" s="129">
        <v>266.67</v>
      </c>
      <c r="F38" s="129">
        <v>282.81</v>
      </c>
      <c r="G38" s="129">
        <v>4000.05</v>
      </c>
      <c r="H38" s="129">
        <v>0</v>
      </c>
      <c r="I38" s="129">
        <v>0</v>
      </c>
      <c r="J38" s="129">
        <v>4000.05</v>
      </c>
      <c r="K38" s="129">
        <v>0</v>
      </c>
      <c r="L38" s="129">
        <v>0</v>
      </c>
      <c r="M38" s="129">
        <v>0</v>
      </c>
      <c r="N38" s="129">
        <v>0</v>
      </c>
      <c r="O38" s="129">
        <v>313.87</v>
      </c>
      <c r="P38" s="129">
        <v>102.51</v>
      </c>
      <c r="Q38" s="129">
        <v>0</v>
      </c>
      <c r="R38" s="129">
        <v>0</v>
      </c>
      <c r="S38" s="141">
        <v>7.0000000000000007E-2</v>
      </c>
      <c r="T38" s="129">
        <v>416.45</v>
      </c>
      <c r="U38" s="129">
        <v>3583.6</v>
      </c>
      <c r="V38" s="129">
        <v>74.239999999999995</v>
      </c>
      <c r="W38" s="129">
        <v>133.63</v>
      </c>
      <c r="X38" s="129">
        <v>337.62</v>
      </c>
      <c r="Y38" s="129">
        <v>274.84000000000003</v>
      </c>
      <c r="Z38" s="129">
        <v>80</v>
      </c>
      <c r="AA38" s="129">
        <v>33.79</v>
      </c>
      <c r="AB38" s="129">
        <v>545.49</v>
      </c>
      <c r="AC38" s="129">
        <v>212.11</v>
      </c>
      <c r="AD38" s="129">
        <v>232.42000000000002</v>
      </c>
      <c r="AE38" s="129">
        <v>110</v>
      </c>
      <c r="AF38" s="60">
        <f t="shared" si="0"/>
        <v>219.03679772204578</v>
      </c>
    </row>
    <row r="39" spans="1:32" s="60" customFormat="1" x14ac:dyDescent="0.25">
      <c r="A39" s="128" t="s">
        <v>324</v>
      </c>
      <c r="B39" s="127" t="s">
        <v>325</v>
      </c>
      <c r="C39" s="129">
        <v>15</v>
      </c>
      <c r="D39" s="129">
        <v>0</v>
      </c>
      <c r="E39" s="129">
        <v>266.67</v>
      </c>
      <c r="F39" s="129">
        <v>282.81</v>
      </c>
      <c r="G39" s="129">
        <v>4000.05</v>
      </c>
      <c r="H39" s="129">
        <v>0</v>
      </c>
      <c r="I39" s="129">
        <v>0</v>
      </c>
      <c r="J39" s="129">
        <v>4000.05</v>
      </c>
      <c r="K39" s="129">
        <v>0</v>
      </c>
      <c r="L39" s="129">
        <v>1833.19</v>
      </c>
      <c r="M39" s="129">
        <v>0</v>
      </c>
      <c r="N39" s="129">
        <v>0</v>
      </c>
      <c r="O39" s="129">
        <v>313.87</v>
      </c>
      <c r="P39" s="129">
        <v>102.51</v>
      </c>
      <c r="Q39" s="129">
        <v>0</v>
      </c>
      <c r="R39" s="129">
        <v>0</v>
      </c>
      <c r="S39" s="129">
        <v>0.08</v>
      </c>
      <c r="T39" s="129">
        <v>2249.65</v>
      </c>
      <c r="U39" s="129">
        <v>1750.4</v>
      </c>
      <c r="V39" s="129">
        <v>74.239999999999995</v>
      </c>
      <c r="W39" s="129">
        <v>133.63</v>
      </c>
      <c r="X39" s="129">
        <v>337.62</v>
      </c>
      <c r="Y39" s="129">
        <v>274.84000000000003</v>
      </c>
      <c r="Z39" s="129">
        <v>80</v>
      </c>
      <c r="AA39" s="129">
        <v>33.79</v>
      </c>
      <c r="AB39" s="129">
        <v>545.49</v>
      </c>
      <c r="AC39" s="129">
        <v>212.11</v>
      </c>
      <c r="AD39" s="129">
        <v>232.42000000000002</v>
      </c>
      <c r="AE39" s="129">
        <v>110</v>
      </c>
      <c r="AF39" s="60">
        <f t="shared" si="0"/>
        <v>219.03679772204578</v>
      </c>
    </row>
    <row r="40" spans="1:32" s="60" customFormat="1" x14ac:dyDescent="0.25">
      <c r="A40" s="128" t="s">
        <v>229</v>
      </c>
      <c r="B40" s="127" t="s">
        <v>230</v>
      </c>
      <c r="C40" s="129">
        <v>15</v>
      </c>
      <c r="D40" s="129">
        <v>0</v>
      </c>
      <c r="E40" s="129">
        <v>466.67</v>
      </c>
      <c r="F40" s="129">
        <v>494.92</v>
      </c>
      <c r="G40" s="129">
        <v>7000.05</v>
      </c>
      <c r="H40" s="129">
        <v>0</v>
      </c>
      <c r="I40" s="129">
        <v>0</v>
      </c>
      <c r="J40" s="129">
        <v>7000.05</v>
      </c>
      <c r="K40" s="129">
        <v>0</v>
      </c>
      <c r="L40" s="129">
        <v>0</v>
      </c>
      <c r="M40" s="129">
        <v>0</v>
      </c>
      <c r="N40" s="129">
        <v>0</v>
      </c>
      <c r="O40" s="129">
        <v>856.99</v>
      </c>
      <c r="P40" s="129">
        <v>190.81</v>
      </c>
      <c r="Q40" s="129">
        <v>0</v>
      </c>
      <c r="R40" s="129">
        <v>0</v>
      </c>
      <c r="S40" s="129">
        <v>0.05</v>
      </c>
      <c r="T40" s="129">
        <v>1047.8499999999999</v>
      </c>
      <c r="U40" s="129">
        <v>5952.2</v>
      </c>
      <c r="V40" s="129">
        <v>129.91999999999999</v>
      </c>
      <c r="W40" s="129">
        <v>233.85</v>
      </c>
      <c r="X40" s="129">
        <v>428.3</v>
      </c>
      <c r="Y40" s="129">
        <v>338.48</v>
      </c>
      <c r="Z40" s="129">
        <v>140</v>
      </c>
      <c r="AA40" s="129">
        <v>59.14</v>
      </c>
      <c r="AB40" s="129">
        <v>792.07</v>
      </c>
      <c r="AC40" s="129">
        <v>371.19</v>
      </c>
      <c r="AD40" s="129">
        <v>264.24</v>
      </c>
      <c r="AE40" s="129">
        <v>110</v>
      </c>
      <c r="AF40" s="60">
        <f t="shared" si="0"/>
        <v>383.3123425692695</v>
      </c>
    </row>
    <row r="41" spans="1:32" s="60" customFormat="1" x14ac:dyDescent="0.25">
      <c r="A41" s="128" t="s">
        <v>105</v>
      </c>
      <c r="B41" s="127" t="s">
        <v>106</v>
      </c>
      <c r="C41" s="129">
        <v>15</v>
      </c>
      <c r="D41" s="129">
        <v>0</v>
      </c>
      <c r="E41" s="129">
        <v>266.67</v>
      </c>
      <c r="F41" s="129">
        <v>282.81</v>
      </c>
      <c r="G41" s="129">
        <v>4000.05</v>
      </c>
      <c r="H41" s="129">
        <v>0</v>
      </c>
      <c r="I41" s="129">
        <v>0</v>
      </c>
      <c r="J41" s="129">
        <v>4000.05</v>
      </c>
      <c r="K41" s="129">
        <v>0</v>
      </c>
      <c r="L41" s="129">
        <v>0</v>
      </c>
      <c r="M41" s="129">
        <v>0</v>
      </c>
      <c r="N41" s="129">
        <v>0</v>
      </c>
      <c r="O41" s="129">
        <v>313.87</v>
      </c>
      <c r="P41" s="129">
        <v>102.51</v>
      </c>
      <c r="Q41" s="129">
        <v>0</v>
      </c>
      <c r="R41" s="129">
        <v>250</v>
      </c>
      <c r="S41" s="129">
        <v>7.0000000000000007E-2</v>
      </c>
      <c r="T41" s="129">
        <v>666.45</v>
      </c>
      <c r="U41" s="129">
        <v>3333.6</v>
      </c>
      <c r="V41" s="129">
        <v>74.239999999999995</v>
      </c>
      <c r="W41" s="129">
        <v>133.63</v>
      </c>
      <c r="X41" s="129">
        <v>337.62</v>
      </c>
      <c r="Y41" s="129">
        <v>274.84000000000003</v>
      </c>
      <c r="Z41" s="129">
        <v>80</v>
      </c>
      <c r="AA41" s="129">
        <v>33.79</v>
      </c>
      <c r="AB41" s="129">
        <v>545.49</v>
      </c>
      <c r="AC41" s="129">
        <v>212.11</v>
      </c>
      <c r="AD41" s="129">
        <v>232.42000000000002</v>
      </c>
      <c r="AE41" s="129">
        <v>110</v>
      </c>
      <c r="AF41" s="60">
        <f t="shared" ref="AF41:AF72" si="1">((20/365.24)*15)*E41</f>
        <v>219.03679772204578</v>
      </c>
    </row>
    <row r="42" spans="1:32" s="60" customFormat="1" x14ac:dyDescent="0.25">
      <c r="A42" s="128" t="s">
        <v>318</v>
      </c>
      <c r="B42" s="127" t="s">
        <v>319</v>
      </c>
      <c r="C42" s="129">
        <v>15</v>
      </c>
      <c r="D42" s="129">
        <v>0</v>
      </c>
      <c r="E42" s="129">
        <v>266.67</v>
      </c>
      <c r="F42" s="129">
        <v>282.81</v>
      </c>
      <c r="G42" s="129">
        <v>4000.05</v>
      </c>
      <c r="H42" s="129">
        <v>0</v>
      </c>
      <c r="I42" s="129">
        <v>0</v>
      </c>
      <c r="J42" s="129">
        <v>4000.05</v>
      </c>
      <c r="K42" s="129">
        <v>0</v>
      </c>
      <c r="L42" s="129">
        <v>0</v>
      </c>
      <c r="M42" s="129">
        <v>0</v>
      </c>
      <c r="N42" s="129">
        <v>0</v>
      </c>
      <c r="O42" s="129">
        <v>313.87</v>
      </c>
      <c r="P42" s="129">
        <v>102.51</v>
      </c>
      <c r="Q42" s="129">
        <v>0</v>
      </c>
      <c r="R42" s="129">
        <v>0</v>
      </c>
      <c r="S42" s="129">
        <v>7.0000000000000007E-2</v>
      </c>
      <c r="T42" s="129">
        <v>416.45</v>
      </c>
      <c r="U42" s="129">
        <v>3583.6</v>
      </c>
      <c r="V42" s="129">
        <v>74.239999999999995</v>
      </c>
      <c r="W42" s="129">
        <v>133.63</v>
      </c>
      <c r="X42" s="129">
        <v>337.62</v>
      </c>
      <c r="Y42" s="129">
        <v>274.84000000000003</v>
      </c>
      <c r="Z42" s="129">
        <v>80</v>
      </c>
      <c r="AA42" s="129">
        <v>33.79</v>
      </c>
      <c r="AB42" s="129">
        <v>545.49</v>
      </c>
      <c r="AC42" s="129">
        <v>212.11</v>
      </c>
      <c r="AD42" s="129">
        <v>232.42000000000002</v>
      </c>
      <c r="AE42" s="129">
        <v>110</v>
      </c>
      <c r="AF42" s="60">
        <f t="shared" si="1"/>
        <v>219.03679772204578</v>
      </c>
    </row>
    <row r="43" spans="1:32" s="60" customFormat="1" x14ac:dyDescent="0.25">
      <c r="A43" s="128" t="s">
        <v>264</v>
      </c>
      <c r="B43" s="127" t="s">
        <v>265</v>
      </c>
      <c r="C43" s="129">
        <v>15</v>
      </c>
      <c r="D43" s="129">
        <v>0</v>
      </c>
      <c r="E43" s="129">
        <v>266.67</v>
      </c>
      <c r="F43" s="129">
        <v>282.81</v>
      </c>
      <c r="G43" s="129">
        <v>4000.05</v>
      </c>
      <c r="H43" s="129">
        <v>0</v>
      </c>
      <c r="I43" s="129">
        <v>0</v>
      </c>
      <c r="J43" s="129">
        <v>4000.05</v>
      </c>
      <c r="K43" s="129">
        <v>0</v>
      </c>
      <c r="L43" s="129">
        <v>0</v>
      </c>
      <c r="M43" s="129">
        <v>0</v>
      </c>
      <c r="N43" s="141">
        <v>0</v>
      </c>
      <c r="O43" s="129">
        <v>313.87</v>
      </c>
      <c r="P43" s="129">
        <v>102.51</v>
      </c>
      <c r="Q43" s="129">
        <v>0</v>
      </c>
      <c r="R43" s="129">
        <v>0</v>
      </c>
      <c r="S43" s="130">
        <v>-0.13</v>
      </c>
      <c r="T43" s="129">
        <v>416.25</v>
      </c>
      <c r="U43" s="129">
        <v>3583.8</v>
      </c>
      <c r="V43" s="129">
        <v>74.239999999999995</v>
      </c>
      <c r="W43" s="129">
        <v>133.63</v>
      </c>
      <c r="X43" s="129">
        <v>337.62</v>
      </c>
      <c r="Y43" s="129">
        <v>274.84000000000003</v>
      </c>
      <c r="Z43" s="129">
        <v>80</v>
      </c>
      <c r="AA43" s="129">
        <v>33.79</v>
      </c>
      <c r="AB43" s="129">
        <v>545.49</v>
      </c>
      <c r="AC43" s="129">
        <v>212.11</v>
      </c>
      <c r="AD43" s="129">
        <v>232.42000000000002</v>
      </c>
      <c r="AE43" s="129">
        <v>110</v>
      </c>
      <c r="AF43" s="60">
        <f t="shared" si="1"/>
        <v>219.03679772204578</v>
      </c>
    </row>
    <row r="44" spans="1:32" s="60" customFormat="1" x14ac:dyDescent="0.25">
      <c r="A44" s="128" t="s">
        <v>191</v>
      </c>
      <c r="B44" s="127" t="s">
        <v>192</v>
      </c>
      <c r="C44" s="129">
        <v>15</v>
      </c>
      <c r="D44" s="129">
        <v>0</v>
      </c>
      <c r="E44" s="129">
        <v>266.67</v>
      </c>
      <c r="F44" s="129">
        <v>278.72000000000003</v>
      </c>
      <c r="G44" s="129">
        <v>4000.05</v>
      </c>
      <c r="H44" s="129">
        <v>0</v>
      </c>
      <c r="I44" s="129">
        <v>0</v>
      </c>
      <c r="J44" s="129">
        <v>4000.05</v>
      </c>
      <c r="K44" s="129">
        <v>0</v>
      </c>
      <c r="L44" s="129">
        <v>0</v>
      </c>
      <c r="M44" s="129">
        <v>0</v>
      </c>
      <c r="N44" s="129">
        <v>0</v>
      </c>
      <c r="O44" s="129">
        <v>313.87</v>
      </c>
      <c r="P44" s="129">
        <v>100.81</v>
      </c>
      <c r="Q44" s="129">
        <v>0</v>
      </c>
      <c r="R44" s="129">
        <v>0</v>
      </c>
      <c r="S44" s="129">
        <v>0.17</v>
      </c>
      <c r="T44" s="129">
        <v>414.85</v>
      </c>
      <c r="U44" s="129">
        <v>3585.2</v>
      </c>
      <c r="V44" s="129">
        <v>73.17</v>
      </c>
      <c r="W44" s="129">
        <v>131.69999999999999</v>
      </c>
      <c r="X44" s="129">
        <v>335.88</v>
      </c>
      <c r="Y44" s="129">
        <v>273.62</v>
      </c>
      <c r="Z44" s="129">
        <v>80</v>
      </c>
      <c r="AA44" s="129">
        <v>33.299999999999997</v>
      </c>
      <c r="AB44" s="129">
        <v>540.75</v>
      </c>
      <c r="AC44" s="129">
        <v>209.04</v>
      </c>
      <c r="AD44" s="129">
        <v>231.81</v>
      </c>
      <c r="AE44" s="129">
        <v>110</v>
      </c>
      <c r="AF44" s="60">
        <f t="shared" si="1"/>
        <v>219.03679772204578</v>
      </c>
    </row>
    <row r="45" spans="1:32" s="60" customFormat="1" x14ac:dyDescent="0.25">
      <c r="A45" s="128" t="s">
        <v>303</v>
      </c>
      <c r="B45" s="127" t="s">
        <v>304</v>
      </c>
      <c r="C45" s="129">
        <v>15</v>
      </c>
      <c r="D45" s="129">
        <v>0</v>
      </c>
      <c r="E45" s="129">
        <v>266.67</v>
      </c>
      <c r="F45" s="129">
        <v>278.72000000000003</v>
      </c>
      <c r="G45" s="129">
        <v>4000.05</v>
      </c>
      <c r="H45" s="129">
        <v>0</v>
      </c>
      <c r="I45" s="129">
        <v>0</v>
      </c>
      <c r="J45" s="129">
        <v>4000.05</v>
      </c>
      <c r="K45" s="129">
        <v>0</v>
      </c>
      <c r="L45" s="129">
        <v>0</v>
      </c>
      <c r="M45" s="129">
        <v>0</v>
      </c>
      <c r="N45" s="129">
        <v>0</v>
      </c>
      <c r="O45" s="129">
        <v>313.87</v>
      </c>
      <c r="P45" s="129">
        <v>100.81</v>
      </c>
      <c r="Q45" s="129">
        <v>0</v>
      </c>
      <c r="R45" s="129">
        <v>0</v>
      </c>
      <c r="S45" s="130">
        <v>-0.03</v>
      </c>
      <c r="T45" s="129">
        <v>414.65</v>
      </c>
      <c r="U45" s="129">
        <v>3585.4</v>
      </c>
      <c r="V45" s="129">
        <v>73.17</v>
      </c>
      <c r="W45" s="129">
        <v>131.69999999999999</v>
      </c>
      <c r="X45" s="129">
        <v>335.88</v>
      </c>
      <c r="Y45" s="129">
        <v>273.62</v>
      </c>
      <c r="Z45" s="129">
        <v>80</v>
      </c>
      <c r="AA45" s="129">
        <v>33.299999999999997</v>
      </c>
      <c r="AB45" s="129">
        <v>540.75</v>
      </c>
      <c r="AC45" s="129">
        <v>209.04</v>
      </c>
      <c r="AD45" s="129">
        <v>231.81</v>
      </c>
      <c r="AE45" s="129">
        <v>110</v>
      </c>
      <c r="AF45" s="60">
        <f t="shared" si="1"/>
        <v>219.03679772204578</v>
      </c>
    </row>
    <row r="46" spans="1:32" s="60" customFormat="1" x14ac:dyDescent="0.25">
      <c r="A46" s="128" t="s">
        <v>453</v>
      </c>
      <c r="B46" s="127" t="s">
        <v>152</v>
      </c>
      <c r="C46" s="129">
        <v>15</v>
      </c>
      <c r="D46" s="129">
        <v>0</v>
      </c>
      <c r="E46" s="129">
        <v>266.67</v>
      </c>
      <c r="F46" s="129">
        <v>282.81</v>
      </c>
      <c r="G46" s="129">
        <v>4000.05</v>
      </c>
      <c r="H46" s="129">
        <v>0</v>
      </c>
      <c r="I46" s="129">
        <v>0</v>
      </c>
      <c r="J46" s="129">
        <v>4000.05</v>
      </c>
      <c r="K46" s="129">
        <v>0</v>
      </c>
      <c r="L46" s="129">
        <v>0</v>
      </c>
      <c r="M46" s="129">
        <v>0</v>
      </c>
      <c r="N46" s="129">
        <v>0</v>
      </c>
      <c r="O46" s="129">
        <v>313.87</v>
      </c>
      <c r="P46" s="129">
        <v>102.51</v>
      </c>
      <c r="Q46" s="129">
        <v>0</v>
      </c>
      <c r="R46" s="129">
        <v>0</v>
      </c>
      <c r="S46" s="141">
        <v>7.0000000000000007E-2</v>
      </c>
      <c r="T46" s="129">
        <v>416.45</v>
      </c>
      <c r="U46" s="129">
        <v>3583.6</v>
      </c>
      <c r="V46" s="129">
        <v>74.239999999999995</v>
      </c>
      <c r="W46" s="129">
        <v>133.63</v>
      </c>
      <c r="X46" s="129">
        <v>337.62</v>
      </c>
      <c r="Y46" s="129">
        <v>274.84000000000003</v>
      </c>
      <c r="Z46" s="129">
        <v>80</v>
      </c>
      <c r="AA46" s="129">
        <v>33.79</v>
      </c>
      <c r="AB46" s="129">
        <v>545.49</v>
      </c>
      <c r="AC46" s="129">
        <v>212.11</v>
      </c>
      <c r="AD46" s="129">
        <v>232.42000000000002</v>
      </c>
      <c r="AE46" s="129">
        <v>110</v>
      </c>
      <c r="AF46" s="60">
        <f t="shared" si="1"/>
        <v>219.03679772204578</v>
      </c>
    </row>
    <row r="47" spans="1:32" s="60" customFormat="1" x14ac:dyDescent="0.25">
      <c r="A47" s="128" t="s">
        <v>188</v>
      </c>
      <c r="B47" s="127" t="s">
        <v>189</v>
      </c>
      <c r="C47" s="129">
        <v>15</v>
      </c>
      <c r="D47" s="129">
        <v>0</v>
      </c>
      <c r="E47" s="129">
        <v>220.83</v>
      </c>
      <c r="F47" s="129">
        <v>234.2</v>
      </c>
      <c r="G47" s="129">
        <v>3312.45</v>
      </c>
      <c r="H47" s="129">
        <v>0</v>
      </c>
      <c r="I47" s="129">
        <v>0</v>
      </c>
      <c r="J47" s="129">
        <v>3312.45</v>
      </c>
      <c r="K47" s="129">
        <v>0</v>
      </c>
      <c r="L47" s="129">
        <v>2017.96</v>
      </c>
      <c r="M47" s="129">
        <v>0</v>
      </c>
      <c r="N47" s="129">
        <v>0</v>
      </c>
      <c r="O47" s="129">
        <v>113.96</v>
      </c>
      <c r="P47" s="129">
        <v>83.43</v>
      </c>
      <c r="Q47" s="129">
        <v>0</v>
      </c>
      <c r="R47" s="129">
        <v>0</v>
      </c>
      <c r="S47" s="129">
        <v>0.1</v>
      </c>
      <c r="T47" s="129">
        <v>2215.4499999999998</v>
      </c>
      <c r="U47" s="129">
        <v>1097</v>
      </c>
      <c r="V47" s="129">
        <v>61.48</v>
      </c>
      <c r="W47" s="129">
        <v>110.66</v>
      </c>
      <c r="X47" s="129">
        <v>320.02</v>
      </c>
      <c r="Y47" s="129">
        <v>260.26</v>
      </c>
      <c r="Z47" s="129">
        <v>66.25</v>
      </c>
      <c r="AA47" s="129">
        <v>27.98</v>
      </c>
      <c r="AB47" s="129">
        <v>492.16</v>
      </c>
      <c r="AC47" s="129">
        <v>175.65</v>
      </c>
      <c r="AD47" s="129">
        <v>225.13</v>
      </c>
      <c r="AE47" s="129">
        <v>110</v>
      </c>
      <c r="AF47" s="60">
        <f t="shared" si="1"/>
        <v>181.3848428430621</v>
      </c>
    </row>
    <row r="48" spans="1:32" s="60" customFormat="1" x14ac:dyDescent="0.25">
      <c r="A48" s="128" t="s">
        <v>254</v>
      </c>
      <c r="B48" s="127" t="s">
        <v>255</v>
      </c>
      <c r="C48" s="129">
        <v>10</v>
      </c>
      <c r="D48" s="129">
        <v>5</v>
      </c>
      <c r="E48" s="129">
        <v>150</v>
      </c>
      <c r="F48" s="129">
        <v>156.78</v>
      </c>
      <c r="G48" s="129">
        <v>1500</v>
      </c>
      <c r="H48" s="129">
        <v>750</v>
      </c>
      <c r="I48" s="129">
        <v>225</v>
      </c>
      <c r="J48" s="129">
        <v>2475</v>
      </c>
      <c r="K48" s="129">
        <v>0</v>
      </c>
      <c r="L48" s="129">
        <v>0</v>
      </c>
      <c r="M48" s="129">
        <v>763.43</v>
      </c>
      <c r="N48" s="139">
        <v>-43.57</v>
      </c>
      <c r="O48" s="129">
        <v>0</v>
      </c>
      <c r="P48" s="129">
        <v>55.86</v>
      </c>
      <c r="Q48" s="129">
        <v>0</v>
      </c>
      <c r="R48" s="129">
        <v>0</v>
      </c>
      <c r="S48" s="129">
        <v>0.08</v>
      </c>
      <c r="T48" s="129">
        <v>775.8</v>
      </c>
      <c r="U48" s="129">
        <v>1699.2</v>
      </c>
      <c r="V48" s="129">
        <v>41.15</v>
      </c>
      <c r="W48" s="129">
        <v>74.08</v>
      </c>
      <c r="X48" s="129">
        <v>299.69</v>
      </c>
      <c r="Y48" s="129">
        <v>237.03</v>
      </c>
      <c r="Z48" s="129">
        <v>49.5</v>
      </c>
      <c r="AA48" s="129">
        <v>18.73</v>
      </c>
      <c r="AB48" s="129">
        <v>414.92</v>
      </c>
      <c r="AC48" s="129">
        <v>117.58</v>
      </c>
      <c r="AD48" s="129">
        <v>213.52</v>
      </c>
      <c r="AE48" s="129">
        <v>110</v>
      </c>
      <c r="AF48" s="60">
        <f t="shared" si="1"/>
        <v>123.2066586354178</v>
      </c>
    </row>
    <row r="49" spans="1:32" s="60" customFormat="1" x14ac:dyDescent="0.25">
      <c r="A49" s="128" t="s">
        <v>249</v>
      </c>
      <c r="B49" s="127" t="s">
        <v>250</v>
      </c>
      <c r="C49" s="129">
        <v>15</v>
      </c>
      <c r="D49" s="129">
        <v>0</v>
      </c>
      <c r="E49" s="129">
        <v>150</v>
      </c>
      <c r="F49" s="129">
        <v>156.78</v>
      </c>
      <c r="G49" s="129">
        <v>2250</v>
      </c>
      <c r="H49" s="129">
        <v>0</v>
      </c>
      <c r="I49" s="129">
        <v>0</v>
      </c>
      <c r="J49" s="129">
        <v>2250</v>
      </c>
      <c r="K49" s="129">
        <v>0</v>
      </c>
      <c r="L49" s="129">
        <v>0</v>
      </c>
      <c r="M49" s="129">
        <v>0</v>
      </c>
      <c r="N49" s="130">
        <v>-43.57</v>
      </c>
      <c r="O49" s="129">
        <v>0</v>
      </c>
      <c r="P49" s="129">
        <v>55.86</v>
      </c>
      <c r="Q49" s="129">
        <v>0</v>
      </c>
      <c r="R49" s="129">
        <v>0</v>
      </c>
      <c r="S49" s="139">
        <v>-0.09</v>
      </c>
      <c r="T49" s="129">
        <v>12.2</v>
      </c>
      <c r="U49" s="129">
        <v>2237.8000000000002</v>
      </c>
      <c r="V49" s="129">
        <v>41.15</v>
      </c>
      <c r="W49" s="129">
        <v>74.08</v>
      </c>
      <c r="X49" s="129">
        <v>299.69</v>
      </c>
      <c r="Y49" s="129">
        <v>237.03</v>
      </c>
      <c r="Z49" s="129">
        <v>45</v>
      </c>
      <c r="AA49" s="129">
        <v>18.73</v>
      </c>
      <c r="AB49" s="129">
        <v>414.92</v>
      </c>
      <c r="AC49" s="129">
        <v>117.58</v>
      </c>
      <c r="AD49" s="129">
        <v>213.52</v>
      </c>
      <c r="AE49" s="129">
        <v>110</v>
      </c>
      <c r="AF49" s="60">
        <f t="shared" si="1"/>
        <v>123.2066586354178</v>
      </c>
    </row>
    <row r="50" spans="1:32" s="60" customFormat="1" x14ac:dyDescent="0.25">
      <c r="A50" s="128" t="s">
        <v>164</v>
      </c>
      <c r="B50" s="127" t="s">
        <v>165</v>
      </c>
      <c r="C50" s="129">
        <v>15</v>
      </c>
      <c r="D50" s="129">
        <v>0</v>
      </c>
      <c r="E50" s="129">
        <v>233.33</v>
      </c>
      <c r="F50" s="129">
        <v>243.88</v>
      </c>
      <c r="G50" s="129">
        <v>3499.95</v>
      </c>
      <c r="H50" s="129">
        <v>0</v>
      </c>
      <c r="I50" s="129">
        <v>0</v>
      </c>
      <c r="J50" s="129">
        <v>3499.95</v>
      </c>
      <c r="K50" s="129">
        <v>0</v>
      </c>
      <c r="L50" s="129">
        <v>0</v>
      </c>
      <c r="M50" s="129">
        <v>0</v>
      </c>
      <c r="N50" s="129">
        <v>0</v>
      </c>
      <c r="O50" s="129">
        <v>134.36000000000001</v>
      </c>
      <c r="P50" s="129">
        <v>86.88</v>
      </c>
      <c r="Q50" s="129">
        <v>0</v>
      </c>
      <c r="R50" s="129">
        <v>0</v>
      </c>
      <c r="S50" s="130">
        <v>-0.09</v>
      </c>
      <c r="T50" s="129">
        <v>221.15</v>
      </c>
      <c r="U50" s="129">
        <v>3278.8</v>
      </c>
      <c r="V50" s="129">
        <v>64.02</v>
      </c>
      <c r="W50" s="129">
        <v>115.23</v>
      </c>
      <c r="X50" s="129">
        <v>322.56</v>
      </c>
      <c r="Y50" s="129">
        <v>263.15999999999997</v>
      </c>
      <c r="Z50" s="129">
        <v>70</v>
      </c>
      <c r="AA50" s="129">
        <v>29.14</v>
      </c>
      <c r="AB50" s="129">
        <v>501.81</v>
      </c>
      <c r="AC50" s="129">
        <v>182.91</v>
      </c>
      <c r="AD50" s="129">
        <v>226.57999999999998</v>
      </c>
      <c r="AE50" s="129">
        <v>110</v>
      </c>
      <c r="AF50" s="60">
        <f t="shared" si="1"/>
        <v>191.65206439601357</v>
      </c>
    </row>
    <row r="51" spans="1:32" s="60" customFormat="1" x14ac:dyDescent="0.25">
      <c r="A51" s="128" t="s">
        <v>122</v>
      </c>
      <c r="B51" s="127" t="s">
        <v>123</v>
      </c>
      <c r="C51" s="129">
        <v>15</v>
      </c>
      <c r="D51" s="129">
        <v>0</v>
      </c>
      <c r="E51" s="129">
        <v>233.33</v>
      </c>
      <c r="F51" s="129">
        <v>243.88</v>
      </c>
      <c r="G51" s="129">
        <v>3499.95</v>
      </c>
      <c r="H51" s="129">
        <v>0</v>
      </c>
      <c r="I51" s="129">
        <v>0</v>
      </c>
      <c r="J51" s="129">
        <v>3499.95</v>
      </c>
      <c r="K51" s="129">
        <v>0</v>
      </c>
      <c r="L51" s="129">
        <v>0</v>
      </c>
      <c r="M51" s="129">
        <v>0</v>
      </c>
      <c r="N51" s="129">
        <v>0</v>
      </c>
      <c r="O51" s="129">
        <v>134.36000000000001</v>
      </c>
      <c r="P51" s="129">
        <v>86.88</v>
      </c>
      <c r="Q51" s="129">
        <v>0</v>
      </c>
      <c r="R51" s="129">
        <v>0</v>
      </c>
      <c r="S51" s="129">
        <v>0.11</v>
      </c>
      <c r="T51" s="129">
        <v>221.35</v>
      </c>
      <c r="U51" s="129">
        <v>3278.6</v>
      </c>
      <c r="V51" s="129">
        <v>64.02</v>
      </c>
      <c r="W51" s="129">
        <v>115.23</v>
      </c>
      <c r="X51" s="129">
        <v>322.56</v>
      </c>
      <c r="Y51" s="129">
        <v>263.15999999999997</v>
      </c>
      <c r="Z51" s="129">
        <v>70</v>
      </c>
      <c r="AA51" s="129">
        <v>29.14</v>
      </c>
      <c r="AB51" s="129">
        <v>501.81</v>
      </c>
      <c r="AC51" s="129">
        <v>182.91</v>
      </c>
      <c r="AD51" s="129">
        <v>226.57999999999998</v>
      </c>
      <c r="AE51" s="129">
        <v>110</v>
      </c>
      <c r="AF51" s="60">
        <f t="shared" si="1"/>
        <v>191.65206439601357</v>
      </c>
    </row>
    <row r="52" spans="1:32" s="60" customFormat="1" x14ac:dyDescent="0.25">
      <c r="A52" s="128" t="s">
        <v>232</v>
      </c>
      <c r="B52" s="127" t="s">
        <v>233</v>
      </c>
      <c r="C52" s="129">
        <v>10</v>
      </c>
      <c r="D52" s="129">
        <v>5</v>
      </c>
      <c r="E52" s="129">
        <v>312.87</v>
      </c>
      <c r="F52" s="129">
        <v>327.01</v>
      </c>
      <c r="G52" s="129">
        <v>3128.7</v>
      </c>
      <c r="H52" s="129">
        <v>1564.35</v>
      </c>
      <c r="I52" s="129">
        <v>469.31</v>
      </c>
      <c r="J52" s="129">
        <v>5162.3599999999997</v>
      </c>
      <c r="K52" s="129">
        <v>0</v>
      </c>
      <c r="L52" s="129">
        <v>1865.85</v>
      </c>
      <c r="M52" s="129">
        <v>0</v>
      </c>
      <c r="N52" s="129">
        <v>0</v>
      </c>
      <c r="O52" s="129">
        <v>411.56</v>
      </c>
      <c r="P52" s="129">
        <v>120.9</v>
      </c>
      <c r="Q52" s="129">
        <v>0</v>
      </c>
      <c r="R52" s="129">
        <v>285</v>
      </c>
      <c r="S52" s="139">
        <v>-0.15</v>
      </c>
      <c r="T52" s="129">
        <v>2683.16</v>
      </c>
      <c r="U52" s="129">
        <v>2479.1999999999998</v>
      </c>
      <c r="V52" s="129">
        <v>85.84</v>
      </c>
      <c r="W52" s="129">
        <v>154.51</v>
      </c>
      <c r="X52" s="129">
        <v>356.51</v>
      </c>
      <c r="Y52" s="129">
        <v>288.10000000000002</v>
      </c>
      <c r="Z52" s="129">
        <v>103.25</v>
      </c>
      <c r="AA52" s="129">
        <v>39.07</v>
      </c>
      <c r="AB52" s="129">
        <v>596.86</v>
      </c>
      <c r="AC52" s="129">
        <v>245.26</v>
      </c>
      <c r="AD52" s="129">
        <v>239.05</v>
      </c>
      <c r="AE52" s="129">
        <v>110</v>
      </c>
      <c r="AF52" s="60">
        <f t="shared" si="1"/>
        <v>256.98444858175446</v>
      </c>
    </row>
    <row r="53" spans="1:32" s="60" customFormat="1" x14ac:dyDescent="0.25">
      <c r="A53" s="128" t="s">
        <v>241</v>
      </c>
      <c r="B53" s="127" t="s">
        <v>242</v>
      </c>
      <c r="C53" s="129">
        <v>15</v>
      </c>
      <c r="D53" s="129">
        <v>0</v>
      </c>
      <c r="E53" s="129">
        <v>312.87</v>
      </c>
      <c r="F53" s="129">
        <v>327.01</v>
      </c>
      <c r="G53" s="129">
        <v>4693.05</v>
      </c>
      <c r="H53" s="129">
        <v>0</v>
      </c>
      <c r="I53" s="129">
        <v>0</v>
      </c>
      <c r="J53" s="129">
        <v>4693.05</v>
      </c>
      <c r="K53" s="129">
        <v>0</v>
      </c>
      <c r="L53" s="129">
        <v>2160.15</v>
      </c>
      <c r="M53" s="129">
        <v>0</v>
      </c>
      <c r="N53" s="129">
        <v>0</v>
      </c>
      <c r="O53" s="129">
        <v>411.56</v>
      </c>
      <c r="P53" s="129">
        <v>120.9</v>
      </c>
      <c r="Q53" s="129">
        <v>0</v>
      </c>
      <c r="R53" s="129">
        <v>395.82</v>
      </c>
      <c r="S53" s="141">
        <v>0.02</v>
      </c>
      <c r="T53" s="129">
        <v>3088.45</v>
      </c>
      <c r="U53" s="129">
        <v>1604.6</v>
      </c>
      <c r="V53" s="129">
        <v>85.84</v>
      </c>
      <c r="W53" s="129">
        <v>154.51</v>
      </c>
      <c r="X53" s="129">
        <v>356.51</v>
      </c>
      <c r="Y53" s="129">
        <v>288.10000000000002</v>
      </c>
      <c r="Z53" s="129">
        <v>93.86</v>
      </c>
      <c r="AA53" s="129">
        <v>39.07</v>
      </c>
      <c r="AB53" s="129">
        <v>596.86</v>
      </c>
      <c r="AC53" s="129">
        <v>245.26</v>
      </c>
      <c r="AD53" s="129">
        <v>239.05</v>
      </c>
      <c r="AE53" s="129">
        <v>110</v>
      </c>
      <c r="AF53" s="60">
        <f t="shared" si="1"/>
        <v>256.98444858175446</v>
      </c>
    </row>
    <row r="54" spans="1:32" s="60" customFormat="1" x14ac:dyDescent="0.25">
      <c r="A54" s="128" t="s">
        <v>313</v>
      </c>
      <c r="B54" s="127" t="s">
        <v>314</v>
      </c>
      <c r="C54" s="129">
        <v>15</v>
      </c>
      <c r="D54" s="129">
        <v>0</v>
      </c>
      <c r="E54" s="129">
        <v>238.84</v>
      </c>
      <c r="F54" s="129">
        <v>249.64</v>
      </c>
      <c r="G54" s="129">
        <v>3582.6</v>
      </c>
      <c r="H54" s="129">
        <v>0</v>
      </c>
      <c r="I54" s="129">
        <v>0</v>
      </c>
      <c r="J54" s="129">
        <v>3582.6</v>
      </c>
      <c r="K54" s="129">
        <v>0</v>
      </c>
      <c r="L54" s="129">
        <v>0</v>
      </c>
      <c r="M54" s="129">
        <v>0</v>
      </c>
      <c r="N54" s="129">
        <v>0</v>
      </c>
      <c r="O54" s="129">
        <v>161.08000000000001</v>
      </c>
      <c r="P54" s="129">
        <v>88.93</v>
      </c>
      <c r="Q54" s="129">
        <v>0</v>
      </c>
      <c r="R54" s="129">
        <v>0</v>
      </c>
      <c r="S54" s="139">
        <v>-0.01</v>
      </c>
      <c r="T54" s="129">
        <v>250</v>
      </c>
      <c r="U54" s="129">
        <v>3332.6</v>
      </c>
      <c r="V54" s="129">
        <v>65.53</v>
      </c>
      <c r="W54" s="129">
        <v>117.95</v>
      </c>
      <c r="X54" s="129">
        <v>324.07</v>
      </c>
      <c r="Y54" s="129">
        <v>264.89</v>
      </c>
      <c r="Z54" s="129">
        <v>71.650000000000006</v>
      </c>
      <c r="AA54" s="129">
        <v>29.83</v>
      </c>
      <c r="AB54" s="129">
        <v>507.55</v>
      </c>
      <c r="AC54" s="129">
        <v>187.23</v>
      </c>
      <c r="AD54" s="129">
        <v>227.45</v>
      </c>
      <c r="AE54" s="129">
        <v>110</v>
      </c>
      <c r="AF54" s="60">
        <f t="shared" si="1"/>
        <v>196.17785565655458</v>
      </c>
    </row>
    <row r="55" spans="1:32" s="60" customFormat="1" x14ac:dyDescent="0.25">
      <c r="A55" s="128" t="s">
        <v>321</v>
      </c>
      <c r="B55" s="127" t="s">
        <v>322</v>
      </c>
      <c r="C55" s="129">
        <v>15</v>
      </c>
      <c r="D55" s="129">
        <v>0</v>
      </c>
      <c r="E55" s="129">
        <v>238.84</v>
      </c>
      <c r="F55" s="129">
        <v>249.64</v>
      </c>
      <c r="G55" s="129">
        <v>3582.6</v>
      </c>
      <c r="H55" s="129">
        <v>0</v>
      </c>
      <c r="I55" s="129">
        <v>0</v>
      </c>
      <c r="J55" s="129">
        <v>3582.6</v>
      </c>
      <c r="K55" s="129">
        <v>0</v>
      </c>
      <c r="L55" s="129">
        <v>1191.26</v>
      </c>
      <c r="M55" s="129">
        <v>0</v>
      </c>
      <c r="N55" s="129">
        <v>0</v>
      </c>
      <c r="O55" s="129">
        <v>161.08000000000001</v>
      </c>
      <c r="P55" s="129">
        <v>88.93</v>
      </c>
      <c r="Q55" s="129">
        <v>0</v>
      </c>
      <c r="R55" s="129">
        <v>0</v>
      </c>
      <c r="S55" s="139">
        <v>-7.0000000000000007E-2</v>
      </c>
      <c r="T55" s="129">
        <v>1441.2</v>
      </c>
      <c r="U55" s="129">
        <v>2141.4</v>
      </c>
      <c r="V55" s="129">
        <v>65.53</v>
      </c>
      <c r="W55" s="129">
        <v>117.95</v>
      </c>
      <c r="X55" s="129">
        <v>324.07</v>
      </c>
      <c r="Y55" s="129">
        <v>264.89</v>
      </c>
      <c r="Z55" s="129">
        <v>71.650000000000006</v>
      </c>
      <c r="AA55" s="129">
        <v>29.83</v>
      </c>
      <c r="AB55" s="129">
        <v>507.55</v>
      </c>
      <c r="AC55" s="129">
        <v>187.23</v>
      </c>
      <c r="AD55" s="129">
        <v>227.45</v>
      </c>
      <c r="AE55" s="129">
        <v>110</v>
      </c>
      <c r="AF55" s="60">
        <f t="shared" si="1"/>
        <v>196.17785565655458</v>
      </c>
    </row>
    <row r="56" spans="1:32" s="60" customFormat="1" x14ac:dyDescent="0.25">
      <c r="A56" s="128" t="s">
        <v>310</v>
      </c>
      <c r="B56" s="127" t="s">
        <v>311</v>
      </c>
      <c r="C56" s="129">
        <v>15</v>
      </c>
      <c r="D56" s="129">
        <v>0</v>
      </c>
      <c r="E56" s="129">
        <v>238.84</v>
      </c>
      <c r="F56" s="129">
        <v>249.64</v>
      </c>
      <c r="G56" s="129">
        <v>3582.6</v>
      </c>
      <c r="H56" s="129">
        <v>0</v>
      </c>
      <c r="I56" s="129">
        <v>0</v>
      </c>
      <c r="J56" s="129">
        <v>3582.6</v>
      </c>
      <c r="K56" s="129">
        <v>0</v>
      </c>
      <c r="L56" s="129">
        <v>0</v>
      </c>
      <c r="M56" s="129">
        <v>1230.6500000000001</v>
      </c>
      <c r="N56" s="129">
        <v>0</v>
      </c>
      <c r="O56" s="129">
        <v>161.08000000000001</v>
      </c>
      <c r="P56" s="129">
        <v>88.93</v>
      </c>
      <c r="Q56" s="129">
        <v>0</v>
      </c>
      <c r="R56" s="129">
        <v>0</v>
      </c>
      <c r="S56" s="141">
        <v>0.14000000000000001</v>
      </c>
      <c r="T56" s="129">
        <v>1480.8</v>
      </c>
      <c r="U56" s="129">
        <v>2101.8000000000002</v>
      </c>
      <c r="V56" s="129">
        <v>65.53</v>
      </c>
      <c r="W56" s="129">
        <v>117.95</v>
      </c>
      <c r="X56" s="129">
        <v>324.07</v>
      </c>
      <c r="Y56" s="129">
        <v>264.89</v>
      </c>
      <c r="Z56" s="129">
        <v>71.650000000000006</v>
      </c>
      <c r="AA56" s="129">
        <v>29.83</v>
      </c>
      <c r="AB56" s="129">
        <v>507.55</v>
      </c>
      <c r="AC56" s="129">
        <v>187.23</v>
      </c>
      <c r="AD56" s="129">
        <v>227.45</v>
      </c>
      <c r="AE56" s="129">
        <v>110</v>
      </c>
      <c r="AF56" s="60">
        <f t="shared" si="1"/>
        <v>196.17785565655458</v>
      </c>
    </row>
    <row r="57" spans="1:32" s="60" customFormat="1" x14ac:dyDescent="0.25">
      <c r="A57" s="128" t="s">
        <v>128</v>
      </c>
      <c r="B57" s="127" t="s">
        <v>129</v>
      </c>
      <c r="C57" s="129">
        <v>15</v>
      </c>
      <c r="D57" s="129">
        <v>0</v>
      </c>
      <c r="E57" s="129">
        <v>238.84</v>
      </c>
      <c r="F57" s="129">
        <v>249.64</v>
      </c>
      <c r="G57" s="129">
        <v>3582.6</v>
      </c>
      <c r="H57" s="129">
        <v>0</v>
      </c>
      <c r="I57" s="129">
        <v>0</v>
      </c>
      <c r="J57" s="129">
        <v>3582.6</v>
      </c>
      <c r="K57" s="129">
        <v>0</v>
      </c>
      <c r="L57" s="129">
        <v>0</v>
      </c>
      <c r="M57" s="129">
        <v>0</v>
      </c>
      <c r="N57" s="129">
        <v>0</v>
      </c>
      <c r="O57" s="129">
        <v>161.08000000000001</v>
      </c>
      <c r="P57" s="129">
        <v>88.93</v>
      </c>
      <c r="Q57" s="129">
        <v>0</v>
      </c>
      <c r="R57" s="129">
        <v>0</v>
      </c>
      <c r="S57" s="139">
        <v>-0.01</v>
      </c>
      <c r="T57" s="129">
        <v>250</v>
      </c>
      <c r="U57" s="129">
        <v>3332.6</v>
      </c>
      <c r="V57" s="129">
        <v>65.53</v>
      </c>
      <c r="W57" s="129">
        <v>117.95</v>
      </c>
      <c r="X57" s="129">
        <v>324.07</v>
      </c>
      <c r="Y57" s="129">
        <v>264.89</v>
      </c>
      <c r="Z57" s="129">
        <v>71.650000000000006</v>
      </c>
      <c r="AA57" s="129">
        <v>29.83</v>
      </c>
      <c r="AB57" s="129">
        <v>507.55</v>
      </c>
      <c r="AC57" s="129">
        <v>187.23</v>
      </c>
      <c r="AD57" s="129">
        <v>227.45</v>
      </c>
      <c r="AE57" s="129">
        <v>110</v>
      </c>
      <c r="AF57" s="60">
        <f t="shared" si="1"/>
        <v>196.17785565655458</v>
      </c>
    </row>
    <row r="58" spans="1:32" s="60" customFormat="1" x14ac:dyDescent="0.25">
      <c r="A58" s="128" t="s">
        <v>172</v>
      </c>
      <c r="B58" s="127" t="s">
        <v>173</v>
      </c>
      <c r="C58" s="129">
        <v>15</v>
      </c>
      <c r="D58" s="129">
        <v>0</v>
      </c>
      <c r="E58" s="129">
        <v>200</v>
      </c>
      <c r="F58" s="129">
        <v>212.11</v>
      </c>
      <c r="G58" s="129">
        <v>3000</v>
      </c>
      <c r="H58" s="129">
        <v>0</v>
      </c>
      <c r="I58" s="129">
        <v>0</v>
      </c>
      <c r="J58" s="129">
        <v>3000</v>
      </c>
      <c r="K58" s="129">
        <v>0</v>
      </c>
      <c r="L58" s="129">
        <v>0</v>
      </c>
      <c r="M58" s="129">
        <v>0</v>
      </c>
      <c r="N58" s="129">
        <v>0</v>
      </c>
      <c r="O58" s="129">
        <v>59.69</v>
      </c>
      <c r="P58" s="129">
        <v>75.56</v>
      </c>
      <c r="Q58" s="129">
        <v>0</v>
      </c>
      <c r="R58" s="129">
        <v>385</v>
      </c>
      <c r="S58" s="139">
        <v>-0.05</v>
      </c>
      <c r="T58" s="129">
        <v>520.20000000000005</v>
      </c>
      <c r="U58" s="129">
        <v>2479.8000000000002</v>
      </c>
      <c r="V58" s="129">
        <v>55.68</v>
      </c>
      <c r="W58" s="129">
        <v>100.22</v>
      </c>
      <c r="X58" s="129">
        <v>314.22000000000003</v>
      </c>
      <c r="Y58" s="129">
        <v>253.63</v>
      </c>
      <c r="Z58" s="129">
        <v>60</v>
      </c>
      <c r="AA58" s="129">
        <v>25.34</v>
      </c>
      <c r="AB58" s="129">
        <v>470.12</v>
      </c>
      <c r="AC58" s="129">
        <v>159.08000000000001</v>
      </c>
      <c r="AD58" s="129">
        <v>221.82</v>
      </c>
      <c r="AE58" s="129">
        <v>110</v>
      </c>
      <c r="AF58" s="60">
        <f t="shared" si="1"/>
        <v>164.27554484722373</v>
      </c>
    </row>
    <row r="59" spans="1:32" s="60" customFormat="1" x14ac:dyDescent="0.25">
      <c r="A59" s="128" t="s">
        <v>148</v>
      </c>
      <c r="B59" s="127" t="s">
        <v>149</v>
      </c>
      <c r="C59" s="129">
        <v>15</v>
      </c>
      <c r="D59" s="129">
        <v>0</v>
      </c>
      <c r="E59" s="129">
        <v>238.84</v>
      </c>
      <c r="F59" s="129">
        <v>249.64</v>
      </c>
      <c r="G59" s="129">
        <v>3582.6</v>
      </c>
      <c r="H59" s="129">
        <v>0</v>
      </c>
      <c r="I59" s="129">
        <v>0</v>
      </c>
      <c r="J59" s="129">
        <v>3582.6</v>
      </c>
      <c r="K59" s="129">
        <v>0</v>
      </c>
      <c r="L59" s="129">
        <v>684.91</v>
      </c>
      <c r="M59" s="129">
        <v>0</v>
      </c>
      <c r="N59" s="129">
        <v>0</v>
      </c>
      <c r="O59" s="129">
        <v>161.08000000000001</v>
      </c>
      <c r="P59" s="129">
        <v>88.93</v>
      </c>
      <c r="Q59" s="129">
        <v>0</v>
      </c>
      <c r="R59" s="129">
        <v>0</v>
      </c>
      <c r="S59" s="141">
        <v>0.08</v>
      </c>
      <c r="T59" s="129">
        <v>935</v>
      </c>
      <c r="U59" s="129">
        <v>2647.6</v>
      </c>
      <c r="V59" s="129">
        <v>65.53</v>
      </c>
      <c r="W59" s="129">
        <v>117.95</v>
      </c>
      <c r="X59" s="129">
        <v>324.07</v>
      </c>
      <c r="Y59" s="129">
        <v>264.89</v>
      </c>
      <c r="Z59" s="129">
        <v>71.650000000000006</v>
      </c>
      <c r="AA59" s="129">
        <v>29.83</v>
      </c>
      <c r="AB59" s="129">
        <v>507.55</v>
      </c>
      <c r="AC59" s="129">
        <v>187.23</v>
      </c>
      <c r="AD59" s="129">
        <v>227.45</v>
      </c>
      <c r="AE59" s="129">
        <v>110</v>
      </c>
      <c r="AF59" s="60">
        <f t="shared" si="1"/>
        <v>196.17785565655458</v>
      </c>
    </row>
    <row r="60" spans="1:32" s="60" customFormat="1" x14ac:dyDescent="0.25">
      <c r="A60" s="128" t="s">
        <v>235</v>
      </c>
      <c r="B60" s="127" t="s">
        <v>236</v>
      </c>
      <c r="C60" s="129">
        <v>13</v>
      </c>
      <c r="D60" s="129">
        <v>2</v>
      </c>
      <c r="E60" s="129">
        <v>166.67</v>
      </c>
      <c r="F60" s="129">
        <v>174.2</v>
      </c>
      <c r="G60" s="129">
        <v>2166.71</v>
      </c>
      <c r="H60" s="129">
        <v>333.34</v>
      </c>
      <c r="I60" s="129">
        <v>100</v>
      </c>
      <c r="J60" s="129">
        <v>2600.0500000000002</v>
      </c>
      <c r="K60" s="129">
        <v>0</v>
      </c>
      <c r="L60" s="129">
        <v>0</v>
      </c>
      <c r="M60" s="129">
        <v>0</v>
      </c>
      <c r="N60" s="130">
        <v>-9.6199999999999992</v>
      </c>
      <c r="O60" s="129">
        <v>0</v>
      </c>
      <c r="P60" s="129">
        <v>62.06</v>
      </c>
      <c r="Q60" s="129">
        <v>0</v>
      </c>
      <c r="R60" s="129">
        <v>0</v>
      </c>
      <c r="S60" s="129">
        <v>0.01</v>
      </c>
      <c r="T60" s="129">
        <v>52.45</v>
      </c>
      <c r="U60" s="129">
        <v>2547.6</v>
      </c>
      <c r="V60" s="129">
        <v>45.73</v>
      </c>
      <c r="W60" s="129">
        <v>82.31</v>
      </c>
      <c r="X60" s="129">
        <v>304.27</v>
      </c>
      <c r="Y60" s="129">
        <v>242.26</v>
      </c>
      <c r="Z60" s="129">
        <v>52</v>
      </c>
      <c r="AA60" s="129">
        <v>20.81</v>
      </c>
      <c r="AB60" s="129">
        <v>432.31</v>
      </c>
      <c r="AC60" s="129">
        <v>130.65</v>
      </c>
      <c r="AD60" s="129">
        <v>216.13</v>
      </c>
      <c r="AE60" s="129">
        <v>110</v>
      </c>
      <c r="AF60" s="60">
        <f t="shared" si="1"/>
        <v>136.89902529843388</v>
      </c>
    </row>
    <row r="61" spans="1:32" s="60" customFormat="1" x14ac:dyDescent="0.25">
      <c r="A61" s="128" t="s">
        <v>226</v>
      </c>
      <c r="B61" s="127" t="s">
        <v>227</v>
      </c>
      <c r="C61" s="129">
        <v>15</v>
      </c>
      <c r="D61" s="129">
        <v>0</v>
      </c>
      <c r="E61" s="129">
        <v>195.38</v>
      </c>
      <c r="F61" s="129">
        <v>204.21</v>
      </c>
      <c r="G61" s="129">
        <v>2930.7</v>
      </c>
      <c r="H61" s="129">
        <v>0</v>
      </c>
      <c r="I61" s="129">
        <v>0</v>
      </c>
      <c r="J61" s="129">
        <v>2930.7</v>
      </c>
      <c r="K61" s="129">
        <v>0</v>
      </c>
      <c r="L61" s="129">
        <v>878.36</v>
      </c>
      <c r="M61" s="129">
        <v>0</v>
      </c>
      <c r="N61" s="129">
        <v>0</v>
      </c>
      <c r="O61" s="129">
        <v>52.15</v>
      </c>
      <c r="P61" s="129">
        <v>72.75</v>
      </c>
      <c r="Q61" s="129">
        <v>0</v>
      </c>
      <c r="R61" s="129">
        <v>0</v>
      </c>
      <c r="S61" s="129">
        <v>0.04</v>
      </c>
      <c r="T61" s="129">
        <v>1003.3</v>
      </c>
      <c r="U61" s="129">
        <v>1927.4</v>
      </c>
      <c r="V61" s="129">
        <v>53.61</v>
      </c>
      <c r="W61" s="129">
        <v>96.49</v>
      </c>
      <c r="X61" s="129">
        <v>312.14</v>
      </c>
      <c r="Y61" s="129">
        <v>251.26</v>
      </c>
      <c r="Z61" s="129">
        <v>58.61</v>
      </c>
      <c r="AA61" s="129">
        <v>24.4</v>
      </c>
      <c r="AB61" s="129">
        <v>462.24</v>
      </c>
      <c r="AC61" s="129">
        <v>153.16</v>
      </c>
      <c r="AD61" s="129">
        <v>220.63</v>
      </c>
      <c r="AE61" s="129">
        <v>110</v>
      </c>
      <c r="AF61" s="60">
        <f t="shared" si="1"/>
        <v>160.48077976125285</v>
      </c>
    </row>
    <row r="62" spans="1:32" s="60" customFormat="1" x14ac:dyDescent="0.25">
      <c r="A62" s="128" t="s">
        <v>287</v>
      </c>
      <c r="B62" s="127" t="s">
        <v>288</v>
      </c>
      <c r="C62" s="129">
        <v>15</v>
      </c>
      <c r="D62" s="129">
        <v>0</v>
      </c>
      <c r="E62" s="129">
        <v>195.38</v>
      </c>
      <c r="F62" s="129">
        <v>204.21</v>
      </c>
      <c r="G62" s="129">
        <v>2930.7</v>
      </c>
      <c r="H62" s="129">
        <v>0</v>
      </c>
      <c r="I62" s="129">
        <v>0</v>
      </c>
      <c r="J62" s="129">
        <v>2930.7</v>
      </c>
      <c r="K62" s="129">
        <v>0</v>
      </c>
      <c r="L62" s="129">
        <v>899.86</v>
      </c>
      <c r="M62" s="129">
        <v>0</v>
      </c>
      <c r="N62" s="129">
        <v>0</v>
      </c>
      <c r="O62" s="129">
        <v>52.15</v>
      </c>
      <c r="P62" s="129">
        <v>72.75</v>
      </c>
      <c r="Q62" s="129">
        <v>0</v>
      </c>
      <c r="R62" s="129">
        <v>436.1</v>
      </c>
      <c r="S62" s="139">
        <v>-0.16</v>
      </c>
      <c r="T62" s="129">
        <v>1460.7</v>
      </c>
      <c r="U62" s="129">
        <v>1470</v>
      </c>
      <c r="V62" s="129">
        <v>53.61</v>
      </c>
      <c r="W62" s="129">
        <v>96.49</v>
      </c>
      <c r="X62" s="129">
        <v>312.14</v>
      </c>
      <c r="Y62" s="129">
        <v>251.26</v>
      </c>
      <c r="Z62" s="129">
        <v>58.61</v>
      </c>
      <c r="AA62" s="129">
        <v>24.4</v>
      </c>
      <c r="AB62" s="129">
        <v>462.24</v>
      </c>
      <c r="AC62" s="129">
        <v>153.16</v>
      </c>
      <c r="AD62" s="129">
        <v>220.63</v>
      </c>
      <c r="AE62" s="129">
        <v>110</v>
      </c>
      <c r="AF62" s="60">
        <f t="shared" si="1"/>
        <v>160.48077976125285</v>
      </c>
    </row>
    <row r="63" spans="1:32" s="60" customFormat="1" x14ac:dyDescent="0.25">
      <c r="A63" s="128" t="s">
        <v>244</v>
      </c>
      <c r="B63" s="127" t="s">
        <v>419</v>
      </c>
      <c r="C63" s="129">
        <v>15</v>
      </c>
      <c r="D63" s="129">
        <v>0</v>
      </c>
      <c r="E63" s="129">
        <v>166.67</v>
      </c>
      <c r="F63" s="129">
        <v>176.76</v>
      </c>
      <c r="G63" s="129">
        <v>2500.0500000000002</v>
      </c>
      <c r="H63" s="129">
        <v>0</v>
      </c>
      <c r="I63" s="129">
        <v>0</v>
      </c>
      <c r="J63" s="129">
        <v>2500.0500000000002</v>
      </c>
      <c r="K63" s="129">
        <v>0</v>
      </c>
      <c r="L63" s="129">
        <v>0</v>
      </c>
      <c r="M63" s="129">
        <v>0</v>
      </c>
      <c r="N63" s="130">
        <v>-9.6199999999999992</v>
      </c>
      <c r="O63" s="129">
        <v>0</v>
      </c>
      <c r="P63" s="129">
        <v>62.97</v>
      </c>
      <c r="Q63" s="129">
        <v>0</v>
      </c>
      <c r="R63" s="129">
        <v>0</v>
      </c>
      <c r="S63" s="130">
        <v>-0.1</v>
      </c>
      <c r="T63" s="129">
        <v>53.25</v>
      </c>
      <c r="U63" s="129">
        <v>2446.8000000000002</v>
      </c>
      <c r="V63" s="129">
        <v>46.4</v>
      </c>
      <c r="W63" s="129">
        <v>83.52</v>
      </c>
      <c r="X63" s="129">
        <v>304.94</v>
      </c>
      <c r="Y63" s="129">
        <v>243.03</v>
      </c>
      <c r="Z63" s="129">
        <v>50</v>
      </c>
      <c r="AA63" s="129">
        <v>21.12</v>
      </c>
      <c r="AB63" s="129">
        <v>434.86</v>
      </c>
      <c r="AC63" s="129">
        <v>132.57</v>
      </c>
      <c r="AD63" s="129">
        <v>216.51</v>
      </c>
      <c r="AE63" s="129">
        <v>110</v>
      </c>
      <c r="AF63" s="60">
        <f t="shared" si="1"/>
        <v>136.89902529843388</v>
      </c>
    </row>
    <row r="64" spans="1:32" s="60" customFormat="1" x14ac:dyDescent="0.25">
      <c r="A64" s="128" t="s">
        <v>125</v>
      </c>
      <c r="B64" s="127" t="s">
        <v>126</v>
      </c>
      <c r="C64" s="129">
        <v>15</v>
      </c>
      <c r="D64" s="129">
        <v>0</v>
      </c>
      <c r="E64" s="129">
        <v>166.67</v>
      </c>
      <c r="F64" s="129">
        <v>177.03</v>
      </c>
      <c r="G64" s="129">
        <v>2500.0500000000002</v>
      </c>
      <c r="H64" s="129">
        <v>0</v>
      </c>
      <c r="I64" s="129">
        <v>0</v>
      </c>
      <c r="J64" s="129">
        <v>2500.0500000000002</v>
      </c>
      <c r="K64" s="129">
        <v>0</v>
      </c>
      <c r="L64" s="129">
        <v>0</v>
      </c>
      <c r="M64" s="129">
        <v>0</v>
      </c>
      <c r="N64" s="130">
        <v>-9.6199999999999992</v>
      </c>
      <c r="O64" s="129">
        <v>0</v>
      </c>
      <c r="P64" s="129">
        <v>63.07</v>
      </c>
      <c r="Q64" s="129">
        <v>0</v>
      </c>
      <c r="R64" s="129">
        <v>0</v>
      </c>
      <c r="S64" s="129">
        <v>0</v>
      </c>
      <c r="T64" s="129">
        <v>53.45</v>
      </c>
      <c r="U64" s="129">
        <v>2446.6</v>
      </c>
      <c r="V64" s="129">
        <v>46.47</v>
      </c>
      <c r="W64" s="129">
        <v>83.65</v>
      </c>
      <c r="X64" s="129">
        <v>305.01</v>
      </c>
      <c r="Y64" s="129">
        <v>243.11</v>
      </c>
      <c r="Z64" s="129">
        <v>50</v>
      </c>
      <c r="AA64" s="129">
        <v>21.15</v>
      </c>
      <c r="AB64" s="129">
        <v>435.13</v>
      </c>
      <c r="AC64" s="129">
        <v>132.77000000000001</v>
      </c>
      <c r="AD64" s="129">
        <v>216.55</v>
      </c>
      <c r="AE64" s="129">
        <v>110</v>
      </c>
      <c r="AF64" s="60">
        <f t="shared" si="1"/>
        <v>136.89902529843388</v>
      </c>
    </row>
    <row r="65" spans="1:32" s="60" customFormat="1" x14ac:dyDescent="0.25">
      <c r="A65" s="128" t="s">
        <v>185</v>
      </c>
      <c r="B65" s="127" t="s">
        <v>420</v>
      </c>
      <c r="C65" s="129">
        <v>15</v>
      </c>
      <c r="D65" s="129">
        <v>0</v>
      </c>
      <c r="E65" s="129">
        <v>200</v>
      </c>
      <c r="F65" s="129">
        <v>209.04</v>
      </c>
      <c r="G65" s="129">
        <v>3000</v>
      </c>
      <c r="H65" s="129">
        <v>0</v>
      </c>
      <c r="I65" s="129">
        <v>0</v>
      </c>
      <c r="J65" s="129">
        <v>3000</v>
      </c>
      <c r="K65" s="129">
        <v>0</v>
      </c>
      <c r="L65" s="129">
        <v>0</v>
      </c>
      <c r="M65" s="129">
        <v>0</v>
      </c>
      <c r="N65" s="141">
        <v>0</v>
      </c>
      <c r="O65" s="129">
        <v>59.69</v>
      </c>
      <c r="P65" s="129">
        <v>74.48</v>
      </c>
      <c r="Q65" s="129">
        <v>0</v>
      </c>
      <c r="R65" s="129">
        <v>253.77</v>
      </c>
      <c r="S65" s="141">
        <v>0.06</v>
      </c>
      <c r="T65" s="129">
        <v>388</v>
      </c>
      <c r="U65" s="129">
        <v>2612</v>
      </c>
      <c r="V65" s="129">
        <v>54.87</v>
      </c>
      <c r="W65" s="129">
        <v>98.77</v>
      </c>
      <c r="X65" s="129">
        <v>313.41000000000003</v>
      </c>
      <c r="Y65" s="129">
        <v>252.71</v>
      </c>
      <c r="Z65" s="129">
        <v>60</v>
      </c>
      <c r="AA65" s="129">
        <v>24.98</v>
      </c>
      <c r="AB65" s="129">
        <v>467.05</v>
      </c>
      <c r="AC65" s="129">
        <v>156.78</v>
      </c>
      <c r="AD65" s="129">
        <v>221.36</v>
      </c>
      <c r="AE65" s="129">
        <v>110</v>
      </c>
      <c r="AF65" s="60">
        <f t="shared" si="1"/>
        <v>164.27554484722373</v>
      </c>
    </row>
    <row r="66" spans="1:32" s="60" customFormat="1" x14ac:dyDescent="0.25">
      <c r="A66" s="128" t="s">
        <v>204</v>
      </c>
      <c r="B66" s="127" t="s">
        <v>205</v>
      </c>
      <c r="C66" s="129">
        <v>15</v>
      </c>
      <c r="D66" s="129">
        <v>0</v>
      </c>
      <c r="E66" s="129">
        <v>166.67</v>
      </c>
      <c r="F66" s="129">
        <v>175.8</v>
      </c>
      <c r="G66" s="129">
        <v>2500.0500000000002</v>
      </c>
      <c r="H66" s="129">
        <v>0</v>
      </c>
      <c r="I66" s="129">
        <v>0</v>
      </c>
      <c r="J66" s="129">
        <v>2500.0500000000002</v>
      </c>
      <c r="K66" s="129">
        <v>0</v>
      </c>
      <c r="L66" s="129">
        <v>0</v>
      </c>
      <c r="M66" s="129">
        <v>0</v>
      </c>
      <c r="N66" s="130">
        <v>-9.6199999999999992</v>
      </c>
      <c r="O66" s="129">
        <v>0</v>
      </c>
      <c r="P66" s="129">
        <v>62.63</v>
      </c>
      <c r="Q66" s="129">
        <v>0</v>
      </c>
      <c r="R66" s="129">
        <v>0</v>
      </c>
      <c r="S66" s="129">
        <v>0.04</v>
      </c>
      <c r="T66" s="129">
        <v>53.05</v>
      </c>
      <c r="U66" s="129">
        <v>2447</v>
      </c>
      <c r="V66" s="129">
        <v>46.15</v>
      </c>
      <c r="W66" s="129">
        <v>83.07</v>
      </c>
      <c r="X66" s="129">
        <v>304.69</v>
      </c>
      <c r="Y66" s="129">
        <v>242.74</v>
      </c>
      <c r="Z66" s="129">
        <v>50</v>
      </c>
      <c r="AA66" s="129">
        <v>21.01</v>
      </c>
      <c r="AB66" s="129">
        <v>433.91</v>
      </c>
      <c r="AC66" s="129">
        <v>131.85</v>
      </c>
      <c r="AD66" s="129">
        <v>216.37</v>
      </c>
      <c r="AE66" s="129">
        <v>110</v>
      </c>
      <c r="AF66" s="60">
        <f t="shared" si="1"/>
        <v>136.89902529843388</v>
      </c>
    </row>
    <row r="67" spans="1:32" s="60" customFormat="1" x14ac:dyDescent="0.25">
      <c r="A67" s="128" t="s">
        <v>246</v>
      </c>
      <c r="B67" s="127" t="s">
        <v>247</v>
      </c>
      <c r="C67" s="129">
        <v>15</v>
      </c>
      <c r="D67" s="129">
        <v>0</v>
      </c>
      <c r="E67" s="129">
        <v>166.66</v>
      </c>
      <c r="F67" s="129">
        <v>174.19</v>
      </c>
      <c r="G67" s="129">
        <v>2499.9</v>
      </c>
      <c r="H67" s="129">
        <v>0</v>
      </c>
      <c r="I67" s="129">
        <v>0</v>
      </c>
      <c r="J67" s="129">
        <v>2499.9</v>
      </c>
      <c r="K67" s="129">
        <v>0</v>
      </c>
      <c r="L67" s="129">
        <v>410.23</v>
      </c>
      <c r="M67" s="129">
        <v>0</v>
      </c>
      <c r="N67" s="139">
        <v>-9.64</v>
      </c>
      <c r="O67" s="129">
        <v>0</v>
      </c>
      <c r="P67" s="129">
        <v>62.06</v>
      </c>
      <c r="Q67" s="129">
        <v>0</v>
      </c>
      <c r="R67" s="129">
        <v>0</v>
      </c>
      <c r="S67" s="141">
        <v>0.05</v>
      </c>
      <c r="T67" s="129">
        <v>462.7</v>
      </c>
      <c r="U67" s="129">
        <v>2037.2</v>
      </c>
      <c r="V67" s="129">
        <v>45.73</v>
      </c>
      <c r="W67" s="129">
        <v>82.31</v>
      </c>
      <c r="X67" s="129">
        <v>304.27</v>
      </c>
      <c r="Y67" s="129">
        <v>242.26</v>
      </c>
      <c r="Z67" s="129">
        <v>50</v>
      </c>
      <c r="AA67" s="129">
        <v>20.81</v>
      </c>
      <c r="AB67" s="129">
        <v>432.31</v>
      </c>
      <c r="AC67" s="129">
        <v>130.65</v>
      </c>
      <c r="AD67" s="129">
        <v>216.13</v>
      </c>
      <c r="AE67" s="129">
        <v>110</v>
      </c>
      <c r="AF67" s="60">
        <f t="shared" si="1"/>
        <v>136.89081152119152</v>
      </c>
    </row>
    <row r="68" spans="1:32" s="60" customFormat="1" x14ac:dyDescent="0.25">
      <c r="A68" s="128" t="s">
        <v>213</v>
      </c>
      <c r="B68" s="127" t="s">
        <v>214</v>
      </c>
      <c r="C68" s="129">
        <v>15</v>
      </c>
      <c r="D68" s="129">
        <v>0</v>
      </c>
      <c r="E68" s="129">
        <v>256.67</v>
      </c>
      <c r="F68" s="129">
        <v>272.20999999999998</v>
      </c>
      <c r="G68" s="129">
        <v>3850.05</v>
      </c>
      <c r="H68" s="129">
        <v>0</v>
      </c>
      <c r="I68" s="129">
        <v>0</v>
      </c>
      <c r="J68" s="129">
        <v>3850.05</v>
      </c>
      <c r="K68" s="129">
        <v>0</v>
      </c>
      <c r="L68" s="129">
        <v>0</v>
      </c>
      <c r="M68" s="129">
        <v>0</v>
      </c>
      <c r="N68" s="129">
        <v>0</v>
      </c>
      <c r="O68" s="129">
        <v>297.55</v>
      </c>
      <c r="P68" s="129">
        <v>98.1</v>
      </c>
      <c r="Q68" s="129">
        <v>0</v>
      </c>
      <c r="R68" s="129">
        <v>298.60000000000002</v>
      </c>
      <c r="S68" s="141">
        <v>0</v>
      </c>
      <c r="T68" s="129">
        <v>694.25</v>
      </c>
      <c r="U68" s="129">
        <v>3155.8</v>
      </c>
      <c r="V68" s="129">
        <v>71.459999999999994</v>
      </c>
      <c r="W68" s="129">
        <v>128.62</v>
      </c>
      <c r="X68" s="129">
        <v>333.08</v>
      </c>
      <c r="Y68" s="129">
        <v>271.65999999999997</v>
      </c>
      <c r="Z68" s="129">
        <v>77</v>
      </c>
      <c r="AA68" s="129">
        <v>32.53</v>
      </c>
      <c r="AB68" s="129">
        <v>533.16</v>
      </c>
      <c r="AC68" s="129">
        <v>204.16</v>
      </c>
      <c r="AD68" s="129">
        <v>230.82999999999998</v>
      </c>
      <c r="AE68" s="129">
        <v>110</v>
      </c>
      <c r="AF68" s="60">
        <f t="shared" si="1"/>
        <v>210.8230204796846</v>
      </c>
    </row>
    <row r="69" spans="1:32" s="60" customFormat="1" x14ac:dyDescent="0.25">
      <c r="A69" s="128" t="s">
        <v>283</v>
      </c>
      <c r="B69" s="127" t="s">
        <v>284</v>
      </c>
      <c r="C69" s="129">
        <v>15</v>
      </c>
      <c r="D69" s="129">
        <v>0</v>
      </c>
      <c r="E69" s="129">
        <v>166.67</v>
      </c>
      <c r="F69" s="129">
        <v>174.2</v>
      </c>
      <c r="G69" s="129">
        <v>2500.0500000000002</v>
      </c>
      <c r="H69" s="129">
        <v>0</v>
      </c>
      <c r="I69" s="129">
        <v>0</v>
      </c>
      <c r="J69" s="129">
        <v>2500.0500000000002</v>
      </c>
      <c r="K69" s="129">
        <v>0</v>
      </c>
      <c r="L69" s="129">
        <v>0</v>
      </c>
      <c r="M69" s="129">
        <v>0</v>
      </c>
      <c r="N69" s="130">
        <v>-9.6199999999999992</v>
      </c>
      <c r="O69" s="129">
        <v>0</v>
      </c>
      <c r="P69" s="129">
        <v>62.06</v>
      </c>
      <c r="Q69" s="129">
        <v>0</v>
      </c>
      <c r="R69" s="129">
        <v>0</v>
      </c>
      <c r="S69" s="141">
        <v>0.01</v>
      </c>
      <c r="T69" s="129">
        <v>52.45</v>
      </c>
      <c r="U69" s="129">
        <v>2447.6</v>
      </c>
      <c r="V69" s="129">
        <v>45.73</v>
      </c>
      <c r="W69" s="129">
        <v>82.31</v>
      </c>
      <c r="X69" s="129">
        <v>304.27</v>
      </c>
      <c r="Y69" s="129">
        <v>242.26</v>
      </c>
      <c r="Z69" s="129">
        <v>50</v>
      </c>
      <c r="AA69" s="129">
        <v>20.82</v>
      </c>
      <c r="AB69" s="129">
        <v>432.31</v>
      </c>
      <c r="AC69" s="129">
        <v>130.65</v>
      </c>
      <c r="AD69" s="129">
        <v>216.13</v>
      </c>
      <c r="AE69" s="129">
        <v>110</v>
      </c>
      <c r="AF69" s="60">
        <f t="shared" si="1"/>
        <v>136.89902529843388</v>
      </c>
    </row>
    <row r="70" spans="1:32" s="60" customFormat="1" x14ac:dyDescent="0.25">
      <c r="A70" s="128" t="s">
        <v>297</v>
      </c>
      <c r="B70" s="127" t="s">
        <v>298</v>
      </c>
      <c r="C70" s="129">
        <v>15</v>
      </c>
      <c r="D70" s="129">
        <v>0</v>
      </c>
      <c r="E70" s="129">
        <v>233.33</v>
      </c>
      <c r="F70" s="129">
        <v>243.88</v>
      </c>
      <c r="G70" s="129">
        <v>3499.95</v>
      </c>
      <c r="H70" s="129">
        <v>0</v>
      </c>
      <c r="I70" s="129">
        <v>0</v>
      </c>
      <c r="J70" s="129">
        <v>3499.95</v>
      </c>
      <c r="K70" s="129">
        <v>0</v>
      </c>
      <c r="L70" s="129">
        <v>0</v>
      </c>
      <c r="M70" s="129">
        <v>0</v>
      </c>
      <c r="N70" s="129">
        <v>0</v>
      </c>
      <c r="O70" s="129">
        <v>134.36000000000001</v>
      </c>
      <c r="P70" s="129">
        <v>86.88</v>
      </c>
      <c r="Q70" s="129">
        <v>0</v>
      </c>
      <c r="R70" s="129">
        <v>0</v>
      </c>
      <c r="S70" s="130">
        <v>-0.09</v>
      </c>
      <c r="T70" s="129">
        <v>221.15</v>
      </c>
      <c r="U70" s="129">
        <v>3278.8</v>
      </c>
      <c r="V70" s="129">
        <v>64.02</v>
      </c>
      <c r="W70" s="129">
        <v>115.23</v>
      </c>
      <c r="X70" s="129">
        <v>322.56</v>
      </c>
      <c r="Y70" s="129">
        <v>263.15999999999997</v>
      </c>
      <c r="Z70" s="129">
        <v>70</v>
      </c>
      <c r="AA70" s="129">
        <v>29.14</v>
      </c>
      <c r="AB70" s="129">
        <v>501.81</v>
      </c>
      <c r="AC70" s="129">
        <v>182.91</v>
      </c>
      <c r="AD70" s="129">
        <v>226.57999999999998</v>
      </c>
      <c r="AE70" s="129">
        <v>110</v>
      </c>
      <c r="AF70" s="60">
        <f t="shared" si="1"/>
        <v>191.65206439601357</v>
      </c>
    </row>
    <row r="71" spans="1:32" s="60" customFormat="1" x14ac:dyDescent="0.25">
      <c r="A71" s="128" t="s">
        <v>198</v>
      </c>
      <c r="B71" s="127" t="s">
        <v>199</v>
      </c>
      <c r="C71" s="129">
        <v>15</v>
      </c>
      <c r="D71" s="129">
        <v>0</v>
      </c>
      <c r="E71" s="129">
        <v>233.33</v>
      </c>
      <c r="F71" s="129">
        <v>247.46</v>
      </c>
      <c r="G71" s="129">
        <v>3499.95</v>
      </c>
      <c r="H71" s="129">
        <v>0</v>
      </c>
      <c r="I71" s="129">
        <v>0</v>
      </c>
      <c r="J71" s="129">
        <v>3499.95</v>
      </c>
      <c r="K71" s="129">
        <v>0</v>
      </c>
      <c r="L71" s="129">
        <v>1432.66</v>
      </c>
      <c r="M71" s="129">
        <v>0</v>
      </c>
      <c r="N71" s="129">
        <v>0</v>
      </c>
      <c r="O71" s="129">
        <v>134.36000000000001</v>
      </c>
      <c r="P71" s="129">
        <v>88.16</v>
      </c>
      <c r="Q71" s="129">
        <v>0</v>
      </c>
      <c r="R71" s="129">
        <v>0</v>
      </c>
      <c r="S71" s="141">
        <v>0.17</v>
      </c>
      <c r="T71" s="129">
        <v>1655.35</v>
      </c>
      <c r="U71" s="129">
        <v>1844.6</v>
      </c>
      <c r="V71" s="129">
        <v>64.959999999999994</v>
      </c>
      <c r="W71" s="129">
        <v>116.92</v>
      </c>
      <c r="X71" s="129">
        <v>323.5</v>
      </c>
      <c r="Y71" s="129">
        <v>264.24</v>
      </c>
      <c r="Z71" s="129">
        <v>70</v>
      </c>
      <c r="AA71" s="129">
        <v>29.57</v>
      </c>
      <c r="AB71" s="129">
        <v>505.38</v>
      </c>
      <c r="AC71" s="129">
        <v>185.6</v>
      </c>
      <c r="AD71" s="129">
        <v>227.12</v>
      </c>
      <c r="AE71" s="129">
        <v>110</v>
      </c>
      <c r="AF71" s="60">
        <f t="shared" si="1"/>
        <v>191.65206439601357</v>
      </c>
    </row>
    <row r="72" spans="1:32" s="60" customFormat="1" x14ac:dyDescent="0.25">
      <c r="A72" s="128" t="s">
        <v>277</v>
      </c>
      <c r="B72" s="127" t="s">
        <v>278</v>
      </c>
      <c r="C72" s="129">
        <v>15</v>
      </c>
      <c r="D72" s="129">
        <v>0</v>
      </c>
      <c r="E72" s="129">
        <v>210</v>
      </c>
      <c r="F72" s="129">
        <v>222.72</v>
      </c>
      <c r="G72" s="129">
        <v>3150</v>
      </c>
      <c r="H72" s="129">
        <v>0</v>
      </c>
      <c r="I72" s="129">
        <v>0</v>
      </c>
      <c r="J72" s="129">
        <v>3150</v>
      </c>
      <c r="K72" s="129">
        <v>0</v>
      </c>
      <c r="L72" s="129">
        <v>0</v>
      </c>
      <c r="M72" s="129">
        <v>0</v>
      </c>
      <c r="N72" s="129">
        <v>0</v>
      </c>
      <c r="O72" s="129">
        <v>96.29</v>
      </c>
      <c r="P72" s="129">
        <v>79.34</v>
      </c>
      <c r="Q72" s="129">
        <v>0</v>
      </c>
      <c r="R72" s="129">
        <v>0</v>
      </c>
      <c r="S72" s="130">
        <v>-0.03</v>
      </c>
      <c r="T72" s="129">
        <v>175.6</v>
      </c>
      <c r="U72" s="129">
        <v>2974.4</v>
      </c>
      <c r="V72" s="129">
        <v>58.46</v>
      </c>
      <c r="W72" s="129">
        <v>105.24</v>
      </c>
      <c r="X72" s="129">
        <v>317.01</v>
      </c>
      <c r="Y72" s="129">
        <v>256.82</v>
      </c>
      <c r="Z72" s="129">
        <v>63</v>
      </c>
      <c r="AA72" s="129">
        <v>26.61</v>
      </c>
      <c r="AB72" s="129">
        <v>480.71</v>
      </c>
      <c r="AC72" s="129">
        <v>167.04</v>
      </c>
      <c r="AD72" s="129">
        <v>223.41</v>
      </c>
      <c r="AE72" s="129">
        <v>110</v>
      </c>
      <c r="AF72" s="60">
        <f t="shared" si="1"/>
        <v>172.48932208958493</v>
      </c>
    </row>
    <row r="73" spans="1:32" s="60" customFormat="1" x14ac:dyDescent="0.25">
      <c r="A73" s="128" t="s">
        <v>207</v>
      </c>
      <c r="B73" s="127" t="s">
        <v>208</v>
      </c>
      <c r="C73" s="129">
        <v>15</v>
      </c>
      <c r="D73" s="129">
        <v>0</v>
      </c>
      <c r="E73" s="129">
        <v>210</v>
      </c>
      <c r="F73" s="129">
        <v>222.72</v>
      </c>
      <c r="G73" s="129">
        <v>3150</v>
      </c>
      <c r="H73" s="129">
        <v>0</v>
      </c>
      <c r="I73" s="129">
        <v>0</v>
      </c>
      <c r="J73" s="129">
        <v>3150</v>
      </c>
      <c r="K73" s="129">
        <v>0</v>
      </c>
      <c r="L73" s="129">
        <v>0</v>
      </c>
      <c r="M73" s="129">
        <v>310.29000000000002</v>
      </c>
      <c r="N73" s="129">
        <v>0</v>
      </c>
      <c r="O73" s="129">
        <v>96.29</v>
      </c>
      <c r="P73" s="129">
        <v>79.34</v>
      </c>
      <c r="Q73" s="129">
        <v>0</v>
      </c>
      <c r="R73" s="129">
        <v>0</v>
      </c>
      <c r="S73" s="141">
        <v>0.08</v>
      </c>
      <c r="T73" s="129">
        <v>486</v>
      </c>
      <c r="U73" s="129">
        <v>2664</v>
      </c>
      <c r="V73" s="129">
        <v>58.46</v>
      </c>
      <c r="W73" s="129">
        <v>105.24</v>
      </c>
      <c r="X73" s="129">
        <v>317.01</v>
      </c>
      <c r="Y73" s="129">
        <v>256.82</v>
      </c>
      <c r="Z73" s="129">
        <v>63</v>
      </c>
      <c r="AA73" s="129">
        <v>26.61</v>
      </c>
      <c r="AB73" s="129">
        <v>480.71</v>
      </c>
      <c r="AC73" s="129">
        <v>167.04</v>
      </c>
      <c r="AD73" s="129">
        <v>223.41</v>
      </c>
      <c r="AE73" s="129">
        <v>110</v>
      </c>
      <c r="AF73" s="60">
        <f t="shared" ref="AF73:AF93" si="2">((20/365.24)*15)*E73</f>
        <v>172.48932208958493</v>
      </c>
    </row>
    <row r="74" spans="1:32" s="60" customFormat="1" x14ac:dyDescent="0.25">
      <c r="A74" s="128" t="s">
        <v>93</v>
      </c>
      <c r="B74" s="127" t="s">
        <v>94</v>
      </c>
      <c r="C74" s="129">
        <v>15</v>
      </c>
      <c r="D74" s="129">
        <v>0</v>
      </c>
      <c r="E74" s="129">
        <v>210</v>
      </c>
      <c r="F74" s="129">
        <v>222.72</v>
      </c>
      <c r="G74" s="129">
        <v>3150</v>
      </c>
      <c r="H74" s="129">
        <v>0</v>
      </c>
      <c r="I74" s="129">
        <v>0</v>
      </c>
      <c r="J74" s="129">
        <v>3150</v>
      </c>
      <c r="K74" s="129">
        <v>0</v>
      </c>
      <c r="L74" s="129">
        <v>0</v>
      </c>
      <c r="M74" s="129">
        <v>0</v>
      </c>
      <c r="N74" s="141">
        <v>0</v>
      </c>
      <c r="O74" s="129">
        <v>96.29</v>
      </c>
      <c r="P74" s="129">
        <v>79.34</v>
      </c>
      <c r="Q74" s="129">
        <v>0</v>
      </c>
      <c r="R74" s="129">
        <v>0</v>
      </c>
      <c r="S74" s="129">
        <v>0.17</v>
      </c>
      <c r="T74" s="129">
        <v>175.8</v>
      </c>
      <c r="U74" s="129">
        <v>2974.2</v>
      </c>
      <c r="V74" s="129">
        <v>58.46</v>
      </c>
      <c r="W74" s="129">
        <v>105.24</v>
      </c>
      <c r="X74" s="129">
        <v>317.01</v>
      </c>
      <c r="Y74" s="129">
        <v>256.82</v>
      </c>
      <c r="Z74" s="129">
        <v>63</v>
      </c>
      <c r="AA74" s="129">
        <v>26.61</v>
      </c>
      <c r="AB74" s="129">
        <v>480.71</v>
      </c>
      <c r="AC74" s="129">
        <v>167.04</v>
      </c>
      <c r="AD74" s="129">
        <v>223.41</v>
      </c>
      <c r="AE74" s="129">
        <v>110</v>
      </c>
      <c r="AF74" s="60">
        <f t="shared" si="2"/>
        <v>172.48932208958493</v>
      </c>
    </row>
    <row r="75" spans="1:32" s="60" customFormat="1" x14ac:dyDescent="0.25">
      <c r="A75" s="128" t="s">
        <v>112</v>
      </c>
      <c r="B75" s="127" t="s">
        <v>113</v>
      </c>
      <c r="C75" s="129">
        <v>15</v>
      </c>
      <c r="D75" s="129">
        <v>0</v>
      </c>
      <c r="E75" s="129">
        <v>210</v>
      </c>
      <c r="F75" s="129">
        <v>222.72</v>
      </c>
      <c r="G75" s="129">
        <v>3150</v>
      </c>
      <c r="H75" s="129">
        <v>0</v>
      </c>
      <c r="I75" s="129">
        <v>0</v>
      </c>
      <c r="J75" s="129">
        <v>3150</v>
      </c>
      <c r="K75" s="129">
        <v>0</v>
      </c>
      <c r="L75" s="129">
        <v>0</v>
      </c>
      <c r="M75" s="129">
        <v>963.28</v>
      </c>
      <c r="N75" s="129">
        <v>0</v>
      </c>
      <c r="O75" s="129">
        <v>96.29</v>
      </c>
      <c r="P75" s="129">
        <v>79.34</v>
      </c>
      <c r="Q75" s="129">
        <v>0</v>
      </c>
      <c r="R75" s="129">
        <v>0</v>
      </c>
      <c r="S75" s="130">
        <v>-0.11</v>
      </c>
      <c r="T75" s="129">
        <v>1138.8</v>
      </c>
      <c r="U75" s="129">
        <v>2011.2</v>
      </c>
      <c r="V75" s="129">
        <v>58.46</v>
      </c>
      <c r="W75" s="129">
        <v>105.24</v>
      </c>
      <c r="X75" s="129">
        <v>317.01</v>
      </c>
      <c r="Y75" s="129">
        <v>256.82</v>
      </c>
      <c r="Z75" s="129">
        <v>63</v>
      </c>
      <c r="AA75" s="129">
        <v>26.61</v>
      </c>
      <c r="AB75" s="129">
        <v>480.71</v>
      </c>
      <c r="AC75" s="129">
        <v>167.04</v>
      </c>
      <c r="AD75" s="129">
        <v>223.41</v>
      </c>
      <c r="AE75" s="129">
        <v>110</v>
      </c>
      <c r="AF75" s="60">
        <f t="shared" si="2"/>
        <v>172.48932208958493</v>
      </c>
    </row>
    <row r="76" spans="1:32" s="60" customFormat="1" x14ac:dyDescent="0.25">
      <c r="A76" s="128" t="s">
        <v>155</v>
      </c>
      <c r="B76" s="127" t="s">
        <v>156</v>
      </c>
      <c r="C76" s="129">
        <v>15</v>
      </c>
      <c r="D76" s="129">
        <v>0</v>
      </c>
      <c r="E76" s="129">
        <v>200</v>
      </c>
      <c r="F76" s="129">
        <v>209.04</v>
      </c>
      <c r="G76" s="129">
        <v>3000</v>
      </c>
      <c r="H76" s="129">
        <v>0</v>
      </c>
      <c r="I76" s="129">
        <v>0</v>
      </c>
      <c r="J76" s="129">
        <v>3000</v>
      </c>
      <c r="K76" s="129">
        <v>0</v>
      </c>
      <c r="L76" s="129">
        <v>0</v>
      </c>
      <c r="M76" s="129">
        <v>1610.6</v>
      </c>
      <c r="N76" s="129">
        <v>0</v>
      </c>
      <c r="O76" s="129">
        <v>59.69</v>
      </c>
      <c r="P76" s="129">
        <v>74.48</v>
      </c>
      <c r="Q76" s="129">
        <v>0</v>
      </c>
      <c r="R76" s="129">
        <v>0</v>
      </c>
      <c r="S76" s="129">
        <v>0.03</v>
      </c>
      <c r="T76" s="129">
        <v>1744.8</v>
      </c>
      <c r="U76" s="129">
        <v>1255.2</v>
      </c>
      <c r="V76" s="129">
        <v>54.87</v>
      </c>
      <c r="W76" s="129">
        <v>98.77</v>
      </c>
      <c r="X76" s="129">
        <v>313.41000000000003</v>
      </c>
      <c r="Y76" s="129">
        <v>252.71</v>
      </c>
      <c r="Z76" s="129">
        <v>60</v>
      </c>
      <c r="AA76" s="129">
        <v>24.98</v>
      </c>
      <c r="AB76" s="129">
        <v>467.05</v>
      </c>
      <c r="AC76" s="129">
        <v>156.78</v>
      </c>
      <c r="AD76" s="129">
        <v>221.36</v>
      </c>
      <c r="AE76" s="129">
        <v>110</v>
      </c>
      <c r="AF76" s="60">
        <f t="shared" si="2"/>
        <v>164.27554484722373</v>
      </c>
    </row>
    <row r="77" spans="1:32" s="60" customFormat="1" x14ac:dyDescent="0.25">
      <c r="A77" s="128" t="s">
        <v>176</v>
      </c>
      <c r="B77" s="127" t="s">
        <v>177</v>
      </c>
      <c r="C77" s="129">
        <v>15</v>
      </c>
      <c r="D77" s="129">
        <v>0</v>
      </c>
      <c r="E77" s="129">
        <v>200</v>
      </c>
      <c r="F77" s="129">
        <v>209.04</v>
      </c>
      <c r="G77" s="129">
        <v>3000</v>
      </c>
      <c r="H77" s="129">
        <v>0</v>
      </c>
      <c r="I77" s="129">
        <v>0</v>
      </c>
      <c r="J77" s="129">
        <v>3000</v>
      </c>
      <c r="K77" s="129">
        <v>0</v>
      </c>
      <c r="L77" s="129">
        <v>0</v>
      </c>
      <c r="M77" s="129">
        <v>0</v>
      </c>
      <c r="N77" s="141">
        <v>0</v>
      </c>
      <c r="O77" s="129">
        <v>59.69</v>
      </c>
      <c r="P77" s="129">
        <v>74.48</v>
      </c>
      <c r="Q77" s="129">
        <v>0</v>
      </c>
      <c r="R77" s="138">
        <v>472.5</v>
      </c>
      <c r="S77" s="139">
        <v>-7.0000000000000007E-2</v>
      </c>
      <c r="T77" s="140">
        <v>606.6</v>
      </c>
      <c r="U77" s="141">
        <v>2393.4</v>
      </c>
      <c r="V77" s="129">
        <v>54.87</v>
      </c>
      <c r="W77" s="129">
        <v>98.77</v>
      </c>
      <c r="X77" s="129">
        <v>313.41000000000003</v>
      </c>
      <c r="Y77" s="129">
        <v>252.71</v>
      </c>
      <c r="Z77" s="129">
        <v>60</v>
      </c>
      <c r="AA77" s="129">
        <v>24.98</v>
      </c>
      <c r="AB77" s="129">
        <v>467.05</v>
      </c>
      <c r="AC77" s="129">
        <v>156.78</v>
      </c>
      <c r="AD77" s="129">
        <v>221.36</v>
      </c>
      <c r="AE77" s="129">
        <v>110</v>
      </c>
      <c r="AF77" s="60">
        <f t="shared" si="2"/>
        <v>164.27554484722373</v>
      </c>
    </row>
    <row r="78" spans="1:32" s="60" customFormat="1" x14ac:dyDescent="0.25">
      <c r="A78" s="128" t="s">
        <v>96</v>
      </c>
      <c r="B78" s="127" t="s">
        <v>97</v>
      </c>
      <c r="C78" s="129">
        <v>15</v>
      </c>
      <c r="D78" s="129">
        <v>0</v>
      </c>
      <c r="E78" s="129">
        <v>200</v>
      </c>
      <c r="F78" s="129">
        <v>212.11</v>
      </c>
      <c r="G78" s="129">
        <v>3000</v>
      </c>
      <c r="H78" s="129">
        <v>0</v>
      </c>
      <c r="I78" s="129">
        <v>0</v>
      </c>
      <c r="J78" s="129">
        <v>3000</v>
      </c>
      <c r="K78" s="129">
        <v>0</v>
      </c>
      <c r="L78" s="129">
        <v>0</v>
      </c>
      <c r="M78" s="129">
        <v>476.75</v>
      </c>
      <c r="N78" s="129">
        <v>0</v>
      </c>
      <c r="O78" s="129">
        <v>59.69</v>
      </c>
      <c r="P78" s="129">
        <v>75.56</v>
      </c>
      <c r="Q78" s="129">
        <v>0</v>
      </c>
      <c r="R78" s="129">
        <v>0</v>
      </c>
      <c r="S78" s="141">
        <v>0</v>
      </c>
      <c r="T78" s="129">
        <v>612</v>
      </c>
      <c r="U78" s="129">
        <v>2388</v>
      </c>
      <c r="V78" s="129">
        <v>55.68</v>
      </c>
      <c r="W78" s="129">
        <v>100.22</v>
      </c>
      <c r="X78" s="129">
        <v>314.22000000000003</v>
      </c>
      <c r="Y78" s="129">
        <v>253.63</v>
      </c>
      <c r="Z78" s="129">
        <v>60</v>
      </c>
      <c r="AA78" s="129">
        <v>25.34</v>
      </c>
      <c r="AB78" s="129">
        <v>470.12</v>
      </c>
      <c r="AC78" s="129">
        <v>159.08000000000001</v>
      </c>
      <c r="AD78" s="129">
        <v>221.82</v>
      </c>
      <c r="AE78" s="129">
        <v>110</v>
      </c>
      <c r="AF78" s="60">
        <f t="shared" si="2"/>
        <v>164.27554484722373</v>
      </c>
    </row>
    <row r="79" spans="1:32" s="60" customFormat="1" x14ac:dyDescent="0.25">
      <c r="A79" s="128" t="s">
        <v>195</v>
      </c>
      <c r="B79" s="127" t="s">
        <v>196</v>
      </c>
      <c r="C79" s="129">
        <v>15</v>
      </c>
      <c r="D79" s="129">
        <v>0</v>
      </c>
      <c r="E79" s="129">
        <v>116.67</v>
      </c>
      <c r="F79" s="129">
        <v>123.73</v>
      </c>
      <c r="G79" s="129">
        <v>1750.05</v>
      </c>
      <c r="H79" s="129">
        <v>0</v>
      </c>
      <c r="I79" s="129">
        <v>0</v>
      </c>
      <c r="J79" s="129">
        <v>1750.05</v>
      </c>
      <c r="K79" s="129">
        <v>0</v>
      </c>
      <c r="L79" s="129">
        <v>0</v>
      </c>
      <c r="M79" s="129">
        <v>855.09</v>
      </c>
      <c r="N79" s="139">
        <v>-89.5</v>
      </c>
      <c r="O79" s="129">
        <v>0</v>
      </c>
      <c r="P79" s="129">
        <v>44.08</v>
      </c>
      <c r="Q79" s="129">
        <v>0</v>
      </c>
      <c r="R79" s="129">
        <v>0</v>
      </c>
      <c r="S79" s="139">
        <v>-0.02</v>
      </c>
      <c r="T79" s="129">
        <v>809.65</v>
      </c>
      <c r="U79" s="129">
        <v>940.4</v>
      </c>
      <c r="V79" s="129">
        <v>32.479999999999997</v>
      </c>
      <c r="W79" s="129">
        <v>58.46</v>
      </c>
      <c r="X79" s="129">
        <v>291.02</v>
      </c>
      <c r="Y79" s="129">
        <v>227.12</v>
      </c>
      <c r="Z79" s="129">
        <v>35</v>
      </c>
      <c r="AA79" s="129">
        <v>14.78</v>
      </c>
      <c r="AB79" s="129">
        <v>381.96</v>
      </c>
      <c r="AC79" s="129">
        <v>92.8</v>
      </c>
      <c r="AD79" s="129">
        <v>208.56</v>
      </c>
      <c r="AE79" s="129">
        <v>110</v>
      </c>
      <c r="AF79" s="60">
        <f t="shared" si="2"/>
        <v>95.830139086627966</v>
      </c>
    </row>
    <row r="80" spans="1:32" s="60" customFormat="1" x14ac:dyDescent="0.25">
      <c r="A80" s="128" t="s">
        <v>306</v>
      </c>
      <c r="B80" s="127" t="s">
        <v>307</v>
      </c>
      <c r="C80" s="129">
        <v>15</v>
      </c>
      <c r="D80" s="129">
        <v>0</v>
      </c>
      <c r="E80" s="129">
        <v>116.67</v>
      </c>
      <c r="F80" s="129">
        <v>123.73</v>
      </c>
      <c r="G80" s="129">
        <v>1750.05</v>
      </c>
      <c r="H80" s="129">
        <v>0</v>
      </c>
      <c r="I80" s="129">
        <v>0</v>
      </c>
      <c r="J80" s="129">
        <v>1750.05</v>
      </c>
      <c r="K80" s="129">
        <v>0</v>
      </c>
      <c r="L80" s="129">
        <v>911.41</v>
      </c>
      <c r="M80" s="129">
        <v>0</v>
      </c>
      <c r="N80" s="139">
        <v>-89.5</v>
      </c>
      <c r="O80" s="129">
        <v>0</v>
      </c>
      <c r="P80" s="129">
        <v>44.08</v>
      </c>
      <c r="Q80" s="129">
        <v>0</v>
      </c>
      <c r="R80" s="129">
        <v>243.6</v>
      </c>
      <c r="S80" s="141">
        <v>0.06</v>
      </c>
      <c r="T80" s="129">
        <v>1109.6500000000001</v>
      </c>
      <c r="U80" s="129">
        <v>640.4</v>
      </c>
      <c r="V80" s="129">
        <v>32.479999999999997</v>
      </c>
      <c r="W80" s="129">
        <v>58.46</v>
      </c>
      <c r="X80" s="129">
        <v>291.02</v>
      </c>
      <c r="Y80" s="129">
        <v>227.12</v>
      </c>
      <c r="Z80" s="129">
        <v>35</v>
      </c>
      <c r="AA80" s="129">
        <v>14.78</v>
      </c>
      <c r="AB80" s="129">
        <v>381.96</v>
      </c>
      <c r="AC80" s="129">
        <v>92.8</v>
      </c>
      <c r="AD80" s="129">
        <v>208.56</v>
      </c>
      <c r="AE80" s="129">
        <v>110</v>
      </c>
      <c r="AF80" s="60">
        <f t="shared" si="2"/>
        <v>95.830139086627966</v>
      </c>
    </row>
    <row r="81" spans="1:34" s="60" customFormat="1" x14ac:dyDescent="0.25">
      <c r="A81" s="128" t="s">
        <v>261</v>
      </c>
      <c r="B81" s="127" t="s">
        <v>262</v>
      </c>
      <c r="C81" s="129">
        <v>15</v>
      </c>
      <c r="D81" s="129">
        <v>0</v>
      </c>
      <c r="E81" s="129">
        <v>210</v>
      </c>
      <c r="F81" s="129">
        <v>222.72</v>
      </c>
      <c r="G81" s="129">
        <v>3150</v>
      </c>
      <c r="H81" s="129">
        <v>0</v>
      </c>
      <c r="I81" s="129">
        <v>0</v>
      </c>
      <c r="J81" s="129">
        <v>3150</v>
      </c>
      <c r="K81" s="129">
        <v>0</v>
      </c>
      <c r="L81" s="129">
        <v>0</v>
      </c>
      <c r="M81" s="129">
        <v>0</v>
      </c>
      <c r="N81" s="129">
        <v>0</v>
      </c>
      <c r="O81" s="129">
        <v>96.29</v>
      </c>
      <c r="P81" s="129">
        <v>79.34</v>
      </c>
      <c r="Q81" s="129">
        <v>0</v>
      </c>
      <c r="R81" s="129">
        <v>0</v>
      </c>
      <c r="S81" s="130">
        <v>-0.03</v>
      </c>
      <c r="T81" s="129">
        <v>175.6</v>
      </c>
      <c r="U81" s="129">
        <v>2974.4</v>
      </c>
      <c r="V81" s="129">
        <v>58.46</v>
      </c>
      <c r="W81" s="129">
        <v>105.24</v>
      </c>
      <c r="X81" s="129">
        <v>317.01</v>
      </c>
      <c r="Y81" s="129">
        <v>256.82</v>
      </c>
      <c r="Z81" s="129">
        <v>63</v>
      </c>
      <c r="AA81" s="129">
        <v>26.61</v>
      </c>
      <c r="AB81" s="129">
        <v>480.71</v>
      </c>
      <c r="AC81" s="129">
        <v>167.04</v>
      </c>
      <c r="AD81" s="129">
        <v>223.41</v>
      </c>
      <c r="AE81" s="129">
        <v>110</v>
      </c>
      <c r="AF81" s="60">
        <f t="shared" si="2"/>
        <v>172.48932208958493</v>
      </c>
    </row>
    <row r="82" spans="1:34" s="60" customFormat="1" x14ac:dyDescent="0.25">
      <c r="A82" s="128" t="s">
        <v>131</v>
      </c>
      <c r="B82" s="127" t="s">
        <v>132</v>
      </c>
      <c r="C82" s="129">
        <v>15</v>
      </c>
      <c r="D82" s="129">
        <v>0</v>
      </c>
      <c r="E82" s="129">
        <v>233.33</v>
      </c>
      <c r="F82" s="129">
        <v>247.46</v>
      </c>
      <c r="G82" s="129">
        <v>3499.95</v>
      </c>
      <c r="H82" s="129">
        <v>0</v>
      </c>
      <c r="I82" s="129">
        <v>0</v>
      </c>
      <c r="J82" s="129">
        <v>3499.95</v>
      </c>
      <c r="K82" s="129">
        <v>0</v>
      </c>
      <c r="L82" s="129">
        <v>0</v>
      </c>
      <c r="M82" s="129">
        <v>0</v>
      </c>
      <c r="N82" s="129">
        <v>0</v>
      </c>
      <c r="O82" s="129">
        <v>134.36000000000001</v>
      </c>
      <c r="P82" s="129">
        <v>88.16</v>
      </c>
      <c r="Q82" s="129">
        <v>0</v>
      </c>
      <c r="R82" s="129">
        <v>0</v>
      </c>
      <c r="S82" s="141">
        <v>0.03</v>
      </c>
      <c r="T82" s="129">
        <v>222.55</v>
      </c>
      <c r="U82" s="129">
        <v>3277.4</v>
      </c>
      <c r="V82" s="129">
        <v>64.959999999999994</v>
      </c>
      <c r="W82" s="129">
        <v>116.92</v>
      </c>
      <c r="X82" s="129">
        <v>323.5</v>
      </c>
      <c r="Y82" s="129">
        <v>264.24</v>
      </c>
      <c r="Z82" s="129">
        <v>70</v>
      </c>
      <c r="AA82" s="129">
        <v>29.57</v>
      </c>
      <c r="AB82" s="129">
        <v>505.38</v>
      </c>
      <c r="AC82" s="129">
        <v>185.6</v>
      </c>
      <c r="AD82" s="129">
        <v>227.12</v>
      </c>
      <c r="AE82" s="129">
        <v>110</v>
      </c>
      <c r="AF82" s="60">
        <f t="shared" si="2"/>
        <v>191.65206439601357</v>
      </c>
    </row>
    <row r="83" spans="1:34" s="60" customFormat="1" x14ac:dyDescent="0.25">
      <c r="A83" s="128" t="s">
        <v>158</v>
      </c>
      <c r="B83" s="127" t="s">
        <v>159</v>
      </c>
      <c r="C83" s="129">
        <v>15</v>
      </c>
      <c r="D83" s="129">
        <v>0</v>
      </c>
      <c r="E83" s="129">
        <v>210</v>
      </c>
      <c r="F83" s="129">
        <v>219.49</v>
      </c>
      <c r="G83" s="129">
        <v>3150</v>
      </c>
      <c r="H83" s="129">
        <v>0</v>
      </c>
      <c r="I83" s="129">
        <v>0</v>
      </c>
      <c r="J83" s="129">
        <v>3150</v>
      </c>
      <c r="K83" s="129">
        <v>0</v>
      </c>
      <c r="L83" s="129">
        <v>1183.26</v>
      </c>
      <c r="M83" s="129">
        <v>0</v>
      </c>
      <c r="N83" s="129">
        <v>0</v>
      </c>
      <c r="O83" s="129">
        <v>96.29</v>
      </c>
      <c r="P83" s="129">
        <v>78.2</v>
      </c>
      <c r="Q83" s="129">
        <v>0</v>
      </c>
      <c r="R83" s="129">
        <v>0</v>
      </c>
      <c r="S83" s="129">
        <v>0.05</v>
      </c>
      <c r="T83" s="129">
        <v>1357.8</v>
      </c>
      <c r="U83" s="129">
        <v>1792.2</v>
      </c>
      <c r="V83" s="129">
        <v>57.62</v>
      </c>
      <c r="W83" s="129">
        <v>103.71</v>
      </c>
      <c r="X83" s="129">
        <v>316.16000000000003</v>
      </c>
      <c r="Y83" s="129">
        <v>255.85</v>
      </c>
      <c r="Z83" s="129">
        <v>63</v>
      </c>
      <c r="AA83" s="129">
        <v>26.23</v>
      </c>
      <c r="AB83" s="129">
        <v>477.49</v>
      </c>
      <c r="AC83" s="129">
        <v>164.62</v>
      </c>
      <c r="AD83" s="129">
        <v>222.92000000000002</v>
      </c>
      <c r="AE83" s="129">
        <v>110</v>
      </c>
      <c r="AF83" s="60">
        <f t="shared" si="2"/>
        <v>172.48932208958493</v>
      </c>
    </row>
    <row r="84" spans="1:34" s="60" customFormat="1" x14ac:dyDescent="0.25">
      <c r="A84" s="128" t="s">
        <v>88</v>
      </c>
      <c r="B84" s="127" t="s">
        <v>90</v>
      </c>
      <c r="C84" s="129">
        <v>15</v>
      </c>
      <c r="D84" s="129">
        <v>0</v>
      </c>
      <c r="E84" s="129">
        <v>200</v>
      </c>
      <c r="F84" s="129">
        <v>212.11</v>
      </c>
      <c r="G84" s="129">
        <v>3000</v>
      </c>
      <c r="H84" s="129">
        <v>0</v>
      </c>
      <c r="I84" s="129">
        <v>0</v>
      </c>
      <c r="J84" s="129">
        <v>3000</v>
      </c>
      <c r="K84" s="129">
        <v>0</v>
      </c>
      <c r="L84" s="129">
        <v>0</v>
      </c>
      <c r="M84" s="129">
        <v>0</v>
      </c>
      <c r="N84" s="129">
        <v>0</v>
      </c>
      <c r="O84" s="129">
        <v>59.69</v>
      </c>
      <c r="P84" s="129">
        <v>75.56</v>
      </c>
      <c r="Q84" s="129">
        <v>0</v>
      </c>
      <c r="R84" s="129">
        <v>0</v>
      </c>
      <c r="S84" s="130">
        <v>-0.05</v>
      </c>
      <c r="T84" s="129">
        <v>135.19999999999999</v>
      </c>
      <c r="U84" s="129">
        <v>2864.8</v>
      </c>
      <c r="V84" s="129">
        <v>55.68</v>
      </c>
      <c r="W84" s="129">
        <v>100.22</v>
      </c>
      <c r="X84" s="129">
        <v>314.22000000000003</v>
      </c>
      <c r="Y84" s="129">
        <v>253.63</v>
      </c>
      <c r="Z84" s="129">
        <v>60</v>
      </c>
      <c r="AA84" s="129">
        <v>25.34</v>
      </c>
      <c r="AB84" s="129">
        <v>470.12</v>
      </c>
      <c r="AC84" s="129">
        <v>159.08000000000001</v>
      </c>
      <c r="AD84" s="129">
        <v>221.82</v>
      </c>
      <c r="AE84" s="129">
        <v>110</v>
      </c>
      <c r="AF84" s="60">
        <f t="shared" si="2"/>
        <v>164.27554484722373</v>
      </c>
    </row>
    <row r="85" spans="1:34" s="60" customFormat="1" x14ac:dyDescent="0.25">
      <c r="A85" s="128" t="s">
        <v>327</v>
      </c>
      <c r="B85" s="127" t="s">
        <v>328</v>
      </c>
      <c r="C85" s="129">
        <v>15</v>
      </c>
      <c r="D85" s="129">
        <v>0</v>
      </c>
      <c r="E85" s="129">
        <v>200</v>
      </c>
      <c r="F85" s="129">
        <v>212.11</v>
      </c>
      <c r="G85" s="129">
        <v>3000</v>
      </c>
      <c r="H85" s="129">
        <v>0</v>
      </c>
      <c r="I85" s="129">
        <v>0</v>
      </c>
      <c r="J85" s="129">
        <v>3000</v>
      </c>
      <c r="K85" s="129">
        <v>0</v>
      </c>
      <c r="L85" s="129">
        <v>652.17999999999995</v>
      </c>
      <c r="M85" s="129">
        <v>0</v>
      </c>
      <c r="N85" s="141">
        <v>0</v>
      </c>
      <c r="O85" s="129">
        <v>59.69</v>
      </c>
      <c r="P85" s="129">
        <v>75.56</v>
      </c>
      <c r="Q85" s="129">
        <v>636.6</v>
      </c>
      <c r="R85" s="129">
        <v>0</v>
      </c>
      <c r="S85" s="139">
        <v>-0.03</v>
      </c>
      <c r="T85" s="129">
        <v>1424</v>
      </c>
      <c r="U85" s="129">
        <v>1576</v>
      </c>
      <c r="V85" s="129">
        <v>55.68</v>
      </c>
      <c r="W85" s="129">
        <v>100.22</v>
      </c>
      <c r="X85" s="129">
        <v>314.22000000000003</v>
      </c>
      <c r="Y85" s="129">
        <v>253.63</v>
      </c>
      <c r="Z85" s="129">
        <v>60</v>
      </c>
      <c r="AA85" s="129">
        <v>25.34</v>
      </c>
      <c r="AB85" s="129">
        <v>470.12</v>
      </c>
      <c r="AC85" s="129">
        <v>159.08000000000001</v>
      </c>
      <c r="AD85" s="129">
        <v>221.82</v>
      </c>
      <c r="AE85" s="129">
        <v>110</v>
      </c>
      <c r="AF85" s="60">
        <f t="shared" si="2"/>
        <v>164.27554484722373</v>
      </c>
    </row>
    <row r="86" spans="1:34" s="60" customFormat="1" x14ac:dyDescent="0.25">
      <c r="A86" s="128" t="s">
        <v>366</v>
      </c>
      <c r="B86" s="127" t="s">
        <v>334</v>
      </c>
      <c r="C86" s="129">
        <v>15</v>
      </c>
      <c r="D86" s="129">
        <v>0</v>
      </c>
      <c r="E86" s="129">
        <v>166.67</v>
      </c>
      <c r="F86" s="129">
        <v>176.76</v>
      </c>
      <c r="G86" s="129">
        <v>2500.0500000000002</v>
      </c>
      <c r="H86" s="129">
        <v>0</v>
      </c>
      <c r="I86" s="129">
        <v>0</v>
      </c>
      <c r="J86" s="129">
        <v>2500.0500000000002</v>
      </c>
      <c r="K86" s="129">
        <v>0</v>
      </c>
      <c r="L86" s="129">
        <v>0</v>
      </c>
      <c r="M86" s="129">
        <v>0</v>
      </c>
      <c r="N86" s="139">
        <v>-9.6199999999999992</v>
      </c>
      <c r="O86" s="129">
        <v>0</v>
      </c>
      <c r="P86" s="129">
        <v>62.97</v>
      </c>
      <c r="Q86" s="129">
        <v>0</v>
      </c>
      <c r="R86" s="129">
        <v>0</v>
      </c>
      <c r="S86" s="139">
        <v>-0.1</v>
      </c>
      <c r="T86" s="129">
        <v>53.25</v>
      </c>
      <c r="U86" s="129">
        <v>2446.8000000000002</v>
      </c>
      <c r="V86" s="129">
        <v>46.4</v>
      </c>
      <c r="W86" s="129">
        <v>83.52</v>
      </c>
      <c r="X86" s="129">
        <v>304.94</v>
      </c>
      <c r="Y86" s="129">
        <v>243.03</v>
      </c>
      <c r="Z86" s="129">
        <v>50</v>
      </c>
      <c r="AA86" s="129">
        <v>21.12</v>
      </c>
      <c r="AB86" s="129">
        <v>434.86</v>
      </c>
      <c r="AC86" s="129">
        <v>132.57</v>
      </c>
      <c r="AD86" s="129">
        <v>216.51</v>
      </c>
      <c r="AE86" s="129">
        <v>110</v>
      </c>
      <c r="AF86" s="60">
        <f t="shared" si="2"/>
        <v>136.89902529843388</v>
      </c>
    </row>
    <row r="87" spans="1:34" s="60" customFormat="1" x14ac:dyDescent="0.25">
      <c r="A87" s="128" t="s">
        <v>367</v>
      </c>
      <c r="B87" s="127" t="s">
        <v>336</v>
      </c>
      <c r="C87" s="129">
        <v>15</v>
      </c>
      <c r="D87" s="129">
        <v>0</v>
      </c>
      <c r="E87" s="129">
        <v>200</v>
      </c>
      <c r="F87" s="129">
        <v>209.04</v>
      </c>
      <c r="G87" s="129">
        <v>3000</v>
      </c>
      <c r="H87" s="129">
        <v>0</v>
      </c>
      <c r="I87" s="129">
        <v>0</v>
      </c>
      <c r="J87" s="129">
        <v>3000</v>
      </c>
      <c r="K87" s="129">
        <v>0</v>
      </c>
      <c r="L87" s="129">
        <v>0</v>
      </c>
      <c r="M87" s="129">
        <v>0</v>
      </c>
      <c r="N87" s="129">
        <v>0</v>
      </c>
      <c r="O87" s="129">
        <v>59.69</v>
      </c>
      <c r="P87" s="129">
        <v>74.48</v>
      </c>
      <c r="Q87" s="129">
        <v>0</v>
      </c>
      <c r="R87" s="129">
        <v>0</v>
      </c>
      <c r="S87" s="141">
        <v>0.03</v>
      </c>
      <c r="T87" s="129">
        <v>134.19999999999999</v>
      </c>
      <c r="U87" s="129">
        <v>2865.8</v>
      </c>
      <c r="V87" s="129">
        <v>54.87</v>
      </c>
      <c r="W87" s="129">
        <v>98.77</v>
      </c>
      <c r="X87" s="129">
        <v>313.41000000000003</v>
      </c>
      <c r="Y87" s="129">
        <v>252.71</v>
      </c>
      <c r="Z87" s="129">
        <v>60</v>
      </c>
      <c r="AA87" s="129">
        <v>24.98</v>
      </c>
      <c r="AB87" s="129">
        <v>467.05</v>
      </c>
      <c r="AC87" s="129">
        <v>156.78</v>
      </c>
      <c r="AD87" s="129">
        <v>221.36</v>
      </c>
      <c r="AE87" s="129">
        <v>110</v>
      </c>
      <c r="AF87" s="60">
        <f t="shared" si="2"/>
        <v>164.27554484722373</v>
      </c>
    </row>
    <row r="88" spans="1:34" s="60" customFormat="1" x14ac:dyDescent="0.25">
      <c r="A88" s="128" t="s">
        <v>421</v>
      </c>
      <c r="B88" s="127" t="s">
        <v>422</v>
      </c>
      <c r="C88" s="129">
        <v>15</v>
      </c>
      <c r="D88" s="129">
        <v>0</v>
      </c>
      <c r="E88" s="129">
        <v>210</v>
      </c>
      <c r="F88" s="129">
        <v>219.83</v>
      </c>
      <c r="G88" s="129">
        <v>3150</v>
      </c>
      <c r="H88" s="129">
        <v>0</v>
      </c>
      <c r="I88" s="129">
        <v>0</v>
      </c>
      <c r="J88" s="129">
        <v>3150</v>
      </c>
      <c r="K88" s="129">
        <v>0</v>
      </c>
      <c r="L88" s="129">
        <v>0</v>
      </c>
      <c r="M88" s="129">
        <v>0</v>
      </c>
      <c r="N88" s="129">
        <v>0</v>
      </c>
      <c r="O88" s="129">
        <v>96.29</v>
      </c>
      <c r="P88" s="129">
        <v>78.319999999999993</v>
      </c>
      <c r="Q88" s="129">
        <v>0</v>
      </c>
      <c r="R88" s="129">
        <v>0</v>
      </c>
      <c r="S88" s="130">
        <v>-0.01</v>
      </c>
      <c r="T88" s="129">
        <v>174.6</v>
      </c>
      <c r="U88" s="129">
        <v>2975.4</v>
      </c>
      <c r="V88" s="129">
        <v>57.71</v>
      </c>
      <c r="W88" s="129">
        <v>103.87</v>
      </c>
      <c r="X88" s="129">
        <v>316.24</v>
      </c>
      <c r="Y88" s="129">
        <v>255.95</v>
      </c>
      <c r="Z88" s="129">
        <v>63</v>
      </c>
      <c r="AA88" s="129">
        <v>26.27</v>
      </c>
      <c r="AB88" s="129">
        <v>477.82</v>
      </c>
      <c r="AC88" s="129">
        <v>164.87</v>
      </c>
      <c r="AD88" s="129">
        <v>222.97</v>
      </c>
      <c r="AE88" s="129">
        <v>110</v>
      </c>
      <c r="AF88" s="60">
        <f t="shared" si="2"/>
        <v>172.48932208958493</v>
      </c>
    </row>
    <row r="89" spans="1:34" s="60" customFormat="1" x14ac:dyDescent="0.25">
      <c r="A89" s="128" t="s">
        <v>423</v>
      </c>
      <c r="B89" s="127" t="s">
        <v>424</v>
      </c>
      <c r="C89" s="129">
        <v>15</v>
      </c>
      <c r="D89" s="129">
        <v>0</v>
      </c>
      <c r="E89" s="129">
        <v>210</v>
      </c>
      <c r="F89" s="129">
        <v>219.49</v>
      </c>
      <c r="G89" s="129">
        <v>3150</v>
      </c>
      <c r="H89" s="129">
        <v>0</v>
      </c>
      <c r="I89" s="129">
        <v>0</v>
      </c>
      <c r="J89" s="129">
        <v>3150</v>
      </c>
      <c r="K89" s="129">
        <v>0</v>
      </c>
      <c r="L89" s="129">
        <v>0</v>
      </c>
      <c r="M89" s="129">
        <v>0</v>
      </c>
      <c r="N89" s="129">
        <v>0</v>
      </c>
      <c r="O89" s="129">
        <v>96.29</v>
      </c>
      <c r="P89" s="129">
        <v>78.2</v>
      </c>
      <c r="Q89" s="129">
        <v>0</v>
      </c>
      <c r="R89" s="129">
        <v>0</v>
      </c>
      <c r="S89" s="139">
        <v>-0.09</v>
      </c>
      <c r="T89" s="129">
        <v>174.4</v>
      </c>
      <c r="U89" s="129">
        <v>2975.6</v>
      </c>
      <c r="V89" s="129">
        <v>57.62</v>
      </c>
      <c r="W89" s="129">
        <v>103.71</v>
      </c>
      <c r="X89" s="129">
        <v>316.16000000000003</v>
      </c>
      <c r="Y89" s="129">
        <v>255.85</v>
      </c>
      <c r="Z89" s="129">
        <v>63</v>
      </c>
      <c r="AA89" s="129">
        <v>26.23</v>
      </c>
      <c r="AB89" s="129">
        <v>477.49</v>
      </c>
      <c r="AC89" s="129">
        <v>164.62</v>
      </c>
      <c r="AD89" s="129">
        <v>222.92000000000002</v>
      </c>
      <c r="AE89" s="129">
        <v>110</v>
      </c>
      <c r="AF89" s="60">
        <f t="shared" si="2"/>
        <v>172.48932208958493</v>
      </c>
    </row>
    <row r="90" spans="1:34" s="60" customFormat="1" x14ac:dyDescent="0.25">
      <c r="A90" s="128" t="s">
        <v>425</v>
      </c>
      <c r="B90" s="127" t="s">
        <v>426</v>
      </c>
      <c r="C90" s="129">
        <v>15</v>
      </c>
      <c r="D90" s="129">
        <v>0</v>
      </c>
      <c r="E90" s="129">
        <v>200</v>
      </c>
      <c r="F90" s="129">
        <v>209.04</v>
      </c>
      <c r="G90" s="129">
        <v>3000</v>
      </c>
      <c r="H90" s="129">
        <v>0</v>
      </c>
      <c r="I90" s="129">
        <v>0</v>
      </c>
      <c r="J90" s="129">
        <v>3000</v>
      </c>
      <c r="K90" s="129">
        <v>0</v>
      </c>
      <c r="L90" s="129">
        <v>0</v>
      </c>
      <c r="M90" s="129">
        <v>0</v>
      </c>
      <c r="N90" s="129">
        <v>0</v>
      </c>
      <c r="O90" s="129">
        <v>59.69</v>
      </c>
      <c r="P90" s="129">
        <v>74.48</v>
      </c>
      <c r="Q90" s="129">
        <v>0</v>
      </c>
      <c r="R90" s="145">
        <v>390</v>
      </c>
      <c r="S90" s="145">
        <v>0.03</v>
      </c>
      <c r="T90" s="145">
        <v>524.20000000000005</v>
      </c>
      <c r="U90" s="145">
        <v>2475.8000000000002</v>
      </c>
      <c r="V90" s="145">
        <v>54.87</v>
      </c>
      <c r="W90" s="129">
        <v>98.77</v>
      </c>
      <c r="X90" s="129">
        <v>313.41000000000003</v>
      </c>
      <c r="Y90" s="129">
        <v>252.71</v>
      </c>
      <c r="Z90" s="129">
        <v>60</v>
      </c>
      <c r="AA90" s="129">
        <v>24.98</v>
      </c>
      <c r="AB90" s="129">
        <v>467.05</v>
      </c>
      <c r="AC90" s="129">
        <v>156.78</v>
      </c>
      <c r="AD90" s="129">
        <v>221.36</v>
      </c>
      <c r="AE90" s="129">
        <v>110</v>
      </c>
      <c r="AF90" s="60">
        <f t="shared" si="2"/>
        <v>164.27554484722373</v>
      </c>
    </row>
    <row r="91" spans="1:34" s="60" customFormat="1" x14ac:dyDescent="0.25">
      <c r="A91" s="128" t="s">
        <v>454</v>
      </c>
      <c r="B91" s="127" t="s">
        <v>455</v>
      </c>
      <c r="C91" s="129">
        <v>14</v>
      </c>
      <c r="D91" s="129">
        <v>0</v>
      </c>
      <c r="E91" s="129">
        <v>200</v>
      </c>
      <c r="F91" s="129">
        <v>209.04</v>
      </c>
      <c r="G91" s="129">
        <v>2800</v>
      </c>
      <c r="H91" s="129">
        <v>0</v>
      </c>
      <c r="I91" s="129">
        <v>0</v>
      </c>
      <c r="J91" s="129">
        <v>2800</v>
      </c>
      <c r="K91" s="129">
        <v>0</v>
      </c>
      <c r="L91" s="129">
        <v>0</v>
      </c>
      <c r="M91" s="129">
        <v>0</v>
      </c>
      <c r="N91" s="129">
        <v>0</v>
      </c>
      <c r="O91" s="129">
        <v>37.93</v>
      </c>
      <c r="P91" s="129">
        <v>69.5</v>
      </c>
      <c r="Q91" s="129">
        <v>0</v>
      </c>
      <c r="R91" s="129">
        <v>0</v>
      </c>
      <c r="S91" s="139">
        <v>-0.03</v>
      </c>
      <c r="T91" s="129">
        <v>107.4</v>
      </c>
      <c r="U91" s="129">
        <v>2692.6</v>
      </c>
      <c r="V91" s="129">
        <v>51.22</v>
      </c>
      <c r="W91" s="129">
        <v>92.19</v>
      </c>
      <c r="X91" s="129">
        <v>292.52</v>
      </c>
      <c r="Y91" s="129">
        <v>248.53</v>
      </c>
      <c r="Z91" s="129">
        <v>56</v>
      </c>
      <c r="AA91" s="129">
        <v>23.31</v>
      </c>
      <c r="AB91" s="129">
        <v>435.93</v>
      </c>
      <c r="AC91" s="129">
        <v>146.33000000000001</v>
      </c>
      <c r="AD91" s="129">
        <v>219.27</v>
      </c>
      <c r="AE91" s="129">
        <v>0</v>
      </c>
      <c r="AF91" s="60">
        <f t="shared" si="2"/>
        <v>164.27554484722373</v>
      </c>
    </row>
    <row r="92" spans="1:34" s="60" customFormat="1" x14ac:dyDescent="0.25">
      <c r="A92" s="128" t="s">
        <v>456</v>
      </c>
      <c r="B92" s="127" t="s">
        <v>457</v>
      </c>
      <c r="C92" s="129">
        <v>13</v>
      </c>
      <c r="D92" s="129">
        <v>0</v>
      </c>
      <c r="E92" s="129">
        <v>210</v>
      </c>
      <c r="F92" s="129">
        <v>219.49</v>
      </c>
      <c r="G92" s="129">
        <v>2730</v>
      </c>
      <c r="H92" s="129">
        <v>0</v>
      </c>
      <c r="I92" s="129">
        <v>0</v>
      </c>
      <c r="J92" s="129">
        <v>2730</v>
      </c>
      <c r="K92" s="129">
        <v>0</v>
      </c>
      <c r="L92" s="129">
        <v>0</v>
      </c>
      <c r="M92" s="129">
        <v>0</v>
      </c>
      <c r="N92" s="129">
        <v>0</v>
      </c>
      <c r="O92" s="129">
        <v>30.32</v>
      </c>
      <c r="P92" s="129">
        <v>67.760000000000005</v>
      </c>
      <c r="Q92" s="129">
        <v>0</v>
      </c>
      <c r="R92" s="141">
        <v>0</v>
      </c>
      <c r="S92" s="139">
        <v>-0.08</v>
      </c>
      <c r="T92" s="141">
        <v>98</v>
      </c>
      <c r="U92" s="141">
        <v>2632</v>
      </c>
      <c r="V92" s="141">
        <v>49.93</v>
      </c>
      <c r="W92" s="129">
        <v>89.88</v>
      </c>
      <c r="X92" s="129">
        <v>274</v>
      </c>
      <c r="Y92" s="129">
        <v>247.07</v>
      </c>
      <c r="Z92" s="129">
        <v>54.6</v>
      </c>
      <c r="AA92" s="129">
        <v>22.73</v>
      </c>
      <c r="AB92" s="129">
        <v>413.81</v>
      </c>
      <c r="AC92" s="129">
        <v>142.66999999999999</v>
      </c>
      <c r="AD92" s="129">
        <v>218.53</v>
      </c>
      <c r="AE92" s="129">
        <v>0</v>
      </c>
      <c r="AF92" s="60">
        <f t="shared" si="2"/>
        <v>172.48932208958493</v>
      </c>
    </row>
    <row r="93" spans="1:34" s="60" customFormat="1" x14ac:dyDescent="0.25">
      <c r="A93" s="128" t="s">
        <v>458</v>
      </c>
      <c r="B93" s="127" t="s">
        <v>459</v>
      </c>
      <c r="C93" s="129">
        <v>6</v>
      </c>
      <c r="D93" s="129">
        <v>0</v>
      </c>
      <c r="E93" s="129">
        <v>200</v>
      </c>
      <c r="F93" s="129">
        <v>209.04</v>
      </c>
      <c r="G93" s="129">
        <v>1200</v>
      </c>
      <c r="H93" s="129">
        <v>0</v>
      </c>
      <c r="I93" s="129">
        <v>0</v>
      </c>
      <c r="J93" s="129">
        <v>1200</v>
      </c>
      <c r="K93" s="129">
        <v>0</v>
      </c>
      <c r="L93" s="129">
        <v>0</v>
      </c>
      <c r="M93" s="129">
        <v>0</v>
      </c>
      <c r="N93" s="139">
        <v>-136.72999999999999</v>
      </c>
      <c r="O93" s="129">
        <v>0</v>
      </c>
      <c r="P93" s="129">
        <v>29.79</v>
      </c>
      <c r="Q93" s="129">
        <v>0</v>
      </c>
      <c r="R93" s="129">
        <v>0</v>
      </c>
      <c r="S93" s="130">
        <v>-0.06</v>
      </c>
      <c r="T93" s="129">
        <v>-107</v>
      </c>
      <c r="U93" s="129">
        <v>1307</v>
      </c>
      <c r="V93" s="129">
        <v>21.95</v>
      </c>
      <c r="W93" s="129">
        <v>39.51</v>
      </c>
      <c r="X93" s="129">
        <v>125.37</v>
      </c>
      <c r="Y93" s="129">
        <v>215.07999999999998</v>
      </c>
      <c r="Z93" s="129">
        <v>24</v>
      </c>
      <c r="AA93" s="129">
        <v>9.99</v>
      </c>
      <c r="AB93" s="129">
        <v>186.83</v>
      </c>
      <c r="AC93" s="129">
        <v>62.71</v>
      </c>
      <c r="AD93" s="129">
        <v>202.54</v>
      </c>
      <c r="AE93" s="129">
        <v>0</v>
      </c>
      <c r="AF93" s="60">
        <f t="shared" si="2"/>
        <v>164.27554484722373</v>
      </c>
    </row>
    <row r="94" spans="1:34" s="85" customFormat="1" x14ac:dyDescent="0.25">
      <c r="C94" s="85" t="s">
        <v>74</v>
      </c>
      <c r="D94" s="85" t="s">
        <v>74</v>
      </c>
      <c r="E94" s="85" t="s">
        <v>74</v>
      </c>
      <c r="F94" s="85" t="s">
        <v>74</v>
      </c>
      <c r="G94" s="85" t="s">
        <v>74</v>
      </c>
      <c r="H94" s="85" t="s">
        <v>74</v>
      </c>
      <c r="I94" s="85" t="s">
        <v>74</v>
      </c>
      <c r="J94" s="85" t="s">
        <v>74</v>
      </c>
      <c r="K94" s="85" t="s">
        <v>74</v>
      </c>
      <c r="L94" s="85" t="s">
        <v>74</v>
      </c>
      <c r="M94" s="85" t="s">
        <v>74</v>
      </c>
      <c r="N94" s="85" t="s">
        <v>74</v>
      </c>
      <c r="O94" s="85" t="s">
        <v>74</v>
      </c>
      <c r="P94" s="85" t="s">
        <v>74</v>
      </c>
      <c r="Q94" s="85" t="s">
        <v>74</v>
      </c>
      <c r="R94" s="85" t="s">
        <v>74</v>
      </c>
      <c r="S94" s="85" t="s">
        <v>74</v>
      </c>
      <c r="T94" s="85" t="s">
        <v>74</v>
      </c>
      <c r="U94" s="85" t="s">
        <v>74</v>
      </c>
      <c r="V94" s="85" t="s">
        <v>74</v>
      </c>
      <c r="W94" s="85" t="s">
        <v>74</v>
      </c>
      <c r="X94" s="85" t="s">
        <v>74</v>
      </c>
      <c r="Y94" s="85" t="s">
        <v>74</v>
      </c>
      <c r="Z94" s="85" t="s">
        <v>74</v>
      </c>
      <c r="AA94" s="85" t="s">
        <v>74</v>
      </c>
      <c r="AB94" s="85" t="s">
        <v>74</v>
      </c>
      <c r="AC94" s="85" t="s">
        <v>74</v>
      </c>
      <c r="AD94" s="85" t="s">
        <v>74</v>
      </c>
      <c r="AE94" s="85" t="s">
        <v>74</v>
      </c>
      <c r="AF94" s="85" t="s">
        <v>74</v>
      </c>
      <c r="AG94" s="60"/>
      <c r="AH94" s="60"/>
    </row>
    <row r="95" spans="1:34" s="60" customFormat="1" x14ac:dyDescent="0.25">
      <c r="A95" s="86" t="s">
        <v>75</v>
      </c>
      <c r="B95" s="60" t="s">
        <v>76</v>
      </c>
      <c r="C95" s="87">
        <f t="shared" ref="C95:AF95" si="3">SUM(C9:C94)</f>
        <v>1249</v>
      </c>
      <c r="D95" s="87">
        <f t="shared" si="3"/>
        <v>13</v>
      </c>
      <c r="E95" s="87">
        <f t="shared" si="3"/>
        <v>20330.609999999997</v>
      </c>
      <c r="F95" s="87">
        <f t="shared" si="3"/>
        <v>21428.900000000012</v>
      </c>
      <c r="G95" s="87">
        <f t="shared" si="3"/>
        <v>299308.23</v>
      </c>
      <c r="H95" s="87">
        <f t="shared" si="3"/>
        <v>2897.69</v>
      </c>
      <c r="I95" s="87">
        <f t="shared" si="3"/>
        <v>869.31</v>
      </c>
      <c r="J95" s="87">
        <f t="shared" si="3"/>
        <v>303075.23</v>
      </c>
      <c r="K95" s="87">
        <f t="shared" si="3"/>
        <v>0</v>
      </c>
      <c r="L95" s="87">
        <f t="shared" si="3"/>
        <v>20829.72</v>
      </c>
      <c r="M95" s="87">
        <f t="shared" si="3"/>
        <v>11863.25</v>
      </c>
      <c r="N95" s="87">
        <f t="shared" si="3"/>
        <v>-519.58000000000004</v>
      </c>
      <c r="O95" s="87">
        <f t="shared" si="3"/>
        <v>17036.560000000009</v>
      </c>
      <c r="P95" s="146">
        <f t="shared" si="3"/>
        <v>7698.1200000000035</v>
      </c>
      <c r="Q95" s="87">
        <f t="shared" si="3"/>
        <v>1236.5999999999999</v>
      </c>
      <c r="R95" s="87">
        <f t="shared" si="3"/>
        <v>6145.7400000000016</v>
      </c>
      <c r="S95" s="87">
        <f t="shared" si="3"/>
        <v>-0.38000000000000017</v>
      </c>
      <c r="T95" s="87">
        <f t="shared" si="3"/>
        <v>64290.03</v>
      </c>
      <c r="U95" s="87">
        <f t="shared" si="3"/>
        <v>238785.19999999998</v>
      </c>
      <c r="V95" s="146">
        <f t="shared" si="3"/>
        <v>5580.88</v>
      </c>
      <c r="W95" s="146">
        <f t="shared" si="3"/>
        <v>10045.529999999997</v>
      </c>
      <c r="X95" s="146">
        <f t="shared" si="3"/>
        <v>27708.39</v>
      </c>
      <c r="Y95" s="146">
        <f t="shared" si="3"/>
        <v>22528.039999999997</v>
      </c>
      <c r="Z95" s="87">
        <f t="shared" si="3"/>
        <v>6061.46</v>
      </c>
      <c r="AA95" s="146">
        <f t="shared" si="3"/>
        <v>2540.2500000000005</v>
      </c>
      <c r="AB95" s="87">
        <f t="shared" si="3"/>
        <v>43334.800000000017</v>
      </c>
      <c r="AC95" s="146">
        <f t="shared" si="3"/>
        <v>15945.250000000004</v>
      </c>
      <c r="AD95" s="146">
        <f t="shared" si="3"/>
        <v>19339.079999999994</v>
      </c>
      <c r="AE95" s="87">
        <f t="shared" si="3"/>
        <v>9020</v>
      </c>
      <c r="AF95" s="87">
        <f t="shared" si="3"/>
        <v>16699.110174132067</v>
      </c>
    </row>
    <row r="96" spans="1:34" x14ac:dyDescent="0.25">
      <c r="G96" s="105"/>
      <c r="H96" s="105"/>
      <c r="I96" s="105"/>
      <c r="J96" s="105"/>
      <c r="R96" s="91"/>
    </row>
    <row r="97" spans="1:31" ht="15.75" thickBot="1" x14ac:dyDescent="0.3">
      <c r="A97" s="59">
        <v>83</v>
      </c>
      <c r="B97" s="59" t="s">
        <v>428</v>
      </c>
      <c r="H97" s="82" t="s">
        <v>76</v>
      </c>
      <c r="I97" s="82" t="s">
        <v>76</v>
      </c>
      <c r="J97" s="82" t="s">
        <v>76</v>
      </c>
      <c r="K97" s="82" t="s">
        <v>76</v>
      </c>
      <c r="L97" s="82" t="s">
        <v>76</v>
      </c>
      <c r="M97" s="82" t="s">
        <v>76</v>
      </c>
      <c r="N97" s="82" t="s">
        <v>76</v>
      </c>
      <c r="O97" s="82" t="s">
        <v>76</v>
      </c>
      <c r="P97" s="82" t="s">
        <v>76</v>
      </c>
      <c r="Q97" s="82" t="s">
        <v>76</v>
      </c>
      <c r="R97" s="82" t="s">
        <v>76</v>
      </c>
      <c r="S97" s="82" t="s">
        <v>76</v>
      </c>
      <c r="T97" s="82" t="s">
        <v>76</v>
      </c>
      <c r="U97" s="82" t="s">
        <v>76</v>
      </c>
      <c r="V97" s="82" t="s">
        <v>76</v>
      </c>
      <c r="W97" s="82" t="s">
        <v>76</v>
      </c>
      <c r="X97" s="82" t="s">
        <v>76</v>
      </c>
      <c r="Y97" s="82" t="s">
        <v>76</v>
      </c>
      <c r="Z97" s="82" t="s">
        <v>76</v>
      </c>
      <c r="AA97" s="82" t="s">
        <v>76</v>
      </c>
      <c r="AB97" s="82" t="s">
        <v>76</v>
      </c>
      <c r="AC97" s="82" t="s">
        <v>76</v>
      </c>
      <c r="AD97" s="82" t="s">
        <v>76</v>
      </c>
      <c r="AE97" s="82" t="s">
        <v>76</v>
      </c>
    </row>
    <row r="98" spans="1:31" ht="15" customHeight="1" x14ac:dyDescent="0.25">
      <c r="A98" s="59">
        <v>3</v>
      </c>
      <c r="B98" s="59" t="s">
        <v>429</v>
      </c>
      <c r="G98" s="48"/>
      <c r="H98" s="48"/>
      <c r="I98" s="101" t="s">
        <v>403</v>
      </c>
      <c r="J98" s="101"/>
      <c r="K98" s="162" t="s">
        <v>467</v>
      </c>
      <c r="L98" s="165" t="s">
        <v>468</v>
      </c>
      <c r="M98" s="150" t="s">
        <v>469</v>
      </c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  <c r="AA98" s="48"/>
      <c r="AB98" s="48"/>
      <c r="AC98" s="48"/>
      <c r="AD98" s="48"/>
      <c r="AE98" s="48"/>
    </row>
    <row r="99" spans="1:31" x14ac:dyDescent="0.25">
      <c r="A99" s="59">
        <v>1</v>
      </c>
      <c r="B99" s="59" t="s">
        <v>430</v>
      </c>
      <c r="I99" s="89" t="s">
        <v>392</v>
      </c>
      <c r="J99" s="90">
        <f>+U95</f>
        <v>238785.19999999998</v>
      </c>
      <c r="K99" s="161">
        <v>1314.8</v>
      </c>
      <c r="L99" s="161"/>
      <c r="M99" s="157">
        <f>J99-K99</f>
        <v>237470.4</v>
      </c>
    </row>
    <row r="100" spans="1:31" x14ac:dyDescent="0.25">
      <c r="A100" s="59">
        <f>+A97+A98-A99</f>
        <v>85</v>
      </c>
      <c r="B100" s="59" t="s">
        <v>431</v>
      </c>
      <c r="D100" s="60"/>
      <c r="G100" s="91"/>
      <c r="I100" s="89" t="s">
        <v>393</v>
      </c>
      <c r="J100" s="90">
        <f>+R95-R77</f>
        <v>5673.2400000000016</v>
      </c>
      <c r="K100" s="161">
        <v>0</v>
      </c>
      <c r="L100" s="161"/>
      <c r="M100" s="157">
        <f>J100-K100-L100</f>
        <v>5673.2400000000016</v>
      </c>
    </row>
    <row r="101" spans="1:31" x14ac:dyDescent="0.25">
      <c r="D101" s="60"/>
      <c r="G101" s="91"/>
      <c r="I101" s="205" t="s">
        <v>394</v>
      </c>
      <c r="J101" s="90">
        <f>+K95+L95+M95</f>
        <v>32692.97</v>
      </c>
      <c r="K101" s="161">
        <v>977.57</v>
      </c>
      <c r="L101" s="161"/>
      <c r="M101" s="157">
        <f>J101-K101</f>
        <v>31715.4</v>
      </c>
    </row>
    <row r="102" spans="1:31" x14ac:dyDescent="0.25">
      <c r="G102" s="91"/>
      <c r="I102" s="89" t="s">
        <v>395</v>
      </c>
      <c r="J102" s="90">
        <f>+Q95</f>
        <v>1236.5999999999999</v>
      </c>
      <c r="K102" s="161"/>
      <c r="L102" s="161"/>
      <c r="M102" s="157">
        <f>J102</f>
        <v>1236.5999999999999</v>
      </c>
    </row>
    <row r="103" spans="1:31" x14ac:dyDescent="0.25">
      <c r="G103" s="91"/>
      <c r="I103" s="89" t="s">
        <v>396</v>
      </c>
      <c r="J103" s="90">
        <f>SUM(J99:J102)</f>
        <v>278388.00999999995</v>
      </c>
      <c r="K103" s="161">
        <f>SUM(K99:K102)</f>
        <v>2292.37</v>
      </c>
      <c r="L103" s="161"/>
      <c r="M103" s="157">
        <f>SUM(M99:M102)</f>
        <v>276095.63999999996</v>
      </c>
    </row>
    <row r="104" spans="1:31" x14ac:dyDescent="0.25">
      <c r="G104" s="91"/>
      <c r="I104" s="205" t="s">
        <v>397</v>
      </c>
      <c r="J104" s="90">
        <f>+J103*2%</f>
        <v>5567.7601999999988</v>
      </c>
      <c r="K104" s="161">
        <f>K103*2%</f>
        <v>45.8474</v>
      </c>
      <c r="L104" s="161">
        <f t="shared" ref="L104" si="4">L103*2%</f>
        <v>0</v>
      </c>
      <c r="M104" s="161">
        <f>M103*2%</f>
        <v>5521.9127999999992</v>
      </c>
    </row>
    <row r="105" spans="1:31" x14ac:dyDescent="0.25">
      <c r="G105" s="91"/>
      <c r="I105" s="89" t="s">
        <v>398</v>
      </c>
      <c r="J105" s="90">
        <f>+J103+J104</f>
        <v>283955.77019999997</v>
      </c>
      <c r="K105" s="161">
        <f>K103+K104</f>
        <v>2338.2174</v>
      </c>
      <c r="L105" s="161">
        <f t="shared" ref="L105:M105" si="5">L103+L104</f>
        <v>0</v>
      </c>
      <c r="M105" s="161">
        <f t="shared" si="5"/>
        <v>281617.55279999995</v>
      </c>
    </row>
    <row r="106" spans="1:31" x14ac:dyDescent="0.25">
      <c r="G106" s="91"/>
      <c r="I106" s="205" t="s">
        <v>399</v>
      </c>
      <c r="J106" s="90">
        <f>+P95+V95+W95+X95+Y95+AA95+AC95+AD95</f>
        <v>111385.53999999998</v>
      </c>
      <c r="K106" s="161">
        <v>1068.81</v>
      </c>
      <c r="L106" s="161"/>
      <c r="M106" s="157">
        <f>J106-K106</f>
        <v>110316.72999999998</v>
      </c>
    </row>
    <row r="107" spans="1:31" x14ac:dyDescent="0.25">
      <c r="G107" s="91"/>
      <c r="I107" s="205" t="s">
        <v>400</v>
      </c>
      <c r="J107" s="90">
        <f>+J95*2%</f>
        <v>6061.5045999999993</v>
      </c>
      <c r="K107" s="161">
        <f>2310*2%</f>
        <v>46.2</v>
      </c>
      <c r="L107" s="161"/>
      <c r="M107" s="157">
        <f>J107-K107</f>
        <v>6015.3045999999995</v>
      </c>
    </row>
    <row r="108" spans="1:31" x14ac:dyDescent="0.25">
      <c r="G108" s="91"/>
      <c r="I108" s="89" t="s">
        <v>401</v>
      </c>
      <c r="J108" s="90">
        <f>+J105+J106+J107</f>
        <v>401402.81479999993</v>
      </c>
      <c r="K108" s="161">
        <f>SUM(K105:K107)</f>
        <v>3453.2273999999998</v>
      </c>
      <c r="L108" s="161"/>
      <c r="M108" s="157">
        <f>SUM(M105:M107)</f>
        <v>397949.5873999999</v>
      </c>
    </row>
    <row r="109" spans="1:31" x14ac:dyDescent="0.25">
      <c r="G109" s="91"/>
      <c r="I109" s="89" t="s">
        <v>30</v>
      </c>
      <c r="J109" s="90">
        <f>+J108*16%</f>
        <v>64224.450367999991</v>
      </c>
      <c r="K109" s="161">
        <f>K108*16%</f>
        <v>552.51638400000002</v>
      </c>
      <c r="L109" s="161">
        <f t="shared" ref="L109:M109" si="6">L108*16%</f>
        <v>0</v>
      </c>
      <c r="M109" s="161">
        <f t="shared" si="6"/>
        <v>63671.933983999988</v>
      </c>
    </row>
    <row r="110" spans="1:31" ht="15.75" thickBot="1" x14ac:dyDescent="0.3">
      <c r="G110" s="91"/>
      <c r="I110" s="89" t="s">
        <v>87</v>
      </c>
      <c r="J110" s="90">
        <f>+J108+J109</f>
        <v>465627.2651679999</v>
      </c>
      <c r="K110" s="166">
        <f>K109+K108</f>
        <v>4005.7437839999998</v>
      </c>
      <c r="L110" s="166">
        <f t="shared" ref="L110:M110" si="7">L109+L108</f>
        <v>0</v>
      </c>
      <c r="M110" s="166">
        <f t="shared" si="7"/>
        <v>461621.52138399991</v>
      </c>
    </row>
    <row r="111" spans="1:31" x14ac:dyDescent="0.25">
      <c r="G111" s="91"/>
      <c r="I111" s="91"/>
      <c r="J111" s="91"/>
      <c r="K111" s="187">
        <f>K108-K104</f>
        <v>3407.3799999999997</v>
      </c>
      <c r="L111" s="91"/>
      <c r="M111" s="188">
        <f>M108-M104</f>
        <v>392427.67459999991</v>
      </c>
    </row>
    <row r="112" spans="1:31" x14ac:dyDescent="0.25">
      <c r="G112" s="91"/>
      <c r="I112" s="102" t="s">
        <v>402</v>
      </c>
      <c r="J112" s="102"/>
    </row>
    <row r="113" spans="7:15" ht="15" customHeight="1" thickBot="1" x14ac:dyDescent="0.3">
      <c r="G113" s="91"/>
      <c r="I113" s="103" t="s">
        <v>403</v>
      </c>
      <c r="J113" s="103"/>
      <c r="K113" s="131"/>
      <c r="L113" s="168">
        <v>0.73</v>
      </c>
      <c r="M113" s="168">
        <v>0.11</v>
      </c>
      <c r="N113" s="168">
        <v>0.12</v>
      </c>
      <c r="O113" s="168">
        <v>0.04</v>
      </c>
    </row>
    <row r="114" spans="7:15" x14ac:dyDescent="0.25">
      <c r="G114" s="91"/>
      <c r="I114" s="89" t="s">
        <v>396</v>
      </c>
      <c r="J114" s="90">
        <f>+AF95</f>
        <v>16699.110174132067</v>
      </c>
      <c r="K114" s="169"/>
      <c r="L114" s="170" t="s">
        <v>474</v>
      </c>
      <c r="M114" s="170" t="s">
        <v>473</v>
      </c>
      <c r="N114" s="170" t="s">
        <v>472</v>
      </c>
      <c r="O114" s="171" t="s">
        <v>471</v>
      </c>
    </row>
    <row r="115" spans="7:15" x14ac:dyDescent="0.25">
      <c r="G115" s="91"/>
      <c r="I115" s="89" t="s">
        <v>397</v>
      </c>
      <c r="J115" s="90">
        <f>+J114*2%</f>
        <v>333.98220348264135</v>
      </c>
      <c r="K115" s="172" t="s">
        <v>468</v>
      </c>
      <c r="L115" s="173">
        <f>L112*$O$45</f>
        <v>0</v>
      </c>
      <c r="M115" s="173">
        <f>L112*$P$45</f>
        <v>0</v>
      </c>
      <c r="N115" s="173">
        <f>L112*$Q$45</f>
        <v>0</v>
      </c>
      <c r="O115" s="156">
        <f>L112*$R$45</f>
        <v>0</v>
      </c>
    </row>
    <row r="116" spans="7:15" x14ac:dyDescent="0.25">
      <c r="G116" s="91"/>
      <c r="I116" s="89" t="s">
        <v>398</v>
      </c>
      <c r="J116" s="90">
        <f>+J114+J115</f>
        <v>17033.09237761471</v>
      </c>
      <c r="K116" s="174" t="s">
        <v>469</v>
      </c>
      <c r="L116" s="173">
        <f>M111*$L$113</f>
        <v>286472.20245799993</v>
      </c>
      <c r="M116" s="173">
        <f>M111*$M$113</f>
        <v>43167.044205999991</v>
      </c>
      <c r="N116" s="173">
        <f>M111*$N$113</f>
        <v>47091.320951999987</v>
      </c>
      <c r="O116" s="156">
        <f>M111*$O$113</f>
        <v>15697.106983999996</v>
      </c>
    </row>
    <row r="117" spans="7:15" x14ac:dyDescent="0.25">
      <c r="G117" s="91"/>
      <c r="I117" s="89" t="s">
        <v>400</v>
      </c>
      <c r="J117" s="90">
        <f>+J114*2%</f>
        <v>333.98220348264135</v>
      </c>
      <c r="K117" s="175" t="s">
        <v>467</v>
      </c>
      <c r="L117" s="173">
        <f>K111*$L$113</f>
        <v>2487.3873999999996</v>
      </c>
      <c r="M117" s="173">
        <f>K111*$M$113</f>
        <v>374.81179999999995</v>
      </c>
      <c r="N117" s="173">
        <f>K111*$N$113</f>
        <v>408.88559999999995</v>
      </c>
      <c r="O117" s="156">
        <f>K111*$O$113</f>
        <v>136.29519999999999</v>
      </c>
    </row>
    <row r="118" spans="7:15" x14ac:dyDescent="0.25">
      <c r="G118" s="91"/>
      <c r="I118" s="89" t="s">
        <v>401</v>
      </c>
      <c r="J118" s="90">
        <f>+J116+J117</f>
        <v>17367.074581097353</v>
      </c>
      <c r="K118" s="176" t="s">
        <v>470</v>
      </c>
      <c r="L118" s="173">
        <f>J104*$L$113</f>
        <v>4064.4649459999991</v>
      </c>
      <c r="M118" s="173">
        <f>J104*$M$113</f>
        <v>612.45362199999988</v>
      </c>
      <c r="N118" s="173">
        <f>J104*$N$113</f>
        <v>668.13122399999986</v>
      </c>
      <c r="O118" s="156">
        <f>J104*$O$113</f>
        <v>222.71040799999994</v>
      </c>
    </row>
    <row r="119" spans="7:15" x14ac:dyDescent="0.25">
      <c r="G119" s="91"/>
      <c r="I119" s="89" t="s">
        <v>30</v>
      </c>
      <c r="J119" s="90">
        <f>+J118*16%</f>
        <v>2778.7319329755765</v>
      </c>
      <c r="K119" s="177" t="s">
        <v>388</v>
      </c>
      <c r="L119" s="178">
        <f>SUM(L115:L118)</f>
        <v>293024.05480399996</v>
      </c>
      <c r="M119" s="178">
        <f t="shared" ref="M119:O119" si="8">SUM(M115:M118)</f>
        <v>44154.309627999995</v>
      </c>
      <c r="N119" s="178">
        <f t="shared" si="8"/>
        <v>48168.337775999986</v>
      </c>
      <c r="O119" s="179">
        <f t="shared" si="8"/>
        <v>16056.112591999998</v>
      </c>
    </row>
    <row r="120" spans="7:15" x14ac:dyDescent="0.25">
      <c r="G120" s="91"/>
      <c r="I120" s="89" t="s">
        <v>87</v>
      </c>
      <c r="J120" s="90">
        <f>+J118+J119</f>
        <v>20145.80651407293</v>
      </c>
      <c r="K120" s="177" t="s">
        <v>30</v>
      </c>
      <c r="L120" s="178">
        <f>L119*16%</f>
        <v>46883.848768639997</v>
      </c>
      <c r="M120" s="178">
        <f t="shared" ref="M120:O120" si="9">M119*16%</f>
        <v>7064.6895404799998</v>
      </c>
      <c r="N120" s="178">
        <f t="shared" si="9"/>
        <v>7706.9340441599979</v>
      </c>
      <c r="O120" s="179">
        <f t="shared" si="9"/>
        <v>2568.9780147199995</v>
      </c>
    </row>
    <row r="121" spans="7:15" ht="15.75" thickBot="1" x14ac:dyDescent="0.3">
      <c r="G121" s="91"/>
      <c r="K121" s="180" t="s">
        <v>87</v>
      </c>
      <c r="L121" s="181">
        <f>SUM(L119:L120)</f>
        <v>339907.90357263997</v>
      </c>
      <c r="M121" s="181">
        <f t="shared" ref="M121:O121" si="10">SUM(M119:M120)</f>
        <v>51218.999168479997</v>
      </c>
      <c r="N121" s="181">
        <f t="shared" si="10"/>
        <v>55875.271820159986</v>
      </c>
      <c r="O121" s="182">
        <f t="shared" si="10"/>
        <v>18625.090606719998</v>
      </c>
    </row>
    <row r="122" spans="7:15" x14ac:dyDescent="0.25">
      <c r="G122" s="91"/>
      <c r="K122" s="131"/>
      <c r="L122" s="131"/>
      <c r="M122" s="131"/>
      <c r="N122" s="131"/>
      <c r="O122" s="131"/>
    </row>
    <row r="123" spans="7:15" x14ac:dyDescent="0.25">
      <c r="G123" s="91"/>
    </row>
    <row r="124" spans="7:15" x14ac:dyDescent="0.25">
      <c r="G124" s="91"/>
    </row>
    <row r="125" spans="7:15" x14ac:dyDescent="0.25">
      <c r="G125" s="91"/>
    </row>
    <row r="126" spans="7:15" x14ac:dyDescent="0.25">
      <c r="G126" s="91"/>
    </row>
    <row r="127" spans="7:15" x14ac:dyDescent="0.25">
      <c r="G127" s="91"/>
    </row>
    <row r="128" spans="7:15" x14ac:dyDescent="0.25">
      <c r="G128" s="91"/>
    </row>
    <row r="129" spans="7:7" x14ac:dyDescent="0.25">
      <c r="G129" s="91"/>
    </row>
    <row r="130" spans="7:7" x14ac:dyDescent="0.25">
      <c r="G130" s="91"/>
    </row>
    <row r="131" spans="7:7" x14ac:dyDescent="0.25">
      <c r="G131" s="91"/>
    </row>
    <row r="132" spans="7:7" x14ac:dyDescent="0.25">
      <c r="G132" s="91"/>
    </row>
    <row r="133" spans="7:7" x14ac:dyDescent="0.25">
      <c r="G133" s="91"/>
    </row>
    <row r="134" spans="7:7" x14ac:dyDescent="0.25">
      <c r="G134" s="91"/>
    </row>
    <row r="135" spans="7:7" x14ac:dyDescent="0.25">
      <c r="G135" s="91"/>
    </row>
    <row r="136" spans="7:7" x14ac:dyDescent="0.25">
      <c r="G136" s="91"/>
    </row>
    <row r="137" spans="7:7" x14ac:dyDescent="0.25">
      <c r="G137" s="91"/>
    </row>
    <row r="138" spans="7:7" x14ac:dyDescent="0.25">
      <c r="G138" s="91"/>
    </row>
    <row r="139" spans="7:7" x14ac:dyDescent="0.25">
      <c r="G139" s="91"/>
    </row>
    <row r="140" spans="7:7" x14ac:dyDescent="0.25">
      <c r="G140" s="91"/>
    </row>
    <row r="141" spans="7:7" x14ac:dyDescent="0.25">
      <c r="G141" s="91"/>
    </row>
    <row r="142" spans="7:7" x14ac:dyDescent="0.25">
      <c r="G142" s="91"/>
    </row>
    <row r="143" spans="7:7" x14ac:dyDescent="0.25">
      <c r="G143" s="91"/>
    </row>
    <row r="144" spans="7:7" x14ac:dyDescent="0.25">
      <c r="G144" s="91"/>
    </row>
    <row r="145" spans="7:7" x14ac:dyDescent="0.25">
      <c r="G145" s="91"/>
    </row>
    <row r="146" spans="7:7" x14ac:dyDescent="0.25">
      <c r="G146" s="91"/>
    </row>
    <row r="147" spans="7:7" x14ac:dyDescent="0.25">
      <c r="G147" s="91"/>
    </row>
    <row r="148" spans="7:7" x14ac:dyDescent="0.25">
      <c r="G148" s="91"/>
    </row>
    <row r="149" spans="7:7" x14ac:dyDescent="0.25">
      <c r="G149" s="91"/>
    </row>
    <row r="150" spans="7:7" x14ac:dyDescent="0.25">
      <c r="G150" s="91"/>
    </row>
    <row r="151" spans="7:7" x14ac:dyDescent="0.25">
      <c r="G151" s="91"/>
    </row>
    <row r="152" spans="7:7" x14ac:dyDescent="0.25">
      <c r="G152" s="91"/>
    </row>
    <row r="153" spans="7:7" x14ac:dyDescent="0.25">
      <c r="G153" s="91"/>
    </row>
    <row r="154" spans="7:7" x14ac:dyDescent="0.25">
      <c r="G154" s="91"/>
    </row>
    <row r="155" spans="7:7" x14ac:dyDescent="0.25">
      <c r="G155" s="91"/>
    </row>
    <row r="156" spans="7:7" x14ac:dyDescent="0.25">
      <c r="G156" s="91"/>
    </row>
    <row r="157" spans="7:7" x14ac:dyDescent="0.25">
      <c r="G157" s="91"/>
    </row>
    <row r="158" spans="7:7" x14ac:dyDescent="0.25">
      <c r="G158" s="91"/>
    </row>
    <row r="159" spans="7:7" x14ac:dyDescent="0.25">
      <c r="G159" s="91"/>
    </row>
    <row r="160" spans="7:7" x14ac:dyDescent="0.25">
      <c r="G160" s="91"/>
    </row>
    <row r="161" spans="7:7" x14ac:dyDescent="0.25">
      <c r="G161" s="91"/>
    </row>
    <row r="162" spans="7:7" x14ac:dyDescent="0.25">
      <c r="G162" s="91"/>
    </row>
    <row r="163" spans="7:7" x14ac:dyDescent="0.25">
      <c r="G163" s="91"/>
    </row>
    <row r="164" spans="7:7" x14ac:dyDescent="0.25">
      <c r="G164" s="91"/>
    </row>
    <row r="165" spans="7:7" x14ac:dyDescent="0.25">
      <c r="G165" s="91"/>
    </row>
    <row r="166" spans="7:7" x14ac:dyDescent="0.25">
      <c r="G166" s="91"/>
    </row>
    <row r="167" spans="7:7" x14ac:dyDescent="0.25">
      <c r="G167" s="91"/>
    </row>
    <row r="168" spans="7:7" x14ac:dyDescent="0.25">
      <c r="G168" s="91"/>
    </row>
    <row r="169" spans="7:7" x14ac:dyDescent="0.25">
      <c r="G169" s="91"/>
    </row>
    <row r="170" spans="7:7" x14ac:dyDescent="0.25">
      <c r="G170" s="91"/>
    </row>
    <row r="171" spans="7:7" x14ac:dyDescent="0.25">
      <c r="G171" s="91"/>
    </row>
    <row r="172" spans="7:7" x14ac:dyDescent="0.25">
      <c r="G172" s="91"/>
    </row>
    <row r="173" spans="7:7" x14ac:dyDescent="0.25">
      <c r="G173" s="91"/>
    </row>
    <row r="174" spans="7:7" x14ac:dyDescent="0.25">
      <c r="G174" s="91"/>
    </row>
    <row r="175" spans="7:7" x14ac:dyDescent="0.25">
      <c r="G175" s="91"/>
    </row>
    <row r="176" spans="7:7" x14ac:dyDescent="0.25">
      <c r="G176" s="91"/>
    </row>
    <row r="177" spans="7:7" x14ac:dyDescent="0.25">
      <c r="G177" s="91"/>
    </row>
    <row r="178" spans="7:7" x14ac:dyDescent="0.25">
      <c r="G178" s="91"/>
    </row>
    <row r="179" spans="7:7" x14ac:dyDescent="0.25">
      <c r="G179" s="91"/>
    </row>
    <row r="180" spans="7:7" x14ac:dyDescent="0.25">
      <c r="G180" s="91"/>
    </row>
    <row r="181" spans="7:7" x14ac:dyDescent="0.25">
      <c r="G181" s="91"/>
    </row>
  </sheetData>
  <autoFilter ref="A8:AF8" xr:uid="{00000000-0009-0000-0000-000001000000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27"/>
  <sheetViews>
    <sheetView showGridLines="0" zoomScale="90" zoomScaleNormal="90" zoomScaleSheetLayoutView="50" workbookViewId="0">
      <pane xSplit="3" ySplit="8" topLeftCell="F113" activePane="bottomRight" state="frozen"/>
      <selection activeCell="E31" sqref="E31"/>
      <selection pane="topRight" activeCell="E31" sqref="E31"/>
      <selection pane="bottomLeft" activeCell="E31" sqref="E31"/>
      <selection pane="bottomRight" activeCell="N118" sqref="N118"/>
    </sheetView>
  </sheetViews>
  <sheetFormatPr baseColWidth="10" defaultColWidth="11.42578125" defaultRowHeight="12.75" x14ac:dyDescent="0.2"/>
  <cols>
    <col min="1" max="1" width="10.85546875" style="1" hidden="1" customWidth="1"/>
    <col min="2" max="2" width="15.28515625" style="1" customWidth="1"/>
    <col min="3" max="3" width="36.5703125" style="1" customWidth="1"/>
    <col min="4" max="6" width="15" style="1" customWidth="1"/>
    <col min="7" max="7" width="19.28515625" style="1" customWidth="1"/>
    <col min="8" max="8" width="17.140625" style="1" customWidth="1"/>
    <col min="9" max="10" width="11.42578125" style="1" hidden="1" customWidth="1"/>
    <col min="11" max="12" width="11.42578125" style="1"/>
    <col min="13" max="13" width="12.140625" style="1" bestFit="1" customWidth="1"/>
    <col min="14" max="15" width="11.42578125" style="1"/>
    <col min="16" max="16" width="12.140625" style="1" bestFit="1" customWidth="1"/>
    <col min="17" max="16384" width="11.42578125" style="1"/>
  </cols>
  <sheetData>
    <row r="1" spans="1:10" ht="18" customHeight="1" x14ac:dyDescent="0.2"/>
    <row r="2" spans="1:10" ht="24.75" customHeight="1" x14ac:dyDescent="0.2">
      <c r="C2" s="100" t="s">
        <v>78</v>
      </c>
    </row>
    <row r="3" spans="1:10" ht="15" customHeight="1" x14ac:dyDescent="0.25">
      <c r="C3" s="81" t="s">
        <v>1</v>
      </c>
    </row>
    <row r="4" spans="1:10" ht="15" customHeight="1" x14ac:dyDescent="0.2"/>
    <row r="5" spans="1:10" ht="15" customHeight="1" x14ac:dyDescent="0.2"/>
    <row r="6" spans="1:10" ht="15" customHeight="1" x14ac:dyDescent="0.2"/>
    <row r="7" spans="1:10" ht="15" customHeight="1" x14ac:dyDescent="0.2">
      <c r="D7" s="207" t="s">
        <v>78</v>
      </c>
      <c r="E7" s="207"/>
      <c r="F7" s="207"/>
      <c r="G7" s="207"/>
      <c r="H7" s="207"/>
    </row>
    <row r="8" spans="1:10" ht="30" customHeight="1" thickBot="1" x14ac:dyDescent="0.25">
      <c r="A8" s="2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3" t="s">
        <v>87</v>
      </c>
      <c r="I8" s="2" t="s">
        <v>460</v>
      </c>
      <c r="J8" s="2" t="s">
        <v>461</v>
      </c>
    </row>
    <row r="9" spans="1:10" ht="13.5" thickTop="1" x14ac:dyDescent="0.2">
      <c r="A9" s="6" t="s">
        <v>48</v>
      </c>
      <c r="B9" s="1" t="s">
        <v>89</v>
      </c>
      <c r="C9" s="1" t="s">
        <v>90</v>
      </c>
      <c r="D9" s="1">
        <v>135.19999999999982</v>
      </c>
      <c r="E9" s="1">
        <v>0</v>
      </c>
      <c r="F9" s="1">
        <v>0</v>
      </c>
      <c r="G9" s="1">
        <f>+VLOOKUP(C9,'EXTRAS Y FESTIVOS'!$B$9:T129,19,0)</f>
        <v>0</v>
      </c>
      <c r="H9" s="1">
        <f t="shared" ref="H9:H40" si="0">SUM(D9:G9)</f>
        <v>135.19999999999982</v>
      </c>
      <c r="I9" s="1" t="s">
        <v>91</v>
      </c>
      <c r="J9" s="1">
        <f>+VLOOKUP(C9,'RESUMEN PITS'!$C$9:W129,21,0)</f>
        <v>-54.05592427184456</v>
      </c>
    </row>
    <row r="10" spans="1:10" x14ac:dyDescent="0.2">
      <c r="A10" s="1" t="s">
        <v>58</v>
      </c>
      <c r="B10" s="1" t="s">
        <v>89</v>
      </c>
      <c r="C10" s="1" t="s">
        <v>334</v>
      </c>
      <c r="D10" s="1">
        <v>53.199999999999818</v>
      </c>
      <c r="E10" s="1">
        <v>0</v>
      </c>
      <c r="F10" s="1">
        <v>0</v>
      </c>
      <c r="G10" s="1">
        <f>+VLOOKUP(C10,'EXTRAS Y FESTIVOS'!$B$9:T206,19,0)</f>
        <v>0</v>
      </c>
      <c r="H10" s="1">
        <f t="shared" si="0"/>
        <v>53.199999999999818</v>
      </c>
      <c r="I10" s="1" t="s">
        <v>335</v>
      </c>
      <c r="J10" s="1">
        <f>+VLOOKUP(C10,'RESUMEN PITS'!$C$9:W206,21,0)</f>
        <v>-54.05592427184456</v>
      </c>
    </row>
    <row r="11" spans="1:10" x14ac:dyDescent="0.2">
      <c r="A11" s="1" t="s">
        <v>108</v>
      </c>
      <c r="B11" s="1" t="s">
        <v>89</v>
      </c>
      <c r="C11" s="1" t="s">
        <v>94</v>
      </c>
      <c r="D11" s="1">
        <v>175.80000000000018</v>
      </c>
      <c r="E11" s="1">
        <v>900</v>
      </c>
      <c r="F11" s="1">
        <v>0</v>
      </c>
      <c r="G11" s="1">
        <f>+VLOOKUP(C11,'EXTRAS Y FESTIVOS'!$B$9:T130,19,0)</f>
        <v>0</v>
      </c>
      <c r="H11" s="1">
        <f t="shared" si="0"/>
        <v>1075.8000000000002</v>
      </c>
      <c r="I11" s="1" t="s">
        <v>95</v>
      </c>
      <c r="J11" s="1">
        <f>+VLOOKUP(C11,'RESUMEN PITS'!$C$9:W130,21,0)</f>
        <v>-54.05592427184456</v>
      </c>
    </row>
    <row r="12" spans="1:10" x14ac:dyDescent="0.2">
      <c r="A12" s="1" t="s">
        <v>52</v>
      </c>
      <c r="B12" s="1" t="s">
        <v>89</v>
      </c>
      <c r="C12" s="1" t="s">
        <v>97</v>
      </c>
      <c r="D12" s="1">
        <v>3135.25</v>
      </c>
      <c r="E12" s="1">
        <v>750</v>
      </c>
      <c r="F12" s="1">
        <v>0</v>
      </c>
      <c r="G12" s="1">
        <f>+VLOOKUP(C12,'EXTRAS Y FESTIVOS'!$B$9:T131,19,0)</f>
        <v>0</v>
      </c>
      <c r="H12" s="1">
        <f t="shared" si="0"/>
        <v>3885.25</v>
      </c>
      <c r="I12" s="1" t="s">
        <v>98</v>
      </c>
      <c r="J12" s="1">
        <f>+VLOOKUP(C12,'RESUMEN PITS'!$C$9:W131,21,0)</f>
        <v>-54.05592427184456</v>
      </c>
    </row>
    <row r="13" spans="1:10" x14ac:dyDescent="0.2">
      <c r="A13" s="1" t="s">
        <v>68</v>
      </c>
      <c r="B13" s="1" t="s">
        <v>89</v>
      </c>
      <c r="C13" s="1" t="s">
        <v>100</v>
      </c>
      <c r="D13" s="1">
        <v>285.19999999999982</v>
      </c>
      <c r="E13" s="1">
        <v>1000</v>
      </c>
      <c r="F13" s="1">
        <v>0</v>
      </c>
      <c r="G13" s="1">
        <f>+VLOOKUP(C13,'EXTRAS Y FESTIVOS'!$B$9:T132,19,0)</f>
        <v>0</v>
      </c>
      <c r="H13" s="1">
        <f t="shared" si="0"/>
        <v>1285.1999999999998</v>
      </c>
      <c r="I13" s="1" t="s">
        <v>101</v>
      </c>
      <c r="J13" s="1">
        <f>+VLOOKUP(C13,'RESUMEN PITS'!$C$9:W132,21,0)</f>
        <v>-54.05592427184456</v>
      </c>
    </row>
    <row r="14" spans="1:10" x14ac:dyDescent="0.2">
      <c r="A14" s="1" t="s">
        <v>54</v>
      </c>
      <c r="B14" s="1" t="s">
        <v>102</v>
      </c>
      <c r="C14" s="1" t="s">
        <v>49</v>
      </c>
      <c r="D14" s="1">
        <v>1558.0699999999997</v>
      </c>
      <c r="E14" s="1">
        <v>420</v>
      </c>
      <c r="F14" s="1">
        <v>0</v>
      </c>
      <c r="G14" s="1">
        <f>+VLOOKUP(C14,'EXTRAS Y FESTIVOS'!$B$9:T108,19,0)</f>
        <v>0</v>
      </c>
      <c r="H14" s="1">
        <f t="shared" si="0"/>
        <v>1978.0699999999997</v>
      </c>
      <c r="I14" s="1" t="s">
        <v>103</v>
      </c>
      <c r="J14" s="1">
        <f>+VLOOKUP(C14,'RESUMEN PITS'!$C$9:W111,21,0)</f>
        <v>-54.05592427184456</v>
      </c>
    </row>
    <row r="15" spans="1:10" x14ac:dyDescent="0.2">
      <c r="A15" s="1" t="s">
        <v>66</v>
      </c>
      <c r="B15" s="1" t="s">
        <v>102</v>
      </c>
      <c r="C15" s="1" t="s">
        <v>59</v>
      </c>
      <c r="D15" s="1">
        <v>2110.62</v>
      </c>
      <c r="E15" s="1">
        <v>0</v>
      </c>
      <c r="F15" s="1">
        <v>0</v>
      </c>
      <c r="G15" s="1">
        <f>+VLOOKUP(C15,'EXTRAS Y FESTIVOS'!$B$9:T112,19,0)</f>
        <v>58.5</v>
      </c>
      <c r="H15" s="1">
        <f t="shared" si="0"/>
        <v>2169.12</v>
      </c>
      <c r="I15" s="1" t="s">
        <v>104</v>
      </c>
      <c r="J15" s="1">
        <f>+VLOOKUP(C15,'RESUMEN PITS'!$C$9:W112,21,0)</f>
        <v>-54.05592427184456</v>
      </c>
    </row>
    <row r="16" spans="1:10" x14ac:dyDescent="0.2">
      <c r="A16" s="1" t="s">
        <v>50</v>
      </c>
      <c r="B16" s="1" t="s">
        <v>89</v>
      </c>
      <c r="C16" s="1" t="s">
        <v>106</v>
      </c>
      <c r="D16" s="1">
        <v>416.40000000000009</v>
      </c>
      <c r="E16" s="1">
        <v>510</v>
      </c>
      <c r="F16" s="1">
        <v>0</v>
      </c>
      <c r="G16" s="1">
        <f>+VLOOKUP(C16,'EXTRAS Y FESTIVOS'!$B$9:T133,19,0)</f>
        <v>0</v>
      </c>
      <c r="H16" s="1">
        <f t="shared" si="0"/>
        <v>926.40000000000009</v>
      </c>
      <c r="I16" s="1" t="s">
        <v>107</v>
      </c>
      <c r="J16" s="1">
        <f>+VLOOKUP(C16,'RESUMEN PITS'!$C$9:W133,21,0)</f>
        <v>-54.05592427184456</v>
      </c>
    </row>
    <row r="17" spans="1:10" s="4" customFormat="1" x14ac:dyDescent="0.2">
      <c r="A17" s="1" t="s">
        <v>38</v>
      </c>
      <c r="B17" s="190" t="s">
        <v>102</v>
      </c>
      <c r="C17" s="190" t="s">
        <v>71</v>
      </c>
      <c r="D17" s="190">
        <v>16803.2</v>
      </c>
      <c r="E17" s="190">
        <v>0</v>
      </c>
      <c r="F17" s="190">
        <v>0</v>
      </c>
      <c r="G17" s="190">
        <f>+VLOOKUP(C17,'EXTRAS Y FESTIVOS'!$B$9:T113,19,0)</f>
        <v>0</v>
      </c>
      <c r="H17" s="190">
        <f t="shared" si="0"/>
        <v>16803.2</v>
      </c>
      <c r="I17" s="1" t="s">
        <v>109</v>
      </c>
      <c r="J17" s="1">
        <f>+VLOOKUP(C17,'RESUMEN PITS'!$C$9:W113,21,0)</f>
        <v>-54.05592427184456</v>
      </c>
    </row>
    <row r="18" spans="1:10" x14ac:dyDescent="0.2">
      <c r="A18" s="1" t="s">
        <v>60</v>
      </c>
      <c r="B18" s="1" t="s">
        <v>102</v>
      </c>
      <c r="C18" s="1" t="s">
        <v>53</v>
      </c>
      <c r="D18" s="1">
        <v>1558.0199999999995</v>
      </c>
      <c r="E18" s="1">
        <v>210</v>
      </c>
      <c r="F18" s="1">
        <v>0</v>
      </c>
      <c r="G18" s="1">
        <f>+VLOOKUP(C18,'EXTRAS Y FESTIVOS'!$B$9:T114,19,0)</f>
        <v>0</v>
      </c>
      <c r="H18" s="1">
        <f t="shared" si="0"/>
        <v>1768.0199999999995</v>
      </c>
      <c r="I18" s="1" t="s">
        <v>110</v>
      </c>
      <c r="J18" s="1">
        <f>+VLOOKUP(C18,'RESUMEN PITS'!$C$9:W114,21,0)</f>
        <v>-54.05592427184456</v>
      </c>
    </row>
    <row r="19" spans="1:10" x14ac:dyDescent="0.2">
      <c r="A19" s="1" t="s">
        <v>56</v>
      </c>
      <c r="B19" s="1" t="s">
        <v>102</v>
      </c>
      <c r="C19" s="1" t="s">
        <v>69</v>
      </c>
      <c r="D19" s="1">
        <v>1607.9699999999998</v>
      </c>
      <c r="E19" s="1">
        <v>210</v>
      </c>
      <c r="F19" s="1">
        <v>0</v>
      </c>
      <c r="G19" s="1">
        <f>+VLOOKUP(C19,'EXTRAS Y FESTIVOS'!$B$9:T115,19,0)</f>
        <v>0</v>
      </c>
      <c r="H19" s="1">
        <f t="shared" si="0"/>
        <v>1817.9699999999998</v>
      </c>
      <c r="I19" s="1" t="s">
        <v>111</v>
      </c>
      <c r="J19" s="1">
        <f>+VLOOKUP(C19,'RESUMEN PITS'!$C$9:W115,21,0)</f>
        <v>-54.05592427184456</v>
      </c>
    </row>
    <row r="20" spans="1:10" x14ac:dyDescent="0.2">
      <c r="A20" s="1" t="s">
        <v>42</v>
      </c>
      <c r="B20" s="1" t="s">
        <v>89</v>
      </c>
      <c r="C20" s="1" t="s">
        <v>113</v>
      </c>
      <c r="D20" s="1">
        <v>175.52000000000044</v>
      </c>
      <c r="E20" s="1">
        <v>1350</v>
      </c>
      <c r="F20" s="1">
        <v>0</v>
      </c>
      <c r="G20" s="1">
        <f>+VLOOKUP(C20,'EXTRAS Y FESTIVOS'!$B$9:T134,19,0)</f>
        <v>0</v>
      </c>
      <c r="H20" s="1">
        <f t="shared" si="0"/>
        <v>1525.5200000000004</v>
      </c>
      <c r="I20" s="1" t="s">
        <v>114</v>
      </c>
      <c r="J20" s="1">
        <f>+VLOOKUP(C20,'RESUMEN PITS'!$C$9:W134,21,0)</f>
        <v>-54.05592427184456</v>
      </c>
    </row>
    <row r="21" spans="1:10" x14ac:dyDescent="0.2">
      <c r="A21" s="1" t="s">
        <v>46</v>
      </c>
      <c r="B21" s="1" t="s">
        <v>102</v>
      </c>
      <c r="C21" s="7" t="s">
        <v>55</v>
      </c>
      <c r="D21" s="1">
        <v>1891.12</v>
      </c>
      <c r="E21" s="1">
        <v>0</v>
      </c>
      <c r="F21" s="1">
        <v>0</v>
      </c>
      <c r="G21" s="1">
        <f>+VLOOKUP(C21,'EXTRAS Y FESTIVOS'!$B$9:T116,19,0)</f>
        <v>268.75</v>
      </c>
      <c r="H21" s="1">
        <f t="shared" si="0"/>
        <v>2159.87</v>
      </c>
      <c r="I21" s="1" t="s">
        <v>115</v>
      </c>
      <c r="J21" s="1">
        <f>+VLOOKUP(C21,'RESUMEN PITS'!$C$9:W116,21,0)</f>
        <v>-54.05592427184456</v>
      </c>
    </row>
    <row r="22" spans="1:10" x14ac:dyDescent="0.2">
      <c r="A22" s="1" t="s">
        <v>62</v>
      </c>
      <c r="B22" s="1" t="s">
        <v>89</v>
      </c>
      <c r="C22" s="1" t="s">
        <v>117</v>
      </c>
      <c r="D22" s="1">
        <v>384.78500000000031</v>
      </c>
      <c r="E22" s="1">
        <v>70</v>
      </c>
      <c r="F22" s="1">
        <v>0</v>
      </c>
      <c r="G22" s="1">
        <f>+VLOOKUP(C22,'EXTRAS Y FESTIVOS'!$B$9:T135,19,0)</f>
        <v>5.9899999999998954E-2</v>
      </c>
      <c r="H22" s="1">
        <f t="shared" si="0"/>
        <v>454.84490000000028</v>
      </c>
      <c r="I22" s="1" t="s">
        <v>118</v>
      </c>
      <c r="J22" s="1">
        <f>+VLOOKUP(C22,'RESUMEN PITS'!$C$9:W135,21,0)</f>
        <v>-54.055924271845015</v>
      </c>
    </row>
    <row r="23" spans="1:10" x14ac:dyDescent="0.2">
      <c r="A23" s="1" t="s">
        <v>40</v>
      </c>
      <c r="B23" s="1" t="s">
        <v>89</v>
      </c>
      <c r="C23" s="4" t="s">
        <v>120</v>
      </c>
      <c r="D23" s="1">
        <v>285.19999999999982</v>
      </c>
      <c r="E23" s="1">
        <v>800</v>
      </c>
      <c r="F23" s="1">
        <v>0</v>
      </c>
      <c r="G23" s="1">
        <f>+VLOOKUP(C23,'EXTRAS Y FESTIVOS'!$B$9:T136,19,0)</f>
        <v>0</v>
      </c>
      <c r="H23" s="1">
        <f t="shared" si="0"/>
        <v>1085.1999999999998</v>
      </c>
      <c r="I23" s="1" t="s">
        <v>121</v>
      </c>
      <c r="J23" s="1">
        <f>+VLOOKUP(C23,'RESUMEN PITS'!$C$9:W136,21,0)</f>
        <v>-54.05592427184456</v>
      </c>
    </row>
    <row r="24" spans="1:10" x14ac:dyDescent="0.2">
      <c r="A24" s="1" t="s">
        <v>64</v>
      </c>
      <c r="B24" s="1" t="s">
        <v>89</v>
      </c>
      <c r="C24" s="1" t="s">
        <v>123</v>
      </c>
      <c r="D24" s="1">
        <v>3721.4</v>
      </c>
      <c r="E24" s="1">
        <v>281.25</v>
      </c>
      <c r="F24" s="1">
        <v>0</v>
      </c>
      <c r="G24" s="1">
        <f>+VLOOKUP(C24,'EXTRAS Y FESTIVOS'!$B$9:T137,19,0)</f>
        <v>0</v>
      </c>
      <c r="H24" s="1">
        <f t="shared" si="0"/>
        <v>4002.65</v>
      </c>
      <c r="I24" s="1" t="s">
        <v>124</v>
      </c>
      <c r="J24" s="1">
        <f>+VLOOKUP(C24,'RESUMEN PITS'!$C$9:W137,21,0)</f>
        <v>-1414.5349242718457</v>
      </c>
    </row>
    <row r="25" spans="1:10" x14ac:dyDescent="0.2">
      <c r="A25" s="1" t="s">
        <v>72</v>
      </c>
      <c r="B25" s="1" t="s">
        <v>89</v>
      </c>
      <c r="C25" s="1" t="s">
        <v>126</v>
      </c>
      <c r="D25" s="1">
        <v>2553.4</v>
      </c>
      <c r="E25" s="1">
        <v>400</v>
      </c>
      <c r="F25" s="1">
        <v>0</v>
      </c>
      <c r="G25" s="1">
        <f>+VLOOKUP(C25,'EXTRAS Y FESTIVOS'!$B$9:T138,19,0)</f>
        <v>0</v>
      </c>
      <c r="H25" s="1">
        <f t="shared" si="0"/>
        <v>2953.4</v>
      </c>
      <c r="I25" s="1" t="s">
        <v>127</v>
      </c>
      <c r="J25" s="1">
        <f>+VLOOKUP(C25,'RESUMEN PITS'!$C$9:W138,21,0)</f>
        <v>-1414.5349242718448</v>
      </c>
    </row>
    <row r="26" spans="1:10" x14ac:dyDescent="0.2">
      <c r="A26" s="1" t="s">
        <v>44</v>
      </c>
      <c r="B26" s="1" t="s">
        <v>89</v>
      </c>
      <c r="C26" s="1" t="s">
        <v>129</v>
      </c>
      <c r="D26" s="1">
        <v>2667.4</v>
      </c>
      <c r="E26" s="1">
        <v>500</v>
      </c>
      <c r="F26" s="1">
        <v>0</v>
      </c>
      <c r="G26" s="1">
        <f>+VLOOKUP(C26,'EXTRAS Y FESTIVOS'!$B$9:T139,19,0)</f>
        <v>0</v>
      </c>
      <c r="H26" s="1">
        <f t="shared" si="0"/>
        <v>3167.4</v>
      </c>
      <c r="I26" s="1" t="s">
        <v>130</v>
      </c>
      <c r="J26" s="1">
        <f>+VLOOKUP(C26,'RESUMEN PITS'!$C$9:W139,21,0)</f>
        <v>-1414.5349242718448</v>
      </c>
    </row>
    <row r="27" spans="1:10" x14ac:dyDescent="0.2">
      <c r="A27" s="1" t="s">
        <v>88</v>
      </c>
      <c r="B27" s="1" t="s">
        <v>89</v>
      </c>
      <c r="C27" s="1" t="s">
        <v>132</v>
      </c>
      <c r="D27" s="1">
        <v>222.59999999999991</v>
      </c>
      <c r="E27" s="1">
        <v>187.5</v>
      </c>
      <c r="F27" s="1">
        <v>0</v>
      </c>
      <c r="G27" s="1">
        <f>+VLOOKUP(C27,'EXTRAS Y FESTIVOS'!$B$9:T140,19,0)</f>
        <v>0</v>
      </c>
      <c r="H27" s="1">
        <f t="shared" si="0"/>
        <v>410.09999999999991</v>
      </c>
      <c r="I27" s="1" t="s">
        <v>133</v>
      </c>
      <c r="J27" s="1">
        <f>+VLOOKUP(C27,'RESUMEN PITS'!$C$9:W140,21,0)</f>
        <v>-1414.5349242718448</v>
      </c>
    </row>
    <row r="28" spans="1:10" x14ac:dyDescent="0.2">
      <c r="A28" s="1" t="s">
        <v>93</v>
      </c>
      <c r="B28" s="1" t="s">
        <v>89</v>
      </c>
      <c r="C28" s="1" t="s">
        <v>134</v>
      </c>
      <c r="D28" s="1">
        <v>1047.8000000000002</v>
      </c>
      <c r="E28" s="1">
        <v>312.5</v>
      </c>
      <c r="F28" s="1">
        <v>0</v>
      </c>
      <c r="G28" s="1">
        <f>+VLOOKUP(C28,'EXTRAS Y FESTIVOS'!$B$9:T141,19,0)</f>
        <v>0</v>
      </c>
      <c r="H28" s="1">
        <f t="shared" si="0"/>
        <v>1360.3000000000002</v>
      </c>
      <c r="I28" s="1" t="s">
        <v>135</v>
      </c>
      <c r="J28" s="1">
        <f>+VLOOKUP(C28,'RESUMEN PITS'!$C$9:W141,21,0)</f>
        <v>-1414.5349242718457</v>
      </c>
    </row>
    <row r="29" spans="1:10" x14ac:dyDescent="0.2">
      <c r="A29" s="1" t="s">
        <v>96</v>
      </c>
      <c r="B29" s="1" t="s">
        <v>89</v>
      </c>
      <c r="C29" s="1" t="s">
        <v>137</v>
      </c>
      <c r="D29" s="1">
        <v>414.60000000000036</v>
      </c>
      <c r="E29" s="1">
        <v>600</v>
      </c>
      <c r="F29" s="1">
        <v>0</v>
      </c>
      <c r="G29" s="1">
        <f>+VLOOKUP(C29,'EXTRAS Y FESTIVOS'!$B$9:T142,19,0)</f>
        <v>0</v>
      </c>
      <c r="H29" s="1">
        <f t="shared" si="0"/>
        <v>1014.6000000000004</v>
      </c>
      <c r="I29" s="1" t="s">
        <v>138</v>
      </c>
      <c r="J29" s="1">
        <f>+VLOOKUP(C29,'RESUMEN PITS'!$C$9:W142,21,0)</f>
        <v>-1414.5349242718448</v>
      </c>
    </row>
    <row r="30" spans="1:10" x14ac:dyDescent="0.2">
      <c r="A30" s="1" t="s">
        <v>99</v>
      </c>
      <c r="B30" s="1" t="s">
        <v>89</v>
      </c>
      <c r="C30" s="1" t="s">
        <v>140</v>
      </c>
      <c r="D30" s="1">
        <v>593.60000000000036</v>
      </c>
      <c r="E30" s="1">
        <v>60</v>
      </c>
      <c r="F30" s="1">
        <v>0</v>
      </c>
      <c r="G30" s="1">
        <f>+VLOOKUP(C30,'EXTRAS Y FESTIVOS'!$B$9:T143,19,0)</f>
        <v>0</v>
      </c>
      <c r="H30" s="1">
        <f t="shared" si="0"/>
        <v>653.60000000000036</v>
      </c>
      <c r="I30" s="1" t="s">
        <v>141</v>
      </c>
      <c r="J30" s="1">
        <f>+VLOOKUP(C30,'RESUMEN PITS'!$C$9:W143,21,0)</f>
        <v>-1414.5349242718448</v>
      </c>
    </row>
    <row r="31" spans="1:10" x14ac:dyDescent="0.2">
      <c r="A31" s="1" t="s">
        <v>105</v>
      </c>
      <c r="B31" s="1" t="s">
        <v>89</v>
      </c>
      <c r="C31" s="1" t="s">
        <v>143</v>
      </c>
      <c r="D31" s="1">
        <v>134.19999999999982</v>
      </c>
      <c r="E31" s="1">
        <v>337.5</v>
      </c>
      <c r="F31" s="1">
        <v>0</v>
      </c>
      <c r="G31" s="1">
        <f>+VLOOKUP(C31,'EXTRAS Y FESTIVOS'!$B$9:T144,19,0)</f>
        <v>0</v>
      </c>
      <c r="H31" s="1">
        <f t="shared" si="0"/>
        <v>471.69999999999982</v>
      </c>
      <c r="I31" s="1" t="s">
        <v>144</v>
      </c>
      <c r="J31" s="1">
        <f>+VLOOKUP(C31,'RESUMEN PITS'!$C$9:W144,21,0)</f>
        <v>-1414.5349242718439</v>
      </c>
    </row>
    <row r="32" spans="1:10" x14ac:dyDescent="0.2">
      <c r="A32" s="1" t="s">
        <v>112</v>
      </c>
      <c r="B32" s="1" t="s">
        <v>89</v>
      </c>
      <c r="C32" s="1" t="s">
        <v>146</v>
      </c>
      <c r="D32" s="1">
        <v>52.25</v>
      </c>
      <c r="E32" s="1">
        <v>250</v>
      </c>
      <c r="F32" s="1">
        <v>0</v>
      </c>
      <c r="G32" s="1">
        <f>+VLOOKUP(C32,'EXTRAS Y FESTIVOS'!$B$9:T145,19,0)</f>
        <v>0</v>
      </c>
      <c r="H32" s="1">
        <f t="shared" si="0"/>
        <v>302.25</v>
      </c>
      <c r="I32" s="1" t="s">
        <v>147</v>
      </c>
      <c r="J32" s="1">
        <f>+VLOOKUP(C32,'RESUMEN PITS'!$C$9:W145,21,0)</f>
        <v>-1414.5349242718439</v>
      </c>
    </row>
    <row r="33" spans="1:10" x14ac:dyDescent="0.2">
      <c r="A33" s="1" t="s">
        <v>116</v>
      </c>
      <c r="B33" s="1" t="s">
        <v>89</v>
      </c>
      <c r="C33" s="1" t="s">
        <v>149</v>
      </c>
      <c r="D33" s="1">
        <v>1667.4900000000002</v>
      </c>
      <c r="E33" s="1">
        <v>90</v>
      </c>
      <c r="F33" s="1">
        <v>0</v>
      </c>
      <c r="G33" s="1">
        <f>+VLOOKUP(C33,'EXTRAS Y FESTIVOS'!$B$9:T146,19,0)</f>
        <v>0</v>
      </c>
      <c r="H33" s="1">
        <f t="shared" si="0"/>
        <v>1757.4900000000002</v>
      </c>
      <c r="I33" s="1" t="s">
        <v>150</v>
      </c>
      <c r="J33" s="1">
        <f>+VLOOKUP(C33,'RESUMEN PITS'!$C$9:W146,21,0)</f>
        <v>-1414.5349242718448</v>
      </c>
    </row>
    <row r="34" spans="1:10" x14ac:dyDescent="0.2">
      <c r="A34" s="4" t="s">
        <v>119</v>
      </c>
      <c r="B34" s="1" t="s">
        <v>89</v>
      </c>
      <c r="C34" s="1" t="s">
        <v>152</v>
      </c>
      <c r="D34" s="1">
        <v>416.39999999999964</v>
      </c>
      <c r="E34" s="1">
        <v>570</v>
      </c>
      <c r="F34" s="1">
        <v>0</v>
      </c>
      <c r="G34" s="1">
        <f>+VLOOKUP(C34,'EXTRAS Y FESTIVOS'!$B$9:T147,19,0)</f>
        <v>0</v>
      </c>
      <c r="H34" s="1">
        <f t="shared" si="0"/>
        <v>986.39999999999964</v>
      </c>
      <c r="I34" s="1" t="s">
        <v>153</v>
      </c>
      <c r="J34" s="1">
        <f>+VLOOKUP(C34,'RESUMEN PITS'!$C$9:W147,21,0)</f>
        <v>-1414.5349242718448</v>
      </c>
    </row>
    <row r="35" spans="1:10" s="4" customFormat="1" x14ac:dyDescent="0.2">
      <c r="A35" s="1" t="s">
        <v>122</v>
      </c>
      <c r="B35" s="1" t="s">
        <v>102</v>
      </c>
      <c r="C35" s="1" t="s">
        <v>67</v>
      </c>
      <c r="D35" s="1">
        <v>1558.1999999999998</v>
      </c>
      <c r="E35" s="1">
        <v>60</v>
      </c>
      <c r="F35" s="1">
        <v>0</v>
      </c>
      <c r="G35" s="1">
        <f>+VLOOKUP(C35,'EXTRAS Y FESTIVOS'!$B$9:T117,19,0)</f>
        <v>0</v>
      </c>
      <c r="H35" s="1">
        <f t="shared" si="0"/>
        <v>1618.1999999999998</v>
      </c>
      <c r="I35" s="1" t="s">
        <v>154</v>
      </c>
      <c r="J35" s="1">
        <f>+VLOOKUP(C35,'RESUMEN PITS'!$C$9:W117,21,0)</f>
        <v>-1414.5349242718448</v>
      </c>
    </row>
    <row r="36" spans="1:10" x14ac:dyDescent="0.2">
      <c r="A36" s="1" t="s">
        <v>125</v>
      </c>
      <c r="B36" s="1" t="s">
        <v>89</v>
      </c>
      <c r="C36" s="1" t="s">
        <v>156</v>
      </c>
      <c r="D36" s="1">
        <v>134.19999999999982</v>
      </c>
      <c r="E36" s="1">
        <v>363.75</v>
      </c>
      <c r="F36" s="1">
        <v>0</v>
      </c>
      <c r="G36" s="1">
        <f>+VLOOKUP(C36,'EXTRAS Y FESTIVOS'!$B$9:T148,19,0)</f>
        <v>0</v>
      </c>
      <c r="H36" s="1">
        <f t="shared" si="0"/>
        <v>497.94999999999982</v>
      </c>
      <c r="I36" s="1" t="s">
        <v>157</v>
      </c>
      <c r="J36" s="1">
        <f>+VLOOKUP(C36,'RESUMEN PITS'!$C$9:W148,21,0)</f>
        <v>-1414.5349242718439</v>
      </c>
    </row>
    <row r="37" spans="1:10" x14ac:dyDescent="0.2">
      <c r="A37" s="1" t="s">
        <v>128</v>
      </c>
      <c r="B37" s="1" t="s">
        <v>89</v>
      </c>
      <c r="C37" s="1" t="s">
        <v>159</v>
      </c>
      <c r="D37" s="1">
        <v>174.53999999999996</v>
      </c>
      <c r="E37" s="1">
        <v>56.25</v>
      </c>
      <c r="F37" s="1">
        <v>0</v>
      </c>
      <c r="G37" s="1">
        <f>+VLOOKUP(C37,'EXTRAS Y FESTIVOS'!$B$9:T149,19,0)</f>
        <v>0</v>
      </c>
      <c r="H37" s="1">
        <f t="shared" si="0"/>
        <v>230.78999999999996</v>
      </c>
      <c r="I37" s="1" t="s">
        <v>160</v>
      </c>
      <c r="J37" s="1">
        <f>+VLOOKUP(C37,'RESUMEN PITS'!$C$9:W149,21,0)</f>
        <v>-1414.5349242718439</v>
      </c>
    </row>
    <row r="38" spans="1:10" x14ac:dyDescent="0.2">
      <c r="A38" s="1" t="s">
        <v>131</v>
      </c>
      <c r="B38" s="1" t="s">
        <v>89</v>
      </c>
      <c r="C38" s="1" t="s">
        <v>162</v>
      </c>
      <c r="D38" s="1">
        <v>1416.3999999999996</v>
      </c>
      <c r="E38" s="1">
        <v>1087.5</v>
      </c>
      <c r="F38" s="1">
        <v>0</v>
      </c>
      <c r="G38" s="1">
        <f>+VLOOKUP(C38,'EXTRAS Y FESTIVOS'!$B$9:T150,19,0)</f>
        <v>0</v>
      </c>
      <c r="H38" s="1">
        <f t="shared" si="0"/>
        <v>2503.8999999999996</v>
      </c>
      <c r="I38" s="1" t="s">
        <v>163</v>
      </c>
      <c r="J38" s="1">
        <f>+VLOOKUP(C38,'RESUMEN PITS'!$C$9:W150,21,0)</f>
        <v>-1414.5349242718448</v>
      </c>
    </row>
    <row r="39" spans="1:10" x14ac:dyDescent="0.2">
      <c r="A39" s="1" t="s">
        <v>72</v>
      </c>
      <c r="B39" s="1" t="s">
        <v>89</v>
      </c>
      <c r="C39" s="1" t="s">
        <v>165</v>
      </c>
      <c r="D39" s="1">
        <v>3721.2</v>
      </c>
      <c r="E39" s="1">
        <v>125</v>
      </c>
      <c r="F39" s="1">
        <v>0</v>
      </c>
      <c r="G39" s="1">
        <f>+VLOOKUP(C39,'EXTRAS Y FESTIVOS'!$B$9:T151,19,0)</f>
        <v>0</v>
      </c>
      <c r="H39" s="1">
        <f t="shared" si="0"/>
        <v>3846.2</v>
      </c>
      <c r="I39" s="1" t="s">
        <v>166</v>
      </c>
      <c r="J39" s="1">
        <f>+VLOOKUP(C39,'RESUMEN PITS'!$C$9:W151,21,0)</f>
        <v>-1414.5349242718457</v>
      </c>
    </row>
    <row r="40" spans="1:10" x14ac:dyDescent="0.2">
      <c r="A40" s="1" t="s">
        <v>136</v>
      </c>
      <c r="B40" s="1" t="s">
        <v>89</v>
      </c>
      <c r="C40" s="1" t="s">
        <v>167</v>
      </c>
      <c r="D40" s="1">
        <v>416.19999999999982</v>
      </c>
      <c r="E40" s="1">
        <v>130</v>
      </c>
      <c r="F40" s="1">
        <v>0</v>
      </c>
      <c r="G40" s="1">
        <f>+VLOOKUP(C40,'EXTRAS Y FESTIVOS'!$B$9:T152,19,0)</f>
        <v>0</v>
      </c>
      <c r="H40" s="1">
        <f t="shared" si="0"/>
        <v>546.19999999999982</v>
      </c>
      <c r="I40" s="1" t="s">
        <v>168</v>
      </c>
      <c r="J40" s="1">
        <f>+VLOOKUP(C40,'RESUMEN PITS'!$C$9:W152,21,0)</f>
        <v>-1414.5349242718448</v>
      </c>
    </row>
    <row r="41" spans="1:10" x14ac:dyDescent="0.2">
      <c r="A41" s="1" t="s">
        <v>139</v>
      </c>
      <c r="B41" s="1" t="s">
        <v>89</v>
      </c>
      <c r="C41" s="1" t="s">
        <v>170</v>
      </c>
      <c r="D41" s="1">
        <v>451.00500000000011</v>
      </c>
      <c r="E41" s="1">
        <v>162.5</v>
      </c>
      <c r="F41" s="1">
        <v>0</v>
      </c>
      <c r="G41" s="1">
        <f>+VLOOKUP(C41,'EXTRAS Y FESTIVOS'!$B$9:T153,19,0)</f>
        <v>0</v>
      </c>
      <c r="H41" s="1">
        <f t="shared" ref="H41:H72" si="1">SUM(D41:G41)</f>
        <v>613.50500000000011</v>
      </c>
      <c r="I41" s="1" t="s">
        <v>171</v>
      </c>
      <c r="J41" s="1">
        <f>+VLOOKUP(C41,'RESUMEN PITS'!$C$9:W153,21,0)</f>
        <v>-1414.5349242718448</v>
      </c>
    </row>
    <row r="42" spans="1:10" x14ac:dyDescent="0.2">
      <c r="A42" s="1" t="s">
        <v>142</v>
      </c>
      <c r="B42" s="1" t="s">
        <v>89</v>
      </c>
      <c r="C42" s="1" t="s">
        <v>173</v>
      </c>
      <c r="D42" s="1">
        <v>3135.2</v>
      </c>
      <c r="E42" s="1">
        <v>0</v>
      </c>
      <c r="F42" s="1">
        <v>0</v>
      </c>
      <c r="G42" s="1">
        <f>+VLOOKUP(C42,'EXTRAS Y FESTIVOS'!$B$9:T154,19,0)</f>
        <v>0</v>
      </c>
      <c r="H42" s="1">
        <f t="shared" si="1"/>
        <v>3135.2</v>
      </c>
      <c r="I42" s="1" t="s">
        <v>174</v>
      </c>
      <c r="J42" s="1">
        <f>+VLOOKUP(C42,'RESUMEN PITS'!$C$9:W154,21,0)</f>
        <v>-1414.5349242718448</v>
      </c>
    </row>
    <row r="43" spans="1:10" x14ac:dyDescent="0.2">
      <c r="A43" s="1" t="s">
        <v>145</v>
      </c>
      <c r="B43" s="1" t="s">
        <v>102</v>
      </c>
      <c r="C43" s="1" t="s">
        <v>51</v>
      </c>
      <c r="D43" s="1">
        <v>2600.25</v>
      </c>
      <c r="E43" s="1">
        <v>0</v>
      </c>
      <c r="F43" s="1">
        <v>0</v>
      </c>
      <c r="G43" s="1">
        <f>+VLOOKUP(C43,'EXTRAS Y FESTIVOS'!$B$9:T118,19,0)</f>
        <v>0</v>
      </c>
      <c r="H43" s="1">
        <f t="shared" si="1"/>
        <v>2600.25</v>
      </c>
      <c r="I43" s="1" t="s">
        <v>175</v>
      </c>
      <c r="J43" s="1">
        <f>+VLOOKUP(C43,'RESUMEN PITS'!$C$9:W118,21,0)</f>
        <v>-1414.5349242718439</v>
      </c>
    </row>
    <row r="44" spans="1:10" x14ac:dyDescent="0.2">
      <c r="A44" s="1" t="s">
        <v>148</v>
      </c>
      <c r="B44" s="1" t="s">
        <v>89</v>
      </c>
      <c r="C44" s="1" t="s">
        <v>177</v>
      </c>
      <c r="D44" s="1">
        <v>134.09999999999991</v>
      </c>
      <c r="E44" s="1">
        <v>292.5</v>
      </c>
      <c r="F44" s="1">
        <v>0</v>
      </c>
      <c r="G44" s="1">
        <f>+VLOOKUP(C44,'EXTRAS Y FESTIVOS'!$B$9:T155,19,0)</f>
        <v>0</v>
      </c>
      <c r="H44" s="1">
        <f t="shared" si="1"/>
        <v>426.59999999999991</v>
      </c>
      <c r="I44" s="1" t="s">
        <v>178</v>
      </c>
      <c r="J44" s="1">
        <f>+VLOOKUP(C44,'RESUMEN PITS'!$C$9:W155,21,0)</f>
        <v>-1414.5349242718439</v>
      </c>
    </row>
    <row r="45" spans="1:10" x14ac:dyDescent="0.2">
      <c r="A45" s="1" t="s">
        <v>151</v>
      </c>
      <c r="B45" s="1" t="s">
        <v>89</v>
      </c>
      <c r="C45" s="1" t="s">
        <v>180</v>
      </c>
      <c r="D45" s="1">
        <v>-14.5</v>
      </c>
      <c r="E45" s="1">
        <v>937.5</v>
      </c>
      <c r="F45" s="1">
        <v>0</v>
      </c>
      <c r="G45" s="1">
        <f>+VLOOKUP(C45,'EXTRAS Y FESTIVOS'!$B$9:T156,19,0)</f>
        <v>0</v>
      </c>
      <c r="H45" s="1">
        <f t="shared" si="1"/>
        <v>923</v>
      </c>
      <c r="I45" s="1" t="s">
        <v>181</v>
      </c>
      <c r="J45" s="1">
        <f>+VLOOKUP(C45,'RESUMEN PITS'!$C$9:W156,21,0)</f>
        <v>-1414.5349242718448</v>
      </c>
    </row>
    <row r="46" spans="1:10" x14ac:dyDescent="0.2">
      <c r="A46" s="1" t="s">
        <v>155</v>
      </c>
      <c r="B46" s="1" t="s">
        <v>89</v>
      </c>
      <c r="C46" s="1" t="s">
        <v>183</v>
      </c>
      <c r="D46" s="1">
        <v>416.40000000000009</v>
      </c>
      <c r="E46" s="1">
        <v>225</v>
      </c>
      <c r="F46" s="1">
        <v>0</v>
      </c>
      <c r="G46" s="1">
        <f>+VLOOKUP(C46,'EXTRAS Y FESTIVOS'!$B$9:T157,19,0)</f>
        <v>0</v>
      </c>
      <c r="H46" s="1">
        <f t="shared" si="1"/>
        <v>641.40000000000009</v>
      </c>
      <c r="I46" s="1" t="s">
        <v>184</v>
      </c>
      <c r="J46" s="1">
        <f>+VLOOKUP(C46,'RESUMEN PITS'!$C$9:W157,21,0)</f>
        <v>-1414.5349242718448</v>
      </c>
    </row>
    <row r="47" spans="1:10" x14ac:dyDescent="0.2">
      <c r="A47" s="1" t="s">
        <v>158</v>
      </c>
      <c r="B47" s="1" t="s">
        <v>89</v>
      </c>
      <c r="C47" s="62" t="s">
        <v>420</v>
      </c>
      <c r="D47" s="1">
        <v>284.23</v>
      </c>
      <c r="E47" s="1">
        <v>281.25</v>
      </c>
      <c r="F47" s="1">
        <v>0</v>
      </c>
      <c r="G47" s="1">
        <f>+VLOOKUP(C47,'EXTRAS Y FESTIVOS'!$B$9:T158,19,0)</f>
        <v>0</v>
      </c>
      <c r="H47" s="1">
        <f t="shared" si="1"/>
        <v>565.48</v>
      </c>
      <c r="I47" s="1" t="s">
        <v>186</v>
      </c>
      <c r="J47" s="1">
        <f>+VLOOKUP(C47,'RESUMEN PITS'!$C$9:W158,21,0)</f>
        <v>-1414.5349242718439</v>
      </c>
    </row>
    <row r="48" spans="1:10" x14ac:dyDescent="0.2">
      <c r="A48" s="1" t="s">
        <v>161</v>
      </c>
      <c r="B48" s="1" t="s">
        <v>102</v>
      </c>
      <c r="C48" s="1" t="s">
        <v>39</v>
      </c>
      <c r="D48" s="1">
        <v>1475.4</v>
      </c>
      <c r="E48" s="1">
        <v>0</v>
      </c>
      <c r="F48" s="1">
        <v>0</v>
      </c>
      <c r="G48" s="1">
        <f>+VLOOKUP(C48,'EXTRAS Y FESTIVOS'!$B$9:T119,19,0)</f>
        <v>0</v>
      </c>
      <c r="H48" s="1">
        <f t="shared" si="1"/>
        <v>1475.4</v>
      </c>
      <c r="I48" s="1" t="s">
        <v>187</v>
      </c>
      <c r="J48" s="1">
        <f>+VLOOKUP(C48,'RESUMEN PITS'!$C$9:W119,21,0)</f>
        <v>-1414.5349242718448</v>
      </c>
    </row>
    <row r="49" spans="1:10" x14ac:dyDescent="0.2">
      <c r="A49" s="1" t="s">
        <v>164</v>
      </c>
      <c r="B49" s="1" t="s">
        <v>89</v>
      </c>
      <c r="C49" s="1" t="s">
        <v>189</v>
      </c>
      <c r="D49" s="1">
        <v>2885.04</v>
      </c>
      <c r="E49" s="1">
        <v>300</v>
      </c>
      <c r="F49" s="1">
        <v>0</v>
      </c>
      <c r="G49" s="1">
        <f>+VLOOKUP(C49,'EXTRAS Y FESTIVOS'!$B$9:T159,19,0)</f>
        <v>0</v>
      </c>
      <c r="H49" s="1">
        <f t="shared" si="1"/>
        <v>3185.04</v>
      </c>
      <c r="I49" s="1" t="s">
        <v>190</v>
      </c>
      <c r="J49" s="1">
        <f>+VLOOKUP(C49,'RESUMEN PITS'!$C$9:W159,21,0)</f>
        <v>-1414.5349242718448</v>
      </c>
    </row>
    <row r="50" spans="1:10" s="4" customFormat="1" x14ac:dyDescent="0.2">
      <c r="A50" s="1" t="s">
        <v>37</v>
      </c>
      <c r="B50" s="1" t="s">
        <v>89</v>
      </c>
      <c r="C50" s="1" t="s">
        <v>192</v>
      </c>
      <c r="D50" s="1">
        <v>414.80000000000018</v>
      </c>
      <c r="E50" s="1">
        <v>255</v>
      </c>
      <c r="F50" s="1">
        <v>0</v>
      </c>
      <c r="G50" s="1">
        <f>+VLOOKUP(C50,'EXTRAS Y FESTIVOS'!$B$9:T160,19,0)</f>
        <v>0</v>
      </c>
      <c r="H50" s="1">
        <f t="shared" si="1"/>
        <v>669.80000000000018</v>
      </c>
      <c r="I50" s="1" t="s">
        <v>193</v>
      </c>
      <c r="J50" s="1">
        <f>+VLOOKUP(C50,'RESUMEN PITS'!$C$9:W160,21,0)</f>
        <v>-1414.5349242718448</v>
      </c>
    </row>
    <row r="51" spans="1:10" x14ac:dyDescent="0.2">
      <c r="A51" s="1" t="s">
        <v>169</v>
      </c>
      <c r="B51" s="1" t="s">
        <v>102</v>
      </c>
      <c r="C51" s="1" t="s">
        <v>61</v>
      </c>
      <c r="D51" s="1">
        <v>2600.1999999999998</v>
      </c>
      <c r="E51" s="1">
        <v>337.5</v>
      </c>
      <c r="F51" s="1">
        <v>0</v>
      </c>
      <c r="G51" s="1">
        <f>+VLOOKUP(C51,'EXTRAS Y FESTIVOS'!$B$9:T120,19,0)</f>
        <v>0</v>
      </c>
      <c r="H51" s="1">
        <f t="shared" si="1"/>
        <v>2937.7</v>
      </c>
      <c r="I51" s="1" t="s">
        <v>194</v>
      </c>
      <c r="J51" s="1">
        <f>+VLOOKUP(C51,'RESUMEN PITS'!$C$9:W120,21,0)</f>
        <v>-1414.5349242718439</v>
      </c>
    </row>
    <row r="52" spans="1:10" x14ac:dyDescent="0.2">
      <c r="A52" s="1" t="s">
        <v>172</v>
      </c>
      <c r="B52" s="1" t="s">
        <v>89</v>
      </c>
      <c r="C52" s="1" t="s">
        <v>196</v>
      </c>
      <c r="D52" s="1">
        <v>1704.51</v>
      </c>
      <c r="E52" s="1">
        <v>0</v>
      </c>
      <c r="F52" s="1">
        <v>0</v>
      </c>
      <c r="G52" s="1">
        <f>+VLOOKUP(C52,'EXTRAS Y FESTIVOS'!$B$9:T161,19,0)</f>
        <v>0</v>
      </c>
      <c r="H52" s="1">
        <f t="shared" si="1"/>
        <v>1704.51</v>
      </c>
      <c r="I52" s="1" t="s">
        <v>197</v>
      </c>
      <c r="J52" s="1">
        <f>+VLOOKUP(C52,'RESUMEN PITS'!$C$9:W161,21,0)</f>
        <v>-1414.5349242718448</v>
      </c>
    </row>
    <row r="53" spans="1:10" x14ac:dyDescent="0.2">
      <c r="A53" s="1" t="s">
        <v>176</v>
      </c>
      <c r="B53" s="1" t="s">
        <v>89</v>
      </c>
      <c r="C53" s="1" t="s">
        <v>199</v>
      </c>
      <c r="D53" s="1">
        <v>222.73999999999978</v>
      </c>
      <c r="E53" s="1">
        <v>100</v>
      </c>
      <c r="F53" s="1">
        <v>0</v>
      </c>
      <c r="G53" s="1">
        <f>+VLOOKUP(C53,'EXTRAS Y FESTIVOS'!$B$9:T162,19,0)</f>
        <v>0</v>
      </c>
      <c r="H53" s="1">
        <f t="shared" si="1"/>
        <v>322.73999999999978</v>
      </c>
      <c r="I53" s="1" t="s">
        <v>200</v>
      </c>
      <c r="J53" s="1">
        <f>+VLOOKUP(C53,'RESUMEN PITS'!$C$9:W162,21,0)</f>
        <v>-1414.5349242718448</v>
      </c>
    </row>
    <row r="54" spans="1:10" x14ac:dyDescent="0.2">
      <c r="A54" s="1" t="s">
        <v>179</v>
      </c>
      <c r="B54" s="11" t="s">
        <v>89</v>
      </c>
      <c r="C54" s="1" t="s">
        <v>422</v>
      </c>
      <c r="D54" s="1">
        <v>174.59999999999991</v>
      </c>
      <c r="E54" s="1">
        <v>0</v>
      </c>
      <c r="F54" s="1">
        <v>0</v>
      </c>
      <c r="G54" s="1">
        <f>+VLOOKUP(C54,'EXTRAS Y FESTIVOS'!$B$9:T208,19,0)</f>
        <v>0</v>
      </c>
      <c r="H54" s="1">
        <f t="shared" si="1"/>
        <v>174.59999999999991</v>
      </c>
      <c r="J54" s="1">
        <f>+VLOOKUP(C54,'RESUMEN PITS'!$C$9:W208,21,0)</f>
        <v>-1414.5349242718439</v>
      </c>
    </row>
    <row r="55" spans="1:10" x14ac:dyDescent="0.2">
      <c r="A55" s="1" t="s">
        <v>182</v>
      </c>
      <c r="B55" s="1" t="s">
        <v>89</v>
      </c>
      <c r="C55" s="1" t="s">
        <v>202</v>
      </c>
      <c r="D55" s="1">
        <v>1450.85</v>
      </c>
      <c r="E55" s="1">
        <v>112.5</v>
      </c>
      <c r="F55" s="1">
        <v>0</v>
      </c>
      <c r="G55" s="1">
        <f>+VLOOKUP(C55,'EXTRAS Y FESTIVOS'!$B$9:T163,19,0)</f>
        <v>0</v>
      </c>
      <c r="H55" s="1">
        <f t="shared" si="1"/>
        <v>1563.35</v>
      </c>
      <c r="I55" s="1" t="s">
        <v>203</v>
      </c>
      <c r="J55" s="1">
        <f>+VLOOKUP(C55,'RESUMEN PITS'!$C$9:W163,21,0)</f>
        <v>-1414.5349242718448</v>
      </c>
    </row>
    <row r="56" spans="1:10" x14ac:dyDescent="0.2">
      <c r="A56" s="1" t="s">
        <v>185</v>
      </c>
      <c r="B56" s="11" t="s">
        <v>89</v>
      </c>
      <c r="C56" s="1" t="s">
        <v>336</v>
      </c>
      <c r="D56" s="1">
        <v>134.19999999999982</v>
      </c>
      <c r="E56" s="1">
        <v>487.5</v>
      </c>
      <c r="F56" s="1">
        <v>0</v>
      </c>
      <c r="G56" s="1">
        <f>+VLOOKUP(C56,'EXTRAS Y FESTIVOS'!$B$9:T207,19,0)</f>
        <v>0</v>
      </c>
      <c r="H56" s="1">
        <f t="shared" si="1"/>
        <v>621.69999999999982</v>
      </c>
      <c r="I56" s="1" t="s">
        <v>337</v>
      </c>
      <c r="J56" s="1">
        <f>+VLOOKUP(C56,'RESUMEN PITS'!$C$9:W207,21,0)</f>
        <v>-1414.5349242718439</v>
      </c>
    </row>
    <row r="57" spans="1:10" x14ac:dyDescent="0.2">
      <c r="A57" s="1" t="s">
        <v>188</v>
      </c>
      <c r="B57" s="1" t="s">
        <v>89</v>
      </c>
      <c r="C57" s="1" t="s">
        <v>208</v>
      </c>
      <c r="D57" s="1">
        <v>175.71000000000004</v>
      </c>
      <c r="E57" s="1">
        <v>0</v>
      </c>
      <c r="F57" s="1">
        <v>0</v>
      </c>
      <c r="G57" s="1">
        <f>+VLOOKUP(C57,'EXTRAS Y FESTIVOS'!$B$9:T165,19,0)</f>
        <v>0</v>
      </c>
      <c r="H57" s="1">
        <f t="shared" si="1"/>
        <v>175.71000000000004</v>
      </c>
      <c r="I57" s="1" t="s">
        <v>209</v>
      </c>
      <c r="J57" s="1">
        <f>+VLOOKUP(C57,'RESUMEN PITS'!$C$9:W165,21,0)</f>
        <v>-1414.5349242718439</v>
      </c>
    </row>
    <row r="58" spans="1:10" x14ac:dyDescent="0.2">
      <c r="A58" s="1" t="s">
        <v>191</v>
      </c>
      <c r="B58" s="1" t="s">
        <v>89</v>
      </c>
      <c r="C58" s="1" t="s">
        <v>205</v>
      </c>
      <c r="D58" s="1">
        <v>53</v>
      </c>
      <c r="E58" s="1">
        <v>160</v>
      </c>
      <c r="F58" s="1">
        <v>0</v>
      </c>
      <c r="G58" s="1">
        <f>+VLOOKUP(C58,'EXTRAS Y FESTIVOS'!$B$9:T164,19,0)</f>
        <v>0</v>
      </c>
      <c r="H58" s="1">
        <f t="shared" si="1"/>
        <v>213</v>
      </c>
      <c r="I58" s="1" t="s">
        <v>206</v>
      </c>
      <c r="J58" s="1">
        <f>+VLOOKUP(C58,'RESUMEN PITS'!$C$9:W164,21,0)</f>
        <v>-1414.5349242718439</v>
      </c>
    </row>
    <row r="59" spans="1:10" s="4" customFormat="1" x14ac:dyDescent="0.2">
      <c r="A59" s="1" t="s">
        <v>195</v>
      </c>
      <c r="B59" s="11" t="s">
        <v>89</v>
      </c>
      <c r="C59" s="9" t="s">
        <v>424</v>
      </c>
      <c r="D59" s="1">
        <v>174.40000000000009</v>
      </c>
      <c r="E59" s="1">
        <v>0</v>
      </c>
      <c r="F59" s="1">
        <v>0</v>
      </c>
      <c r="G59" s="1">
        <f>+VLOOKUP(C59,'EXTRAS Y FESTIVOS'!$B$9:T209,19,0)</f>
        <v>0</v>
      </c>
      <c r="H59" s="1">
        <f t="shared" si="1"/>
        <v>174.40000000000009</v>
      </c>
      <c r="I59" s="1"/>
      <c r="J59" s="1">
        <f>+VLOOKUP(C59,'RESUMEN PITS'!$C$9:W209,21,0)</f>
        <v>-1414.5349242718439</v>
      </c>
    </row>
    <row r="60" spans="1:10" x14ac:dyDescent="0.2">
      <c r="A60" s="1" t="s">
        <v>198</v>
      </c>
      <c r="B60" s="1" t="s">
        <v>89</v>
      </c>
      <c r="C60" s="4" t="s">
        <v>211</v>
      </c>
      <c r="D60" s="1">
        <v>1047.8000000000002</v>
      </c>
      <c r="E60" s="1">
        <v>187.5</v>
      </c>
      <c r="F60" s="1">
        <v>0</v>
      </c>
      <c r="G60" s="1">
        <f>+VLOOKUP(C60,'EXTRAS Y FESTIVOS'!$B$9:T166,19,0)</f>
        <v>0</v>
      </c>
      <c r="H60" s="1">
        <f t="shared" si="1"/>
        <v>1235.3000000000002</v>
      </c>
      <c r="I60" s="1" t="s">
        <v>212</v>
      </c>
      <c r="J60" s="1">
        <f>+VLOOKUP(C60,'RESUMEN PITS'!$C$9:W166,21,0)</f>
        <v>-1414.5349242718457</v>
      </c>
    </row>
    <row r="61" spans="1:10" x14ac:dyDescent="0.2">
      <c r="A61" s="1" t="s">
        <v>201</v>
      </c>
      <c r="B61" s="1" t="s">
        <v>89</v>
      </c>
      <c r="C61" s="4" t="s">
        <v>214</v>
      </c>
      <c r="D61" s="1">
        <v>6520.6</v>
      </c>
      <c r="E61" s="1">
        <v>2223</v>
      </c>
      <c r="F61" s="1">
        <v>0</v>
      </c>
      <c r="G61" s="1">
        <f>+VLOOKUP(C61,'EXTRAS Y FESTIVOS'!$B$9:T167,19,0)</f>
        <v>0</v>
      </c>
      <c r="H61" s="1">
        <f t="shared" si="1"/>
        <v>8743.6</v>
      </c>
      <c r="I61" s="1" t="s">
        <v>215</v>
      </c>
      <c r="J61" s="1">
        <f>+VLOOKUP(C61,'RESUMEN PITS'!$C$9:W167,21,0)</f>
        <v>-1414.5349242718439</v>
      </c>
    </row>
    <row r="62" spans="1:10" x14ac:dyDescent="0.2">
      <c r="A62" s="1" t="s">
        <v>204</v>
      </c>
      <c r="B62" s="1" t="s">
        <v>89</v>
      </c>
      <c r="C62" s="7" t="s">
        <v>217</v>
      </c>
      <c r="D62" s="1">
        <v>414.59999999999991</v>
      </c>
      <c r="E62" s="1">
        <v>220</v>
      </c>
      <c r="F62" s="1">
        <v>0</v>
      </c>
      <c r="G62" s="1">
        <f>+VLOOKUP(C62,'EXTRAS Y FESTIVOS'!$B$9:T168,19,0)</f>
        <v>0</v>
      </c>
      <c r="H62" s="1">
        <f t="shared" si="1"/>
        <v>634.59999999999991</v>
      </c>
      <c r="I62" s="1" t="s">
        <v>218</v>
      </c>
      <c r="J62" s="1">
        <f>+VLOOKUP(C62,'RESUMEN PITS'!$C$9:W168,21,0)</f>
        <v>-1414.5349242718448</v>
      </c>
    </row>
    <row r="63" spans="1:10" x14ac:dyDescent="0.2">
      <c r="A63" s="1" t="s">
        <v>207</v>
      </c>
      <c r="B63" s="1" t="s">
        <v>89</v>
      </c>
      <c r="C63" s="1" t="s">
        <v>252</v>
      </c>
      <c r="D63" s="1">
        <v>707</v>
      </c>
      <c r="E63" s="1">
        <v>500</v>
      </c>
      <c r="F63" s="1">
        <v>0</v>
      </c>
      <c r="G63" s="1">
        <f>+VLOOKUP(C63,'EXTRAS Y FESTIVOS'!$B$9:T180,19,0)</f>
        <v>0</v>
      </c>
      <c r="H63" s="1">
        <f t="shared" si="1"/>
        <v>1207</v>
      </c>
      <c r="I63" s="1" t="s">
        <v>253</v>
      </c>
      <c r="J63" s="1">
        <f>+VLOOKUP(C63,'RESUMEN PITS'!$C$9:W180,21,0)</f>
        <v>-1414.5349242718448</v>
      </c>
    </row>
    <row r="64" spans="1:10" x14ac:dyDescent="0.2">
      <c r="A64" s="4" t="s">
        <v>210</v>
      </c>
      <c r="B64" s="1" t="s">
        <v>102</v>
      </c>
      <c r="C64" s="1" t="s">
        <v>57</v>
      </c>
      <c r="D64" s="1">
        <v>2750.92</v>
      </c>
      <c r="E64" s="1">
        <v>0</v>
      </c>
      <c r="F64" s="1">
        <v>0</v>
      </c>
      <c r="G64" s="1">
        <f>+VLOOKUP(C64,'EXTRAS Y FESTIVOS'!$B$9:T121,19,0)</f>
        <v>211.88</v>
      </c>
      <c r="H64" s="1">
        <f t="shared" si="1"/>
        <v>2962.8</v>
      </c>
      <c r="I64" s="1" t="s">
        <v>219</v>
      </c>
      <c r="J64" s="1">
        <f>+VLOOKUP(C64,'RESUMEN PITS'!$C$9:W121,21,0)</f>
        <v>-1414.5349242718439</v>
      </c>
    </row>
    <row r="65" spans="1:10" x14ac:dyDescent="0.2">
      <c r="A65" s="1" t="s">
        <v>213</v>
      </c>
      <c r="B65" s="1" t="s">
        <v>89</v>
      </c>
      <c r="C65" s="4" t="s">
        <v>221</v>
      </c>
      <c r="D65" s="1">
        <v>416.40000000000009</v>
      </c>
      <c r="E65" s="1">
        <v>150</v>
      </c>
      <c r="F65" s="1">
        <v>0</v>
      </c>
      <c r="G65" s="1">
        <f>+VLOOKUP(C65,'EXTRAS Y FESTIVOS'!$B$9:T169,19,0)</f>
        <v>0</v>
      </c>
      <c r="H65" s="1">
        <f t="shared" si="1"/>
        <v>566.40000000000009</v>
      </c>
      <c r="I65" s="1" t="s">
        <v>222</v>
      </c>
      <c r="J65" s="1">
        <f>+VLOOKUP(C65,'RESUMEN PITS'!$C$9:W169,21,0)</f>
        <v>-1414.5349242718448</v>
      </c>
    </row>
    <row r="66" spans="1:10" x14ac:dyDescent="0.2">
      <c r="A66" s="1" t="s">
        <v>216</v>
      </c>
      <c r="B66" s="1" t="s">
        <v>89</v>
      </c>
      <c r="C66" s="1" t="s">
        <v>224</v>
      </c>
      <c r="D66" s="1">
        <v>416.19999999999982</v>
      </c>
      <c r="E66" s="1">
        <v>120</v>
      </c>
      <c r="F66" s="1">
        <v>0</v>
      </c>
      <c r="G66" s="1">
        <f>+VLOOKUP(C66,'EXTRAS Y FESTIVOS'!$B$9:T170,19,0)</f>
        <v>0</v>
      </c>
      <c r="H66" s="1">
        <f t="shared" si="1"/>
        <v>536.19999999999982</v>
      </c>
      <c r="I66" s="1" t="s">
        <v>225</v>
      </c>
      <c r="J66" s="1">
        <f>+VLOOKUP(C66,'RESUMEN PITS'!$C$9:W170,21,0)</f>
        <v>-1414.5349242718448</v>
      </c>
    </row>
    <row r="67" spans="1:10" x14ac:dyDescent="0.2">
      <c r="A67" s="4" t="s">
        <v>220</v>
      </c>
      <c r="B67" s="1" t="s">
        <v>89</v>
      </c>
      <c r="C67" s="1" t="s">
        <v>227</v>
      </c>
      <c r="D67" s="1">
        <v>1694.2399999999998</v>
      </c>
      <c r="E67" s="1">
        <v>262.5</v>
      </c>
      <c r="F67" s="1">
        <v>0</v>
      </c>
      <c r="G67" s="1">
        <f>+VLOOKUP(C67,'EXTRAS Y FESTIVOS'!$B$9:T171,19,0)</f>
        <v>0</v>
      </c>
      <c r="H67" s="1">
        <f t="shared" si="1"/>
        <v>1956.7399999999998</v>
      </c>
      <c r="I67" s="1" t="s">
        <v>228</v>
      </c>
      <c r="J67" s="1">
        <f>+VLOOKUP(C67,'RESUMEN PITS'!$C$9:W171,21,0)</f>
        <v>-2175.4699242718434</v>
      </c>
    </row>
    <row r="68" spans="1:10" s="7" customFormat="1" x14ac:dyDescent="0.2">
      <c r="A68" s="1" t="s">
        <v>223</v>
      </c>
      <c r="B68" s="1" t="s">
        <v>89</v>
      </c>
      <c r="C68" s="1" t="s">
        <v>230</v>
      </c>
      <c r="D68" s="1">
        <v>1047.8000000000002</v>
      </c>
      <c r="E68" s="1">
        <v>562.5</v>
      </c>
      <c r="F68" s="1">
        <v>0</v>
      </c>
      <c r="G68" s="1">
        <f>+VLOOKUP(C68,'EXTRAS Y FESTIVOS'!$B$9:T172,19,0)</f>
        <v>0</v>
      </c>
      <c r="H68" s="1">
        <f t="shared" si="1"/>
        <v>1610.3000000000002</v>
      </c>
      <c r="I68" s="1" t="s">
        <v>231</v>
      </c>
      <c r="J68" s="1">
        <f>+VLOOKUP(C68,'RESUMEN PITS'!$C$9:W172,21,0)</f>
        <v>-1212.5669242718432</v>
      </c>
    </row>
    <row r="69" spans="1:10" x14ac:dyDescent="0.2">
      <c r="A69" s="1" t="s">
        <v>226</v>
      </c>
      <c r="B69" s="1" t="s">
        <v>89</v>
      </c>
      <c r="C69" s="1" t="s">
        <v>233</v>
      </c>
      <c r="D69" s="1">
        <v>3339.26</v>
      </c>
      <c r="E69" s="1">
        <v>262.5</v>
      </c>
      <c r="F69" s="1">
        <v>0</v>
      </c>
      <c r="G69" s="1">
        <f>+VLOOKUP(C69,'EXTRAS Y FESTIVOS'!$B$9:T173,19,0)</f>
        <v>280.69</v>
      </c>
      <c r="H69" s="1">
        <f t="shared" si="1"/>
        <v>3882.4500000000003</v>
      </c>
      <c r="I69" s="1" t="s">
        <v>234</v>
      </c>
      <c r="J69" s="1">
        <f>+VLOOKUP(C69,'RESUMEN PITS'!$C$9:W173,21,0)</f>
        <v>-1212.566924271845</v>
      </c>
    </row>
    <row r="70" spans="1:10" x14ac:dyDescent="0.2">
      <c r="A70" s="1" t="s">
        <v>229</v>
      </c>
      <c r="B70" s="1" t="s">
        <v>89</v>
      </c>
      <c r="C70" s="1" t="s">
        <v>236</v>
      </c>
      <c r="D70" s="1">
        <v>2552.4</v>
      </c>
      <c r="E70" s="1">
        <v>250</v>
      </c>
      <c r="F70" s="1">
        <v>0</v>
      </c>
      <c r="G70" s="1">
        <f>+VLOOKUP(C70,'EXTRAS Y FESTIVOS'!$B$9:T174,19,0)</f>
        <v>99.999999999999972</v>
      </c>
      <c r="H70" s="1">
        <f t="shared" si="1"/>
        <v>2902.4</v>
      </c>
      <c r="I70" s="1" t="s">
        <v>237</v>
      </c>
      <c r="J70" s="1">
        <f>+VLOOKUP(C70,'RESUMEN PITS'!$C$9:W174,21,0)</f>
        <v>-1212.5669242718441</v>
      </c>
    </row>
    <row r="71" spans="1:10" x14ac:dyDescent="0.2">
      <c r="A71" s="1" t="s">
        <v>232</v>
      </c>
      <c r="B71" s="1" t="s">
        <v>89</v>
      </c>
      <c r="C71" s="1" t="s">
        <v>239</v>
      </c>
      <c r="D71" s="1">
        <v>550.07499999999982</v>
      </c>
      <c r="E71" s="1">
        <v>375</v>
      </c>
      <c r="F71" s="1">
        <v>0</v>
      </c>
      <c r="G71" s="1">
        <f>+VLOOKUP(C71,'EXTRAS Y FESTIVOS'!$B$9:T175,19,0)</f>
        <v>0</v>
      </c>
      <c r="H71" s="1">
        <f t="shared" si="1"/>
        <v>925.07499999999982</v>
      </c>
      <c r="I71" s="1" t="s">
        <v>240</v>
      </c>
      <c r="J71" s="1">
        <f>+VLOOKUP(C71,'RESUMEN PITS'!$C$9:W175,21,0)</f>
        <v>-1212.5669242718432</v>
      </c>
    </row>
    <row r="72" spans="1:10" x14ac:dyDescent="0.2">
      <c r="A72" s="1" t="s">
        <v>235</v>
      </c>
      <c r="B72" s="1" t="s">
        <v>89</v>
      </c>
      <c r="C72" s="1" t="s">
        <v>242</v>
      </c>
      <c r="D72" s="1">
        <v>4339.43</v>
      </c>
      <c r="E72" s="1">
        <v>281.25</v>
      </c>
      <c r="F72" s="1">
        <v>0</v>
      </c>
      <c r="G72" s="1">
        <f>+VLOOKUP(C72,'EXTRAS Y FESTIVOS'!$B$9:T176,19,0)</f>
        <v>0</v>
      </c>
      <c r="H72" s="1">
        <f t="shared" si="1"/>
        <v>4620.68</v>
      </c>
      <c r="I72" s="1" t="s">
        <v>243</v>
      </c>
      <c r="J72" s="1">
        <f>+VLOOKUP(C72,'RESUMEN PITS'!$C$9:W176,21,0)</f>
        <v>-1212.566924271845</v>
      </c>
    </row>
    <row r="73" spans="1:10" x14ac:dyDescent="0.2">
      <c r="A73" s="1" t="s">
        <v>238</v>
      </c>
      <c r="B73" s="1" t="s">
        <v>89</v>
      </c>
      <c r="C73" s="62" t="s">
        <v>419</v>
      </c>
      <c r="D73" s="1">
        <v>3553.2</v>
      </c>
      <c r="E73" s="1">
        <v>187.5</v>
      </c>
      <c r="F73" s="1">
        <v>0</v>
      </c>
      <c r="G73" s="1">
        <f>+VLOOKUP(C73,'EXTRAS Y FESTIVOS'!$B$9:T177,19,0)</f>
        <v>0</v>
      </c>
      <c r="H73" s="1">
        <f t="shared" ref="H73:H104" si="2">SUM(D73:G73)</f>
        <v>3740.7</v>
      </c>
      <c r="I73" s="1" t="s">
        <v>245</v>
      </c>
      <c r="J73" s="1">
        <f>+VLOOKUP(C73,'RESUMEN PITS'!$C$9:W177,21,0)</f>
        <v>-1212.5669242718441</v>
      </c>
    </row>
    <row r="74" spans="1:10" x14ac:dyDescent="0.2">
      <c r="A74" s="1" t="s">
        <v>241</v>
      </c>
      <c r="B74" s="1" t="s">
        <v>89</v>
      </c>
      <c r="C74" s="1" t="s">
        <v>247</v>
      </c>
      <c r="D74" s="1">
        <v>52.570000000000164</v>
      </c>
      <c r="E74" s="1">
        <v>250</v>
      </c>
      <c r="F74" s="1">
        <v>0</v>
      </c>
      <c r="G74" s="1">
        <f>+VLOOKUP(C74,'EXTRAS Y FESTIVOS'!$B$9:T178,19,0)</f>
        <v>0</v>
      </c>
      <c r="H74" s="1">
        <f t="shared" si="2"/>
        <v>302.57000000000016</v>
      </c>
      <c r="I74" s="1" t="s">
        <v>248</v>
      </c>
      <c r="J74" s="1">
        <f>+VLOOKUP(C74,'RESUMEN PITS'!$C$9:W178,21,0)</f>
        <v>-1618.5039242718449</v>
      </c>
    </row>
    <row r="75" spans="1:10" x14ac:dyDescent="0.2">
      <c r="A75" s="1" t="s">
        <v>244</v>
      </c>
      <c r="B75" s="1" t="s">
        <v>89</v>
      </c>
      <c r="C75" s="1" t="s">
        <v>250</v>
      </c>
      <c r="D75" s="1">
        <v>2262.1999999999998</v>
      </c>
      <c r="E75" s="1">
        <v>0</v>
      </c>
      <c r="F75" s="1">
        <v>0</v>
      </c>
      <c r="G75" s="1">
        <f>+VLOOKUP(C75,'EXTRAS Y FESTIVOS'!$B$9:T179,19,0)</f>
        <v>0</v>
      </c>
      <c r="H75" s="1">
        <f t="shared" si="2"/>
        <v>2262.1999999999998</v>
      </c>
      <c r="I75" s="1" t="s">
        <v>251</v>
      </c>
      <c r="J75" s="1">
        <f>+VLOOKUP(C75,'RESUMEN PITS'!$C$9:W179,21,0)</f>
        <v>-1501.4969242718444</v>
      </c>
    </row>
    <row r="76" spans="1:10" x14ac:dyDescent="0.2">
      <c r="A76" s="1" t="s">
        <v>246</v>
      </c>
      <c r="B76" s="1" t="s">
        <v>89</v>
      </c>
      <c r="C76" s="1" t="s">
        <v>255</v>
      </c>
      <c r="D76" s="1">
        <v>2262.3700000000003</v>
      </c>
      <c r="E76" s="1">
        <v>400</v>
      </c>
      <c r="F76" s="1">
        <v>0</v>
      </c>
      <c r="G76" s="1">
        <f>+VLOOKUP(C76,'EXTRAS Y FESTIVOS'!$B$9:T181,19,0)</f>
        <v>225</v>
      </c>
      <c r="H76" s="1">
        <f t="shared" si="2"/>
        <v>2887.3700000000003</v>
      </c>
      <c r="I76" s="1" t="s">
        <v>256</v>
      </c>
      <c r="J76" s="1">
        <f>+VLOOKUP(C76,'RESUMEN PITS'!$C$9:W181,21,0)</f>
        <v>-1501.4969242718453</v>
      </c>
    </row>
    <row r="77" spans="1:10" x14ac:dyDescent="0.2">
      <c r="A77" s="1" t="s">
        <v>249</v>
      </c>
      <c r="B77" s="1" t="s">
        <v>89</v>
      </c>
      <c r="C77" s="7" t="s">
        <v>258</v>
      </c>
      <c r="D77" s="1">
        <v>414.59999999999991</v>
      </c>
      <c r="E77" s="1">
        <v>175</v>
      </c>
      <c r="F77" s="1">
        <v>0</v>
      </c>
      <c r="G77" s="1">
        <f>+VLOOKUP(C77,'EXTRAS Y FESTIVOS'!$B$9:T182,19,0)</f>
        <v>0</v>
      </c>
      <c r="H77" s="1">
        <f t="shared" si="2"/>
        <v>589.59999999999991</v>
      </c>
      <c r="I77" s="1" t="s">
        <v>259</v>
      </c>
      <c r="J77" s="1">
        <f>+VLOOKUP(C77,'RESUMEN PITS'!$C$9:W182,21,0)</f>
        <v>-1501.4969242718444</v>
      </c>
    </row>
    <row r="78" spans="1:10" x14ac:dyDescent="0.2">
      <c r="B78" s="190" t="s">
        <v>102</v>
      </c>
      <c r="C78" s="190" t="s">
        <v>43</v>
      </c>
      <c r="D78" s="190">
        <v>2464</v>
      </c>
      <c r="E78" s="190">
        <v>1000</v>
      </c>
      <c r="F78" s="190">
        <v>0</v>
      </c>
      <c r="G78" s="190">
        <f>+VLOOKUP(C78,'EXTRAS Y FESTIVOS'!$B$9:T122,19,0)</f>
        <v>0</v>
      </c>
      <c r="H78" s="190">
        <f t="shared" si="2"/>
        <v>3464</v>
      </c>
      <c r="I78" s="1" t="s">
        <v>260</v>
      </c>
      <c r="J78" s="1">
        <f>+VLOOKUP(C78,'RESUMEN PITS'!$C$9:W122,21,0)</f>
        <v>-1501.4969242718444</v>
      </c>
    </row>
    <row r="79" spans="1:10" x14ac:dyDescent="0.2">
      <c r="A79" s="1" t="s">
        <v>254</v>
      </c>
      <c r="B79" s="1" t="s">
        <v>89</v>
      </c>
      <c r="C79" s="1" t="s">
        <v>262</v>
      </c>
      <c r="D79" s="1">
        <v>175.59999999999991</v>
      </c>
      <c r="E79" s="1">
        <v>843.75</v>
      </c>
      <c r="F79" s="1">
        <v>0</v>
      </c>
      <c r="G79" s="1">
        <f>+VLOOKUP(C79,'EXTRAS Y FESTIVOS'!$B$9:T183,19,0)</f>
        <v>0</v>
      </c>
      <c r="H79" s="1">
        <f t="shared" si="2"/>
        <v>1019.3499999999999</v>
      </c>
      <c r="I79" s="1" t="s">
        <v>263</v>
      </c>
      <c r="J79" s="1">
        <f>+VLOOKUP(C79,'RESUMEN PITS'!$C$9:W183,21,0)</f>
        <v>-1501.4969242718444</v>
      </c>
    </row>
    <row r="80" spans="1:10" x14ac:dyDescent="0.2">
      <c r="A80" s="1" t="s">
        <v>257</v>
      </c>
      <c r="B80" s="11" t="s">
        <v>89</v>
      </c>
      <c r="C80" s="9" t="s">
        <v>459</v>
      </c>
      <c r="D80" s="1">
        <v>0</v>
      </c>
      <c r="E80" s="1">
        <v>0</v>
      </c>
      <c r="F80" s="1">
        <v>0</v>
      </c>
      <c r="G80" s="1">
        <f>+VLOOKUP(C80,'EXTRAS Y FESTIVOS'!$B$9:T213,19,0)</f>
        <v>0</v>
      </c>
      <c r="H80" s="1">
        <f t="shared" si="2"/>
        <v>0</v>
      </c>
      <c r="J80" s="1">
        <f>+VLOOKUP(C80,'RESUMEN PITS'!$C$9:W213,21,0)</f>
        <v>-3408.4969242718444</v>
      </c>
    </row>
    <row r="81" spans="1:10" x14ac:dyDescent="0.2">
      <c r="A81" s="1" t="s">
        <v>261</v>
      </c>
      <c r="B81" s="1" t="s">
        <v>89</v>
      </c>
      <c r="C81" s="1" t="s">
        <v>265</v>
      </c>
      <c r="D81" s="1">
        <v>416.19999999999982</v>
      </c>
      <c r="E81" s="1">
        <f>687.5+500</f>
        <v>1187.5</v>
      </c>
      <c r="F81" s="1">
        <v>0</v>
      </c>
      <c r="G81" s="1">
        <f>+VLOOKUP(C81,'EXTRAS Y FESTIVOS'!$B$9:T184,19,0)</f>
        <v>0</v>
      </c>
      <c r="H81" s="1">
        <f t="shared" si="2"/>
        <v>1603.6999999999998</v>
      </c>
      <c r="I81" s="1" t="s">
        <v>266</v>
      </c>
      <c r="J81" s="1">
        <f>+VLOOKUP(C81,'RESUMEN PITS'!$C$9:W184,21,0)</f>
        <v>-1501.4969242718444</v>
      </c>
    </row>
    <row r="82" spans="1:10" x14ac:dyDescent="0.2">
      <c r="A82" s="1" t="s">
        <v>264</v>
      </c>
      <c r="B82" s="1" t="s">
        <v>102</v>
      </c>
      <c r="C82" s="1" t="s">
        <v>47</v>
      </c>
      <c r="D82" s="1">
        <v>2600.25</v>
      </c>
      <c r="E82" s="1">
        <v>75</v>
      </c>
      <c r="F82" s="1">
        <v>0</v>
      </c>
      <c r="G82" s="1">
        <f>+VLOOKUP(C82,'EXTRAS Y FESTIVOS'!$B$9:T123,19,0)</f>
        <v>0</v>
      </c>
      <c r="H82" s="1">
        <f t="shared" si="2"/>
        <v>2675.25</v>
      </c>
      <c r="I82" s="1" t="s">
        <v>267</v>
      </c>
      <c r="J82" s="1">
        <f>+VLOOKUP(C82,'RESUMEN PITS'!$C$9:W123,21,0)</f>
        <v>-1501.4969242718453</v>
      </c>
    </row>
    <row r="83" spans="1:10" x14ac:dyDescent="0.2">
      <c r="A83" s="1" t="s">
        <v>268</v>
      </c>
      <c r="B83" s="1" t="s">
        <v>89</v>
      </c>
      <c r="C83" s="1" t="s">
        <v>269</v>
      </c>
      <c r="D83" s="1">
        <v>414.55999999999995</v>
      </c>
      <c r="E83" s="1">
        <v>250</v>
      </c>
      <c r="F83" s="1">
        <v>0</v>
      </c>
      <c r="G83" s="1">
        <f>+VLOOKUP(C83,'EXTRAS Y FESTIVOS'!$B$9:T185,19,0)</f>
        <v>0</v>
      </c>
      <c r="H83" s="1">
        <f t="shared" si="2"/>
        <v>664.56</v>
      </c>
      <c r="I83" s="1" t="s">
        <v>270</v>
      </c>
      <c r="J83" s="1">
        <f>+VLOOKUP(C83,'RESUMEN PITS'!$C$9:W185,21,0)</f>
        <v>-1501.4969242718444</v>
      </c>
    </row>
    <row r="84" spans="1:10" x14ac:dyDescent="0.2">
      <c r="A84" s="1" t="s">
        <v>271</v>
      </c>
      <c r="B84" s="1" t="s">
        <v>89</v>
      </c>
      <c r="C84" s="1" t="s">
        <v>272</v>
      </c>
      <c r="D84" s="1">
        <f>866.4-333.33</f>
        <v>533.06999999999994</v>
      </c>
      <c r="E84" s="1">
        <v>150</v>
      </c>
      <c r="F84" s="1">
        <v>0</v>
      </c>
      <c r="G84" s="1">
        <f>+VLOOKUP(C84,'EXTRAS Y FESTIVOS'!$B$9:T186,19,0)</f>
        <v>0</v>
      </c>
      <c r="H84" s="1">
        <f t="shared" si="2"/>
        <v>683.06999999999994</v>
      </c>
      <c r="I84" s="1" t="s">
        <v>273</v>
      </c>
      <c r="J84" s="1">
        <f>+VLOOKUP(C84,'RESUMEN PITS'!$C$9:W186,21,0)</f>
        <v>-1834.8335909385107</v>
      </c>
    </row>
    <row r="85" spans="1:10" x14ac:dyDescent="0.2">
      <c r="B85" s="11" t="s">
        <v>89</v>
      </c>
      <c r="C85" s="9" t="s">
        <v>457</v>
      </c>
      <c r="D85" s="1">
        <f>518-420</f>
        <v>98</v>
      </c>
      <c r="E85" s="1">
        <v>0</v>
      </c>
      <c r="F85" s="1">
        <v>0</v>
      </c>
      <c r="G85" s="1">
        <f>+VLOOKUP(C85,'EXTRAS Y FESTIVOS'!$B$9:T212,19,0)</f>
        <v>0</v>
      </c>
      <c r="H85" s="1">
        <f t="shared" si="2"/>
        <v>98</v>
      </c>
      <c r="J85" s="1">
        <f>+VLOOKUP(C85,'RESUMEN PITS'!$C$9:W212,21,0)</f>
        <v>-1921.4969242718444</v>
      </c>
    </row>
    <row r="86" spans="1:10" x14ac:dyDescent="0.2">
      <c r="A86" s="1" t="s">
        <v>277</v>
      </c>
      <c r="B86" s="1" t="s">
        <v>89</v>
      </c>
      <c r="C86" s="189" t="s">
        <v>274</v>
      </c>
      <c r="D86" s="189">
        <v>207.62999999999965</v>
      </c>
      <c r="E86" s="189">
        <v>3503.7</v>
      </c>
      <c r="F86" s="189">
        <v>0</v>
      </c>
      <c r="G86" s="189">
        <f>+VLOOKUP(C86,'EXTRAS Y FESTIVOS'!$B$9:T187,19,0)</f>
        <v>0</v>
      </c>
      <c r="H86" s="189">
        <f t="shared" si="2"/>
        <v>3711.3299999999995</v>
      </c>
      <c r="I86" s="1" t="s">
        <v>275</v>
      </c>
      <c r="J86" s="1">
        <f>+VLOOKUP(C86,'RESUMEN PITS'!$C$9:W187,21,0)</f>
        <v>-1501.4969242718439</v>
      </c>
    </row>
    <row r="87" spans="1:10" x14ac:dyDescent="0.2">
      <c r="A87" s="1" t="s">
        <v>280</v>
      </c>
      <c r="B87" s="1" t="s">
        <v>102</v>
      </c>
      <c r="C87" s="1" t="s">
        <v>63</v>
      </c>
      <c r="D87" s="1">
        <v>1483.0900000000001</v>
      </c>
      <c r="E87" s="1">
        <v>30</v>
      </c>
      <c r="F87" s="1">
        <v>0</v>
      </c>
      <c r="G87" s="1">
        <f>+VLOOKUP(C87,'EXTRAS Y FESTIVOS'!$B$9:T124,19,0)</f>
        <v>398.26</v>
      </c>
      <c r="H87" s="1">
        <f t="shared" si="2"/>
        <v>1911.3500000000001</v>
      </c>
      <c r="I87" s="1" t="s">
        <v>276</v>
      </c>
      <c r="J87" s="1">
        <f>+VLOOKUP(C87,'RESUMEN PITS'!$C$9:W124,21,0)</f>
        <v>-1501.4969242718444</v>
      </c>
    </row>
    <row r="88" spans="1:10" x14ac:dyDescent="0.2">
      <c r="A88" s="1" t="s">
        <v>283</v>
      </c>
      <c r="B88" s="1" t="s">
        <v>89</v>
      </c>
      <c r="C88" s="1" t="s">
        <v>278</v>
      </c>
      <c r="D88" s="1">
        <v>175.59999999999991</v>
      </c>
      <c r="E88" s="1">
        <v>900</v>
      </c>
      <c r="F88" s="1">
        <v>0</v>
      </c>
      <c r="G88" s="1">
        <f>+VLOOKUP(C88,'EXTRAS Y FESTIVOS'!$B$9:T188,19,0)</f>
        <v>0</v>
      </c>
      <c r="H88" s="1">
        <f t="shared" si="2"/>
        <v>1075.5999999999999</v>
      </c>
      <c r="I88" s="1" t="s">
        <v>279</v>
      </c>
      <c r="J88" s="1">
        <f>+VLOOKUP(C88,'RESUMEN PITS'!$C$9:W188,21,0)</f>
        <v>-1350.9859242718449</v>
      </c>
    </row>
    <row r="89" spans="1:10" x14ac:dyDescent="0.2">
      <c r="A89" s="1" t="s">
        <v>287</v>
      </c>
      <c r="B89" s="1" t="s">
        <v>89</v>
      </c>
      <c r="C89" s="1" t="s">
        <v>281</v>
      </c>
      <c r="D89" s="1">
        <v>416.40000000000009</v>
      </c>
      <c r="E89" s="1">
        <v>210</v>
      </c>
      <c r="F89" s="1">
        <v>0</v>
      </c>
      <c r="G89" s="1">
        <f>+VLOOKUP(C89,'EXTRAS Y FESTIVOS'!$B$9:T189,19,0)</f>
        <v>0</v>
      </c>
      <c r="H89" s="1">
        <f t="shared" si="2"/>
        <v>626.40000000000009</v>
      </c>
      <c r="I89" s="1" t="s">
        <v>282</v>
      </c>
      <c r="J89" s="1">
        <f>+VLOOKUP(C89,'RESUMEN PITS'!$C$9:W189,21,0)</f>
        <v>-1342.3659242718441</v>
      </c>
    </row>
    <row r="90" spans="1:10" x14ac:dyDescent="0.2">
      <c r="A90" s="1" t="s">
        <v>290</v>
      </c>
      <c r="B90" s="1" t="s">
        <v>89</v>
      </c>
      <c r="C90" s="4" t="s">
        <v>284</v>
      </c>
      <c r="D90" s="1">
        <v>52.400000000000091</v>
      </c>
      <c r="E90" s="1">
        <v>140</v>
      </c>
      <c r="F90" s="1">
        <v>0</v>
      </c>
      <c r="G90" s="1">
        <f>+VLOOKUP(C90,'EXTRAS Y FESTIVOS'!$B$9:T190,19,0)</f>
        <v>0</v>
      </c>
      <c r="H90" s="1">
        <f t="shared" si="2"/>
        <v>192.40000000000009</v>
      </c>
      <c r="I90" s="1" t="s">
        <v>285</v>
      </c>
      <c r="J90" s="1">
        <f>+VLOOKUP(C90,'RESUMEN PITS'!$C$9:W190,21,0)</f>
        <v>-1342.3659242718441</v>
      </c>
    </row>
    <row r="91" spans="1:10" x14ac:dyDescent="0.2">
      <c r="A91" s="1" t="s">
        <v>293</v>
      </c>
      <c r="B91" s="1" t="s">
        <v>102</v>
      </c>
      <c r="C91" s="1" t="s">
        <v>41</v>
      </c>
      <c r="D91" s="1">
        <v>1588</v>
      </c>
      <c r="E91" s="1">
        <v>400</v>
      </c>
      <c r="F91" s="1">
        <v>0</v>
      </c>
      <c r="G91" s="1">
        <f>+VLOOKUP(C91,'EXTRAS Y FESTIVOS'!$B$9:T125,19,0)</f>
        <v>0</v>
      </c>
      <c r="H91" s="1">
        <f t="shared" si="2"/>
        <v>1988</v>
      </c>
      <c r="I91" s="1" t="s">
        <v>286</v>
      </c>
      <c r="J91" s="1">
        <f>+VLOOKUP(C91,'RESUMEN PITS'!$C$9:W125,21,0)</f>
        <v>-1342.3659242718441</v>
      </c>
    </row>
    <row r="92" spans="1:10" x14ac:dyDescent="0.2">
      <c r="A92" s="1" t="s">
        <v>297</v>
      </c>
      <c r="B92" s="1" t="s">
        <v>89</v>
      </c>
      <c r="C92" s="1" t="s">
        <v>288</v>
      </c>
      <c r="D92" s="1">
        <v>2194.04</v>
      </c>
      <c r="E92" s="1">
        <v>110</v>
      </c>
      <c r="F92" s="1">
        <v>0</v>
      </c>
      <c r="G92" s="1">
        <f>+VLOOKUP(C92,'EXTRAS Y FESTIVOS'!$B$9:T191,19,0)</f>
        <v>0</v>
      </c>
      <c r="H92" s="1">
        <f t="shared" si="2"/>
        <v>2304.04</v>
      </c>
      <c r="I92" s="1" t="s">
        <v>289</v>
      </c>
      <c r="J92" s="1">
        <f>+VLOOKUP(C92,'RESUMEN PITS'!$C$9:W191,21,0)</f>
        <v>-1342.3659242718441</v>
      </c>
    </row>
    <row r="93" spans="1:10" x14ac:dyDescent="0.2">
      <c r="A93" s="1" t="s">
        <v>300</v>
      </c>
      <c r="B93" s="1" t="s">
        <v>89</v>
      </c>
      <c r="C93" s="1" t="s">
        <v>291</v>
      </c>
      <c r="D93" s="1">
        <v>416.40000000000009</v>
      </c>
      <c r="E93" s="1">
        <v>315</v>
      </c>
      <c r="F93" s="1">
        <v>0</v>
      </c>
      <c r="G93" s="1">
        <f>+VLOOKUP(C93,'EXTRAS Y FESTIVOS'!$B$9:T192,19,0)</f>
        <v>0</v>
      </c>
      <c r="H93" s="1">
        <f t="shared" si="2"/>
        <v>731.40000000000009</v>
      </c>
      <c r="I93" s="1" t="s">
        <v>292</v>
      </c>
      <c r="J93" s="1">
        <f>+VLOOKUP(C93,'RESUMEN PITS'!$C$9:W192,21,0)</f>
        <v>-1342.3659242718441</v>
      </c>
    </row>
    <row r="94" spans="1:10" x14ac:dyDescent="0.2">
      <c r="A94" s="1" t="s">
        <v>303</v>
      </c>
      <c r="B94" s="1" t="s">
        <v>89</v>
      </c>
      <c r="C94" s="1" t="s">
        <v>294</v>
      </c>
      <c r="D94" s="1">
        <v>222.40000000000009</v>
      </c>
      <c r="E94" s="1">
        <v>131.25</v>
      </c>
      <c r="F94" s="1">
        <v>0</v>
      </c>
      <c r="G94" s="1">
        <f>+VLOOKUP(C94,'EXTRAS Y FESTIVOS'!$B$9:T193,19,0)</f>
        <v>0</v>
      </c>
      <c r="H94" s="1">
        <f t="shared" si="2"/>
        <v>353.65000000000009</v>
      </c>
      <c r="I94" s="1" t="s">
        <v>295</v>
      </c>
      <c r="J94" s="1">
        <f>+VLOOKUP(C94,'RESUMEN PITS'!$C$9:W193,21,0)</f>
        <v>-1342.3659242718441</v>
      </c>
    </row>
    <row r="95" spans="1:10" x14ac:dyDescent="0.2">
      <c r="A95" s="1" t="s">
        <v>306</v>
      </c>
      <c r="B95" s="190" t="s">
        <v>102</v>
      </c>
      <c r="C95" s="190" t="s">
        <v>65</v>
      </c>
      <c r="D95" s="190">
        <v>12613.07</v>
      </c>
      <c r="E95" s="190">
        <v>0</v>
      </c>
      <c r="F95" s="190">
        <v>0</v>
      </c>
      <c r="G95" s="190">
        <f>+VLOOKUP(C95,'EXTRAS Y FESTIVOS'!$B$9:T126,19,0)</f>
        <v>0</v>
      </c>
      <c r="H95" s="190">
        <f t="shared" si="2"/>
        <v>12613.07</v>
      </c>
      <c r="I95" s="1" t="s">
        <v>296</v>
      </c>
      <c r="J95" s="1">
        <f>+VLOOKUP(C95,'RESUMEN PITS'!$C$9:W126,21,0)</f>
        <v>-1342.3659242718386</v>
      </c>
    </row>
    <row r="96" spans="1:10" x14ac:dyDescent="0.2">
      <c r="A96" s="1" t="s">
        <v>310</v>
      </c>
      <c r="B96" s="1" t="s">
        <v>89</v>
      </c>
      <c r="C96" s="1" t="s">
        <v>298</v>
      </c>
      <c r="D96" s="1">
        <v>221.19999999999982</v>
      </c>
      <c r="E96" s="1">
        <v>0</v>
      </c>
      <c r="F96" s="1">
        <v>0</v>
      </c>
      <c r="G96" s="1">
        <f>+VLOOKUP(C96,'EXTRAS Y FESTIVOS'!$B$9:T194,19,0)</f>
        <v>0</v>
      </c>
      <c r="H96" s="1">
        <f t="shared" si="2"/>
        <v>221.19999999999982</v>
      </c>
      <c r="I96" s="1" t="s">
        <v>299</v>
      </c>
      <c r="J96" s="1">
        <f>+VLOOKUP(C96,'RESUMEN PITS'!$C$9:W194,21,0)</f>
        <v>-1342.3659242718441</v>
      </c>
    </row>
    <row r="97" spans="1:10" x14ac:dyDescent="0.2">
      <c r="A97" s="1" t="s">
        <v>313</v>
      </c>
      <c r="B97" s="11" t="s">
        <v>89</v>
      </c>
      <c r="C97" s="9" t="s">
        <v>455</v>
      </c>
      <c r="D97" s="1">
        <f>307.4-200</f>
        <v>107.39999999999998</v>
      </c>
      <c r="E97" s="1">
        <v>0</v>
      </c>
      <c r="F97" s="1">
        <v>0</v>
      </c>
      <c r="G97" s="1">
        <f>+VLOOKUP(C97,'EXTRAS Y FESTIVOS'!$B$9:T211,19,0)</f>
        <v>0</v>
      </c>
      <c r="H97" s="1">
        <f t="shared" si="2"/>
        <v>107.39999999999998</v>
      </c>
      <c r="J97" s="1">
        <f>+VLOOKUP(C97,'RESUMEN PITS'!$C$9:W211,21,0)</f>
        <v>-1452.9259242718445</v>
      </c>
    </row>
    <row r="98" spans="1:10" x14ac:dyDescent="0.2">
      <c r="A98" s="1" t="s">
        <v>36</v>
      </c>
      <c r="B98" s="1" t="s">
        <v>89</v>
      </c>
      <c r="C98" s="1" t="s">
        <v>301</v>
      </c>
      <c r="D98" s="1">
        <v>416.40000000000009</v>
      </c>
      <c r="E98" s="1">
        <v>180</v>
      </c>
      <c r="F98" s="1">
        <v>0</v>
      </c>
      <c r="G98" s="1">
        <f>+VLOOKUP(C98,'EXTRAS Y FESTIVOS'!$B$9:T195,19,0)</f>
        <v>0</v>
      </c>
      <c r="H98" s="1">
        <f t="shared" si="2"/>
        <v>596.40000000000009</v>
      </c>
      <c r="I98" s="1" t="s">
        <v>302</v>
      </c>
      <c r="J98" s="1">
        <f>+VLOOKUP(C98,'RESUMEN PITS'!$C$9:W195,21,0)</f>
        <v>-784.99592427184416</v>
      </c>
    </row>
    <row r="99" spans="1:10" x14ac:dyDescent="0.2">
      <c r="A99" s="1" t="s">
        <v>318</v>
      </c>
      <c r="B99" s="1" t="s">
        <v>89</v>
      </c>
      <c r="C99" s="1" t="s">
        <v>304</v>
      </c>
      <c r="D99" s="1">
        <v>414.59999999999991</v>
      </c>
      <c r="E99" s="1">
        <v>510</v>
      </c>
      <c r="F99" s="1">
        <v>0</v>
      </c>
      <c r="G99" s="1">
        <f>+VLOOKUP(C99,'EXTRAS Y FESTIVOS'!$B$9:T196,19,0)</f>
        <v>0</v>
      </c>
      <c r="H99" s="1">
        <f t="shared" si="2"/>
        <v>924.59999999999991</v>
      </c>
      <c r="I99" s="1" t="s">
        <v>305</v>
      </c>
      <c r="J99" s="1">
        <f>+VLOOKUP(C99,'RESUMEN PITS'!$C$9:W196,21,0)</f>
        <v>-784.99592427184416</v>
      </c>
    </row>
    <row r="100" spans="1:10" x14ac:dyDescent="0.2">
      <c r="A100" s="1" t="s">
        <v>321</v>
      </c>
      <c r="B100" s="1" t="s">
        <v>89</v>
      </c>
      <c r="C100" s="1" t="s">
        <v>307</v>
      </c>
      <c r="D100" s="1">
        <v>1704.5900000000001</v>
      </c>
      <c r="E100" s="1">
        <v>437.5</v>
      </c>
      <c r="F100" s="1">
        <v>0</v>
      </c>
      <c r="G100" s="1">
        <f>+VLOOKUP(C100,'EXTRAS Y FESTIVOS'!$B$9:T197,19,0)</f>
        <v>0</v>
      </c>
      <c r="H100" s="1">
        <f t="shared" si="2"/>
        <v>2142.09</v>
      </c>
      <c r="I100" s="1" t="s">
        <v>308</v>
      </c>
      <c r="J100" s="1">
        <f>+VLOOKUP(C100,'RESUMEN PITS'!$C$9:W197,21,0)</f>
        <v>-784.99592427184416</v>
      </c>
    </row>
    <row r="101" spans="1:10" ht="14.25" customHeight="1" x14ac:dyDescent="0.2">
      <c r="A101" s="1" t="s">
        <v>324</v>
      </c>
      <c r="B101" s="190" t="s">
        <v>102</v>
      </c>
      <c r="C101" s="190" t="s">
        <v>73</v>
      </c>
      <c r="D101" s="190">
        <v>2464</v>
      </c>
      <c r="E101" s="190">
        <v>1000</v>
      </c>
      <c r="F101" s="190">
        <v>0</v>
      </c>
      <c r="G101" s="190">
        <f>+VLOOKUP(C101,'EXTRAS Y FESTIVOS'!$B$9:T127,19,0)</f>
        <v>0</v>
      </c>
      <c r="H101" s="190">
        <f t="shared" si="2"/>
        <v>3464</v>
      </c>
      <c r="I101" s="1" t="s">
        <v>309</v>
      </c>
      <c r="J101" s="1">
        <f>+VLOOKUP(C101,'RESUMEN PITS'!$C$9:W127,21,0)</f>
        <v>-784.99592427184416</v>
      </c>
    </row>
    <row r="102" spans="1:10" ht="14.25" customHeight="1" x14ac:dyDescent="0.2">
      <c r="A102" s="1" t="s">
        <v>327</v>
      </c>
      <c r="B102" s="1" t="s">
        <v>89</v>
      </c>
      <c r="C102" s="1" t="s">
        <v>311</v>
      </c>
      <c r="D102" s="1">
        <v>1667.5499999999997</v>
      </c>
      <c r="E102" s="1">
        <v>285</v>
      </c>
      <c r="F102" s="1">
        <v>0</v>
      </c>
      <c r="G102" s="1">
        <f>+VLOOKUP(C102,'EXTRAS Y FESTIVOS'!$B$9:T198,19,0)</f>
        <v>0</v>
      </c>
      <c r="H102" s="1">
        <f t="shared" si="2"/>
        <v>1952.5499999999997</v>
      </c>
      <c r="I102" s="1" t="s">
        <v>312</v>
      </c>
      <c r="J102" s="1">
        <f>+VLOOKUP(C102,'RESUMEN PITS'!$C$9:W198,21,0)</f>
        <v>-784.99592427184416</v>
      </c>
    </row>
    <row r="103" spans="1:10" ht="14.25" customHeight="1" x14ac:dyDescent="0.2">
      <c r="A103" s="1" t="s">
        <v>331</v>
      </c>
      <c r="B103" s="1" t="s">
        <v>89</v>
      </c>
      <c r="C103" s="1" t="s">
        <v>314</v>
      </c>
      <c r="D103" s="1">
        <v>1917.3999999999996</v>
      </c>
      <c r="E103" s="1">
        <v>1406.25</v>
      </c>
      <c r="F103" s="1">
        <v>0</v>
      </c>
      <c r="G103" s="1">
        <f>+VLOOKUP(C103,'EXTRAS Y FESTIVOS'!$B$9:T199,19,0)</f>
        <v>0</v>
      </c>
      <c r="H103" s="1">
        <f t="shared" si="2"/>
        <v>3323.6499999999996</v>
      </c>
      <c r="I103" s="1" t="s">
        <v>315</v>
      </c>
      <c r="J103" s="1">
        <f>+VLOOKUP(C103,'RESUMEN PITS'!$C$9:W199,21,0)</f>
        <v>-784.99592427184416</v>
      </c>
    </row>
    <row r="104" spans="1:10" ht="14.25" customHeight="1" x14ac:dyDescent="0.2">
      <c r="B104" s="1" t="s">
        <v>89</v>
      </c>
      <c r="C104" s="1" t="s">
        <v>316</v>
      </c>
      <c r="D104" s="1">
        <v>414.59999999999991</v>
      </c>
      <c r="E104" s="1">
        <v>175</v>
      </c>
      <c r="F104" s="1">
        <v>0</v>
      </c>
      <c r="G104" s="1">
        <f>+VLOOKUP(C104,'EXTRAS Y FESTIVOS'!$B$9:T200,19,0)</f>
        <v>0</v>
      </c>
      <c r="H104" s="1">
        <f t="shared" si="2"/>
        <v>589.59999999999991</v>
      </c>
      <c r="I104" s="1" t="s">
        <v>317</v>
      </c>
      <c r="J104" s="1">
        <f>+VLOOKUP(C104,'RESUMEN PITS'!$C$9:W200,21,0)</f>
        <v>-784.99592427184416</v>
      </c>
    </row>
    <row r="105" spans="1:10" ht="14.25" customHeight="1" x14ac:dyDescent="0.2">
      <c r="B105" s="1" t="s">
        <v>89</v>
      </c>
      <c r="C105" s="1" t="s">
        <v>319</v>
      </c>
      <c r="D105" s="1">
        <v>416.40000000000009</v>
      </c>
      <c r="E105" s="1">
        <v>360</v>
      </c>
      <c r="F105" s="1">
        <v>0</v>
      </c>
      <c r="G105" s="1">
        <f>+VLOOKUP(C105,'EXTRAS Y FESTIVOS'!$B$9:T201,19,0)</f>
        <v>0</v>
      </c>
      <c r="H105" s="1">
        <f t="shared" ref="H105:H111" si="3">SUM(D105:G105)</f>
        <v>776.40000000000009</v>
      </c>
      <c r="I105" s="1" t="s">
        <v>320</v>
      </c>
      <c r="J105" s="1">
        <f>+VLOOKUP(C105,'RESUMEN PITS'!$C$9:W201,21,0)</f>
        <v>-784.99592427184416</v>
      </c>
    </row>
    <row r="106" spans="1:10" ht="14.25" customHeight="1" x14ac:dyDescent="0.2">
      <c r="B106" s="1" t="s">
        <v>89</v>
      </c>
      <c r="C106" s="1" t="s">
        <v>322</v>
      </c>
      <c r="D106" s="1">
        <v>2667.34</v>
      </c>
      <c r="E106" s="1">
        <v>0</v>
      </c>
      <c r="F106" s="1">
        <v>0</v>
      </c>
      <c r="G106" s="1">
        <f>+VLOOKUP(C106,'EXTRAS Y FESTIVOS'!$B$9:T202,19,0)</f>
        <v>0</v>
      </c>
      <c r="H106" s="1">
        <f t="shared" si="3"/>
        <v>2667.34</v>
      </c>
      <c r="I106" s="1" t="s">
        <v>323</v>
      </c>
      <c r="J106" s="1">
        <f>+VLOOKUP(C106,'RESUMEN PITS'!$C$9:W202,21,0)</f>
        <v>-784.99592427184416</v>
      </c>
    </row>
    <row r="107" spans="1:10" ht="14.25" customHeight="1" x14ac:dyDescent="0.2">
      <c r="B107" s="1" t="s">
        <v>89</v>
      </c>
      <c r="C107" s="1" t="s">
        <v>325</v>
      </c>
      <c r="D107" s="1">
        <v>416.40999999999985</v>
      </c>
      <c r="E107" s="1">
        <v>270</v>
      </c>
      <c r="F107" s="1">
        <v>0</v>
      </c>
      <c r="G107" s="1">
        <f>+VLOOKUP(C107,'EXTRAS Y FESTIVOS'!$B$9:T203,19,0)</f>
        <v>0</v>
      </c>
      <c r="H107" s="1">
        <f t="shared" si="3"/>
        <v>686.40999999999985</v>
      </c>
      <c r="I107" s="1" t="s">
        <v>326</v>
      </c>
      <c r="J107" s="1">
        <f>+VLOOKUP(C107,'RESUMEN PITS'!$C$9:W203,21,0)</f>
        <v>-784.99592427184416</v>
      </c>
    </row>
    <row r="108" spans="1:10" ht="14.25" customHeight="1" x14ac:dyDescent="0.2">
      <c r="B108" s="11" t="s">
        <v>89</v>
      </c>
      <c r="C108" s="9" t="s">
        <v>426</v>
      </c>
      <c r="D108" s="1">
        <v>134.19999999999982</v>
      </c>
      <c r="E108" s="1">
        <v>0</v>
      </c>
      <c r="F108" s="1">
        <v>0</v>
      </c>
      <c r="G108" s="1">
        <f>+VLOOKUP(C108,'EXTRAS Y FESTIVOS'!$B$9:T210,19,0)</f>
        <v>0</v>
      </c>
      <c r="H108" s="1">
        <f t="shared" si="3"/>
        <v>134.19999999999982</v>
      </c>
      <c r="J108" s="1">
        <f>+VLOOKUP(C108,'RESUMEN PITS'!$C$9:W210,21,0)</f>
        <v>-784.99592427184416</v>
      </c>
    </row>
    <row r="109" spans="1:10" ht="14.25" customHeight="1" x14ac:dyDescent="0.2">
      <c r="B109" s="1" t="s">
        <v>89</v>
      </c>
      <c r="C109" s="1" t="s">
        <v>328</v>
      </c>
      <c r="D109" s="1">
        <v>135.22000000000025</v>
      </c>
      <c r="E109" s="1">
        <v>390</v>
      </c>
      <c r="F109" s="1">
        <v>0</v>
      </c>
      <c r="G109" s="1">
        <f>+VLOOKUP(C109,'EXTRAS Y FESTIVOS'!$B$9:T204,19,0)</f>
        <v>0</v>
      </c>
      <c r="H109" s="1">
        <f t="shared" si="3"/>
        <v>525.22000000000025</v>
      </c>
      <c r="I109" s="1" t="s">
        <v>329</v>
      </c>
      <c r="J109" s="1">
        <f>+VLOOKUP(C109,'RESUMEN PITS'!$C$9:W204,21,0)</f>
        <v>-784.99592427184416</v>
      </c>
    </row>
    <row r="110" spans="1:10" ht="14.25" customHeight="1" x14ac:dyDescent="0.2">
      <c r="B110" s="190" t="s">
        <v>102</v>
      </c>
      <c r="C110" s="190" t="s">
        <v>45</v>
      </c>
      <c r="D110" s="190">
        <v>4176</v>
      </c>
      <c r="E110" s="190">
        <v>750</v>
      </c>
      <c r="F110" s="190">
        <v>0</v>
      </c>
      <c r="G110" s="190">
        <f>+VLOOKUP(C110,'EXTRAS Y FESTIVOS'!$B$9:T128,19,0)</f>
        <v>0</v>
      </c>
      <c r="H110" s="190">
        <f t="shared" si="3"/>
        <v>4926</v>
      </c>
      <c r="I110" s="1" t="s">
        <v>330</v>
      </c>
      <c r="J110" s="1">
        <f>+VLOOKUP(C110,'RESUMEN PITS'!$C$9:W128,21,0)</f>
        <v>-784.99592427184689</v>
      </c>
    </row>
    <row r="111" spans="1:10" ht="14.25" customHeight="1" x14ac:dyDescent="0.2">
      <c r="B111" s="1" t="s">
        <v>89</v>
      </c>
      <c r="C111" s="1" t="s">
        <v>332</v>
      </c>
      <c r="D111" s="1">
        <v>1135.1000000000004</v>
      </c>
      <c r="E111" s="1">
        <v>315</v>
      </c>
      <c r="F111" s="1">
        <v>0</v>
      </c>
      <c r="G111" s="1">
        <f>+VLOOKUP(C111,'EXTRAS Y FESTIVOS'!$B$9:T205,19,0)</f>
        <v>0</v>
      </c>
      <c r="H111" s="1">
        <f t="shared" si="3"/>
        <v>1450.1000000000004</v>
      </c>
      <c r="I111" s="1" t="s">
        <v>333</v>
      </c>
      <c r="J111" s="1">
        <f>+VLOOKUP(C111,'RESUMEN PITS'!$C$9:W205,21,0)</f>
        <v>-784.99592427184507</v>
      </c>
    </row>
    <row r="112" spans="1:10" ht="14.25" customHeight="1" x14ac:dyDescent="0.25">
      <c r="B112" s="11"/>
      <c r="C112" s="9"/>
      <c r="D112" s="85" t="s">
        <v>74</v>
      </c>
      <c r="E112" s="85" t="s">
        <v>74</v>
      </c>
      <c r="F112" s="85" t="s">
        <v>74</v>
      </c>
      <c r="G112" s="85" t="s">
        <v>74</v>
      </c>
      <c r="H112" s="85" t="s">
        <v>74</v>
      </c>
      <c r="I112" s="85" t="s">
        <v>74</v>
      </c>
    </row>
    <row r="113" spans="1:19" ht="13.5" customHeight="1" thickBot="1" x14ac:dyDescent="0.25">
      <c r="D113" s="8"/>
      <c r="E113" s="8">
        <f>SUBTOTAL(9,E9:E111)</f>
        <v>37014.199999999997</v>
      </c>
      <c r="F113" s="8">
        <f>SUBTOTAL(9,F9:F111)</f>
        <v>0</v>
      </c>
      <c r="G113" s="8">
        <f>SUBTOTAL(9,G9:G111)</f>
        <v>1543.1398999999999</v>
      </c>
      <c r="H113" s="8">
        <f>SUBTOTAL(9,H9:H111)</f>
        <v>187337.6949</v>
      </c>
      <c r="I113" s="8">
        <f>SUBTOTAL(9,I9:I111)</f>
        <v>0</v>
      </c>
    </row>
    <row r="114" spans="1:19" ht="13.5" customHeight="1" x14ac:dyDescent="0.25">
      <c r="D114" s="8"/>
      <c r="E114" s="8"/>
      <c r="F114" s="8"/>
      <c r="G114" s="8"/>
      <c r="H114" s="8"/>
      <c r="K114" s="162" t="s">
        <v>467</v>
      </c>
      <c r="L114" s="165" t="s">
        <v>468</v>
      </c>
      <c r="M114" s="150" t="s">
        <v>469</v>
      </c>
    </row>
    <row r="115" spans="1:19" ht="15.75" thickBot="1" x14ac:dyDescent="0.3">
      <c r="B115" s="12"/>
      <c r="D115" s="13"/>
      <c r="E115" s="13"/>
      <c r="G115" s="63" t="s">
        <v>408</v>
      </c>
      <c r="H115" s="14">
        <f>+H113</f>
        <v>187337.6949</v>
      </c>
      <c r="K115" s="161">
        <f>H86</f>
        <v>3711.3299999999995</v>
      </c>
      <c r="L115" s="161">
        <v>41270.269999999997</v>
      </c>
      <c r="M115" s="157">
        <f>H115-K115-L115</f>
        <v>142356.09490000003</v>
      </c>
      <c r="O115" s="131"/>
      <c r="P115" s="168">
        <v>0.73</v>
      </c>
      <c r="Q115" s="168">
        <v>0.11</v>
      </c>
      <c r="R115" s="168">
        <v>0.12</v>
      </c>
      <c r="S115" s="168">
        <v>0.04</v>
      </c>
    </row>
    <row r="116" spans="1:19" ht="15" x14ac:dyDescent="0.25">
      <c r="A116" s="12"/>
      <c r="B116" s="12"/>
      <c r="C116" s="12"/>
      <c r="G116" s="14" t="s">
        <v>404</v>
      </c>
      <c r="H116" s="15">
        <f>288.4+390+1200</f>
        <v>1878.4</v>
      </c>
      <c r="K116" s="161">
        <v>0</v>
      </c>
      <c r="L116" s="161"/>
      <c r="M116" s="157">
        <f>H116</f>
        <v>1878.4</v>
      </c>
      <c r="O116" s="169"/>
      <c r="P116" s="170" t="s">
        <v>474</v>
      </c>
      <c r="Q116" s="170" t="s">
        <v>473</v>
      </c>
      <c r="R116" s="170" t="s">
        <v>472</v>
      </c>
      <c r="S116" s="171" t="s">
        <v>471</v>
      </c>
    </row>
    <row r="117" spans="1:19" ht="15" x14ac:dyDescent="0.25">
      <c r="A117" s="12"/>
      <c r="C117" s="12"/>
      <c r="G117" s="14" t="s">
        <v>388</v>
      </c>
      <c r="H117" s="14">
        <f>+H115+H116</f>
        <v>189216.0949</v>
      </c>
      <c r="K117" s="161">
        <f>SUM(K115:K116)</f>
        <v>3711.3299999999995</v>
      </c>
      <c r="L117" s="161">
        <f t="shared" ref="L117:M117" si="4">SUM(L115:L116)</f>
        <v>41270.269999999997</v>
      </c>
      <c r="M117" s="161">
        <f t="shared" si="4"/>
        <v>144234.49490000002</v>
      </c>
      <c r="O117" s="172" t="s">
        <v>468</v>
      </c>
      <c r="P117" s="173">
        <f>L126*$P$115</f>
        <v>30127.297099999996</v>
      </c>
      <c r="Q117" s="173">
        <f>L126*$Q$115</f>
        <v>4539.7296999999999</v>
      </c>
      <c r="R117" s="173">
        <f>L126*$R$115</f>
        <v>4952.4323999999997</v>
      </c>
      <c r="S117" s="156">
        <f>L126*$S$115</f>
        <v>1650.8108</v>
      </c>
    </row>
    <row r="118" spans="1:19" ht="15" x14ac:dyDescent="0.25">
      <c r="A118" s="12"/>
      <c r="B118" s="12"/>
      <c r="C118" s="12"/>
      <c r="G118" s="14" t="s">
        <v>85</v>
      </c>
      <c r="H118" s="14">
        <f>+H117*2%</f>
        <v>3784.3218980000001</v>
      </c>
      <c r="K118" s="161">
        <f>K117*2%</f>
        <v>74.226599999999991</v>
      </c>
      <c r="L118" s="161">
        <f>L117*2%</f>
        <v>825.40539999999999</v>
      </c>
      <c r="M118" s="161">
        <f t="shared" ref="M118" si="5">M117*2%</f>
        <v>2884.6898980000005</v>
      </c>
      <c r="O118" s="174" t="s">
        <v>469</v>
      </c>
      <c r="P118" s="173">
        <f>M126*$P$115</f>
        <v>105291.18127700001</v>
      </c>
      <c r="Q118" s="173">
        <f>M126*$Q$115</f>
        <v>15865.794439000003</v>
      </c>
      <c r="R118" s="173">
        <f>M126*$R$115</f>
        <v>17308.139388000003</v>
      </c>
      <c r="S118" s="156">
        <f>M126*$S$115</f>
        <v>5769.3797960000011</v>
      </c>
    </row>
    <row r="119" spans="1:19" ht="15" x14ac:dyDescent="0.25">
      <c r="A119" s="12"/>
      <c r="B119" s="12"/>
      <c r="C119" s="12"/>
      <c r="G119" s="14" t="s">
        <v>405</v>
      </c>
      <c r="H119" s="14">
        <f>+H117+H118</f>
        <v>193000.41679799999</v>
      </c>
      <c r="K119" s="161">
        <f>SUM(K117:K118)</f>
        <v>3785.5565999999994</v>
      </c>
      <c r="L119" s="161">
        <f t="shared" ref="L119:M119" si="6">SUM(L117:L118)</f>
        <v>42095.6754</v>
      </c>
      <c r="M119" s="161">
        <f t="shared" si="6"/>
        <v>147119.18479800003</v>
      </c>
      <c r="O119" s="175" t="s">
        <v>467</v>
      </c>
      <c r="P119" s="173">
        <f>K126*$P$115</f>
        <v>2709.2708999999995</v>
      </c>
      <c r="Q119" s="173">
        <f>K126*$Q$115</f>
        <v>408.24629999999996</v>
      </c>
      <c r="R119" s="173">
        <f>K126*$R$115</f>
        <v>445.35959999999994</v>
      </c>
      <c r="S119" s="156">
        <f>K126*$S$115</f>
        <v>148.45319999999998</v>
      </c>
    </row>
    <row r="120" spans="1:19" ht="15" x14ac:dyDescent="0.25">
      <c r="B120" s="12"/>
      <c r="G120" s="14"/>
      <c r="H120" s="15"/>
      <c r="K120" s="161"/>
      <c r="L120" s="161"/>
      <c r="M120" s="161"/>
      <c r="O120" s="176" t="s">
        <v>470</v>
      </c>
      <c r="P120" s="173">
        <f>H118*$P$115</f>
        <v>2762.55498554</v>
      </c>
      <c r="Q120" s="173">
        <f>H118*$Q$115</f>
        <v>416.27540878000002</v>
      </c>
      <c r="R120" s="173">
        <f>H118*$R$115</f>
        <v>454.11862775999998</v>
      </c>
      <c r="S120" s="156">
        <f>H118*$S$115</f>
        <v>151.37287592000001</v>
      </c>
    </row>
    <row r="121" spans="1:19" ht="15" x14ac:dyDescent="0.25">
      <c r="B121" s="12"/>
      <c r="G121" s="14"/>
      <c r="H121" s="15"/>
      <c r="K121" s="161"/>
      <c r="L121" s="161"/>
      <c r="M121" s="161"/>
      <c r="O121" s="177" t="s">
        <v>388</v>
      </c>
      <c r="P121" s="178">
        <f>SUM(P117:P120)</f>
        <v>140890.30426254001</v>
      </c>
      <c r="Q121" s="178">
        <f t="shared" ref="Q121:S121" si="7">SUM(Q117:Q120)</f>
        <v>21230.045847779998</v>
      </c>
      <c r="R121" s="178">
        <f t="shared" si="7"/>
        <v>23160.05001576</v>
      </c>
      <c r="S121" s="179">
        <f t="shared" si="7"/>
        <v>7720.0166719200015</v>
      </c>
    </row>
    <row r="122" spans="1:19" ht="15" x14ac:dyDescent="0.25">
      <c r="G122" s="14" t="s">
        <v>406</v>
      </c>
      <c r="H122" s="14">
        <f>+H119</f>
        <v>193000.41679799999</v>
      </c>
      <c r="K122" s="161">
        <f>K119</f>
        <v>3785.5565999999994</v>
      </c>
      <c r="L122" s="161">
        <f t="shared" ref="L122:M122" si="8">L119</f>
        <v>42095.6754</v>
      </c>
      <c r="M122" s="161">
        <f t="shared" si="8"/>
        <v>147119.18479800003</v>
      </c>
      <c r="O122" s="177" t="s">
        <v>30</v>
      </c>
      <c r="P122" s="178">
        <f>P121*16%</f>
        <v>22542.448682006401</v>
      </c>
      <c r="Q122" s="178">
        <f t="shared" ref="Q122:S122" si="9">Q121*16%</f>
        <v>3396.8073356447999</v>
      </c>
      <c r="R122" s="178">
        <f t="shared" si="9"/>
        <v>3705.6080025216002</v>
      </c>
      <c r="S122" s="179">
        <f t="shared" si="9"/>
        <v>1235.2026675072002</v>
      </c>
    </row>
    <row r="123" spans="1:19" ht="15.75" thickBot="1" x14ac:dyDescent="0.3">
      <c r="G123" s="14" t="s">
        <v>30</v>
      </c>
      <c r="H123" s="15">
        <f>+H122*16%</f>
        <v>30880.066687679999</v>
      </c>
      <c r="K123" s="161">
        <f>K122*16%</f>
        <v>605.68905599999994</v>
      </c>
      <c r="L123" s="161">
        <f t="shared" ref="L123:M123" si="10">L122*16%</f>
        <v>6735.3080639999998</v>
      </c>
      <c r="M123" s="161">
        <f t="shared" si="10"/>
        <v>23539.069567680006</v>
      </c>
      <c r="O123" s="180" t="s">
        <v>87</v>
      </c>
      <c r="P123" s="181">
        <f>SUM(P121:P122)</f>
        <v>163432.7529445464</v>
      </c>
      <c r="Q123" s="181">
        <f t="shared" ref="Q123:S123" si="11">SUM(Q121:Q122)</f>
        <v>24626.853183424799</v>
      </c>
      <c r="R123" s="181">
        <f t="shared" si="11"/>
        <v>26865.6580182816</v>
      </c>
      <c r="S123" s="182">
        <f t="shared" si="11"/>
        <v>8955.2193394272017</v>
      </c>
    </row>
    <row r="124" spans="1:19" ht="15" x14ac:dyDescent="0.25">
      <c r="G124" s="14" t="s">
        <v>407</v>
      </c>
      <c r="H124" s="14">
        <f>+H122+H123</f>
        <v>223880.48348567999</v>
      </c>
      <c r="K124" s="161">
        <f>K122+K123</f>
        <v>4391.2456559999991</v>
      </c>
      <c r="L124" s="161">
        <f t="shared" ref="L124:M124" si="12">L122+L123</f>
        <v>48830.983463999997</v>
      </c>
      <c r="M124" s="161">
        <f t="shared" si="12"/>
        <v>170658.25436568004</v>
      </c>
    </row>
    <row r="125" spans="1:19" ht="15.75" customHeight="1" x14ac:dyDescent="0.25">
      <c r="K125" s="161"/>
      <c r="L125" s="161"/>
      <c r="M125" s="161"/>
    </row>
    <row r="126" spans="1:19" ht="15.75" thickBot="1" x14ac:dyDescent="0.3">
      <c r="K126" s="192">
        <f>K122-K118</f>
        <v>3711.3299999999995</v>
      </c>
      <c r="L126" s="192">
        <f t="shared" ref="L126:M126" si="13">L122-L118</f>
        <v>41270.269999999997</v>
      </c>
      <c r="M126" s="192">
        <f t="shared" si="13"/>
        <v>144234.49490000002</v>
      </c>
    </row>
    <row r="127" spans="1:19" ht="15" x14ac:dyDescent="0.25">
      <c r="K127" s="191"/>
      <c r="L127" s="191"/>
      <c r="M127" s="191"/>
    </row>
  </sheetData>
  <autoFilter ref="B8:J112" xr:uid="{00000000-0009-0000-0000-000002000000}">
    <sortState xmlns:xlrd2="http://schemas.microsoft.com/office/spreadsheetml/2017/richdata2" ref="B9:J127">
      <sortCondition ref="C8:C112"/>
    </sortState>
  </autoFilter>
  <sortState xmlns:xlrd2="http://schemas.microsoft.com/office/spreadsheetml/2017/richdata2" ref="A3:Q102">
    <sortCondition ref="B3:B102"/>
  </sortState>
  <mergeCells count="1">
    <mergeCell ref="D7:H7"/>
  </mergeCells>
  <pageMargins left="0.7" right="0.7" top="0.75" bottom="0.75" header="0.3" footer="0.3"/>
  <pageSetup orientation="portrait" horizontalDpi="4294967292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19"/>
  <sheetViews>
    <sheetView showGridLines="0" zoomScale="90" zoomScaleNormal="90" workbookViewId="0">
      <pane xSplit="2" ySplit="8" topLeftCell="C82" activePane="bottomRight" state="frozen"/>
      <selection pane="topRight" activeCell="B1" sqref="B1"/>
      <selection pane="bottomLeft" activeCell="A8" sqref="A8"/>
      <selection pane="bottomRight" activeCell="N108" sqref="N108"/>
    </sheetView>
  </sheetViews>
  <sheetFormatPr baseColWidth="10" defaultColWidth="11.42578125" defaultRowHeight="15" x14ac:dyDescent="0.25"/>
  <cols>
    <col min="1" max="1" width="10.140625" customWidth="1"/>
    <col min="2" max="2" width="46.42578125" bestFit="1" customWidth="1"/>
    <col min="3" max="4" width="13.28515625" customWidth="1"/>
    <col min="5" max="5" width="15.85546875" customWidth="1"/>
    <col min="6" max="6" width="15.42578125" customWidth="1"/>
    <col min="7" max="7" width="17.140625" customWidth="1"/>
    <col min="8" max="8" width="3.42578125" customWidth="1"/>
    <col min="9" max="9" width="15.28515625" customWidth="1"/>
    <col min="10" max="10" width="15" customWidth="1"/>
    <col min="11" max="11" width="3.42578125" style="106" customWidth="1"/>
    <col min="12" max="12" width="13" style="107" customWidth="1"/>
    <col min="13" max="13" width="13.28515625" style="107" customWidth="1"/>
    <col min="14" max="14" width="12.140625" style="107" customWidth="1"/>
    <col min="15" max="15" width="12.7109375" style="107" customWidth="1"/>
    <col min="16" max="16" width="3.140625" style="106" customWidth="1"/>
    <col min="17" max="17" width="13" style="107" customWidth="1"/>
    <col min="18" max="18" width="13.28515625" style="107" customWidth="1"/>
    <col min="19" max="20" width="11.42578125" style="107" customWidth="1"/>
    <col min="21" max="21" width="3.140625" style="106" customWidth="1"/>
    <col min="22" max="22" width="3.140625" style="106" hidden="1" customWidth="1"/>
    <col min="23" max="23" width="13" style="107" hidden="1" customWidth="1"/>
    <col min="24" max="24" width="13.28515625" style="107" hidden="1" customWidth="1"/>
    <col min="25" max="26" width="11.42578125" style="107" hidden="1" customWidth="1"/>
    <col min="27" max="27" width="12.85546875" style="107" hidden="1" customWidth="1"/>
    <col min="28" max="29" width="11.42578125" style="107" hidden="1" customWidth="1"/>
    <col min="30" max="30" width="12.85546875" style="106" customWidth="1"/>
    <col min="31" max="33" width="11.42578125" style="106"/>
    <col min="34" max="34" width="3.140625" style="106" customWidth="1"/>
    <col min="35" max="16384" width="11.42578125" style="106"/>
  </cols>
  <sheetData>
    <row r="1" spans="1:34" ht="18" customHeight="1" x14ac:dyDescent="0.25">
      <c r="F1" s="42"/>
    </row>
    <row r="2" spans="1:34" ht="24.75" customHeight="1" x14ac:dyDescent="0.25">
      <c r="B2" s="48" t="s">
        <v>432</v>
      </c>
      <c r="F2" s="42"/>
    </row>
    <row r="3" spans="1:34" ht="15.75" x14ac:dyDescent="0.25">
      <c r="F3" s="42"/>
    </row>
    <row r="4" spans="1:34" ht="15.75" x14ac:dyDescent="0.25">
      <c r="A4" s="108"/>
      <c r="B4" s="81"/>
      <c r="C4" s="108"/>
      <c r="D4" s="108"/>
      <c r="E4" s="108"/>
      <c r="F4" s="42"/>
    </row>
    <row r="5" spans="1:34" ht="15.75" x14ac:dyDescent="0.25">
      <c r="F5" s="42"/>
    </row>
    <row r="6" spans="1:34" ht="15.75" x14ac:dyDescent="0.25">
      <c r="F6" s="42"/>
    </row>
    <row r="7" spans="1:34" ht="15.75" x14ac:dyDescent="0.25">
      <c r="F7" s="42"/>
    </row>
    <row r="8" spans="1:34" s="118" customFormat="1" ht="30" customHeight="1" x14ac:dyDescent="0.25">
      <c r="A8" s="109" t="s">
        <v>433</v>
      </c>
      <c r="B8" s="110" t="s">
        <v>383</v>
      </c>
      <c r="C8" s="111" t="s">
        <v>434</v>
      </c>
      <c r="D8" s="112" t="s">
        <v>435</v>
      </c>
      <c r="E8" s="112" t="s">
        <v>436</v>
      </c>
      <c r="F8" s="113" t="s">
        <v>437</v>
      </c>
      <c r="G8" s="110" t="s">
        <v>438</v>
      </c>
      <c r="H8" s="114"/>
      <c r="I8" s="110" t="s">
        <v>439</v>
      </c>
      <c r="J8" s="115" t="s">
        <v>440</v>
      </c>
      <c r="K8" s="114"/>
      <c r="L8" s="111" t="s">
        <v>441</v>
      </c>
      <c r="M8" s="109" t="s">
        <v>442</v>
      </c>
      <c r="N8" s="111" t="s">
        <v>443</v>
      </c>
      <c r="O8" s="111" t="s">
        <v>444</v>
      </c>
      <c r="P8" s="114"/>
      <c r="Q8" s="111" t="s">
        <v>79</v>
      </c>
      <c r="R8" s="109" t="s">
        <v>445</v>
      </c>
      <c r="S8" s="111" t="s">
        <v>446</v>
      </c>
      <c r="T8" s="111" t="s">
        <v>447</v>
      </c>
      <c r="U8" s="114"/>
      <c r="V8" s="114"/>
      <c r="W8" s="111" t="s">
        <v>448</v>
      </c>
      <c r="X8" s="109" t="s">
        <v>449</v>
      </c>
      <c r="Y8" s="111" t="s">
        <v>385</v>
      </c>
      <c r="Z8" s="111" t="s">
        <v>78</v>
      </c>
      <c r="AA8" s="109" t="s">
        <v>445</v>
      </c>
      <c r="AB8" s="111" t="s">
        <v>446</v>
      </c>
      <c r="AC8" s="111" t="s">
        <v>447</v>
      </c>
      <c r="AD8" s="111" t="s">
        <v>450</v>
      </c>
      <c r="AE8" s="109" t="s">
        <v>87</v>
      </c>
      <c r="AF8" s="111" t="s">
        <v>385</v>
      </c>
      <c r="AG8" s="116" t="s">
        <v>78</v>
      </c>
      <c r="AH8" s="117"/>
    </row>
    <row r="9" spans="1:34" customFormat="1" x14ac:dyDescent="0.25">
      <c r="A9" s="1" t="s">
        <v>102</v>
      </c>
      <c r="B9" s="1" t="s">
        <v>49</v>
      </c>
      <c r="C9" s="119">
        <f>+VLOOKUP(B9,'CPD PITSS'!$B$9:C26,2,0)</f>
        <v>15</v>
      </c>
      <c r="D9" s="119">
        <f>+VLOOKUP(B9,'CPD PITSS'!$B$9:F26,5,0)</f>
        <v>197.07</v>
      </c>
      <c r="E9" s="119">
        <v>10150</v>
      </c>
      <c r="F9" s="120">
        <f>+E9/2</f>
        <v>5075</v>
      </c>
      <c r="G9" s="91">
        <f>+F9/15</f>
        <v>338.33333333333331</v>
      </c>
      <c r="H9" s="121"/>
      <c r="I9" s="91">
        <f t="shared" ref="I9" si="0">15-C9</f>
        <v>0</v>
      </c>
      <c r="J9" s="91">
        <f>+I9*G9</f>
        <v>0</v>
      </c>
      <c r="K9" s="121"/>
      <c r="L9" s="91">
        <f>+VLOOKUP(B9,'CPD PITSS'!$B$9:AG27,3,0)</f>
        <v>0</v>
      </c>
      <c r="M9" s="91">
        <f>+G9*L9</f>
        <v>0</v>
      </c>
      <c r="N9" s="91">
        <f>+VLOOKUP(B9,'CPD PITSS'!$B$9:AH27,7,0)</f>
        <v>0</v>
      </c>
      <c r="O9" s="91">
        <f>+M9-N9</f>
        <v>0</v>
      </c>
      <c r="P9" s="121"/>
      <c r="Q9" s="91">
        <f>+VLOOKUP(B9,'CPD PITSS'!$B$9:AK27,3,0)</f>
        <v>0</v>
      </c>
      <c r="R9" s="91">
        <f>+G9*Q9*30%</f>
        <v>0</v>
      </c>
      <c r="S9" s="91">
        <f>+VLOOKUP(B9,'CPD PITSS'!$B$9:AM27,8,0)</f>
        <v>0</v>
      </c>
      <c r="T9" s="91">
        <f>+R9-S9</f>
        <v>0</v>
      </c>
      <c r="U9" s="121"/>
      <c r="V9" s="121"/>
      <c r="W9" s="91">
        <v>0</v>
      </c>
      <c r="X9" s="91">
        <f>+G9*W9</f>
        <v>0</v>
      </c>
      <c r="Y9" s="91">
        <v>0</v>
      </c>
      <c r="Z9" s="91">
        <f t="shared" ref="Z9" si="1">+X9-Y9</f>
        <v>0</v>
      </c>
      <c r="AA9" s="91">
        <f>+X9*0.25</f>
        <v>0</v>
      </c>
      <c r="AB9" s="91">
        <v>0</v>
      </c>
      <c r="AC9" s="91">
        <f>+AA9-AB9</f>
        <v>0</v>
      </c>
      <c r="AD9" s="91">
        <v>0</v>
      </c>
      <c r="AE9" s="91">
        <f>+G9*AD9</f>
        <v>0</v>
      </c>
      <c r="AF9" s="91">
        <f>+AD9*D9</f>
        <v>0</v>
      </c>
      <c r="AG9" s="91">
        <f t="shared" ref="AG9" si="2">+AE9-AF9</f>
        <v>0</v>
      </c>
      <c r="AH9" s="121"/>
    </row>
    <row r="10" spans="1:34" customFormat="1" x14ac:dyDescent="0.25">
      <c r="A10" s="1" t="s">
        <v>102</v>
      </c>
      <c r="B10" s="1" t="s">
        <v>59</v>
      </c>
      <c r="C10" s="119">
        <f>+VLOOKUP(B10,'CPD PITSS'!$B$9:C27,2,0)</f>
        <v>14</v>
      </c>
      <c r="D10" s="119">
        <f>+VLOOKUP(B10,'CPD PITSS'!$B$9:F27,5,0)</f>
        <v>252.75</v>
      </c>
      <c r="E10" s="119">
        <v>13000</v>
      </c>
      <c r="F10" s="120">
        <f t="shared" ref="F10:F73" si="3">+E10/2</f>
        <v>6500</v>
      </c>
      <c r="G10" s="91">
        <f t="shared" ref="G10:G73" si="4">+F10/15</f>
        <v>433.33333333333331</v>
      </c>
      <c r="H10" s="121"/>
      <c r="I10" s="91">
        <v>0</v>
      </c>
      <c r="J10" s="91">
        <f t="shared" ref="J10:J73" si="5">+I10*G10</f>
        <v>0</v>
      </c>
      <c r="K10" s="121"/>
      <c r="L10" s="91">
        <f>+VLOOKUP(B10,'CPD PITSS'!$B$9:AG28,3,0)</f>
        <v>1</v>
      </c>
      <c r="M10" s="91">
        <f t="shared" ref="M10:M73" si="6">+G10*L10</f>
        <v>433.33333333333331</v>
      </c>
      <c r="N10" s="91">
        <f>+VLOOKUP(B10,'CPD PITSS'!$B$9:AH28,7,0)</f>
        <v>238.33</v>
      </c>
      <c r="O10" s="91">
        <f t="shared" ref="O10:O73" si="7">+M10-N10</f>
        <v>195.0033333333333</v>
      </c>
      <c r="P10" s="121"/>
      <c r="Q10" s="91">
        <f>+VLOOKUP(B10,'CPD PITSS'!$B$9:AK28,3,0)</f>
        <v>1</v>
      </c>
      <c r="R10" s="91">
        <f t="shared" ref="R10:R73" si="8">+G10*Q10*30%</f>
        <v>130</v>
      </c>
      <c r="S10" s="91">
        <f>+VLOOKUP(B10,'CPD PITSS'!$B$9:AM28,8,0)</f>
        <v>71.5</v>
      </c>
      <c r="T10" s="91">
        <f t="shared" ref="T10:T73" si="9">+R10-S10</f>
        <v>58.5</v>
      </c>
      <c r="U10" s="121"/>
      <c r="V10" s="121"/>
      <c r="W10" s="91"/>
      <c r="X10" s="91"/>
      <c r="Y10" s="91"/>
      <c r="Z10" s="91"/>
      <c r="AA10" s="91"/>
      <c r="AB10" s="91"/>
      <c r="AC10" s="91"/>
      <c r="AD10" s="91">
        <v>0</v>
      </c>
      <c r="AE10" s="91">
        <f t="shared" ref="AE10:AE73" si="10">+G10*AD10</f>
        <v>0</v>
      </c>
      <c r="AF10" s="91">
        <f t="shared" ref="AF10:AF73" si="11">+AD10*D10</f>
        <v>0</v>
      </c>
      <c r="AG10" s="91">
        <f t="shared" ref="AG10:AG73" si="12">+AE10-AF10</f>
        <v>0</v>
      </c>
      <c r="AH10" s="121"/>
    </row>
    <row r="11" spans="1:34" customFormat="1" x14ac:dyDescent="0.25">
      <c r="A11" s="1" t="s">
        <v>102</v>
      </c>
      <c r="B11" s="7" t="s">
        <v>71</v>
      </c>
      <c r="C11" s="119">
        <f>+VLOOKUP(B11,'CPD PITSS'!$B$9:C28,2,0)</f>
        <v>15</v>
      </c>
      <c r="D11" s="119">
        <f>+VLOOKUP(B11,'CPD PITSS'!$B$9:F28,5,0)</f>
        <v>176.76</v>
      </c>
      <c r="E11" s="119">
        <v>40000</v>
      </c>
      <c r="F11" s="120">
        <f t="shared" si="3"/>
        <v>20000</v>
      </c>
      <c r="G11" s="91">
        <f t="shared" si="4"/>
        <v>1333.3333333333333</v>
      </c>
      <c r="H11" s="121"/>
      <c r="I11" s="91">
        <f t="shared" ref="I11:I73" si="13">15-C11</f>
        <v>0</v>
      </c>
      <c r="J11" s="91">
        <f t="shared" si="5"/>
        <v>0</v>
      </c>
      <c r="K11" s="121"/>
      <c r="L11" s="91">
        <f>+VLOOKUP(B11,'CPD PITSS'!$B$9:AG29,3,0)</f>
        <v>0</v>
      </c>
      <c r="M11" s="91">
        <f t="shared" si="6"/>
        <v>0</v>
      </c>
      <c r="N11" s="91">
        <f>+VLOOKUP(B11,'CPD PITSS'!$B$9:AH29,7,0)</f>
        <v>0</v>
      </c>
      <c r="O11" s="91">
        <f t="shared" si="7"/>
        <v>0</v>
      </c>
      <c r="P11" s="121"/>
      <c r="Q11" s="91">
        <f>+VLOOKUP(B11,'CPD PITSS'!$B$9:AK29,3,0)</f>
        <v>0</v>
      </c>
      <c r="R11" s="91">
        <f t="shared" si="8"/>
        <v>0</v>
      </c>
      <c r="S11" s="91">
        <f>+VLOOKUP(B11,'CPD PITSS'!$B$9:AM29,8,0)</f>
        <v>0</v>
      </c>
      <c r="T11" s="91">
        <f t="shared" si="9"/>
        <v>0</v>
      </c>
      <c r="U11" s="121"/>
      <c r="V11" s="121"/>
      <c r="W11" s="91"/>
      <c r="X11" s="91"/>
      <c r="Y11" s="91"/>
      <c r="Z11" s="91"/>
      <c r="AA11" s="91"/>
      <c r="AB11" s="91"/>
      <c r="AC11" s="91"/>
      <c r="AD11" s="91">
        <v>0</v>
      </c>
      <c r="AE11" s="91">
        <f t="shared" si="10"/>
        <v>0</v>
      </c>
      <c r="AF11" s="91">
        <f t="shared" si="11"/>
        <v>0</v>
      </c>
      <c r="AG11" s="91">
        <f t="shared" si="12"/>
        <v>0</v>
      </c>
      <c r="AH11" s="121"/>
    </row>
    <row r="12" spans="1:34" customFormat="1" x14ac:dyDescent="0.25">
      <c r="A12" s="1" t="s">
        <v>102</v>
      </c>
      <c r="B12" s="1" t="s">
        <v>53</v>
      </c>
      <c r="C12" s="119">
        <f>+VLOOKUP(B12,'CPD PITSS'!$B$9:C29,2,0)</f>
        <v>15</v>
      </c>
      <c r="D12" s="119">
        <f>+VLOOKUP(B12,'CPD PITSS'!$B$9:F29,5,0)</f>
        <v>197.07</v>
      </c>
      <c r="E12" s="119">
        <v>10150</v>
      </c>
      <c r="F12" s="120">
        <f t="shared" si="3"/>
        <v>5075</v>
      </c>
      <c r="G12" s="91">
        <f t="shared" si="4"/>
        <v>338.33333333333331</v>
      </c>
      <c r="H12" s="121"/>
      <c r="I12" s="91">
        <f t="shared" si="13"/>
        <v>0</v>
      </c>
      <c r="J12" s="91">
        <f t="shared" si="5"/>
        <v>0</v>
      </c>
      <c r="K12" s="121"/>
      <c r="L12" s="91">
        <f>+VLOOKUP(B12,'CPD PITSS'!$B$9:AG30,3,0)</f>
        <v>0</v>
      </c>
      <c r="M12" s="91">
        <f t="shared" si="6"/>
        <v>0</v>
      </c>
      <c r="N12" s="91">
        <f>+VLOOKUP(B12,'CPD PITSS'!$B$9:AH30,7,0)</f>
        <v>0</v>
      </c>
      <c r="O12" s="91">
        <f t="shared" si="7"/>
        <v>0</v>
      </c>
      <c r="P12" s="121"/>
      <c r="Q12" s="91">
        <f>+VLOOKUP(B12,'CPD PITSS'!$B$9:AK30,3,0)</f>
        <v>0</v>
      </c>
      <c r="R12" s="91">
        <f t="shared" si="8"/>
        <v>0</v>
      </c>
      <c r="S12" s="91">
        <f>+VLOOKUP(B12,'CPD PITSS'!$B$9:AM30,8,0)</f>
        <v>0</v>
      </c>
      <c r="T12" s="91">
        <f t="shared" si="9"/>
        <v>0</v>
      </c>
      <c r="U12" s="121"/>
      <c r="V12" s="121"/>
      <c r="W12" s="91"/>
      <c r="X12" s="91"/>
      <c r="Y12" s="91"/>
      <c r="Z12" s="91"/>
      <c r="AA12" s="91"/>
      <c r="AB12" s="91"/>
      <c r="AC12" s="91"/>
      <c r="AD12" s="91">
        <v>0</v>
      </c>
      <c r="AE12" s="91">
        <f t="shared" si="10"/>
        <v>0</v>
      </c>
      <c r="AF12" s="91">
        <f t="shared" si="11"/>
        <v>0</v>
      </c>
      <c r="AG12" s="91">
        <f t="shared" si="12"/>
        <v>0</v>
      </c>
      <c r="AH12" s="121"/>
    </row>
    <row r="13" spans="1:34" customFormat="1" x14ac:dyDescent="0.25">
      <c r="A13" s="1" t="s">
        <v>102</v>
      </c>
      <c r="B13" s="1" t="s">
        <v>69</v>
      </c>
      <c r="C13" s="119">
        <f>+VLOOKUP(B13,'CPD PITSS'!$B$9:C30,2,0)</f>
        <v>15</v>
      </c>
      <c r="D13" s="119">
        <f>+VLOOKUP(B13,'CPD PITSS'!$B$9:F30,5,0)</f>
        <v>197.07</v>
      </c>
      <c r="E13" s="119">
        <v>10250</v>
      </c>
      <c r="F13" s="120">
        <f t="shared" si="3"/>
        <v>5125</v>
      </c>
      <c r="G13" s="91">
        <f t="shared" si="4"/>
        <v>341.66666666666669</v>
      </c>
      <c r="H13" s="121"/>
      <c r="I13" s="91">
        <f t="shared" si="13"/>
        <v>0</v>
      </c>
      <c r="J13" s="91">
        <f t="shared" si="5"/>
        <v>0</v>
      </c>
      <c r="K13" s="121"/>
      <c r="L13" s="91">
        <f>+VLOOKUP(B13,'CPD PITSS'!$B$9:AG31,3,0)</f>
        <v>0</v>
      </c>
      <c r="M13" s="91">
        <f t="shared" si="6"/>
        <v>0</v>
      </c>
      <c r="N13" s="91">
        <f>+VLOOKUP(B13,'CPD PITSS'!$B$9:AH31,7,0)</f>
        <v>0</v>
      </c>
      <c r="O13" s="91">
        <f t="shared" si="7"/>
        <v>0</v>
      </c>
      <c r="P13" s="121"/>
      <c r="Q13" s="91">
        <f>+VLOOKUP(B13,'CPD PITSS'!$B$9:AK31,3,0)</f>
        <v>0</v>
      </c>
      <c r="R13" s="91">
        <f t="shared" si="8"/>
        <v>0</v>
      </c>
      <c r="S13" s="91">
        <f>+VLOOKUP(B13,'CPD PITSS'!$B$9:AM31,8,0)</f>
        <v>0</v>
      </c>
      <c r="T13" s="91">
        <f t="shared" si="9"/>
        <v>0</v>
      </c>
      <c r="U13" s="121"/>
      <c r="V13" s="121"/>
      <c r="W13" s="91"/>
      <c r="X13" s="91"/>
      <c r="Y13" s="91"/>
      <c r="Z13" s="91"/>
      <c r="AA13" s="91"/>
      <c r="AB13" s="91"/>
      <c r="AC13" s="91"/>
      <c r="AD13" s="91">
        <v>0</v>
      </c>
      <c r="AE13" s="91">
        <f t="shared" si="10"/>
        <v>0</v>
      </c>
      <c r="AF13" s="91">
        <f t="shared" si="11"/>
        <v>0</v>
      </c>
      <c r="AG13" s="91">
        <f t="shared" si="12"/>
        <v>0</v>
      </c>
      <c r="AH13" s="121"/>
    </row>
    <row r="14" spans="1:34" customFormat="1" x14ac:dyDescent="0.25">
      <c r="A14" s="1" t="s">
        <v>102</v>
      </c>
      <c r="B14" s="7" t="s">
        <v>55</v>
      </c>
      <c r="C14" s="119">
        <f>+VLOOKUP(B14,'CPD PITSS'!$B$9:C31,2,0)</f>
        <v>10</v>
      </c>
      <c r="D14" s="119">
        <f>+VLOOKUP(B14,'CPD PITSS'!$B$9:F31,5,0)</f>
        <v>234.19</v>
      </c>
      <c r="E14" s="119">
        <v>12000</v>
      </c>
      <c r="F14" s="120">
        <f t="shared" si="3"/>
        <v>6000</v>
      </c>
      <c r="G14" s="91">
        <f t="shared" si="4"/>
        <v>400</v>
      </c>
      <c r="H14" s="121"/>
      <c r="I14" s="91">
        <v>0</v>
      </c>
      <c r="J14" s="91">
        <f t="shared" si="5"/>
        <v>0</v>
      </c>
      <c r="K14" s="121"/>
      <c r="L14" s="91">
        <f>+VLOOKUP(B14,'CPD PITSS'!$B$9:AG32,3,0)</f>
        <v>5</v>
      </c>
      <c r="M14" s="91">
        <f t="shared" si="6"/>
        <v>2000</v>
      </c>
      <c r="N14" s="91">
        <f>+VLOOKUP(B14,'CPD PITSS'!$B$9:AH32,7,0)</f>
        <v>1104.1500000000001</v>
      </c>
      <c r="O14" s="91">
        <f t="shared" si="7"/>
        <v>895.84999999999991</v>
      </c>
      <c r="P14" s="121"/>
      <c r="Q14" s="91">
        <f>+VLOOKUP(B14,'CPD PITSS'!$B$9:AK32,3,0)</f>
        <v>5</v>
      </c>
      <c r="R14" s="91">
        <f t="shared" si="8"/>
        <v>600</v>
      </c>
      <c r="S14" s="91">
        <f>+VLOOKUP(B14,'CPD PITSS'!$B$9:AM32,8,0)</f>
        <v>331.25</v>
      </c>
      <c r="T14" s="91">
        <f t="shared" si="9"/>
        <v>268.75</v>
      </c>
      <c r="U14" s="121"/>
      <c r="V14" s="121"/>
      <c r="W14" s="91"/>
      <c r="X14" s="91"/>
      <c r="Y14" s="91"/>
      <c r="Z14" s="91"/>
      <c r="AA14" s="91"/>
      <c r="AB14" s="91"/>
      <c r="AC14" s="91"/>
      <c r="AD14" s="91">
        <v>0</v>
      </c>
      <c r="AE14" s="91">
        <f t="shared" si="10"/>
        <v>0</v>
      </c>
      <c r="AF14" s="91">
        <f t="shared" si="11"/>
        <v>0</v>
      </c>
      <c r="AG14" s="91">
        <f t="shared" si="12"/>
        <v>0</v>
      </c>
      <c r="AH14" s="121"/>
    </row>
    <row r="15" spans="1:34" customFormat="1" x14ac:dyDescent="0.25">
      <c r="A15" s="1" t="s">
        <v>102</v>
      </c>
      <c r="B15" s="1" t="s">
        <v>67</v>
      </c>
      <c r="C15" s="119">
        <f>+VLOOKUP(B15,'CPD PITSS'!$B$9:C32,2,0)</f>
        <v>15</v>
      </c>
      <c r="D15" s="119">
        <f>+VLOOKUP(B15,'CPD PITSS'!$B$9:F32,5,0)</f>
        <v>197.07</v>
      </c>
      <c r="E15" s="119">
        <v>10150</v>
      </c>
      <c r="F15" s="120">
        <f t="shared" si="3"/>
        <v>5075</v>
      </c>
      <c r="G15" s="91">
        <f t="shared" si="4"/>
        <v>338.33333333333331</v>
      </c>
      <c r="H15" s="121"/>
      <c r="I15" s="91">
        <f t="shared" si="13"/>
        <v>0</v>
      </c>
      <c r="J15" s="91">
        <f t="shared" si="5"/>
        <v>0</v>
      </c>
      <c r="K15" s="121"/>
      <c r="L15" s="91">
        <f>+VLOOKUP(B15,'CPD PITSS'!$B$9:AG33,3,0)</f>
        <v>0</v>
      </c>
      <c r="M15" s="91">
        <f t="shared" si="6"/>
        <v>0</v>
      </c>
      <c r="N15" s="91">
        <f>+VLOOKUP(B15,'CPD PITSS'!$B$9:AH33,7,0)</f>
        <v>0</v>
      </c>
      <c r="O15" s="91">
        <f t="shared" si="7"/>
        <v>0</v>
      </c>
      <c r="P15" s="121"/>
      <c r="Q15" s="91">
        <f>+VLOOKUP(B15,'CPD PITSS'!$B$9:AK33,3,0)</f>
        <v>0</v>
      </c>
      <c r="R15" s="91">
        <f t="shared" si="8"/>
        <v>0</v>
      </c>
      <c r="S15" s="91">
        <f>+VLOOKUP(B15,'CPD PITSS'!$B$9:AM33,8,0)</f>
        <v>0</v>
      </c>
      <c r="T15" s="91">
        <f t="shared" si="9"/>
        <v>0</v>
      </c>
      <c r="U15" s="121"/>
      <c r="V15" s="121"/>
      <c r="W15" s="91"/>
      <c r="X15" s="91"/>
      <c r="Y15" s="91"/>
      <c r="Z15" s="91"/>
      <c r="AA15" s="91"/>
      <c r="AB15" s="91"/>
      <c r="AC15" s="91"/>
      <c r="AD15" s="91">
        <v>0</v>
      </c>
      <c r="AE15" s="91">
        <f t="shared" si="10"/>
        <v>0</v>
      </c>
      <c r="AF15" s="91">
        <f t="shared" si="11"/>
        <v>0</v>
      </c>
      <c r="AG15" s="91">
        <f t="shared" si="12"/>
        <v>0</v>
      </c>
      <c r="AH15" s="121"/>
    </row>
    <row r="16" spans="1:34" customFormat="1" x14ac:dyDescent="0.25">
      <c r="A16" s="1" t="s">
        <v>102</v>
      </c>
      <c r="B16" s="1" t="s">
        <v>51</v>
      </c>
      <c r="C16" s="119">
        <f>+VLOOKUP(B16,'CPD PITSS'!$B$9:C33,2,0)</f>
        <v>15</v>
      </c>
      <c r="D16" s="119">
        <f>+VLOOKUP(B16,'CPD PITSS'!$B$9:F33,5,0)</f>
        <v>289.87</v>
      </c>
      <c r="E16" s="119">
        <v>15000</v>
      </c>
      <c r="F16" s="120">
        <f t="shared" si="3"/>
        <v>7500</v>
      </c>
      <c r="G16" s="91">
        <f t="shared" si="4"/>
        <v>500</v>
      </c>
      <c r="H16" s="121"/>
      <c r="I16" s="91">
        <f t="shared" si="13"/>
        <v>0</v>
      </c>
      <c r="J16" s="91">
        <f t="shared" si="5"/>
        <v>0</v>
      </c>
      <c r="K16" s="121"/>
      <c r="L16" s="91">
        <f>+VLOOKUP(B16,'CPD PITSS'!$B$9:AG34,3,0)</f>
        <v>0</v>
      </c>
      <c r="M16" s="91">
        <f t="shared" si="6"/>
        <v>0</v>
      </c>
      <c r="N16" s="91">
        <f>+VLOOKUP(B16,'CPD PITSS'!$B$9:AH34,7,0)</f>
        <v>0</v>
      </c>
      <c r="O16" s="91">
        <f t="shared" si="7"/>
        <v>0</v>
      </c>
      <c r="P16" s="121"/>
      <c r="Q16" s="91">
        <f>+VLOOKUP(B16,'CPD PITSS'!$B$9:AK34,3,0)</f>
        <v>0</v>
      </c>
      <c r="R16" s="91">
        <f t="shared" si="8"/>
        <v>0</v>
      </c>
      <c r="S16" s="91">
        <f>+VLOOKUP(B16,'CPD PITSS'!$B$9:AM34,8,0)</f>
        <v>0</v>
      </c>
      <c r="T16" s="91">
        <f t="shared" si="9"/>
        <v>0</v>
      </c>
      <c r="U16" s="121"/>
      <c r="V16" s="121"/>
      <c r="W16" s="91"/>
      <c r="X16" s="91"/>
      <c r="Y16" s="91"/>
      <c r="Z16" s="91"/>
      <c r="AA16" s="91"/>
      <c r="AB16" s="91"/>
      <c r="AC16" s="91"/>
      <c r="AD16" s="91">
        <v>0</v>
      </c>
      <c r="AE16" s="91">
        <f t="shared" si="10"/>
        <v>0</v>
      </c>
      <c r="AF16" s="91">
        <f t="shared" si="11"/>
        <v>0</v>
      </c>
      <c r="AG16" s="91">
        <f t="shared" si="12"/>
        <v>0</v>
      </c>
      <c r="AH16" s="121"/>
    </row>
    <row r="17" spans="1:34" customFormat="1" x14ac:dyDescent="0.25">
      <c r="A17" s="1" t="s">
        <v>102</v>
      </c>
      <c r="B17" s="1" t="s">
        <v>39</v>
      </c>
      <c r="C17" s="119">
        <f>+VLOOKUP(B17,'CPD PITSS'!$B$9:C34,2,0)</f>
        <v>15</v>
      </c>
      <c r="D17" s="119">
        <f>+VLOOKUP(B17,'CPD PITSS'!$B$9:F34,5,0)</f>
        <v>150.25</v>
      </c>
      <c r="E17" s="119">
        <v>8500</v>
      </c>
      <c r="F17" s="120">
        <f t="shared" si="3"/>
        <v>4250</v>
      </c>
      <c r="G17" s="91">
        <f t="shared" si="4"/>
        <v>283.33333333333331</v>
      </c>
      <c r="H17" s="121"/>
      <c r="I17" s="91">
        <f t="shared" si="13"/>
        <v>0</v>
      </c>
      <c r="J17" s="91">
        <f t="shared" si="5"/>
        <v>0</v>
      </c>
      <c r="K17" s="121"/>
      <c r="L17" s="91">
        <f>+VLOOKUP(B17,'CPD PITSS'!$B$9:AG35,3,0)</f>
        <v>0</v>
      </c>
      <c r="M17" s="91">
        <f t="shared" si="6"/>
        <v>0</v>
      </c>
      <c r="N17" s="91">
        <f>+VLOOKUP(B17,'CPD PITSS'!$B$9:AH35,7,0)</f>
        <v>0</v>
      </c>
      <c r="O17" s="91">
        <f t="shared" si="7"/>
        <v>0</v>
      </c>
      <c r="P17" s="121"/>
      <c r="Q17" s="91">
        <f>+VLOOKUP(B17,'CPD PITSS'!$B$9:AK35,3,0)</f>
        <v>0</v>
      </c>
      <c r="R17" s="91">
        <f t="shared" si="8"/>
        <v>0</v>
      </c>
      <c r="S17" s="91">
        <f>+VLOOKUP(B17,'CPD PITSS'!$B$9:AM35,8,0)</f>
        <v>0</v>
      </c>
      <c r="T17" s="91">
        <f t="shared" si="9"/>
        <v>0</v>
      </c>
      <c r="U17" s="121"/>
      <c r="V17" s="121"/>
      <c r="W17" s="91"/>
      <c r="X17" s="91"/>
      <c r="Y17" s="91"/>
      <c r="Z17" s="91"/>
      <c r="AA17" s="91"/>
      <c r="AB17" s="91"/>
      <c r="AC17" s="91"/>
      <c r="AD17" s="91">
        <v>0</v>
      </c>
      <c r="AE17" s="91">
        <f t="shared" si="10"/>
        <v>0</v>
      </c>
      <c r="AF17" s="91">
        <f t="shared" si="11"/>
        <v>0</v>
      </c>
      <c r="AG17" s="91">
        <f t="shared" si="12"/>
        <v>0</v>
      </c>
      <c r="AH17" s="121"/>
    </row>
    <row r="18" spans="1:34" customFormat="1" x14ac:dyDescent="0.25">
      <c r="A18" s="1" t="s">
        <v>102</v>
      </c>
      <c r="B18" s="1" t="s">
        <v>61</v>
      </c>
      <c r="C18" s="119">
        <f>+VLOOKUP(B18,'CPD PITSS'!$B$9:C35,2,0)</f>
        <v>15</v>
      </c>
      <c r="D18" s="119">
        <f>+VLOOKUP(B18,'CPD PITSS'!$B$9:F35,5,0)</f>
        <v>289.87</v>
      </c>
      <c r="E18" s="119">
        <v>15000</v>
      </c>
      <c r="F18" s="120">
        <f t="shared" si="3"/>
        <v>7500</v>
      </c>
      <c r="G18" s="91">
        <f t="shared" si="4"/>
        <v>500</v>
      </c>
      <c r="H18" s="121"/>
      <c r="I18" s="91">
        <f t="shared" si="13"/>
        <v>0</v>
      </c>
      <c r="J18" s="91">
        <f t="shared" si="5"/>
        <v>0</v>
      </c>
      <c r="K18" s="121"/>
      <c r="L18" s="91">
        <f>+VLOOKUP(B18,'CPD PITSS'!$B$9:AG36,3,0)</f>
        <v>0</v>
      </c>
      <c r="M18" s="91">
        <f t="shared" si="6"/>
        <v>0</v>
      </c>
      <c r="N18" s="91">
        <f>+VLOOKUP(B18,'CPD PITSS'!$B$9:AH36,7,0)</f>
        <v>0</v>
      </c>
      <c r="O18" s="91">
        <f t="shared" si="7"/>
        <v>0</v>
      </c>
      <c r="P18" s="121"/>
      <c r="Q18" s="91">
        <f>+VLOOKUP(B18,'CPD PITSS'!$B$9:AK36,3,0)</f>
        <v>0</v>
      </c>
      <c r="R18" s="91">
        <f t="shared" si="8"/>
        <v>0</v>
      </c>
      <c r="S18" s="91">
        <f>+VLOOKUP(B18,'CPD PITSS'!$B$9:AM36,8,0)</f>
        <v>0</v>
      </c>
      <c r="T18" s="91">
        <f t="shared" si="9"/>
        <v>0</v>
      </c>
      <c r="U18" s="121"/>
      <c r="V18" s="121"/>
      <c r="W18" s="91"/>
      <c r="X18" s="91"/>
      <c r="Y18" s="91"/>
      <c r="Z18" s="91"/>
      <c r="AA18" s="91"/>
      <c r="AB18" s="91"/>
      <c r="AC18" s="91"/>
      <c r="AD18" s="91">
        <v>0</v>
      </c>
      <c r="AE18" s="91">
        <f t="shared" si="10"/>
        <v>0</v>
      </c>
      <c r="AF18" s="91">
        <f t="shared" si="11"/>
        <v>0</v>
      </c>
      <c r="AG18" s="91">
        <f t="shared" si="12"/>
        <v>0</v>
      </c>
      <c r="AH18" s="121"/>
    </row>
    <row r="19" spans="1:34" customFormat="1" x14ac:dyDescent="0.25">
      <c r="A19" s="1" t="s">
        <v>102</v>
      </c>
      <c r="B19" s="1" t="s">
        <v>57</v>
      </c>
      <c r="C19" s="119">
        <f>+VLOOKUP(B19,'CPD PITSS'!$B$9:C36,2,0)</f>
        <v>12</v>
      </c>
      <c r="D19" s="119">
        <f>+VLOOKUP(B19,'CPD PITSS'!$B$9:F36,5,0)</f>
        <v>276.54000000000002</v>
      </c>
      <c r="E19" s="119">
        <v>15000</v>
      </c>
      <c r="F19" s="120">
        <f t="shared" si="3"/>
        <v>7500</v>
      </c>
      <c r="G19" s="91">
        <f t="shared" si="4"/>
        <v>500</v>
      </c>
      <c r="H19" s="121"/>
      <c r="I19" s="91">
        <v>0</v>
      </c>
      <c r="J19" s="91">
        <f t="shared" si="5"/>
        <v>0</v>
      </c>
      <c r="K19" s="121"/>
      <c r="L19" s="91">
        <f>+VLOOKUP(B19,'CPD PITSS'!$B$9:AG37,3,0)</f>
        <v>3</v>
      </c>
      <c r="M19" s="91">
        <f t="shared" si="6"/>
        <v>1500</v>
      </c>
      <c r="N19" s="91">
        <f>+VLOOKUP(B19,'CPD PITSS'!$B$9:AH37,7,0)</f>
        <v>793.74</v>
      </c>
      <c r="O19" s="91">
        <f t="shared" si="7"/>
        <v>706.26</v>
      </c>
      <c r="P19" s="121"/>
      <c r="Q19" s="91">
        <f>+VLOOKUP(B19,'CPD PITSS'!$B$9:AK37,3,0)</f>
        <v>3</v>
      </c>
      <c r="R19" s="91">
        <f t="shared" si="8"/>
        <v>450</v>
      </c>
      <c r="S19" s="91">
        <f>+VLOOKUP(B19,'CPD PITSS'!$B$9:AM37,8,0)</f>
        <v>238.12</v>
      </c>
      <c r="T19" s="91">
        <f t="shared" si="9"/>
        <v>211.88</v>
      </c>
      <c r="U19" s="121"/>
      <c r="V19" s="121"/>
      <c r="W19" s="91"/>
      <c r="X19" s="91"/>
      <c r="Y19" s="91"/>
      <c r="Z19" s="91"/>
      <c r="AA19" s="91"/>
      <c r="AB19" s="91"/>
      <c r="AC19" s="91"/>
      <c r="AD19" s="91">
        <v>0</v>
      </c>
      <c r="AE19" s="91">
        <f t="shared" si="10"/>
        <v>0</v>
      </c>
      <c r="AF19" s="91">
        <f t="shared" si="11"/>
        <v>0</v>
      </c>
      <c r="AG19" s="91">
        <f t="shared" si="12"/>
        <v>0</v>
      </c>
      <c r="AH19" s="121"/>
    </row>
    <row r="20" spans="1:34" customFormat="1" x14ac:dyDescent="0.25">
      <c r="A20" s="1" t="s">
        <v>102</v>
      </c>
      <c r="B20" s="1" t="s">
        <v>43</v>
      </c>
      <c r="C20" s="119">
        <f>+VLOOKUP(B20,'CPD PITSS'!$B$9:C37,2,0)</f>
        <v>15</v>
      </c>
      <c r="D20" s="119">
        <f>+VLOOKUP(B20,'CPD PITSS'!$B$9:F37,5,0)</f>
        <v>229.79</v>
      </c>
      <c r="E20" s="119">
        <v>13000</v>
      </c>
      <c r="F20" s="120">
        <f t="shared" si="3"/>
        <v>6500</v>
      </c>
      <c r="G20" s="91">
        <f t="shared" si="4"/>
        <v>433.33333333333331</v>
      </c>
      <c r="H20" s="121"/>
      <c r="I20" s="91">
        <f t="shared" si="13"/>
        <v>0</v>
      </c>
      <c r="J20" s="91">
        <f t="shared" si="5"/>
        <v>0</v>
      </c>
      <c r="K20" s="121"/>
      <c r="L20" s="91">
        <f>+VLOOKUP(B20,'CPD PITSS'!$B$9:AG38,3,0)</f>
        <v>0</v>
      </c>
      <c r="M20" s="91">
        <f t="shared" si="6"/>
        <v>0</v>
      </c>
      <c r="N20" s="91">
        <f>+VLOOKUP(B20,'CPD PITSS'!$B$9:AH38,7,0)</f>
        <v>0</v>
      </c>
      <c r="O20" s="91">
        <f t="shared" si="7"/>
        <v>0</v>
      </c>
      <c r="P20" s="121"/>
      <c r="Q20" s="91">
        <f>+VLOOKUP(B20,'CPD PITSS'!$B$9:AK38,3,0)</f>
        <v>0</v>
      </c>
      <c r="R20" s="91">
        <f t="shared" si="8"/>
        <v>0</v>
      </c>
      <c r="S20" s="91">
        <f>+VLOOKUP(B20,'CPD PITSS'!$B$9:AM38,8,0)</f>
        <v>0</v>
      </c>
      <c r="T20" s="91">
        <f t="shared" si="9"/>
        <v>0</v>
      </c>
      <c r="U20" s="121"/>
      <c r="V20" s="121"/>
      <c r="W20" s="91"/>
      <c r="X20" s="91"/>
      <c r="Y20" s="91"/>
      <c r="Z20" s="91"/>
      <c r="AA20" s="91"/>
      <c r="AB20" s="91"/>
      <c r="AC20" s="91"/>
      <c r="AD20" s="91">
        <v>0</v>
      </c>
      <c r="AE20" s="91">
        <f t="shared" si="10"/>
        <v>0</v>
      </c>
      <c r="AF20" s="91">
        <f t="shared" si="11"/>
        <v>0</v>
      </c>
      <c r="AG20" s="91">
        <f t="shared" si="12"/>
        <v>0</v>
      </c>
      <c r="AH20" s="121"/>
    </row>
    <row r="21" spans="1:34" customFormat="1" x14ac:dyDescent="0.25">
      <c r="A21" s="1" t="s">
        <v>102</v>
      </c>
      <c r="B21" s="1" t="s">
        <v>47</v>
      </c>
      <c r="C21" s="119">
        <f>+VLOOKUP(B21,'CPD PITSS'!$B$9:C38,2,0)</f>
        <v>15</v>
      </c>
      <c r="D21" s="119">
        <f>+VLOOKUP(B21,'CPD PITSS'!$B$9:F38,5,0)</f>
        <v>289.87</v>
      </c>
      <c r="E21" s="119">
        <v>15000</v>
      </c>
      <c r="F21" s="120">
        <f t="shared" si="3"/>
        <v>7500</v>
      </c>
      <c r="G21" s="91">
        <f t="shared" si="4"/>
        <v>500</v>
      </c>
      <c r="H21" s="121"/>
      <c r="I21" s="91">
        <f t="shared" si="13"/>
        <v>0</v>
      </c>
      <c r="J21" s="91">
        <f t="shared" si="5"/>
        <v>0</v>
      </c>
      <c r="K21" s="121"/>
      <c r="L21" s="91">
        <f>+VLOOKUP(B21,'CPD PITSS'!$B$9:AG39,3,0)</f>
        <v>0</v>
      </c>
      <c r="M21" s="91">
        <f t="shared" si="6"/>
        <v>0</v>
      </c>
      <c r="N21" s="91">
        <f>+VLOOKUP(B21,'CPD PITSS'!$B$9:AH39,7,0)</f>
        <v>0</v>
      </c>
      <c r="O21" s="91">
        <f t="shared" si="7"/>
        <v>0</v>
      </c>
      <c r="P21" s="121"/>
      <c r="Q21" s="91">
        <f>+VLOOKUP(B21,'CPD PITSS'!$B$9:AK39,3,0)</f>
        <v>0</v>
      </c>
      <c r="R21" s="91">
        <f t="shared" si="8"/>
        <v>0</v>
      </c>
      <c r="S21" s="91">
        <f>+VLOOKUP(B21,'CPD PITSS'!$B$9:AM39,8,0)</f>
        <v>0</v>
      </c>
      <c r="T21" s="91">
        <f t="shared" si="9"/>
        <v>0</v>
      </c>
      <c r="U21" s="121"/>
      <c r="V21" s="121"/>
      <c r="W21" s="91"/>
      <c r="X21" s="91"/>
      <c r="Y21" s="91"/>
      <c r="Z21" s="91"/>
      <c r="AA21" s="91"/>
      <c r="AB21" s="91"/>
      <c r="AC21" s="91"/>
      <c r="AD21" s="91">
        <v>0</v>
      </c>
      <c r="AE21" s="91">
        <f t="shared" si="10"/>
        <v>0</v>
      </c>
      <c r="AF21" s="91">
        <f t="shared" si="11"/>
        <v>0</v>
      </c>
      <c r="AG21" s="91">
        <f t="shared" si="12"/>
        <v>0</v>
      </c>
      <c r="AH21" s="121"/>
    </row>
    <row r="22" spans="1:34" customFormat="1" x14ac:dyDescent="0.25">
      <c r="A22" s="1" t="s">
        <v>102</v>
      </c>
      <c r="B22" s="1" t="s">
        <v>63</v>
      </c>
      <c r="C22" s="119">
        <f>+VLOOKUP(B22,'CPD PITSS'!$B$9:C39,2,0)</f>
        <v>6</v>
      </c>
      <c r="D22" s="119">
        <f>+VLOOKUP(B22,'CPD PITSS'!$B$9:F39,5,0)</f>
        <v>197.07</v>
      </c>
      <c r="E22" s="119">
        <v>10000</v>
      </c>
      <c r="F22" s="120">
        <f t="shared" si="3"/>
        <v>5000</v>
      </c>
      <c r="G22" s="91">
        <f t="shared" si="4"/>
        <v>333.33333333333331</v>
      </c>
      <c r="H22" s="121"/>
      <c r="I22" s="91">
        <v>0</v>
      </c>
      <c r="J22" s="91">
        <f t="shared" si="5"/>
        <v>0</v>
      </c>
      <c r="K22" s="121"/>
      <c r="L22" s="91">
        <f>+VLOOKUP(B22,'CPD PITSS'!$B$9:AG40,3,0)</f>
        <v>9</v>
      </c>
      <c r="M22" s="91">
        <f t="shared" si="6"/>
        <v>3000</v>
      </c>
      <c r="N22" s="91">
        <f>+VLOOKUP(B22,'CPD PITSS'!$B$9:AH40,7,0)</f>
        <v>1672.47</v>
      </c>
      <c r="O22" s="91">
        <f t="shared" si="7"/>
        <v>1327.53</v>
      </c>
      <c r="P22" s="121"/>
      <c r="Q22" s="91">
        <f>+VLOOKUP(B22,'CPD PITSS'!$B$9:AK40,3,0)</f>
        <v>9</v>
      </c>
      <c r="R22" s="91">
        <f t="shared" si="8"/>
        <v>900</v>
      </c>
      <c r="S22" s="91">
        <f>+VLOOKUP(B22,'CPD PITSS'!$B$9:AM40,8,0)</f>
        <v>501.74</v>
      </c>
      <c r="T22" s="91">
        <f t="shared" si="9"/>
        <v>398.26</v>
      </c>
      <c r="U22" s="121"/>
      <c r="V22" s="121"/>
      <c r="W22" s="91"/>
      <c r="X22" s="91"/>
      <c r="Y22" s="91"/>
      <c r="Z22" s="91"/>
      <c r="AA22" s="91"/>
      <c r="AB22" s="91"/>
      <c r="AC22" s="91"/>
      <c r="AD22" s="91">
        <v>0</v>
      </c>
      <c r="AE22" s="91">
        <f t="shared" si="10"/>
        <v>0</v>
      </c>
      <c r="AF22" s="91">
        <f t="shared" si="11"/>
        <v>0</v>
      </c>
      <c r="AG22" s="91">
        <f t="shared" si="12"/>
        <v>0</v>
      </c>
      <c r="AH22" s="121"/>
    </row>
    <row r="23" spans="1:34" customFormat="1" x14ac:dyDescent="0.25">
      <c r="A23" s="1" t="s">
        <v>102</v>
      </c>
      <c r="B23" s="1" t="s">
        <v>41</v>
      </c>
      <c r="C23" s="119">
        <f>+VLOOKUP(B23,'CPD PITSS'!$B$9:C40,2,0)</f>
        <v>15</v>
      </c>
      <c r="D23" s="119">
        <f>+VLOOKUP(B23,'CPD PITSS'!$B$9:F40,5,0)</f>
        <v>159.07</v>
      </c>
      <c r="E23" s="119">
        <v>9000</v>
      </c>
      <c r="F23" s="120">
        <f t="shared" si="3"/>
        <v>4500</v>
      </c>
      <c r="G23" s="91">
        <f t="shared" si="4"/>
        <v>300</v>
      </c>
      <c r="H23" s="121"/>
      <c r="I23" s="91">
        <f t="shared" si="13"/>
        <v>0</v>
      </c>
      <c r="J23" s="91">
        <f t="shared" si="5"/>
        <v>0</v>
      </c>
      <c r="K23" s="121"/>
      <c r="L23" s="91">
        <f>+VLOOKUP(B23,'CPD PITSS'!$B$9:AG41,3,0)</f>
        <v>0</v>
      </c>
      <c r="M23" s="91">
        <f t="shared" si="6"/>
        <v>0</v>
      </c>
      <c r="N23" s="91">
        <f>+VLOOKUP(B23,'CPD PITSS'!$B$9:AH41,7,0)</f>
        <v>0</v>
      </c>
      <c r="O23" s="91">
        <f t="shared" si="7"/>
        <v>0</v>
      </c>
      <c r="P23" s="121"/>
      <c r="Q23" s="91">
        <f>+VLOOKUP(B23,'CPD PITSS'!$B$9:AK41,3,0)</f>
        <v>0</v>
      </c>
      <c r="R23" s="91">
        <f t="shared" si="8"/>
        <v>0</v>
      </c>
      <c r="S23" s="91">
        <f>+VLOOKUP(B23,'CPD PITSS'!$B$9:AM41,8,0)</f>
        <v>0</v>
      </c>
      <c r="T23" s="91">
        <f t="shared" si="9"/>
        <v>0</v>
      </c>
      <c r="U23" s="121"/>
      <c r="V23" s="121"/>
      <c r="W23" s="91"/>
      <c r="X23" s="91"/>
      <c r="Y23" s="91"/>
      <c r="Z23" s="91"/>
      <c r="AA23" s="91"/>
      <c r="AB23" s="91"/>
      <c r="AC23" s="91"/>
      <c r="AD23" s="91">
        <v>0</v>
      </c>
      <c r="AE23" s="91">
        <f t="shared" si="10"/>
        <v>0</v>
      </c>
      <c r="AF23" s="91">
        <f t="shared" si="11"/>
        <v>0</v>
      </c>
      <c r="AG23" s="91">
        <f t="shared" si="12"/>
        <v>0</v>
      </c>
      <c r="AH23" s="121"/>
    </row>
    <row r="24" spans="1:34" customFormat="1" x14ac:dyDescent="0.25">
      <c r="A24" s="1" t="s">
        <v>102</v>
      </c>
      <c r="B24" s="1" t="s">
        <v>65</v>
      </c>
      <c r="C24" s="119">
        <f>+VLOOKUP(B24,'CPD PITSS'!$B$9:C41,2,0)</f>
        <v>15</v>
      </c>
      <c r="D24" s="119">
        <f>+VLOOKUP(B24,'CPD PITSS'!$B$9:F41,5,0)</f>
        <v>1125.06</v>
      </c>
      <c r="E24" s="119">
        <v>60000</v>
      </c>
      <c r="F24" s="120">
        <f t="shared" si="3"/>
        <v>30000</v>
      </c>
      <c r="G24" s="91">
        <f t="shared" si="4"/>
        <v>2000</v>
      </c>
      <c r="H24" s="121"/>
      <c r="I24" s="91">
        <f t="shared" si="13"/>
        <v>0</v>
      </c>
      <c r="J24" s="91">
        <f t="shared" si="5"/>
        <v>0</v>
      </c>
      <c r="K24" s="121"/>
      <c r="L24" s="91">
        <f>+VLOOKUP(B24,'CPD PITSS'!$B$9:AG42,3,0)</f>
        <v>0</v>
      </c>
      <c r="M24" s="91">
        <f t="shared" si="6"/>
        <v>0</v>
      </c>
      <c r="N24" s="91">
        <f>+VLOOKUP(B24,'CPD PITSS'!$B$9:AH42,7,0)</f>
        <v>0</v>
      </c>
      <c r="O24" s="91">
        <f t="shared" si="7"/>
        <v>0</v>
      </c>
      <c r="P24" s="121"/>
      <c r="Q24" s="91">
        <f>+VLOOKUP(B24,'CPD PITSS'!$B$9:AK42,3,0)</f>
        <v>0</v>
      </c>
      <c r="R24" s="91">
        <f t="shared" si="8"/>
        <v>0</v>
      </c>
      <c r="S24" s="91">
        <f>+VLOOKUP(B24,'CPD PITSS'!$B$9:AM42,8,0)</f>
        <v>0</v>
      </c>
      <c r="T24" s="91">
        <f t="shared" si="9"/>
        <v>0</v>
      </c>
      <c r="U24" s="121"/>
      <c r="V24" s="121"/>
      <c r="W24" s="91"/>
      <c r="X24" s="91"/>
      <c r="Y24" s="91"/>
      <c r="Z24" s="91"/>
      <c r="AA24" s="91"/>
      <c r="AB24" s="91"/>
      <c r="AC24" s="91"/>
      <c r="AD24" s="91">
        <v>0</v>
      </c>
      <c r="AE24" s="91">
        <f t="shared" si="10"/>
        <v>0</v>
      </c>
      <c r="AF24" s="91">
        <f t="shared" si="11"/>
        <v>0</v>
      </c>
      <c r="AG24" s="91">
        <f t="shared" si="12"/>
        <v>0</v>
      </c>
      <c r="AH24" s="121"/>
    </row>
    <row r="25" spans="1:34" customFormat="1" x14ac:dyDescent="0.25">
      <c r="A25" s="1" t="s">
        <v>102</v>
      </c>
      <c r="B25" s="1" t="s">
        <v>73</v>
      </c>
      <c r="C25" s="119">
        <f>+VLOOKUP(B25,'CPD PITSS'!$B$9:C42,2,0)</f>
        <v>15</v>
      </c>
      <c r="D25" s="119">
        <f>+VLOOKUP(B25,'CPD PITSS'!$B$9:F42,5,0)</f>
        <v>229.79</v>
      </c>
      <c r="E25" s="119">
        <v>13000</v>
      </c>
      <c r="F25" s="120">
        <f t="shared" si="3"/>
        <v>6500</v>
      </c>
      <c r="G25" s="91">
        <f t="shared" si="4"/>
        <v>433.33333333333331</v>
      </c>
      <c r="H25" s="121"/>
      <c r="I25" s="91">
        <f t="shared" si="13"/>
        <v>0</v>
      </c>
      <c r="J25" s="91">
        <f t="shared" si="5"/>
        <v>0</v>
      </c>
      <c r="K25" s="121"/>
      <c r="L25" s="91">
        <f>+VLOOKUP(B25,'CPD PITSS'!$B$9:AG43,3,0)</f>
        <v>0</v>
      </c>
      <c r="M25" s="91">
        <f t="shared" si="6"/>
        <v>0</v>
      </c>
      <c r="N25" s="91">
        <f>+VLOOKUP(B25,'CPD PITSS'!$B$9:AH43,7,0)</f>
        <v>0</v>
      </c>
      <c r="O25" s="91">
        <f t="shared" si="7"/>
        <v>0</v>
      </c>
      <c r="P25" s="121"/>
      <c r="Q25" s="91">
        <f>+VLOOKUP(B25,'CPD PITSS'!$B$9:AK43,3,0)</f>
        <v>0</v>
      </c>
      <c r="R25" s="91">
        <f t="shared" si="8"/>
        <v>0</v>
      </c>
      <c r="S25" s="91">
        <f>+VLOOKUP(B25,'CPD PITSS'!$B$9:AM43,8,0)</f>
        <v>0</v>
      </c>
      <c r="T25" s="91">
        <f t="shared" si="9"/>
        <v>0</v>
      </c>
      <c r="U25" s="121"/>
      <c r="V25" s="121"/>
      <c r="W25" s="91"/>
      <c r="X25" s="91"/>
      <c r="Y25" s="91"/>
      <c r="Z25" s="91"/>
      <c r="AA25" s="91"/>
      <c r="AB25" s="91"/>
      <c r="AC25" s="91"/>
      <c r="AD25" s="91">
        <v>0</v>
      </c>
      <c r="AE25" s="91">
        <f t="shared" si="10"/>
        <v>0</v>
      </c>
      <c r="AF25" s="91">
        <f t="shared" si="11"/>
        <v>0</v>
      </c>
      <c r="AG25" s="91">
        <f t="shared" si="12"/>
        <v>0</v>
      </c>
      <c r="AH25" s="121"/>
    </row>
    <row r="26" spans="1:34" customFormat="1" x14ac:dyDescent="0.25">
      <c r="A26" s="1" t="s">
        <v>102</v>
      </c>
      <c r="B26" s="1" t="s">
        <v>45</v>
      </c>
      <c r="C26" s="119">
        <f>+VLOOKUP(B26,'CPD PITSS'!$B$9:C43,2,0)</f>
        <v>15</v>
      </c>
      <c r="D26" s="119">
        <f>+VLOOKUP(B26,'CPD PITSS'!$B$9:F43,5,0)</f>
        <v>300.49</v>
      </c>
      <c r="E26" s="119">
        <v>18500</v>
      </c>
      <c r="F26" s="120">
        <f t="shared" si="3"/>
        <v>9250</v>
      </c>
      <c r="G26" s="91">
        <f t="shared" si="4"/>
        <v>616.66666666666663</v>
      </c>
      <c r="H26" s="121"/>
      <c r="I26" s="91">
        <f t="shared" si="13"/>
        <v>0</v>
      </c>
      <c r="J26" s="91">
        <f t="shared" si="5"/>
        <v>0</v>
      </c>
      <c r="K26" s="121"/>
      <c r="L26" s="91">
        <f>+VLOOKUP(B26,'CPD PITSS'!$B$9:AG44,3,0)</f>
        <v>0</v>
      </c>
      <c r="M26" s="91">
        <f t="shared" si="6"/>
        <v>0</v>
      </c>
      <c r="N26" s="91">
        <f>+VLOOKUP(B26,'CPD PITSS'!$B$9:AH44,7,0)</f>
        <v>0</v>
      </c>
      <c r="O26" s="91">
        <f t="shared" si="7"/>
        <v>0</v>
      </c>
      <c r="P26" s="121"/>
      <c r="Q26" s="91">
        <f>+VLOOKUP(B26,'CPD PITSS'!$B$9:AK44,3,0)</f>
        <v>0</v>
      </c>
      <c r="R26" s="91">
        <f t="shared" si="8"/>
        <v>0</v>
      </c>
      <c r="S26" s="91">
        <f>+VLOOKUP(B26,'CPD PITSS'!$B$9:AM44,8,0)</f>
        <v>0</v>
      </c>
      <c r="T26" s="91">
        <f t="shared" si="9"/>
        <v>0</v>
      </c>
      <c r="U26" s="121"/>
      <c r="V26" s="121"/>
      <c r="W26" s="91"/>
      <c r="X26" s="91"/>
      <c r="Y26" s="91"/>
      <c r="Z26" s="91"/>
      <c r="AA26" s="91"/>
      <c r="AB26" s="91"/>
      <c r="AC26" s="91"/>
      <c r="AD26" s="91">
        <v>0</v>
      </c>
      <c r="AE26" s="91">
        <f t="shared" si="10"/>
        <v>0</v>
      </c>
      <c r="AF26" s="91">
        <f t="shared" si="11"/>
        <v>0</v>
      </c>
      <c r="AG26" s="91">
        <f t="shared" si="12"/>
        <v>0</v>
      </c>
      <c r="AH26" s="121"/>
    </row>
    <row r="27" spans="1:34" customFormat="1" x14ac:dyDescent="0.25">
      <c r="A27" s="1" t="s">
        <v>89</v>
      </c>
      <c r="B27" s="1" t="s">
        <v>90</v>
      </c>
      <c r="C27" s="119">
        <f>+VLOOKUP(B27,'IP PITSS'!$B$9:C93,2,0)</f>
        <v>15</v>
      </c>
      <c r="D27" s="119">
        <f>+VLOOKUP(B27,'IP PITSS'!$B$9:F93,5,0)</f>
        <v>212.11</v>
      </c>
      <c r="E27" s="119">
        <v>6000</v>
      </c>
      <c r="F27" s="120">
        <f t="shared" si="3"/>
        <v>3000</v>
      </c>
      <c r="G27" s="91">
        <f t="shared" si="4"/>
        <v>200</v>
      </c>
      <c r="H27" s="121"/>
      <c r="I27" s="91">
        <f t="shared" si="13"/>
        <v>0</v>
      </c>
      <c r="J27" s="91">
        <f t="shared" si="5"/>
        <v>0</v>
      </c>
      <c r="K27" s="121"/>
      <c r="L27" s="91">
        <f>+VLOOKUP(B27,'IP PITSS'!$B$9:AF94,3,0)</f>
        <v>0</v>
      </c>
      <c r="M27" s="91">
        <f t="shared" si="6"/>
        <v>0</v>
      </c>
      <c r="N27" s="91">
        <f>+VLOOKUP(B27,'IP PITSS'!$B$9:AG94,7,0)</f>
        <v>0</v>
      </c>
      <c r="O27" s="91">
        <f t="shared" si="7"/>
        <v>0</v>
      </c>
      <c r="P27" s="121"/>
      <c r="Q27" s="91">
        <f>+VLOOKUP(B27,'IP PITSS'!$B$9:AJ94,3,0)</f>
        <v>0</v>
      </c>
      <c r="R27" s="91">
        <f t="shared" si="8"/>
        <v>0</v>
      </c>
      <c r="S27" s="91">
        <f>+VLOOKUP(B27,'IP PITSS'!$B$9:AL94,8,0)</f>
        <v>0</v>
      </c>
      <c r="T27" s="91">
        <f t="shared" si="9"/>
        <v>0</v>
      </c>
      <c r="U27" s="121"/>
      <c r="V27" s="121"/>
      <c r="W27" s="91"/>
      <c r="X27" s="91"/>
      <c r="Y27" s="91"/>
      <c r="Z27" s="91"/>
      <c r="AA27" s="91"/>
      <c r="AB27" s="91"/>
      <c r="AC27" s="91"/>
      <c r="AD27" s="91">
        <v>0</v>
      </c>
      <c r="AE27" s="91">
        <f t="shared" si="10"/>
        <v>0</v>
      </c>
      <c r="AF27" s="91">
        <f t="shared" si="11"/>
        <v>0</v>
      </c>
      <c r="AG27" s="91">
        <f t="shared" si="12"/>
        <v>0</v>
      </c>
      <c r="AH27" s="121"/>
    </row>
    <row r="28" spans="1:34" customFormat="1" x14ac:dyDescent="0.25">
      <c r="A28" s="1" t="s">
        <v>89</v>
      </c>
      <c r="B28" s="1" t="s">
        <v>94</v>
      </c>
      <c r="C28" s="119">
        <f>+VLOOKUP(B28,'IP PITSS'!$B$9:C94,2,0)</f>
        <v>15</v>
      </c>
      <c r="D28" s="119">
        <f>+VLOOKUP(B28,'IP PITSS'!$B$9:F94,5,0)</f>
        <v>222.72</v>
      </c>
      <c r="E28" s="119">
        <v>6300</v>
      </c>
      <c r="F28" s="120">
        <f t="shared" si="3"/>
        <v>3150</v>
      </c>
      <c r="G28" s="91">
        <f t="shared" si="4"/>
        <v>210</v>
      </c>
      <c r="H28" s="121"/>
      <c r="I28" s="91">
        <f t="shared" si="13"/>
        <v>0</v>
      </c>
      <c r="J28" s="91">
        <f t="shared" si="5"/>
        <v>0</v>
      </c>
      <c r="K28" s="121"/>
      <c r="L28" s="91">
        <f>+VLOOKUP(B28,'IP PITSS'!$B$9:AF95,3,0)</f>
        <v>0</v>
      </c>
      <c r="M28" s="91">
        <f t="shared" si="6"/>
        <v>0</v>
      </c>
      <c r="N28" s="91">
        <f>+VLOOKUP(B28,'IP PITSS'!$B$9:AG95,7,0)</f>
        <v>0</v>
      </c>
      <c r="O28" s="91">
        <f t="shared" si="7"/>
        <v>0</v>
      </c>
      <c r="P28" s="121"/>
      <c r="Q28" s="91">
        <f>+VLOOKUP(B28,'IP PITSS'!$B$9:AJ95,3,0)</f>
        <v>0</v>
      </c>
      <c r="R28" s="91">
        <f t="shared" si="8"/>
        <v>0</v>
      </c>
      <c r="S28" s="91">
        <f>+VLOOKUP(B28,'IP PITSS'!$B$9:AL95,8,0)</f>
        <v>0</v>
      </c>
      <c r="T28" s="91">
        <f t="shared" si="9"/>
        <v>0</v>
      </c>
      <c r="U28" s="121"/>
      <c r="V28" s="121"/>
      <c r="W28" s="91"/>
      <c r="X28" s="91"/>
      <c r="Y28" s="91"/>
      <c r="Z28" s="91"/>
      <c r="AA28" s="91"/>
      <c r="AB28" s="91"/>
      <c r="AC28" s="91"/>
      <c r="AD28" s="91">
        <v>0</v>
      </c>
      <c r="AE28" s="91">
        <f t="shared" si="10"/>
        <v>0</v>
      </c>
      <c r="AF28" s="91">
        <f t="shared" si="11"/>
        <v>0</v>
      </c>
      <c r="AG28" s="91">
        <f t="shared" si="12"/>
        <v>0</v>
      </c>
      <c r="AH28" s="121"/>
    </row>
    <row r="29" spans="1:34" customFormat="1" x14ac:dyDescent="0.25">
      <c r="A29" s="1" t="s">
        <v>89</v>
      </c>
      <c r="B29" s="1" t="s">
        <v>97</v>
      </c>
      <c r="C29" s="119">
        <f>+VLOOKUP(B29,'IP PITSS'!$B$9:C95,2,0)</f>
        <v>15</v>
      </c>
      <c r="D29" s="119">
        <f>+VLOOKUP(B29,'IP PITSS'!$B$9:F95,5,0)</f>
        <v>212.11</v>
      </c>
      <c r="E29" s="119">
        <v>12000</v>
      </c>
      <c r="F29" s="120">
        <f t="shared" si="3"/>
        <v>6000</v>
      </c>
      <c r="G29" s="91">
        <f t="shared" si="4"/>
        <v>400</v>
      </c>
      <c r="H29" s="121"/>
      <c r="I29" s="91">
        <f t="shared" si="13"/>
        <v>0</v>
      </c>
      <c r="J29" s="91">
        <f t="shared" si="5"/>
        <v>0</v>
      </c>
      <c r="K29" s="121"/>
      <c r="L29" s="91">
        <f>+VLOOKUP(B29,'IP PITSS'!$B$9:AF96,3,0)</f>
        <v>0</v>
      </c>
      <c r="M29" s="91">
        <f t="shared" si="6"/>
        <v>0</v>
      </c>
      <c r="N29" s="91">
        <f>+VLOOKUP(B29,'IP PITSS'!$B$9:AG96,7,0)</f>
        <v>0</v>
      </c>
      <c r="O29" s="91">
        <f t="shared" si="7"/>
        <v>0</v>
      </c>
      <c r="P29" s="121"/>
      <c r="Q29" s="91">
        <f>+VLOOKUP(B29,'IP PITSS'!$B$9:AJ96,3,0)</f>
        <v>0</v>
      </c>
      <c r="R29" s="91">
        <f t="shared" si="8"/>
        <v>0</v>
      </c>
      <c r="S29" s="91">
        <f>+VLOOKUP(B29,'IP PITSS'!$B$9:AL96,8,0)</f>
        <v>0</v>
      </c>
      <c r="T29" s="91">
        <f t="shared" si="9"/>
        <v>0</v>
      </c>
      <c r="U29" s="121"/>
      <c r="V29" s="121"/>
      <c r="W29" s="91"/>
      <c r="X29" s="91"/>
      <c r="Y29" s="91"/>
      <c r="Z29" s="91"/>
      <c r="AA29" s="91"/>
      <c r="AB29" s="91"/>
      <c r="AC29" s="91"/>
      <c r="AD29" s="91">
        <v>0</v>
      </c>
      <c r="AE29" s="91">
        <f t="shared" si="10"/>
        <v>0</v>
      </c>
      <c r="AF29" s="91">
        <f t="shared" si="11"/>
        <v>0</v>
      </c>
      <c r="AG29" s="91">
        <f t="shared" si="12"/>
        <v>0</v>
      </c>
      <c r="AH29" s="121"/>
    </row>
    <row r="30" spans="1:34" customFormat="1" x14ac:dyDescent="0.25">
      <c r="A30" s="1" t="s">
        <v>89</v>
      </c>
      <c r="B30" s="1" t="s">
        <v>100</v>
      </c>
      <c r="C30" s="119">
        <f>+VLOOKUP(B30,'IP PITSS'!$B$9:C96,2,0)</f>
        <v>15</v>
      </c>
      <c r="D30" s="119">
        <f>+VLOOKUP(B30,'IP PITSS'!$B$9:F96,5,0)</f>
        <v>212.1</v>
      </c>
      <c r="E30" s="119">
        <v>6300</v>
      </c>
      <c r="F30" s="120">
        <f t="shared" si="3"/>
        <v>3150</v>
      </c>
      <c r="G30" s="91">
        <f t="shared" si="4"/>
        <v>210</v>
      </c>
      <c r="H30" s="121"/>
      <c r="I30" s="91">
        <f t="shared" si="13"/>
        <v>0</v>
      </c>
      <c r="J30" s="91">
        <f t="shared" si="5"/>
        <v>0</v>
      </c>
      <c r="K30" s="121"/>
      <c r="L30" s="91">
        <f>+VLOOKUP(B30,'IP PITSS'!$B$9:AF97,3,0)</f>
        <v>0</v>
      </c>
      <c r="M30" s="91">
        <f t="shared" si="6"/>
        <v>0</v>
      </c>
      <c r="N30" s="91">
        <f>+VLOOKUP(B30,'IP PITSS'!$B$9:AG97,7,0)</f>
        <v>0</v>
      </c>
      <c r="O30" s="91">
        <f t="shared" si="7"/>
        <v>0</v>
      </c>
      <c r="P30" s="121"/>
      <c r="Q30" s="91">
        <f>+VLOOKUP(B30,'IP PITSS'!$B$9:AJ97,3,0)</f>
        <v>0</v>
      </c>
      <c r="R30" s="91">
        <f t="shared" si="8"/>
        <v>0</v>
      </c>
      <c r="S30" s="91">
        <f>+VLOOKUP(B30,'IP PITSS'!$B$9:AL97,8,0)</f>
        <v>0</v>
      </c>
      <c r="T30" s="91">
        <f t="shared" si="9"/>
        <v>0</v>
      </c>
      <c r="U30" s="121"/>
      <c r="V30" s="121"/>
      <c r="W30" s="91"/>
      <c r="X30" s="91"/>
      <c r="Y30" s="91"/>
      <c r="Z30" s="91"/>
      <c r="AA30" s="91"/>
      <c r="AB30" s="91"/>
      <c r="AC30" s="91"/>
      <c r="AD30" s="91">
        <v>0</v>
      </c>
      <c r="AE30" s="91">
        <f t="shared" si="10"/>
        <v>0</v>
      </c>
      <c r="AF30" s="91">
        <f t="shared" si="11"/>
        <v>0</v>
      </c>
      <c r="AG30" s="91">
        <f t="shared" si="12"/>
        <v>0</v>
      </c>
      <c r="AH30" s="121"/>
    </row>
    <row r="31" spans="1:34" customFormat="1" x14ac:dyDescent="0.25">
      <c r="A31" s="1" t="s">
        <v>89</v>
      </c>
      <c r="B31" s="1" t="s">
        <v>106</v>
      </c>
      <c r="C31" s="119">
        <f>+VLOOKUP(B31,'IP PITSS'!$B$9:C97,2,0)</f>
        <v>15</v>
      </c>
      <c r="D31" s="119">
        <f>+VLOOKUP(B31,'IP PITSS'!$B$9:F97,5,0)</f>
        <v>282.81</v>
      </c>
      <c r="E31" s="119">
        <v>8000</v>
      </c>
      <c r="F31" s="120">
        <f t="shared" si="3"/>
        <v>4000</v>
      </c>
      <c r="G31" s="91">
        <f t="shared" si="4"/>
        <v>266.66666666666669</v>
      </c>
      <c r="H31" s="121"/>
      <c r="I31" s="91">
        <f t="shared" si="13"/>
        <v>0</v>
      </c>
      <c r="J31" s="91">
        <f t="shared" si="5"/>
        <v>0</v>
      </c>
      <c r="K31" s="121"/>
      <c r="L31" s="91">
        <f>+VLOOKUP(B31,'IP PITSS'!$B$9:AF98,3,0)</f>
        <v>0</v>
      </c>
      <c r="M31" s="91">
        <f t="shared" si="6"/>
        <v>0</v>
      </c>
      <c r="N31" s="91">
        <f>+VLOOKUP(B31,'IP PITSS'!$B$9:AG98,7,0)</f>
        <v>0</v>
      </c>
      <c r="O31" s="91">
        <f t="shared" si="7"/>
        <v>0</v>
      </c>
      <c r="P31" s="121"/>
      <c r="Q31" s="91">
        <f>+VLOOKUP(B31,'IP PITSS'!$B$9:AJ98,3,0)</f>
        <v>0</v>
      </c>
      <c r="R31" s="91">
        <f t="shared" si="8"/>
        <v>0</v>
      </c>
      <c r="S31" s="91">
        <f>+VLOOKUP(B31,'IP PITSS'!$B$9:AL98,8,0)</f>
        <v>0</v>
      </c>
      <c r="T31" s="91">
        <f t="shared" si="9"/>
        <v>0</v>
      </c>
      <c r="U31" s="121"/>
      <c r="V31" s="121"/>
      <c r="W31" s="91"/>
      <c r="X31" s="91"/>
      <c r="Y31" s="91"/>
      <c r="Z31" s="91"/>
      <c r="AA31" s="91"/>
      <c r="AB31" s="91"/>
      <c r="AC31" s="91"/>
      <c r="AD31" s="91">
        <v>0</v>
      </c>
      <c r="AE31" s="91">
        <f t="shared" si="10"/>
        <v>0</v>
      </c>
      <c r="AF31" s="91">
        <f t="shared" si="11"/>
        <v>0</v>
      </c>
      <c r="AG31" s="91">
        <f t="shared" si="12"/>
        <v>0</v>
      </c>
      <c r="AH31" s="121"/>
    </row>
    <row r="32" spans="1:34" customFormat="1" x14ac:dyDescent="0.25">
      <c r="A32" s="1" t="s">
        <v>89</v>
      </c>
      <c r="B32" s="1" t="s">
        <v>113</v>
      </c>
      <c r="C32" s="119">
        <f>+VLOOKUP(B32,'IP PITSS'!$B$9:C98,2,0)</f>
        <v>15</v>
      </c>
      <c r="D32" s="119">
        <f>+VLOOKUP(B32,'IP PITSS'!$B$9:F98,5,0)</f>
        <v>222.72</v>
      </c>
      <c r="E32" s="119">
        <v>6300</v>
      </c>
      <c r="F32" s="120">
        <f t="shared" si="3"/>
        <v>3150</v>
      </c>
      <c r="G32" s="91">
        <f t="shared" si="4"/>
        <v>210</v>
      </c>
      <c r="H32" s="121"/>
      <c r="I32" s="91">
        <f t="shared" si="13"/>
        <v>0</v>
      </c>
      <c r="J32" s="91">
        <f t="shared" si="5"/>
        <v>0</v>
      </c>
      <c r="K32" s="121"/>
      <c r="L32" s="91">
        <f>+VLOOKUP(B32,'IP PITSS'!$B$9:AF99,3,0)</f>
        <v>0</v>
      </c>
      <c r="M32" s="91">
        <f t="shared" si="6"/>
        <v>0</v>
      </c>
      <c r="N32" s="91">
        <f>+VLOOKUP(B32,'IP PITSS'!$B$9:AG99,7,0)</f>
        <v>0</v>
      </c>
      <c r="O32" s="91">
        <f t="shared" si="7"/>
        <v>0</v>
      </c>
      <c r="P32" s="121"/>
      <c r="Q32" s="91">
        <f>+VLOOKUP(B32,'IP PITSS'!$B$9:AJ99,3,0)</f>
        <v>0</v>
      </c>
      <c r="R32" s="91">
        <f t="shared" si="8"/>
        <v>0</v>
      </c>
      <c r="S32" s="91">
        <f>+VLOOKUP(B32,'IP PITSS'!$B$9:AL99,8,0)</f>
        <v>0</v>
      </c>
      <c r="T32" s="91">
        <f t="shared" si="9"/>
        <v>0</v>
      </c>
      <c r="U32" s="121"/>
      <c r="V32" s="121"/>
      <c r="W32" s="91"/>
      <c r="X32" s="91"/>
      <c r="Y32" s="91"/>
      <c r="Z32" s="91"/>
      <c r="AA32" s="91"/>
      <c r="AB32" s="91"/>
      <c r="AC32" s="91"/>
      <c r="AD32" s="91">
        <v>0</v>
      </c>
      <c r="AE32" s="91">
        <f t="shared" si="10"/>
        <v>0</v>
      </c>
      <c r="AF32" s="91">
        <f t="shared" si="11"/>
        <v>0</v>
      </c>
      <c r="AG32" s="91">
        <f t="shared" si="12"/>
        <v>0</v>
      </c>
      <c r="AH32" s="121"/>
    </row>
    <row r="33" spans="1:34" customFormat="1" x14ac:dyDescent="0.25">
      <c r="A33" s="1" t="s">
        <v>89</v>
      </c>
      <c r="B33" s="1" t="s">
        <v>117</v>
      </c>
      <c r="C33" s="119">
        <f>+VLOOKUP(B33,'IP PITSS'!$B$9:C99,2,0)</f>
        <v>14</v>
      </c>
      <c r="D33" s="119">
        <f>+VLOOKUP(B33,'IP PITSS'!$B$9:F99,5,0)</f>
        <v>265.14</v>
      </c>
      <c r="E33" s="119">
        <v>7505.99</v>
      </c>
      <c r="F33" s="120">
        <f t="shared" si="3"/>
        <v>3752.9949999999999</v>
      </c>
      <c r="G33" s="91">
        <f t="shared" si="4"/>
        <v>250.19966666666667</v>
      </c>
      <c r="H33" s="121"/>
      <c r="I33" s="91">
        <v>0</v>
      </c>
      <c r="J33" s="91">
        <f t="shared" si="5"/>
        <v>0</v>
      </c>
      <c r="K33" s="121"/>
      <c r="L33" s="91">
        <f>+VLOOKUP(B33,'IP PITSS'!$B$9:AF100,3,0)</f>
        <v>1</v>
      </c>
      <c r="M33" s="91">
        <f t="shared" si="6"/>
        <v>250.19966666666667</v>
      </c>
      <c r="N33" s="91">
        <f>+VLOOKUP(B33,'IP PITSS'!$B$9:AG100,7,0)</f>
        <v>250</v>
      </c>
      <c r="O33" s="91">
        <f t="shared" si="7"/>
        <v>0.19966666666667265</v>
      </c>
      <c r="P33" s="121"/>
      <c r="Q33" s="91">
        <f>+VLOOKUP(B33,'IP PITSS'!$B$9:AJ100,3,0)</f>
        <v>1</v>
      </c>
      <c r="R33" s="91">
        <f t="shared" si="8"/>
        <v>75.059899999999999</v>
      </c>
      <c r="S33" s="91">
        <f>+VLOOKUP(B33,'IP PITSS'!$B$9:AL100,8,0)</f>
        <v>75</v>
      </c>
      <c r="T33" s="91">
        <f t="shared" si="9"/>
        <v>5.9899999999998954E-2</v>
      </c>
      <c r="U33" s="121"/>
      <c r="V33" s="121"/>
      <c r="W33" s="91"/>
      <c r="X33" s="91"/>
      <c r="Y33" s="91"/>
      <c r="Z33" s="91"/>
      <c r="AA33" s="91"/>
      <c r="AB33" s="91"/>
      <c r="AC33" s="91"/>
      <c r="AD33" s="91">
        <v>0</v>
      </c>
      <c r="AE33" s="91">
        <f t="shared" si="10"/>
        <v>0</v>
      </c>
      <c r="AF33" s="91">
        <f t="shared" si="11"/>
        <v>0</v>
      </c>
      <c r="AG33" s="91">
        <f t="shared" si="12"/>
        <v>0</v>
      </c>
      <c r="AH33" s="121"/>
    </row>
    <row r="34" spans="1:34" customFormat="1" x14ac:dyDescent="0.25">
      <c r="A34" s="1" t="s">
        <v>89</v>
      </c>
      <c r="B34" s="4" t="s">
        <v>120</v>
      </c>
      <c r="C34" s="119">
        <f>+VLOOKUP(B34,'IP PITSS'!$B$9:C100,2,0)</f>
        <v>15</v>
      </c>
      <c r="D34" s="119">
        <f>+VLOOKUP(B34,'IP PITSS'!$B$9:F100,5,0)</f>
        <v>212.11</v>
      </c>
      <c r="E34" s="119">
        <v>6300</v>
      </c>
      <c r="F34" s="120">
        <f t="shared" si="3"/>
        <v>3150</v>
      </c>
      <c r="G34" s="91">
        <f t="shared" si="4"/>
        <v>210</v>
      </c>
      <c r="H34" s="121"/>
      <c r="I34" s="91">
        <f t="shared" si="13"/>
        <v>0</v>
      </c>
      <c r="J34" s="91">
        <f t="shared" si="5"/>
        <v>0</v>
      </c>
      <c r="K34" s="121"/>
      <c r="L34" s="91">
        <f>+VLOOKUP(B34,'IP PITSS'!$B$9:AF101,3,0)</f>
        <v>0</v>
      </c>
      <c r="M34" s="91">
        <f t="shared" si="6"/>
        <v>0</v>
      </c>
      <c r="N34" s="91">
        <f>+VLOOKUP(B34,'IP PITSS'!$B$9:AG101,7,0)</f>
        <v>0</v>
      </c>
      <c r="O34" s="91">
        <f t="shared" si="7"/>
        <v>0</v>
      </c>
      <c r="P34" s="121"/>
      <c r="Q34" s="91">
        <f>+VLOOKUP(B34,'IP PITSS'!$B$9:AJ101,3,0)</f>
        <v>0</v>
      </c>
      <c r="R34" s="91">
        <f t="shared" si="8"/>
        <v>0</v>
      </c>
      <c r="S34" s="91">
        <f>+VLOOKUP(B34,'IP PITSS'!$B$9:AL101,8,0)</f>
        <v>0</v>
      </c>
      <c r="T34" s="91">
        <f t="shared" si="9"/>
        <v>0</v>
      </c>
      <c r="U34" s="121"/>
      <c r="V34" s="121"/>
      <c r="W34" s="91"/>
      <c r="X34" s="91"/>
      <c r="Y34" s="91"/>
      <c r="Z34" s="91"/>
      <c r="AA34" s="91"/>
      <c r="AB34" s="91"/>
      <c r="AC34" s="91"/>
      <c r="AD34" s="91">
        <v>0</v>
      </c>
      <c r="AE34" s="91">
        <f t="shared" si="10"/>
        <v>0</v>
      </c>
      <c r="AF34" s="91">
        <f t="shared" si="11"/>
        <v>0</v>
      </c>
      <c r="AG34" s="91">
        <f t="shared" si="12"/>
        <v>0</v>
      </c>
      <c r="AH34" s="121"/>
    </row>
    <row r="35" spans="1:34" customFormat="1" x14ac:dyDescent="0.25">
      <c r="A35" s="1" t="s">
        <v>89</v>
      </c>
      <c r="B35" s="1" t="s">
        <v>123</v>
      </c>
      <c r="C35" s="119">
        <f>+VLOOKUP(B35,'IP PITSS'!$B$9:C101,2,0)</f>
        <v>15</v>
      </c>
      <c r="D35" s="119">
        <f>+VLOOKUP(B35,'IP PITSS'!$B$9:F101,5,0)</f>
        <v>243.88</v>
      </c>
      <c r="E35" s="119">
        <v>14000</v>
      </c>
      <c r="F35" s="120">
        <f t="shared" si="3"/>
        <v>7000</v>
      </c>
      <c r="G35" s="91">
        <f t="shared" si="4"/>
        <v>466.66666666666669</v>
      </c>
      <c r="H35" s="121"/>
      <c r="I35" s="91">
        <f t="shared" si="13"/>
        <v>0</v>
      </c>
      <c r="J35" s="91">
        <f t="shared" si="5"/>
        <v>0</v>
      </c>
      <c r="K35" s="121"/>
      <c r="L35" s="91">
        <f>+VLOOKUP(B35,'IP PITSS'!$B$9:AF102,3,0)</f>
        <v>0</v>
      </c>
      <c r="M35" s="91">
        <f t="shared" si="6"/>
        <v>0</v>
      </c>
      <c r="N35" s="91">
        <f>+VLOOKUP(B35,'IP PITSS'!$B$9:AG102,7,0)</f>
        <v>0</v>
      </c>
      <c r="O35" s="91">
        <f t="shared" si="7"/>
        <v>0</v>
      </c>
      <c r="P35" s="121"/>
      <c r="Q35" s="91">
        <f>+VLOOKUP(B35,'IP PITSS'!$B$9:AJ102,3,0)</f>
        <v>0</v>
      </c>
      <c r="R35" s="91">
        <f t="shared" si="8"/>
        <v>0</v>
      </c>
      <c r="S35" s="91">
        <f>+VLOOKUP(B35,'IP PITSS'!$B$9:AL102,8,0)</f>
        <v>0</v>
      </c>
      <c r="T35" s="91">
        <f t="shared" si="9"/>
        <v>0</v>
      </c>
      <c r="U35" s="121"/>
      <c r="V35" s="121"/>
      <c r="W35" s="91"/>
      <c r="X35" s="91"/>
      <c r="Y35" s="91"/>
      <c r="Z35" s="91"/>
      <c r="AA35" s="91"/>
      <c r="AB35" s="91"/>
      <c r="AC35" s="91"/>
      <c r="AD35" s="91">
        <v>0</v>
      </c>
      <c r="AE35" s="91">
        <f t="shared" si="10"/>
        <v>0</v>
      </c>
      <c r="AF35" s="91">
        <f t="shared" si="11"/>
        <v>0</v>
      </c>
      <c r="AG35" s="91">
        <f t="shared" si="12"/>
        <v>0</v>
      </c>
      <c r="AH35" s="121"/>
    </row>
    <row r="36" spans="1:34" customFormat="1" x14ac:dyDescent="0.25">
      <c r="A36" s="1" t="s">
        <v>89</v>
      </c>
      <c r="B36" s="1" t="s">
        <v>126</v>
      </c>
      <c r="C36" s="119">
        <f>+VLOOKUP(B36,'IP PITSS'!$B$9:C102,2,0)</f>
        <v>15</v>
      </c>
      <c r="D36" s="119">
        <f>+VLOOKUP(B36,'IP PITSS'!$B$9:F102,5,0)</f>
        <v>177.03</v>
      </c>
      <c r="E36" s="119">
        <v>10000</v>
      </c>
      <c r="F36" s="120">
        <f t="shared" si="3"/>
        <v>5000</v>
      </c>
      <c r="G36" s="91">
        <f t="shared" si="4"/>
        <v>333.33333333333331</v>
      </c>
      <c r="H36" s="121"/>
      <c r="I36" s="91">
        <f t="shared" si="13"/>
        <v>0</v>
      </c>
      <c r="J36" s="91">
        <f t="shared" si="5"/>
        <v>0</v>
      </c>
      <c r="K36" s="121"/>
      <c r="L36" s="91">
        <f>+VLOOKUP(B36,'IP PITSS'!$B$9:AF103,3,0)</f>
        <v>0</v>
      </c>
      <c r="M36" s="91">
        <f t="shared" si="6"/>
        <v>0</v>
      </c>
      <c r="N36" s="91">
        <f>+VLOOKUP(B36,'IP PITSS'!$B$9:AG103,7,0)</f>
        <v>0</v>
      </c>
      <c r="O36" s="91">
        <f t="shared" si="7"/>
        <v>0</v>
      </c>
      <c r="P36" s="121"/>
      <c r="Q36" s="91">
        <f>+VLOOKUP(B36,'IP PITSS'!$B$9:AJ103,3,0)</f>
        <v>0</v>
      </c>
      <c r="R36" s="91">
        <f t="shared" si="8"/>
        <v>0</v>
      </c>
      <c r="S36" s="91">
        <f>+VLOOKUP(B36,'IP PITSS'!$B$9:AL103,8,0)</f>
        <v>0</v>
      </c>
      <c r="T36" s="91">
        <f t="shared" si="9"/>
        <v>0</v>
      </c>
      <c r="U36" s="121"/>
      <c r="V36" s="121"/>
      <c r="W36" s="91"/>
      <c r="X36" s="91"/>
      <c r="Y36" s="91"/>
      <c r="Z36" s="91"/>
      <c r="AA36" s="91"/>
      <c r="AB36" s="91"/>
      <c r="AC36" s="91"/>
      <c r="AD36" s="91">
        <v>0</v>
      </c>
      <c r="AE36" s="91">
        <f t="shared" si="10"/>
        <v>0</v>
      </c>
      <c r="AF36" s="91">
        <f t="shared" si="11"/>
        <v>0</v>
      </c>
      <c r="AG36" s="91">
        <f t="shared" si="12"/>
        <v>0</v>
      </c>
      <c r="AH36" s="121"/>
    </row>
    <row r="37" spans="1:34" customFormat="1" x14ac:dyDescent="0.25">
      <c r="A37" s="1" t="s">
        <v>89</v>
      </c>
      <c r="B37" s="1" t="s">
        <v>129</v>
      </c>
      <c r="C37" s="119">
        <f>+VLOOKUP(B37,'IP PITSS'!$B$9:C103,2,0)</f>
        <v>15</v>
      </c>
      <c r="D37" s="119">
        <f>+VLOOKUP(B37,'IP PITSS'!$B$9:F103,5,0)</f>
        <v>249.64</v>
      </c>
      <c r="E37" s="119">
        <v>12000</v>
      </c>
      <c r="F37" s="120">
        <f t="shared" si="3"/>
        <v>6000</v>
      </c>
      <c r="G37" s="91">
        <f t="shared" si="4"/>
        <v>400</v>
      </c>
      <c r="H37" s="121"/>
      <c r="I37" s="91">
        <f t="shared" si="13"/>
        <v>0</v>
      </c>
      <c r="J37" s="91">
        <f t="shared" si="5"/>
        <v>0</v>
      </c>
      <c r="K37" s="121"/>
      <c r="L37" s="91">
        <f>+VLOOKUP(B37,'IP PITSS'!$B$9:AF104,3,0)</f>
        <v>0</v>
      </c>
      <c r="M37" s="91">
        <f t="shared" si="6"/>
        <v>0</v>
      </c>
      <c r="N37" s="91">
        <f>+VLOOKUP(B37,'IP PITSS'!$B$9:AG104,7,0)</f>
        <v>0</v>
      </c>
      <c r="O37" s="91">
        <f t="shared" si="7"/>
        <v>0</v>
      </c>
      <c r="P37" s="121"/>
      <c r="Q37" s="91">
        <f>+VLOOKUP(B37,'IP PITSS'!$B$9:AJ104,3,0)</f>
        <v>0</v>
      </c>
      <c r="R37" s="91">
        <f t="shared" si="8"/>
        <v>0</v>
      </c>
      <c r="S37" s="91">
        <f>+VLOOKUP(B37,'IP PITSS'!$B$9:AL104,8,0)</f>
        <v>0</v>
      </c>
      <c r="T37" s="91">
        <f t="shared" si="9"/>
        <v>0</v>
      </c>
      <c r="U37" s="121"/>
      <c r="V37" s="121"/>
      <c r="W37" s="91"/>
      <c r="X37" s="91"/>
      <c r="Y37" s="91"/>
      <c r="Z37" s="91"/>
      <c r="AA37" s="91"/>
      <c r="AB37" s="91"/>
      <c r="AC37" s="91"/>
      <c r="AD37" s="91">
        <v>0</v>
      </c>
      <c r="AE37" s="91">
        <f t="shared" si="10"/>
        <v>0</v>
      </c>
      <c r="AF37" s="91">
        <f t="shared" si="11"/>
        <v>0</v>
      </c>
      <c r="AG37" s="91">
        <f t="shared" si="12"/>
        <v>0</v>
      </c>
      <c r="AH37" s="121"/>
    </row>
    <row r="38" spans="1:34" customFormat="1" x14ac:dyDescent="0.25">
      <c r="A38" s="1" t="s">
        <v>89</v>
      </c>
      <c r="B38" s="1" t="s">
        <v>132</v>
      </c>
      <c r="C38" s="119">
        <f>+VLOOKUP(B38,'IP PITSS'!$B$9:C104,2,0)</f>
        <v>15</v>
      </c>
      <c r="D38" s="119">
        <f>+VLOOKUP(B38,'IP PITSS'!$B$9:F104,5,0)</f>
        <v>247.46</v>
      </c>
      <c r="E38" s="119">
        <v>7000</v>
      </c>
      <c r="F38" s="120">
        <f t="shared" si="3"/>
        <v>3500</v>
      </c>
      <c r="G38" s="91">
        <f t="shared" si="4"/>
        <v>233.33333333333334</v>
      </c>
      <c r="H38" s="121"/>
      <c r="I38" s="91">
        <f t="shared" si="13"/>
        <v>0</v>
      </c>
      <c r="J38" s="91">
        <f t="shared" si="5"/>
        <v>0</v>
      </c>
      <c r="K38" s="121"/>
      <c r="L38" s="91">
        <f>+VLOOKUP(B38,'IP PITSS'!$B$9:AF105,3,0)</f>
        <v>0</v>
      </c>
      <c r="M38" s="91">
        <f t="shared" si="6"/>
        <v>0</v>
      </c>
      <c r="N38" s="91">
        <f>+VLOOKUP(B38,'IP PITSS'!$B$9:AG105,7,0)</f>
        <v>0</v>
      </c>
      <c r="O38" s="91">
        <f t="shared" si="7"/>
        <v>0</v>
      </c>
      <c r="P38" s="121"/>
      <c r="Q38" s="91">
        <f>+VLOOKUP(B38,'IP PITSS'!$B$9:AJ105,3,0)</f>
        <v>0</v>
      </c>
      <c r="R38" s="91">
        <f t="shared" si="8"/>
        <v>0</v>
      </c>
      <c r="S38" s="91">
        <f>+VLOOKUP(B38,'IP PITSS'!$B$9:AL105,8,0)</f>
        <v>0</v>
      </c>
      <c r="T38" s="91">
        <f t="shared" si="9"/>
        <v>0</v>
      </c>
      <c r="U38" s="121"/>
      <c r="V38" s="121"/>
      <c r="W38" s="91"/>
      <c r="X38" s="91"/>
      <c r="Y38" s="91"/>
      <c r="Z38" s="91"/>
      <c r="AA38" s="91"/>
      <c r="AB38" s="91"/>
      <c r="AC38" s="91"/>
      <c r="AD38" s="91">
        <v>0</v>
      </c>
      <c r="AE38" s="91">
        <f t="shared" si="10"/>
        <v>0</v>
      </c>
      <c r="AF38" s="91">
        <f t="shared" si="11"/>
        <v>0</v>
      </c>
      <c r="AG38" s="91">
        <f t="shared" si="12"/>
        <v>0</v>
      </c>
      <c r="AH38" s="121"/>
    </row>
    <row r="39" spans="1:34" customFormat="1" x14ac:dyDescent="0.25">
      <c r="A39" s="1" t="s">
        <v>89</v>
      </c>
      <c r="B39" s="1" t="s">
        <v>134</v>
      </c>
      <c r="C39" s="119">
        <f>+VLOOKUP(B39,'IP PITSS'!$B$9:C105,2,0)</f>
        <v>15</v>
      </c>
      <c r="D39" s="119">
        <f>+VLOOKUP(B39,'IP PITSS'!$B$9:F105,5,0)</f>
        <v>494.92</v>
      </c>
      <c r="E39" s="119">
        <v>14000</v>
      </c>
      <c r="F39" s="120">
        <f t="shared" si="3"/>
        <v>7000</v>
      </c>
      <c r="G39" s="91">
        <f t="shared" si="4"/>
        <v>466.66666666666669</v>
      </c>
      <c r="H39" s="121"/>
      <c r="I39" s="91">
        <f t="shared" si="13"/>
        <v>0</v>
      </c>
      <c r="J39" s="91">
        <f t="shared" si="5"/>
        <v>0</v>
      </c>
      <c r="K39" s="121"/>
      <c r="L39" s="91">
        <f>+VLOOKUP(B39,'IP PITSS'!$B$9:AF106,3,0)</f>
        <v>0</v>
      </c>
      <c r="M39" s="91">
        <f t="shared" si="6"/>
        <v>0</v>
      </c>
      <c r="N39" s="91">
        <f>+VLOOKUP(B39,'IP PITSS'!$B$9:AG106,7,0)</f>
        <v>0</v>
      </c>
      <c r="O39" s="91">
        <f t="shared" si="7"/>
        <v>0</v>
      </c>
      <c r="P39" s="121"/>
      <c r="Q39" s="91">
        <f>+VLOOKUP(B39,'IP PITSS'!$B$9:AJ106,3,0)</f>
        <v>0</v>
      </c>
      <c r="R39" s="91">
        <f t="shared" si="8"/>
        <v>0</v>
      </c>
      <c r="S39" s="91">
        <f>+VLOOKUP(B39,'IP PITSS'!$B$9:AL106,8,0)</f>
        <v>0</v>
      </c>
      <c r="T39" s="91">
        <f t="shared" si="9"/>
        <v>0</v>
      </c>
      <c r="U39" s="121"/>
      <c r="V39" s="121"/>
      <c r="W39" s="91"/>
      <c r="X39" s="91"/>
      <c r="Y39" s="91"/>
      <c r="Z39" s="91"/>
      <c r="AA39" s="91"/>
      <c r="AB39" s="91"/>
      <c r="AC39" s="91"/>
      <c r="AD39" s="91">
        <v>0</v>
      </c>
      <c r="AE39" s="91">
        <f t="shared" si="10"/>
        <v>0</v>
      </c>
      <c r="AF39" s="91">
        <f t="shared" si="11"/>
        <v>0</v>
      </c>
      <c r="AG39" s="91">
        <f t="shared" si="12"/>
        <v>0</v>
      </c>
      <c r="AH39" s="121"/>
    </row>
    <row r="40" spans="1:34" customFormat="1" x14ac:dyDescent="0.25">
      <c r="A40" s="1" t="s">
        <v>89</v>
      </c>
      <c r="B40" s="1" t="s">
        <v>137</v>
      </c>
      <c r="C40" s="119">
        <f>+VLOOKUP(B40,'IP PITSS'!$B$9:C106,2,0)</f>
        <v>15</v>
      </c>
      <c r="D40" s="119">
        <f>+VLOOKUP(B40,'IP PITSS'!$B$9:F106,5,0)</f>
        <v>278.72000000000003</v>
      </c>
      <c r="E40" s="119">
        <v>8000</v>
      </c>
      <c r="F40" s="120">
        <f t="shared" si="3"/>
        <v>4000</v>
      </c>
      <c r="G40" s="91">
        <f t="shared" si="4"/>
        <v>266.66666666666669</v>
      </c>
      <c r="H40" s="121"/>
      <c r="I40" s="91">
        <f t="shared" si="13"/>
        <v>0</v>
      </c>
      <c r="J40" s="91">
        <f t="shared" si="5"/>
        <v>0</v>
      </c>
      <c r="K40" s="121"/>
      <c r="L40" s="91">
        <f>+VLOOKUP(B40,'IP PITSS'!$B$9:AF107,3,0)</f>
        <v>0</v>
      </c>
      <c r="M40" s="91">
        <f t="shared" si="6"/>
        <v>0</v>
      </c>
      <c r="N40" s="91">
        <f>+VLOOKUP(B40,'IP PITSS'!$B$9:AG107,7,0)</f>
        <v>0</v>
      </c>
      <c r="O40" s="91">
        <f t="shared" si="7"/>
        <v>0</v>
      </c>
      <c r="P40" s="121"/>
      <c r="Q40" s="91">
        <f>+VLOOKUP(B40,'IP PITSS'!$B$9:AJ107,3,0)</f>
        <v>0</v>
      </c>
      <c r="R40" s="91">
        <f t="shared" si="8"/>
        <v>0</v>
      </c>
      <c r="S40" s="91">
        <f>+VLOOKUP(B40,'IP PITSS'!$B$9:AL107,8,0)</f>
        <v>0</v>
      </c>
      <c r="T40" s="91">
        <f t="shared" si="9"/>
        <v>0</v>
      </c>
      <c r="U40" s="121"/>
      <c r="V40" s="121"/>
      <c r="W40" s="91"/>
      <c r="X40" s="91"/>
      <c r="Y40" s="91"/>
      <c r="Z40" s="91"/>
      <c r="AA40" s="91"/>
      <c r="AB40" s="91"/>
      <c r="AC40" s="91"/>
      <c r="AD40" s="91">
        <v>0</v>
      </c>
      <c r="AE40" s="91">
        <f t="shared" si="10"/>
        <v>0</v>
      </c>
      <c r="AF40" s="91">
        <f t="shared" si="11"/>
        <v>0</v>
      </c>
      <c r="AG40" s="91">
        <f t="shared" si="12"/>
        <v>0</v>
      </c>
      <c r="AH40" s="121"/>
    </row>
    <row r="41" spans="1:34" customFormat="1" x14ac:dyDescent="0.25">
      <c r="A41" s="1" t="s">
        <v>89</v>
      </c>
      <c r="B41" s="1" t="s">
        <v>140</v>
      </c>
      <c r="C41" s="119">
        <f>+VLOOKUP(B41,'IP PITSS'!$B$9:C107,2,0)</f>
        <v>15</v>
      </c>
      <c r="D41" s="119">
        <f>+VLOOKUP(B41,'IP PITSS'!$B$9:F107,5,0)</f>
        <v>353.52</v>
      </c>
      <c r="E41" s="119">
        <v>10000</v>
      </c>
      <c r="F41" s="120">
        <f t="shared" si="3"/>
        <v>5000</v>
      </c>
      <c r="G41" s="91">
        <f t="shared" si="4"/>
        <v>333.33333333333331</v>
      </c>
      <c r="H41" s="121"/>
      <c r="I41" s="91">
        <f t="shared" si="13"/>
        <v>0</v>
      </c>
      <c r="J41" s="91">
        <f t="shared" si="5"/>
        <v>0</v>
      </c>
      <c r="K41" s="121"/>
      <c r="L41" s="91">
        <f>+VLOOKUP(B41,'IP PITSS'!$B$9:AF108,3,0)</f>
        <v>0</v>
      </c>
      <c r="M41" s="91">
        <f t="shared" si="6"/>
        <v>0</v>
      </c>
      <c r="N41" s="91">
        <f>+VLOOKUP(B41,'IP PITSS'!$B$9:AG108,7,0)</f>
        <v>0</v>
      </c>
      <c r="O41" s="91">
        <f t="shared" si="7"/>
        <v>0</v>
      </c>
      <c r="P41" s="121"/>
      <c r="Q41" s="91">
        <f>+VLOOKUP(B41,'IP PITSS'!$B$9:AJ108,3,0)</f>
        <v>0</v>
      </c>
      <c r="R41" s="91">
        <f t="shared" si="8"/>
        <v>0</v>
      </c>
      <c r="S41" s="91">
        <f>+VLOOKUP(B41,'IP PITSS'!$B$9:AL108,8,0)</f>
        <v>0</v>
      </c>
      <c r="T41" s="91">
        <f t="shared" si="9"/>
        <v>0</v>
      </c>
      <c r="U41" s="121"/>
      <c r="V41" s="121"/>
      <c r="W41" s="91"/>
      <c r="X41" s="91"/>
      <c r="Y41" s="91"/>
      <c r="Z41" s="91"/>
      <c r="AA41" s="91"/>
      <c r="AB41" s="91"/>
      <c r="AC41" s="91"/>
      <c r="AD41" s="91">
        <v>0</v>
      </c>
      <c r="AE41" s="91">
        <f t="shared" si="10"/>
        <v>0</v>
      </c>
      <c r="AF41" s="91">
        <f t="shared" si="11"/>
        <v>0</v>
      </c>
      <c r="AG41" s="91">
        <f t="shared" si="12"/>
        <v>0</v>
      </c>
      <c r="AH41" s="121"/>
    </row>
    <row r="42" spans="1:34" customFormat="1" x14ac:dyDescent="0.25">
      <c r="A42" s="1" t="s">
        <v>89</v>
      </c>
      <c r="B42" s="1" t="s">
        <v>143</v>
      </c>
      <c r="C42" s="119">
        <f>+VLOOKUP(B42,'IP PITSS'!$B$9:C108,2,0)</f>
        <v>15</v>
      </c>
      <c r="D42" s="119">
        <f>+VLOOKUP(B42,'IP PITSS'!$B$9:F108,5,0)</f>
        <v>209.04</v>
      </c>
      <c r="E42" s="119">
        <v>6000</v>
      </c>
      <c r="F42" s="120">
        <f t="shared" si="3"/>
        <v>3000</v>
      </c>
      <c r="G42" s="91">
        <f t="shared" si="4"/>
        <v>200</v>
      </c>
      <c r="H42" s="121"/>
      <c r="I42" s="91">
        <f t="shared" si="13"/>
        <v>0</v>
      </c>
      <c r="J42" s="91">
        <f t="shared" si="5"/>
        <v>0</v>
      </c>
      <c r="K42" s="121"/>
      <c r="L42" s="91">
        <f>+VLOOKUP(B42,'IP PITSS'!$B$9:AF109,3,0)</f>
        <v>0</v>
      </c>
      <c r="M42" s="91">
        <f t="shared" si="6"/>
        <v>0</v>
      </c>
      <c r="N42" s="91">
        <f>+VLOOKUP(B42,'IP PITSS'!$B$9:AG109,7,0)</f>
        <v>0</v>
      </c>
      <c r="O42" s="91">
        <f t="shared" si="7"/>
        <v>0</v>
      </c>
      <c r="P42" s="121"/>
      <c r="Q42" s="91">
        <f>+VLOOKUP(B42,'IP PITSS'!$B$9:AJ109,3,0)</f>
        <v>0</v>
      </c>
      <c r="R42" s="91">
        <f t="shared" si="8"/>
        <v>0</v>
      </c>
      <c r="S42" s="91">
        <f>+VLOOKUP(B42,'IP PITSS'!$B$9:AL109,8,0)</f>
        <v>0</v>
      </c>
      <c r="T42" s="91">
        <f t="shared" si="9"/>
        <v>0</v>
      </c>
      <c r="U42" s="121"/>
      <c r="V42" s="121"/>
      <c r="W42" s="91"/>
      <c r="X42" s="91"/>
      <c r="Y42" s="91"/>
      <c r="Z42" s="91"/>
      <c r="AA42" s="91"/>
      <c r="AB42" s="91"/>
      <c r="AC42" s="91"/>
      <c r="AD42" s="91">
        <v>0</v>
      </c>
      <c r="AE42" s="91">
        <f t="shared" si="10"/>
        <v>0</v>
      </c>
      <c r="AF42" s="91">
        <f t="shared" si="11"/>
        <v>0</v>
      </c>
      <c r="AG42" s="91">
        <f t="shared" si="12"/>
        <v>0</v>
      </c>
      <c r="AH42" s="121"/>
    </row>
    <row r="43" spans="1:34" customFormat="1" x14ac:dyDescent="0.25">
      <c r="A43" s="1" t="s">
        <v>89</v>
      </c>
      <c r="B43" s="1" t="s">
        <v>146</v>
      </c>
      <c r="C43" s="119">
        <f>+VLOOKUP(B43,'IP PITSS'!$B$9:C109,2,0)</f>
        <v>15</v>
      </c>
      <c r="D43" s="119">
        <f>+VLOOKUP(B43,'IP PITSS'!$B$9:F109,5,0)</f>
        <v>174.2</v>
      </c>
      <c r="E43" s="119">
        <v>5000</v>
      </c>
      <c r="F43" s="120">
        <f t="shared" si="3"/>
        <v>2500</v>
      </c>
      <c r="G43" s="91">
        <f t="shared" si="4"/>
        <v>166.66666666666666</v>
      </c>
      <c r="H43" s="121"/>
      <c r="I43" s="91">
        <f t="shared" si="13"/>
        <v>0</v>
      </c>
      <c r="J43" s="91">
        <f t="shared" si="5"/>
        <v>0</v>
      </c>
      <c r="K43" s="121"/>
      <c r="L43" s="91">
        <f>+VLOOKUP(B43,'IP PITSS'!$B$9:AF110,3,0)</f>
        <v>0</v>
      </c>
      <c r="M43" s="91">
        <f t="shared" si="6"/>
        <v>0</v>
      </c>
      <c r="N43" s="91">
        <f>+VLOOKUP(B43,'IP PITSS'!$B$9:AG110,7,0)</f>
        <v>0</v>
      </c>
      <c r="O43" s="91">
        <f t="shared" si="7"/>
        <v>0</v>
      </c>
      <c r="P43" s="121"/>
      <c r="Q43" s="91">
        <f>+VLOOKUP(B43,'IP PITSS'!$B$9:AJ110,3,0)</f>
        <v>0</v>
      </c>
      <c r="R43" s="91">
        <f t="shared" si="8"/>
        <v>0</v>
      </c>
      <c r="S43" s="91">
        <f>+VLOOKUP(B43,'IP PITSS'!$B$9:AL110,8,0)</f>
        <v>0</v>
      </c>
      <c r="T43" s="91">
        <f t="shared" si="9"/>
        <v>0</v>
      </c>
      <c r="U43" s="121"/>
      <c r="V43" s="121"/>
      <c r="W43" s="91"/>
      <c r="X43" s="91"/>
      <c r="Y43" s="91"/>
      <c r="Z43" s="91"/>
      <c r="AA43" s="91"/>
      <c r="AB43" s="91"/>
      <c r="AC43" s="91"/>
      <c r="AD43" s="91">
        <v>0</v>
      </c>
      <c r="AE43" s="91">
        <f t="shared" si="10"/>
        <v>0</v>
      </c>
      <c r="AF43" s="91">
        <f t="shared" si="11"/>
        <v>0</v>
      </c>
      <c r="AG43" s="91">
        <f t="shared" si="12"/>
        <v>0</v>
      </c>
      <c r="AH43" s="121"/>
    </row>
    <row r="44" spans="1:34" customFormat="1" x14ac:dyDescent="0.25">
      <c r="A44" s="1" t="s">
        <v>89</v>
      </c>
      <c r="B44" s="1" t="s">
        <v>149</v>
      </c>
      <c r="C44" s="119">
        <f>+VLOOKUP(B44,'IP PITSS'!$B$9:C110,2,0)</f>
        <v>15</v>
      </c>
      <c r="D44" s="119">
        <f>+VLOOKUP(B44,'IP PITSS'!$B$9:F110,5,0)</f>
        <v>249.64</v>
      </c>
      <c r="E44" s="119">
        <v>10000</v>
      </c>
      <c r="F44" s="120">
        <f t="shared" si="3"/>
        <v>5000</v>
      </c>
      <c r="G44" s="91">
        <f t="shared" si="4"/>
        <v>333.33333333333331</v>
      </c>
      <c r="H44" s="121"/>
      <c r="I44" s="91">
        <f t="shared" si="13"/>
        <v>0</v>
      </c>
      <c r="J44" s="91">
        <f t="shared" si="5"/>
        <v>0</v>
      </c>
      <c r="K44" s="121"/>
      <c r="L44" s="91">
        <f>+VLOOKUP(B44,'IP PITSS'!$B$9:AF111,3,0)</f>
        <v>0</v>
      </c>
      <c r="M44" s="91">
        <f t="shared" si="6"/>
        <v>0</v>
      </c>
      <c r="N44" s="91">
        <f>+VLOOKUP(B44,'IP PITSS'!$B$9:AG111,7,0)</f>
        <v>0</v>
      </c>
      <c r="O44" s="91">
        <f t="shared" si="7"/>
        <v>0</v>
      </c>
      <c r="P44" s="121"/>
      <c r="Q44" s="91">
        <f>+VLOOKUP(B44,'IP PITSS'!$B$9:AJ111,3,0)</f>
        <v>0</v>
      </c>
      <c r="R44" s="91">
        <f t="shared" si="8"/>
        <v>0</v>
      </c>
      <c r="S44" s="91">
        <f>+VLOOKUP(B44,'IP PITSS'!$B$9:AL111,8,0)</f>
        <v>0</v>
      </c>
      <c r="T44" s="91">
        <f t="shared" si="9"/>
        <v>0</v>
      </c>
      <c r="U44" s="121"/>
      <c r="V44" s="121"/>
      <c r="W44" s="91"/>
      <c r="X44" s="91"/>
      <c r="Y44" s="91"/>
      <c r="Z44" s="91"/>
      <c r="AA44" s="91"/>
      <c r="AB44" s="91"/>
      <c r="AC44" s="91"/>
      <c r="AD44" s="91">
        <v>0</v>
      </c>
      <c r="AE44" s="91">
        <f t="shared" si="10"/>
        <v>0</v>
      </c>
      <c r="AF44" s="91">
        <f t="shared" si="11"/>
        <v>0</v>
      </c>
      <c r="AG44" s="91">
        <f t="shared" si="12"/>
        <v>0</v>
      </c>
      <c r="AH44" s="121"/>
    </row>
    <row r="45" spans="1:34" customFormat="1" x14ac:dyDescent="0.25">
      <c r="A45" s="1" t="s">
        <v>89</v>
      </c>
      <c r="B45" s="1" t="s">
        <v>152</v>
      </c>
      <c r="C45" s="119">
        <f>+VLOOKUP(B45,'IP PITSS'!$B$9:C111,2,0)</f>
        <v>15</v>
      </c>
      <c r="D45" s="119">
        <f>+VLOOKUP(B45,'IP PITSS'!$B$9:F111,5,0)</f>
        <v>282.81</v>
      </c>
      <c r="E45" s="119">
        <v>8000</v>
      </c>
      <c r="F45" s="120">
        <f t="shared" si="3"/>
        <v>4000</v>
      </c>
      <c r="G45" s="91">
        <f t="shared" si="4"/>
        <v>266.66666666666669</v>
      </c>
      <c r="H45" s="121"/>
      <c r="I45" s="91">
        <f t="shared" si="13"/>
        <v>0</v>
      </c>
      <c r="J45" s="91">
        <f t="shared" si="5"/>
        <v>0</v>
      </c>
      <c r="K45" s="121"/>
      <c r="L45" s="91">
        <f>+VLOOKUP(B45,'IP PITSS'!$B$9:AF112,3,0)</f>
        <v>0</v>
      </c>
      <c r="M45" s="91">
        <f t="shared" si="6"/>
        <v>0</v>
      </c>
      <c r="N45" s="91">
        <f>+VLOOKUP(B45,'IP PITSS'!$B$9:AG112,7,0)</f>
        <v>0</v>
      </c>
      <c r="O45" s="91">
        <f t="shared" si="7"/>
        <v>0</v>
      </c>
      <c r="P45" s="121"/>
      <c r="Q45" s="91">
        <f>+VLOOKUP(B45,'IP PITSS'!$B$9:AJ112,3,0)</f>
        <v>0</v>
      </c>
      <c r="R45" s="91">
        <f t="shared" si="8"/>
        <v>0</v>
      </c>
      <c r="S45" s="91">
        <f>+VLOOKUP(B45,'IP PITSS'!$B$9:AL112,8,0)</f>
        <v>0</v>
      </c>
      <c r="T45" s="91">
        <f t="shared" si="9"/>
        <v>0</v>
      </c>
      <c r="U45" s="121"/>
      <c r="V45" s="121"/>
      <c r="W45" s="91"/>
      <c r="X45" s="91"/>
      <c r="Y45" s="91"/>
      <c r="Z45" s="91"/>
      <c r="AA45" s="91"/>
      <c r="AB45" s="91"/>
      <c r="AC45" s="91"/>
      <c r="AD45" s="91">
        <v>0</v>
      </c>
      <c r="AE45" s="91">
        <f t="shared" si="10"/>
        <v>0</v>
      </c>
      <c r="AF45" s="91">
        <f t="shared" si="11"/>
        <v>0</v>
      </c>
      <c r="AG45" s="91">
        <f t="shared" si="12"/>
        <v>0</v>
      </c>
      <c r="AH45" s="121"/>
    </row>
    <row r="46" spans="1:34" customFormat="1" x14ac:dyDescent="0.25">
      <c r="A46" s="1" t="s">
        <v>89</v>
      </c>
      <c r="B46" s="1" t="s">
        <v>156</v>
      </c>
      <c r="C46" s="119">
        <f>+VLOOKUP(B46,'IP PITSS'!$B$9:C112,2,0)</f>
        <v>15</v>
      </c>
      <c r="D46" s="119">
        <f>+VLOOKUP(B46,'IP PITSS'!$B$9:F112,5,0)</f>
        <v>209.04</v>
      </c>
      <c r="E46" s="119">
        <v>6000</v>
      </c>
      <c r="F46" s="120">
        <f t="shared" si="3"/>
        <v>3000</v>
      </c>
      <c r="G46" s="91">
        <f t="shared" si="4"/>
        <v>200</v>
      </c>
      <c r="H46" s="121"/>
      <c r="I46" s="91">
        <f t="shared" si="13"/>
        <v>0</v>
      </c>
      <c r="J46" s="91">
        <f t="shared" si="5"/>
        <v>0</v>
      </c>
      <c r="K46" s="121"/>
      <c r="L46" s="91">
        <f>+VLOOKUP(B46,'IP PITSS'!$B$9:AF113,3,0)</f>
        <v>0</v>
      </c>
      <c r="M46" s="91">
        <f t="shared" si="6"/>
        <v>0</v>
      </c>
      <c r="N46" s="91">
        <f>+VLOOKUP(B46,'IP PITSS'!$B$9:AG113,7,0)</f>
        <v>0</v>
      </c>
      <c r="O46" s="91">
        <f t="shared" si="7"/>
        <v>0</v>
      </c>
      <c r="P46" s="121"/>
      <c r="Q46" s="91">
        <f>+VLOOKUP(B46,'IP PITSS'!$B$9:AJ113,3,0)</f>
        <v>0</v>
      </c>
      <c r="R46" s="91">
        <f t="shared" si="8"/>
        <v>0</v>
      </c>
      <c r="S46" s="91">
        <f>+VLOOKUP(B46,'IP PITSS'!$B$9:AL113,8,0)</f>
        <v>0</v>
      </c>
      <c r="T46" s="91">
        <f t="shared" si="9"/>
        <v>0</v>
      </c>
      <c r="U46" s="121"/>
      <c r="V46" s="121"/>
      <c r="W46" s="91"/>
      <c r="X46" s="91"/>
      <c r="Y46" s="91"/>
      <c r="Z46" s="91"/>
      <c r="AA46" s="91"/>
      <c r="AB46" s="91"/>
      <c r="AC46" s="91"/>
      <c r="AD46" s="91">
        <v>0</v>
      </c>
      <c r="AE46" s="91">
        <f t="shared" si="10"/>
        <v>0</v>
      </c>
      <c r="AF46" s="91">
        <f t="shared" si="11"/>
        <v>0</v>
      </c>
      <c r="AG46" s="91">
        <f t="shared" si="12"/>
        <v>0</v>
      </c>
      <c r="AH46" s="121"/>
    </row>
    <row r="47" spans="1:34" customFormat="1" x14ac:dyDescent="0.25">
      <c r="A47" s="1" t="s">
        <v>89</v>
      </c>
      <c r="B47" s="1" t="s">
        <v>159</v>
      </c>
      <c r="C47" s="119">
        <f>+VLOOKUP(B47,'IP PITSS'!$B$9:C113,2,0)</f>
        <v>15</v>
      </c>
      <c r="D47" s="119">
        <f>+VLOOKUP(B47,'IP PITSS'!$B$9:F113,5,0)</f>
        <v>219.49</v>
      </c>
      <c r="E47" s="119">
        <v>6300</v>
      </c>
      <c r="F47" s="120">
        <f t="shared" si="3"/>
        <v>3150</v>
      </c>
      <c r="G47" s="91">
        <f t="shared" si="4"/>
        <v>210</v>
      </c>
      <c r="H47" s="121"/>
      <c r="I47" s="91">
        <f t="shared" si="13"/>
        <v>0</v>
      </c>
      <c r="J47" s="91">
        <f t="shared" si="5"/>
        <v>0</v>
      </c>
      <c r="K47" s="121"/>
      <c r="L47" s="91">
        <f>+VLOOKUP(B47,'IP PITSS'!$B$9:AF114,3,0)</f>
        <v>0</v>
      </c>
      <c r="M47" s="91">
        <f t="shared" si="6"/>
        <v>0</v>
      </c>
      <c r="N47" s="91">
        <f>+VLOOKUP(B47,'IP PITSS'!$B$9:AG114,7,0)</f>
        <v>0</v>
      </c>
      <c r="O47" s="91">
        <f t="shared" si="7"/>
        <v>0</v>
      </c>
      <c r="P47" s="121"/>
      <c r="Q47" s="91">
        <f>+VLOOKUP(B47,'IP PITSS'!$B$9:AJ114,3,0)</f>
        <v>0</v>
      </c>
      <c r="R47" s="91">
        <f t="shared" si="8"/>
        <v>0</v>
      </c>
      <c r="S47" s="91">
        <f>+VLOOKUP(B47,'IP PITSS'!$B$9:AL114,8,0)</f>
        <v>0</v>
      </c>
      <c r="T47" s="91">
        <f t="shared" si="9"/>
        <v>0</v>
      </c>
      <c r="U47" s="121"/>
      <c r="V47" s="121"/>
      <c r="W47" s="91"/>
      <c r="X47" s="91"/>
      <c r="Y47" s="91"/>
      <c r="Z47" s="91"/>
      <c r="AA47" s="91"/>
      <c r="AB47" s="91"/>
      <c r="AC47" s="91"/>
      <c r="AD47" s="91">
        <v>0</v>
      </c>
      <c r="AE47" s="91">
        <f t="shared" si="10"/>
        <v>0</v>
      </c>
      <c r="AF47" s="91">
        <f t="shared" si="11"/>
        <v>0</v>
      </c>
      <c r="AG47" s="91">
        <f t="shared" si="12"/>
        <v>0</v>
      </c>
      <c r="AH47" s="121"/>
    </row>
    <row r="48" spans="1:34" customFormat="1" x14ac:dyDescent="0.25">
      <c r="A48" s="1" t="s">
        <v>89</v>
      </c>
      <c r="B48" s="1" t="s">
        <v>162</v>
      </c>
      <c r="C48" s="119">
        <f>+VLOOKUP(B48,'IP PITSS'!$B$9:C114,2,0)</f>
        <v>15</v>
      </c>
      <c r="D48" s="119">
        <f>+VLOOKUP(B48,'IP PITSS'!$B$9:F114,5,0)</f>
        <v>282.81</v>
      </c>
      <c r="E48" s="119">
        <v>10000</v>
      </c>
      <c r="F48" s="120">
        <f t="shared" si="3"/>
        <v>5000</v>
      </c>
      <c r="G48" s="91">
        <f t="shared" si="4"/>
        <v>333.33333333333331</v>
      </c>
      <c r="H48" s="121"/>
      <c r="I48" s="91">
        <f t="shared" si="13"/>
        <v>0</v>
      </c>
      <c r="J48" s="91">
        <f t="shared" si="5"/>
        <v>0</v>
      </c>
      <c r="K48" s="121"/>
      <c r="L48" s="91">
        <f>+VLOOKUP(B48,'IP PITSS'!$B$9:AF115,3,0)</f>
        <v>0</v>
      </c>
      <c r="M48" s="91">
        <f t="shared" si="6"/>
        <v>0</v>
      </c>
      <c r="N48" s="91">
        <f>+VLOOKUP(B48,'IP PITSS'!$B$9:AG115,7,0)</f>
        <v>0</v>
      </c>
      <c r="O48" s="91">
        <f t="shared" si="7"/>
        <v>0</v>
      </c>
      <c r="P48" s="121"/>
      <c r="Q48" s="91">
        <f>+VLOOKUP(B48,'IP PITSS'!$B$9:AJ115,3,0)</f>
        <v>0</v>
      </c>
      <c r="R48" s="91">
        <f t="shared" si="8"/>
        <v>0</v>
      </c>
      <c r="S48" s="91">
        <f>+VLOOKUP(B48,'IP PITSS'!$B$9:AL115,8,0)</f>
        <v>0</v>
      </c>
      <c r="T48" s="91">
        <f t="shared" si="9"/>
        <v>0</v>
      </c>
      <c r="U48" s="121"/>
      <c r="V48" s="121"/>
      <c r="W48" s="91"/>
      <c r="X48" s="91"/>
      <c r="Y48" s="91"/>
      <c r="Z48" s="91"/>
      <c r="AA48" s="91"/>
      <c r="AB48" s="91"/>
      <c r="AC48" s="91"/>
      <c r="AD48" s="91">
        <v>0</v>
      </c>
      <c r="AE48" s="91">
        <f t="shared" si="10"/>
        <v>0</v>
      </c>
      <c r="AF48" s="91">
        <f t="shared" si="11"/>
        <v>0</v>
      </c>
      <c r="AG48" s="91">
        <f t="shared" si="12"/>
        <v>0</v>
      </c>
      <c r="AH48" s="121"/>
    </row>
    <row r="49" spans="1:34" customFormat="1" x14ac:dyDescent="0.25">
      <c r="A49" s="1" t="s">
        <v>89</v>
      </c>
      <c r="B49" s="1" t="s">
        <v>165</v>
      </c>
      <c r="C49" s="119">
        <f>+VLOOKUP(B49,'IP PITSS'!$B$9:C115,2,0)</f>
        <v>15</v>
      </c>
      <c r="D49" s="119">
        <f>+VLOOKUP(B49,'IP PITSS'!$B$9:F115,5,0)</f>
        <v>243.88</v>
      </c>
      <c r="E49" s="119">
        <v>14000</v>
      </c>
      <c r="F49" s="120">
        <f t="shared" si="3"/>
        <v>7000</v>
      </c>
      <c r="G49" s="91">
        <f t="shared" si="4"/>
        <v>466.66666666666669</v>
      </c>
      <c r="H49" s="121"/>
      <c r="I49" s="91">
        <f t="shared" si="13"/>
        <v>0</v>
      </c>
      <c r="J49" s="91">
        <f t="shared" si="5"/>
        <v>0</v>
      </c>
      <c r="K49" s="121"/>
      <c r="L49" s="91">
        <f>+VLOOKUP(B49,'IP PITSS'!$B$9:AF116,3,0)</f>
        <v>0</v>
      </c>
      <c r="M49" s="91">
        <f t="shared" si="6"/>
        <v>0</v>
      </c>
      <c r="N49" s="91">
        <f>+VLOOKUP(B49,'IP PITSS'!$B$9:AG116,7,0)</f>
        <v>0</v>
      </c>
      <c r="O49" s="91">
        <f t="shared" si="7"/>
        <v>0</v>
      </c>
      <c r="P49" s="121"/>
      <c r="Q49" s="91">
        <f>+VLOOKUP(B49,'IP PITSS'!$B$9:AJ116,3,0)</f>
        <v>0</v>
      </c>
      <c r="R49" s="91">
        <f t="shared" si="8"/>
        <v>0</v>
      </c>
      <c r="S49" s="91">
        <f>+VLOOKUP(B49,'IP PITSS'!$B$9:AL116,8,0)</f>
        <v>0</v>
      </c>
      <c r="T49" s="91">
        <f t="shared" si="9"/>
        <v>0</v>
      </c>
      <c r="U49" s="121"/>
      <c r="V49" s="121"/>
      <c r="W49" s="91"/>
      <c r="X49" s="91"/>
      <c r="Y49" s="91"/>
      <c r="Z49" s="91"/>
      <c r="AA49" s="91"/>
      <c r="AB49" s="91"/>
      <c r="AC49" s="91"/>
      <c r="AD49" s="91">
        <v>0</v>
      </c>
      <c r="AE49" s="91">
        <f t="shared" si="10"/>
        <v>0</v>
      </c>
      <c r="AF49" s="91">
        <f t="shared" si="11"/>
        <v>0</v>
      </c>
      <c r="AG49" s="91">
        <f t="shared" si="12"/>
        <v>0</v>
      </c>
      <c r="AH49" s="121"/>
    </row>
    <row r="50" spans="1:34" customFormat="1" x14ac:dyDescent="0.25">
      <c r="A50" s="1" t="s">
        <v>89</v>
      </c>
      <c r="B50" s="1" t="s">
        <v>167</v>
      </c>
      <c r="C50" s="119">
        <f>+VLOOKUP(B50,'IP PITSS'!$B$9:C116,2,0)</f>
        <v>15</v>
      </c>
      <c r="D50" s="119">
        <f>+VLOOKUP(B50,'IP PITSS'!$B$9:F116,5,0)</f>
        <v>282.81</v>
      </c>
      <c r="E50" s="119">
        <v>8000</v>
      </c>
      <c r="F50" s="120">
        <f t="shared" si="3"/>
        <v>4000</v>
      </c>
      <c r="G50" s="91">
        <f t="shared" si="4"/>
        <v>266.66666666666669</v>
      </c>
      <c r="H50" s="121"/>
      <c r="I50" s="91">
        <f t="shared" si="13"/>
        <v>0</v>
      </c>
      <c r="J50" s="91">
        <f t="shared" si="5"/>
        <v>0</v>
      </c>
      <c r="K50" s="121"/>
      <c r="L50" s="91">
        <f>+VLOOKUP(B50,'IP PITSS'!$B$9:AF117,3,0)</f>
        <v>0</v>
      </c>
      <c r="M50" s="91">
        <f t="shared" si="6"/>
        <v>0</v>
      </c>
      <c r="N50" s="91">
        <f>+VLOOKUP(B50,'IP PITSS'!$B$9:AG117,7,0)</f>
        <v>0</v>
      </c>
      <c r="O50" s="91">
        <f t="shared" si="7"/>
        <v>0</v>
      </c>
      <c r="P50" s="121"/>
      <c r="Q50" s="91">
        <f>+VLOOKUP(B50,'IP PITSS'!$B$9:AJ117,3,0)</f>
        <v>0</v>
      </c>
      <c r="R50" s="91">
        <f t="shared" si="8"/>
        <v>0</v>
      </c>
      <c r="S50" s="91">
        <f>+VLOOKUP(B50,'IP PITSS'!$B$9:AL117,8,0)</f>
        <v>0</v>
      </c>
      <c r="T50" s="91">
        <f t="shared" si="9"/>
        <v>0</v>
      </c>
      <c r="U50" s="121"/>
      <c r="V50" s="121"/>
      <c r="W50" s="91"/>
      <c r="X50" s="91"/>
      <c r="Y50" s="91"/>
      <c r="Z50" s="91"/>
      <c r="AA50" s="91"/>
      <c r="AB50" s="91"/>
      <c r="AC50" s="91"/>
      <c r="AD50" s="91">
        <v>0</v>
      </c>
      <c r="AE50" s="91">
        <f t="shared" si="10"/>
        <v>0</v>
      </c>
      <c r="AF50" s="91">
        <f t="shared" si="11"/>
        <v>0</v>
      </c>
      <c r="AG50" s="91">
        <f t="shared" si="12"/>
        <v>0</v>
      </c>
      <c r="AH50" s="121"/>
    </row>
    <row r="51" spans="1:34" customFormat="1" x14ac:dyDescent="0.25">
      <c r="A51" s="1" t="s">
        <v>89</v>
      </c>
      <c r="B51" s="1" t="s">
        <v>170</v>
      </c>
      <c r="C51" s="119">
        <f>+VLOOKUP(B51,'IP PITSS'!$B$9:C117,2,0)</f>
        <v>15</v>
      </c>
      <c r="D51" s="119">
        <f>+VLOOKUP(B51,'IP PITSS'!$B$9:F117,5,0)</f>
        <v>300.49</v>
      </c>
      <c r="E51" s="119">
        <v>8500.01</v>
      </c>
      <c r="F51" s="120">
        <f t="shared" si="3"/>
        <v>4250.0050000000001</v>
      </c>
      <c r="G51" s="91">
        <f t="shared" si="4"/>
        <v>283.33366666666666</v>
      </c>
      <c r="H51" s="121"/>
      <c r="I51" s="91">
        <f t="shared" si="13"/>
        <v>0</v>
      </c>
      <c r="J51" s="91">
        <f t="shared" si="5"/>
        <v>0</v>
      </c>
      <c r="K51" s="121"/>
      <c r="L51" s="91">
        <f>+VLOOKUP(B51,'IP PITSS'!$B$9:AF118,3,0)</f>
        <v>0</v>
      </c>
      <c r="M51" s="91">
        <f t="shared" si="6"/>
        <v>0</v>
      </c>
      <c r="N51" s="91">
        <f>+VLOOKUP(B51,'IP PITSS'!$B$9:AG118,7,0)</f>
        <v>0</v>
      </c>
      <c r="O51" s="91">
        <f t="shared" si="7"/>
        <v>0</v>
      </c>
      <c r="P51" s="121"/>
      <c r="Q51" s="91">
        <f>+VLOOKUP(B51,'IP PITSS'!$B$9:AJ118,3,0)</f>
        <v>0</v>
      </c>
      <c r="R51" s="91">
        <f t="shared" si="8"/>
        <v>0</v>
      </c>
      <c r="S51" s="91">
        <f>+VLOOKUP(B51,'IP PITSS'!$B$9:AL118,8,0)</f>
        <v>0</v>
      </c>
      <c r="T51" s="91">
        <f t="shared" si="9"/>
        <v>0</v>
      </c>
      <c r="U51" s="121"/>
      <c r="V51" s="121"/>
      <c r="W51" s="91"/>
      <c r="X51" s="91"/>
      <c r="Y51" s="91"/>
      <c r="Z51" s="91"/>
      <c r="AA51" s="91"/>
      <c r="AB51" s="91"/>
      <c r="AC51" s="91"/>
      <c r="AD51" s="91">
        <v>0</v>
      </c>
      <c r="AE51" s="91">
        <f t="shared" si="10"/>
        <v>0</v>
      </c>
      <c r="AF51" s="91">
        <f t="shared" si="11"/>
        <v>0</v>
      </c>
      <c r="AG51" s="91">
        <f t="shared" si="12"/>
        <v>0</v>
      </c>
      <c r="AH51" s="121"/>
    </row>
    <row r="52" spans="1:34" customFormat="1" x14ac:dyDescent="0.25">
      <c r="A52" s="1" t="s">
        <v>89</v>
      </c>
      <c r="B52" s="1" t="s">
        <v>173</v>
      </c>
      <c r="C52" s="119">
        <f>+VLOOKUP(B52,'IP PITSS'!$B$9:C118,2,0)</f>
        <v>15</v>
      </c>
      <c r="D52" s="119">
        <f>+VLOOKUP(B52,'IP PITSS'!$B$9:F118,5,0)</f>
        <v>212.11</v>
      </c>
      <c r="E52" s="119">
        <v>12000</v>
      </c>
      <c r="F52" s="120">
        <f t="shared" si="3"/>
        <v>6000</v>
      </c>
      <c r="G52" s="91">
        <f t="shared" si="4"/>
        <v>400</v>
      </c>
      <c r="H52" s="121"/>
      <c r="I52" s="91">
        <f t="shared" si="13"/>
        <v>0</v>
      </c>
      <c r="J52" s="91">
        <f t="shared" si="5"/>
        <v>0</v>
      </c>
      <c r="K52" s="121"/>
      <c r="L52" s="91">
        <f>+VLOOKUP(B52,'IP PITSS'!$B$9:AF119,3,0)</f>
        <v>0</v>
      </c>
      <c r="M52" s="91">
        <f t="shared" si="6"/>
        <v>0</v>
      </c>
      <c r="N52" s="91">
        <f>+VLOOKUP(B52,'IP PITSS'!$B$9:AG119,7,0)</f>
        <v>0</v>
      </c>
      <c r="O52" s="91">
        <f t="shared" si="7"/>
        <v>0</v>
      </c>
      <c r="P52" s="121"/>
      <c r="Q52" s="91">
        <f>+VLOOKUP(B52,'IP PITSS'!$B$9:AJ119,3,0)</f>
        <v>0</v>
      </c>
      <c r="R52" s="91">
        <f t="shared" si="8"/>
        <v>0</v>
      </c>
      <c r="S52" s="91">
        <f>+VLOOKUP(B52,'IP PITSS'!$B$9:AL119,8,0)</f>
        <v>0</v>
      </c>
      <c r="T52" s="91">
        <f t="shared" si="9"/>
        <v>0</v>
      </c>
      <c r="U52" s="121"/>
      <c r="V52" s="121"/>
      <c r="W52" s="91"/>
      <c r="X52" s="91"/>
      <c r="Y52" s="91"/>
      <c r="Z52" s="91"/>
      <c r="AA52" s="91"/>
      <c r="AB52" s="91"/>
      <c r="AC52" s="91"/>
      <c r="AD52" s="91">
        <v>0</v>
      </c>
      <c r="AE52" s="91">
        <f t="shared" si="10"/>
        <v>0</v>
      </c>
      <c r="AF52" s="91">
        <f t="shared" si="11"/>
        <v>0</v>
      </c>
      <c r="AG52" s="91">
        <f t="shared" si="12"/>
        <v>0</v>
      </c>
      <c r="AH52" s="121"/>
    </row>
    <row r="53" spans="1:34" customFormat="1" x14ac:dyDescent="0.25">
      <c r="A53" s="1" t="s">
        <v>89</v>
      </c>
      <c r="B53" s="1" t="s">
        <v>177</v>
      </c>
      <c r="C53" s="119">
        <f>+VLOOKUP(B53,'IP PITSS'!$B$9:C119,2,0)</f>
        <v>15</v>
      </c>
      <c r="D53" s="119">
        <f>+VLOOKUP(B53,'IP PITSS'!$B$9:F119,5,0)</f>
        <v>209.04</v>
      </c>
      <c r="E53" s="119">
        <v>6000</v>
      </c>
      <c r="F53" s="120">
        <f t="shared" si="3"/>
        <v>3000</v>
      </c>
      <c r="G53" s="91">
        <f t="shared" si="4"/>
        <v>200</v>
      </c>
      <c r="H53" s="121"/>
      <c r="I53" s="91">
        <f t="shared" si="13"/>
        <v>0</v>
      </c>
      <c r="J53" s="91">
        <f t="shared" si="5"/>
        <v>0</v>
      </c>
      <c r="K53" s="121"/>
      <c r="L53" s="91">
        <f>+VLOOKUP(B53,'IP PITSS'!$B$9:AF120,3,0)</f>
        <v>0</v>
      </c>
      <c r="M53" s="91">
        <f t="shared" si="6"/>
        <v>0</v>
      </c>
      <c r="N53" s="91">
        <f>+VLOOKUP(B53,'IP PITSS'!$B$9:AG120,7,0)</f>
        <v>0</v>
      </c>
      <c r="O53" s="91">
        <f t="shared" si="7"/>
        <v>0</v>
      </c>
      <c r="P53" s="121"/>
      <c r="Q53" s="91">
        <f>+VLOOKUP(B53,'IP PITSS'!$B$9:AJ120,3,0)</f>
        <v>0</v>
      </c>
      <c r="R53" s="91">
        <f t="shared" si="8"/>
        <v>0</v>
      </c>
      <c r="S53" s="91">
        <f>+VLOOKUP(B53,'IP PITSS'!$B$9:AL120,8,0)</f>
        <v>0</v>
      </c>
      <c r="T53" s="91">
        <f t="shared" si="9"/>
        <v>0</v>
      </c>
      <c r="U53" s="121"/>
      <c r="V53" s="121"/>
      <c r="W53" s="91"/>
      <c r="X53" s="91"/>
      <c r="Y53" s="91"/>
      <c r="Z53" s="91"/>
      <c r="AA53" s="91"/>
      <c r="AB53" s="91"/>
      <c r="AC53" s="91"/>
      <c r="AD53" s="91">
        <v>0</v>
      </c>
      <c r="AE53" s="91">
        <f t="shared" si="10"/>
        <v>0</v>
      </c>
      <c r="AF53" s="91">
        <f t="shared" si="11"/>
        <v>0</v>
      </c>
      <c r="AG53" s="91">
        <f t="shared" si="12"/>
        <v>0</v>
      </c>
      <c r="AH53" s="121"/>
    </row>
    <row r="54" spans="1:34" customFormat="1" x14ac:dyDescent="0.25">
      <c r="A54" s="1" t="s">
        <v>89</v>
      </c>
      <c r="B54" s="1" t="s">
        <v>180</v>
      </c>
      <c r="C54" s="119">
        <f>+VLOOKUP(B54,'IP PITSS'!$B$9:C120,2,0)</f>
        <v>15</v>
      </c>
      <c r="D54" s="119">
        <f>+VLOOKUP(B54,'IP PITSS'!$B$9:F120,5,0)</f>
        <v>553.24</v>
      </c>
      <c r="E54" s="119">
        <v>13125</v>
      </c>
      <c r="F54" s="120">
        <f t="shared" si="3"/>
        <v>6562.5</v>
      </c>
      <c r="G54" s="91">
        <f t="shared" si="4"/>
        <v>437.5</v>
      </c>
      <c r="H54" s="121"/>
      <c r="I54" s="91">
        <f t="shared" si="13"/>
        <v>0</v>
      </c>
      <c r="J54" s="91">
        <f t="shared" si="5"/>
        <v>0</v>
      </c>
      <c r="K54" s="121"/>
      <c r="L54" s="91">
        <f>+VLOOKUP(B54,'IP PITSS'!$B$9:AF121,3,0)</f>
        <v>0</v>
      </c>
      <c r="M54" s="91">
        <f t="shared" si="6"/>
        <v>0</v>
      </c>
      <c r="N54" s="91">
        <f>+VLOOKUP(B54,'IP PITSS'!$B$9:AG121,7,0)</f>
        <v>0</v>
      </c>
      <c r="O54" s="91">
        <f t="shared" si="7"/>
        <v>0</v>
      </c>
      <c r="P54" s="121"/>
      <c r="Q54" s="91">
        <f>+VLOOKUP(B54,'IP PITSS'!$B$9:AJ121,3,0)</f>
        <v>0</v>
      </c>
      <c r="R54" s="91">
        <f t="shared" si="8"/>
        <v>0</v>
      </c>
      <c r="S54" s="91">
        <f>+VLOOKUP(B54,'IP PITSS'!$B$9:AL121,8,0)</f>
        <v>0</v>
      </c>
      <c r="T54" s="91">
        <f t="shared" si="9"/>
        <v>0</v>
      </c>
      <c r="U54" s="121"/>
      <c r="V54" s="121"/>
      <c r="W54" s="91"/>
      <c r="X54" s="91"/>
      <c r="Y54" s="91"/>
      <c r="Z54" s="91"/>
      <c r="AA54" s="91"/>
      <c r="AB54" s="91"/>
      <c r="AC54" s="91"/>
      <c r="AD54" s="91">
        <v>0</v>
      </c>
      <c r="AE54" s="91">
        <f t="shared" si="10"/>
        <v>0</v>
      </c>
      <c r="AF54" s="91">
        <f t="shared" si="11"/>
        <v>0</v>
      </c>
      <c r="AG54" s="91">
        <f t="shared" si="12"/>
        <v>0</v>
      </c>
      <c r="AH54" s="121"/>
    </row>
    <row r="55" spans="1:34" customFormat="1" x14ac:dyDescent="0.25">
      <c r="A55" s="1" t="s">
        <v>89</v>
      </c>
      <c r="B55" s="1" t="s">
        <v>183</v>
      </c>
      <c r="C55" s="119">
        <f>+VLOOKUP(B55,'IP PITSS'!$B$9:C121,2,0)</f>
        <v>15</v>
      </c>
      <c r="D55" s="119">
        <f>+VLOOKUP(B55,'IP PITSS'!$B$9:F121,5,0)</f>
        <v>282.81</v>
      </c>
      <c r="E55" s="119">
        <v>8000</v>
      </c>
      <c r="F55" s="120">
        <f t="shared" si="3"/>
        <v>4000</v>
      </c>
      <c r="G55" s="91">
        <f t="shared" si="4"/>
        <v>266.66666666666669</v>
      </c>
      <c r="H55" s="121"/>
      <c r="I55" s="91">
        <f t="shared" si="13"/>
        <v>0</v>
      </c>
      <c r="J55" s="91">
        <f t="shared" si="5"/>
        <v>0</v>
      </c>
      <c r="K55" s="121"/>
      <c r="L55" s="91">
        <f>+VLOOKUP(B55,'IP PITSS'!$B$9:AF122,3,0)</f>
        <v>0</v>
      </c>
      <c r="M55" s="91">
        <f t="shared" si="6"/>
        <v>0</v>
      </c>
      <c r="N55" s="91">
        <f>+VLOOKUP(B55,'IP PITSS'!$B$9:AG122,7,0)</f>
        <v>0</v>
      </c>
      <c r="O55" s="91">
        <f t="shared" si="7"/>
        <v>0</v>
      </c>
      <c r="P55" s="121"/>
      <c r="Q55" s="91">
        <f>+VLOOKUP(B55,'IP PITSS'!$B$9:AJ122,3,0)</f>
        <v>0</v>
      </c>
      <c r="R55" s="91">
        <f t="shared" si="8"/>
        <v>0</v>
      </c>
      <c r="S55" s="91">
        <f>+VLOOKUP(B55,'IP PITSS'!$B$9:AL122,8,0)</f>
        <v>0</v>
      </c>
      <c r="T55" s="91">
        <f t="shared" si="9"/>
        <v>0</v>
      </c>
      <c r="U55" s="121"/>
      <c r="V55" s="121"/>
      <c r="W55" s="91"/>
      <c r="X55" s="91"/>
      <c r="Y55" s="91"/>
      <c r="Z55" s="91"/>
      <c r="AA55" s="91"/>
      <c r="AB55" s="91"/>
      <c r="AC55" s="91"/>
      <c r="AD55" s="91">
        <v>0</v>
      </c>
      <c r="AE55" s="91">
        <f t="shared" si="10"/>
        <v>0</v>
      </c>
      <c r="AF55" s="91">
        <f t="shared" si="11"/>
        <v>0</v>
      </c>
      <c r="AG55" s="91">
        <f t="shared" si="12"/>
        <v>0</v>
      </c>
      <c r="AH55" s="121"/>
    </row>
    <row r="56" spans="1:34" customFormat="1" x14ac:dyDescent="0.25">
      <c r="A56" s="1" t="s">
        <v>89</v>
      </c>
      <c r="B56" s="62" t="s">
        <v>420</v>
      </c>
      <c r="C56" s="119">
        <f>+VLOOKUP(B56,'IP PITSS'!$B$9:C122,2,0)</f>
        <v>15</v>
      </c>
      <c r="D56" s="119">
        <f>+VLOOKUP(B56,'IP PITSS'!$B$9:F122,5,0)</f>
        <v>209.04</v>
      </c>
      <c r="E56" s="119">
        <v>6300</v>
      </c>
      <c r="F56" s="120">
        <f t="shared" si="3"/>
        <v>3150</v>
      </c>
      <c r="G56" s="91">
        <f t="shared" si="4"/>
        <v>210</v>
      </c>
      <c r="H56" s="121"/>
      <c r="I56" s="91">
        <f t="shared" si="13"/>
        <v>0</v>
      </c>
      <c r="J56" s="91">
        <f t="shared" si="5"/>
        <v>0</v>
      </c>
      <c r="K56" s="121"/>
      <c r="L56" s="91">
        <f>+VLOOKUP(B56,'IP PITSS'!$B$9:AF123,3,0)</f>
        <v>0</v>
      </c>
      <c r="M56" s="91">
        <f t="shared" si="6"/>
        <v>0</v>
      </c>
      <c r="N56" s="91">
        <f>+VLOOKUP(B56,'IP PITSS'!$B$9:AG123,7,0)</f>
        <v>0</v>
      </c>
      <c r="O56" s="91">
        <f t="shared" si="7"/>
        <v>0</v>
      </c>
      <c r="P56" s="121"/>
      <c r="Q56" s="91">
        <f>+VLOOKUP(B56,'IP PITSS'!$B$9:AJ123,3,0)</f>
        <v>0</v>
      </c>
      <c r="R56" s="91">
        <f t="shared" si="8"/>
        <v>0</v>
      </c>
      <c r="S56" s="91">
        <f>+VLOOKUP(B56,'IP PITSS'!$B$9:AL123,8,0)</f>
        <v>0</v>
      </c>
      <c r="T56" s="91">
        <f t="shared" si="9"/>
        <v>0</v>
      </c>
      <c r="U56" s="121"/>
      <c r="V56" s="121"/>
      <c r="W56" s="91"/>
      <c r="X56" s="91"/>
      <c r="Y56" s="91"/>
      <c r="Z56" s="91"/>
      <c r="AA56" s="91"/>
      <c r="AB56" s="91"/>
      <c r="AC56" s="91"/>
      <c r="AD56" s="91">
        <v>0</v>
      </c>
      <c r="AE56" s="91">
        <f t="shared" si="10"/>
        <v>0</v>
      </c>
      <c r="AF56" s="91">
        <f t="shared" si="11"/>
        <v>0</v>
      </c>
      <c r="AG56" s="91">
        <f t="shared" si="12"/>
        <v>0</v>
      </c>
      <c r="AH56" s="121"/>
    </row>
    <row r="57" spans="1:34" customFormat="1" x14ac:dyDescent="0.25">
      <c r="A57" s="1" t="s">
        <v>89</v>
      </c>
      <c r="B57" s="1" t="s">
        <v>189</v>
      </c>
      <c r="C57" s="119">
        <f>+VLOOKUP(B57,'IP PITSS'!$B$9:C123,2,0)</f>
        <v>15</v>
      </c>
      <c r="D57" s="119">
        <f>+VLOOKUP(B57,'IP PITSS'!$B$9:F123,5,0)</f>
        <v>234.2</v>
      </c>
      <c r="E57" s="119">
        <v>12000</v>
      </c>
      <c r="F57" s="120">
        <f t="shared" si="3"/>
        <v>6000</v>
      </c>
      <c r="G57" s="91">
        <f t="shared" si="4"/>
        <v>400</v>
      </c>
      <c r="H57" s="121"/>
      <c r="I57" s="91">
        <f t="shared" si="13"/>
        <v>0</v>
      </c>
      <c r="J57" s="91">
        <f t="shared" si="5"/>
        <v>0</v>
      </c>
      <c r="K57" s="121"/>
      <c r="L57" s="91">
        <f>+VLOOKUP(B57,'IP PITSS'!$B$9:AF124,3,0)</f>
        <v>0</v>
      </c>
      <c r="M57" s="91">
        <f t="shared" si="6"/>
        <v>0</v>
      </c>
      <c r="N57" s="91">
        <f>+VLOOKUP(B57,'IP PITSS'!$B$9:AG124,7,0)</f>
        <v>0</v>
      </c>
      <c r="O57" s="91">
        <f t="shared" si="7"/>
        <v>0</v>
      </c>
      <c r="P57" s="121"/>
      <c r="Q57" s="91">
        <f>+VLOOKUP(B57,'IP PITSS'!$B$9:AJ124,3,0)</f>
        <v>0</v>
      </c>
      <c r="R57" s="91">
        <f t="shared" si="8"/>
        <v>0</v>
      </c>
      <c r="S57" s="91">
        <f>+VLOOKUP(B57,'IP PITSS'!$B$9:AL124,8,0)</f>
        <v>0</v>
      </c>
      <c r="T57" s="91">
        <f t="shared" si="9"/>
        <v>0</v>
      </c>
      <c r="U57" s="121"/>
      <c r="V57" s="121"/>
      <c r="W57" s="91"/>
      <c r="X57" s="91"/>
      <c r="Y57" s="91"/>
      <c r="Z57" s="91"/>
      <c r="AA57" s="91"/>
      <c r="AB57" s="91"/>
      <c r="AC57" s="91"/>
      <c r="AD57" s="91">
        <v>0</v>
      </c>
      <c r="AE57" s="91">
        <f t="shared" si="10"/>
        <v>0</v>
      </c>
      <c r="AF57" s="91">
        <f t="shared" si="11"/>
        <v>0</v>
      </c>
      <c r="AG57" s="91">
        <f t="shared" si="12"/>
        <v>0</v>
      </c>
      <c r="AH57" s="121"/>
    </row>
    <row r="58" spans="1:34" customFormat="1" x14ac:dyDescent="0.25">
      <c r="A58" s="1" t="s">
        <v>89</v>
      </c>
      <c r="B58" s="1" t="s">
        <v>192</v>
      </c>
      <c r="C58" s="119">
        <f>+VLOOKUP(B58,'IP PITSS'!$B$9:C124,2,0)</f>
        <v>15</v>
      </c>
      <c r="D58" s="119">
        <f>+VLOOKUP(B58,'IP PITSS'!$B$9:F124,5,0)</f>
        <v>278.72000000000003</v>
      </c>
      <c r="E58" s="119">
        <v>8000</v>
      </c>
      <c r="F58" s="120">
        <f t="shared" si="3"/>
        <v>4000</v>
      </c>
      <c r="G58" s="91">
        <f t="shared" si="4"/>
        <v>266.66666666666669</v>
      </c>
      <c r="H58" s="121"/>
      <c r="I58" s="91">
        <f t="shared" si="13"/>
        <v>0</v>
      </c>
      <c r="J58" s="91">
        <f t="shared" si="5"/>
        <v>0</v>
      </c>
      <c r="K58" s="121"/>
      <c r="L58" s="91">
        <f>+VLOOKUP(B58,'IP PITSS'!$B$9:AF125,3,0)</f>
        <v>0</v>
      </c>
      <c r="M58" s="91">
        <f t="shared" si="6"/>
        <v>0</v>
      </c>
      <c r="N58" s="91">
        <f>+VLOOKUP(B58,'IP PITSS'!$B$9:AG125,7,0)</f>
        <v>0</v>
      </c>
      <c r="O58" s="91">
        <f t="shared" si="7"/>
        <v>0</v>
      </c>
      <c r="P58" s="121"/>
      <c r="Q58" s="91">
        <f>+VLOOKUP(B58,'IP PITSS'!$B$9:AJ125,3,0)</f>
        <v>0</v>
      </c>
      <c r="R58" s="91">
        <f t="shared" si="8"/>
        <v>0</v>
      </c>
      <c r="S58" s="91">
        <f>+VLOOKUP(B58,'IP PITSS'!$B$9:AL125,8,0)</f>
        <v>0</v>
      </c>
      <c r="T58" s="91">
        <f t="shared" si="9"/>
        <v>0</v>
      </c>
      <c r="U58" s="121"/>
      <c r="V58" s="121"/>
      <c r="W58" s="91"/>
      <c r="X58" s="91"/>
      <c r="Y58" s="91"/>
      <c r="Z58" s="91"/>
      <c r="AA58" s="91"/>
      <c r="AB58" s="91"/>
      <c r="AC58" s="91"/>
      <c r="AD58" s="91">
        <v>0</v>
      </c>
      <c r="AE58" s="91">
        <f t="shared" si="10"/>
        <v>0</v>
      </c>
      <c r="AF58" s="91">
        <f t="shared" si="11"/>
        <v>0</v>
      </c>
      <c r="AG58" s="91">
        <f t="shared" si="12"/>
        <v>0</v>
      </c>
      <c r="AH58" s="121"/>
    </row>
    <row r="59" spans="1:34" customFormat="1" x14ac:dyDescent="0.25">
      <c r="A59" s="1" t="s">
        <v>89</v>
      </c>
      <c r="B59" s="1" t="s">
        <v>196</v>
      </c>
      <c r="C59" s="119">
        <f>+VLOOKUP(B59,'IP PITSS'!$B$9:C125,2,0)</f>
        <v>15</v>
      </c>
      <c r="D59" s="119">
        <f>+VLOOKUP(B59,'IP PITSS'!$B$9:F125,5,0)</f>
        <v>123.73</v>
      </c>
      <c r="E59" s="119">
        <v>7000</v>
      </c>
      <c r="F59" s="120">
        <f t="shared" si="3"/>
        <v>3500</v>
      </c>
      <c r="G59" s="91">
        <f t="shared" si="4"/>
        <v>233.33333333333334</v>
      </c>
      <c r="H59" s="121"/>
      <c r="I59" s="91">
        <f t="shared" si="13"/>
        <v>0</v>
      </c>
      <c r="J59" s="91">
        <f t="shared" si="5"/>
        <v>0</v>
      </c>
      <c r="K59" s="121"/>
      <c r="L59" s="91">
        <f>+VLOOKUP(B59,'IP PITSS'!$B$9:AF126,3,0)</f>
        <v>0</v>
      </c>
      <c r="M59" s="91">
        <f t="shared" si="6"/>
        <v>0</v>
      </c>
      <c r="N59" s="91">
        <f>+VLOOKUP(B59,'IP PITSS'!$B$9:AG126,7,0)</f>
        <v>0</v>
      </c>
      <c r="O59" s="91">
        <f t="shared" si="7"/>
        <v>0</v>
      </c>
      <c r="P59" s="121"/>
      <c r="Q59" s="91">
        <f>+VLOOKUP(B59,'IP PITSS'!$B$9:AJ126,3,0)</f>
        <v>0</v>
      </c>
      <c r="R59" s="91">
        <f t="shared" si="8"/>
        <v>0</v>
      </c>
      <c r="S59" s="91">
        <f>+VLOOKUP(B59,'IP PITSS'!$B$9:AL126,8,0)</f>
        <v>0</v>
      </c>
      <c r="T59" s="91">
        <f t="shared" si="9"/>
        <v>0</v>
      </c>
      <c r="U59" s="121"/>
      <c r="V59" s="121"/>
      <c r="W59" s="91"/>
      <c r="X59" s="91"/>
      <c r="Y59" s="91"/>
      <c r="Z59" s="91"/>
      <c r="AA59" s="91"/>
      <c r="AB59" s="91"/>
      <c r="AC59" s="91"/>
      <c r="AD59" s="91">
        <v>0</v>
      </c>
      <c r="AE59" s="91">
        <f t="shared" si="10"/>
        <v>0</v>
      </c>
      <c r="AF59" s="91">
        <f t="shared" si="11"/>
        <v>0</v>
      </c>
      <c r="AG59" s="91">
        <f t="shared" si="12"/>
        <v>0</v>
      </c>
      <c r="AH59" s="121"/>
    </row>
    <row r="60" spans="1:34" customFormat="1" x14ac:dyDescent="0.25">
      <c r="A60" s="1" t="s">
        <v>89</v>
      </c>
      <c r="B60" s="1" t="s">
        <v>199</v>
      </c>
      <c r="C60" s="119">
        <f>+VLOOKUP(B60,'IP PITSS'!$B$9:C126,2,0)</f>
        <v>15</v>
      </c>
      <c r="D60" s="119">
        <f>+VLOOKUP(B60,'IP PITSS'!$B$9:F126,5,0)</f>
        <v>247.46</v>
      </c>
      <c r="E60" s="119">
        <v>7000</v>
      </c>
      <c r="F60" s="120">
        <f t="shared" si="3"/>
        <v>3500</v>
      </c>
      <c r="G60" s="91">
        <f t="shared" si="4"/>
        <v>233.33333333333334</v>
      </c>
      <c r="H60" s="121"/>
      <c r="I60" s="91">
        <f t="shared" si="13"/>
        <v>0</v>
      </c>
      <c r="J60" s="91">
        <f t="shared" si="5"/>
        <v>0</v>
      </c>
      <c r="K60" s="121"/>
      <c r="L60" s="91">
        <f>+VLOOKUP(B60,'IP PITSS'!$B$9:AF127,3,0)</f>
        <v>0</v>
      </c>
      <c r="M60" s="91">
        <f t="shared" si="6"/>
        <v>0</v>
      </c>
      <c r="N60" s="91">
        <f>+VLOOKUP(B60,'IP PITSS'!$B$9:AG127,7,0)</f>
        <v>0</v>
      </c>
      <c r="O60" s="91">
        <f t="shared" si="7"/>
        <v>0</v>
      </c>
      <c r="P60" s="121"/>
      <c r="Q60" s="91">
        <f>+VLOOKUP(B60,'IP PITSS'!$B$9:AJ127,3,0)</f>
        <v>0</v>
      </c>
      <c r="R60" s="91">
        <f t="shared" si="8"/>
        <v>0</v>
      </c>
      <c r="S60" s="91">
        <f>+VLOOKUP(B60,'IP PITSS'!$B$9:AL127,8,0)</f>
        <v>0</v>
      </c>
      <c r="T60" s="91">
        <f t="shared" si="9"/>
        <v>0</v>
      </c>
      <c r="U60" s="121"/>
      <c r="V60" s="121"/>
      <c r="W60" s="91"/>
      <c r="X60" s="91"/>
      <c r="Y60" s="91"/>
      <c r="Z60" s="91"/>
      <c r="AA60" s="91"/>
      <c r="AB60" s="91"/>
      <c r="AC60" s="91"/>
      <c r="AD60" s="91">
        <v>0</v>
      </c>
      <c r="AE60" s="91">
        <f t="shared" si="10"/>
        <v>0</v>
      </c>
      <c r="AF60" s="91">
        <f t="shared" si="11"/>
        <v>0</v>
      </c>
      <c r="AG60" s="91">
        <f t="shared" si="12"/>
        <v>0</v>
      </c>
      <c r="AH60" s="121"/>
    </row>
    <row r="61" spans="1:34" customFormat="1" x14ac:dyDescent="0.25">
      <c r="A61" s="1" t="s">
        <v>89</v>
      </c>
      <c r="B61" s="1" t="s">
        <v>202</v>
      </c>
      <c r="C61" s="119">
        <f>+VLOOKUP(B61,'IP PITSS'!$B$9:C127,2,0)</f>
        <v>15</v>
      </c>
      <c r="D61" s="119">
        <f>+VLOOKUP(B61,'IP PITSS'!$B$9:F127,5,0)</f>
        <v>300.49</v>
      </c>
      <c r="E61" s="119">
        <v>10500</v>
      </c>
      <c r="F61" s="120">
        <f t="shared" si="3"/>
        <v>5250</v>
      </c>
      <c r="G61" s="91">
        <f t="shared" si="4"/>
        <v>350</v>
      </c>
      <c r="H61" s="121"/>
      <c r="I61" s="91">
        <f t="shared" si="13"/>
        <v>0</v>
      </c>
      <c r="J61" s="91">
        <f t="shared" si="5"/>
        <v>0</v>
      </c>
      <c r="K61" s="121"/>
      <c r="L61" s="91">
        <f>+VLOOKUP(B61,'IP PITSS'!$B$9:AF128,3,0)</f>
        <v>0</v>
      </c>
      <c r="M61" s="91">
        <f t="shared" si="6"/>
        <v>0</v>
      </c>
      <c r="N61" s="91">
        <f>+VLOOKUP(B61,'IP PITSS'!$B$9:AG128,7,0)</f>
        <v>0</v>
      </c>
      <c r="O61" s="91">
        <f t="shared" si="7"/>
        <v>0</v>
      </c>
      <c r="P61" s="121"/>
      <c r="Q61" s="91">
        <f>+VLOOKUP(B61,'IP PITSS'!$B$9:AJ128,3,0)</f>
        <v>0</v>
      </c>
      <c r="R61" s="91">
        <f t="shared" si="8"/>
        <v>0</v>
      </c>
      <c r="S61" s="91">
        <f>+VLOOKUP(B61,'IP PITSS'!$B$9:AL128,8,0)</f>
        <v>0</v>
      </c>
      <c r="T61" s="91">
        <f t="shared" si="9"/>
        <v>0</v>
      </c>
      <c r="U61" s="121"/>
      <c r="V61" s="121"/>
      <c r="W61" s="91"/>
      <c r="X61" s="91"/>
      <c r="Y61" s="91"/>
      <c r="Z61" s="91"/>
      <c r="AA61" s="91"/>
      <c r="AB61" s="91"/>
      <c r="AC61" s="91"/>
      <c r="AD61" s="91">
        <v>0</v>
      </c>
      <c r="AE61" s="91">
        <f t="shared" si="10"/>
        <v>0</v>
      </c>
      <c r="AF61" s="91">
        <f t="shared" si="11"/>
        <v>0</v>
      </c>
      <c r="AG61" s="91">
        <f t="shared" si="12"/>
        <v>0</v>
      </c>
      <c r="AH61" s="121"/>
    </row>
    <row r="62" spans="1:34" customFormat="1" x14ac:dyDescent="0.25">
      <c r="A62" s="1" t="s">
        <v>89</v>
      </c>
      <c r="B62" s="1" t="s">
        <v>205</v>
      </c>
      <c r="C62" s="119">
        <f>+VLOOKUP(B62,'IP PITSS'!$B$9:C128,2,0)</f>
        <v>15</v>
      </c>
      <c r="D62" s="119">
        <f>+VLOOKUP(B62,'IP PITSS'!$B$9:F128,5,0)</f>
        <v>175.8</v>
      </c>
      <c r="E62" s="119">
        <v>5000</v>
      </c>
      <c r="F62" s="120">
        <f t="shared" si="3"/>
        <v>2500</v>
      </c>
      <c r="G62" s="91">
        <f t="shared" si="4"/>
        <v>166.66666666666666</v>
      </c>
      <c r="H62" s="121"/>
      <c r="I62" s="91">
        <f t="shared" si="13"/>
        <v>0</v>
      </c>
      <c r="J62" s="91">
        <f t="shared" si="5"/>
        <v>0</v>
      </c>
      <c r="K62" s="121"/>
      <c r="L62" s="91">
        <f>+VLOOKUP(B62,'IP PITSS'!$B$9:AF129,3,0)</f>
        <v>0</v>
      </c>
      <c r="M62" s="91">
        <f t="shared" si="6"/>
        <v>0</v>
      </c>
      <c r="N62" s="91">
        <f>+VLOOKUP(B62,'IP PITSS'!$B$9:AG129,7,0)</f>
        <v>0</v>
      </c>
      <c r="O62" s="91">
        <f t="shared" si="7"/>
        <v>0</v>
      </c>
      <c r="P62" s="121"/>
      <c r="Q62" s="91">
        <f>+VLOOKUP(B62,'IP PITSS'!$B$9:AJ129,3,0)</f>
        <v>0</v>
      </c>
      <c r="R62" s="91">
        <f t="shared" si="8"/>
        <v>0</v>
      </c>
      <c r="S62" s="91">
        <f>+VLOOKUP(B62,'IP PITSS'!$B$9:AL129,8,0)</f>
        <v>0</v>
      </c>
      <c r="T62" s="91">
        <f t="shared" si="9"/>
        <v>0</v>
      </c>
      <c r="U62" s="121"/>
      <c r="V62" s="121"/>
      <c r="W62" s="91"/>
      <c r="X62" s="91"/>
      <c r="Y62" s="91"/>
      <c r="Z62" s="91"/>
      <c r="AA62" s="91"/>
      <c r="AB62" s="91"/>
      <c r="AC62" s="91"/>
      <c r="AD62" s="91">
        <v>0</v>
      </c>
      <c r="AE62" s="91">
        <f t="shared" si="10"/>
        <v>0</v>
      </c>
      <c r="AF62" s="91">
        <f t="shared" si="11"/>
        <v>0</v>
      </c>
      <c r="AG62" s="91">
        <f t="shared" si="12"/>
        <v>0</v>
      </c>
      <c r="AH62" s="121"/>
    </row>
    <row r="63" spans="1:34" customFormat="1" x14ac:dyDescent="0.25">
      <c r="A63" s="1" t="s">
        <v>89</v>
      </c>
      <c r="B63" s="1" t="s">
        <v>208</v>
      </c>
      <c r="C63" s="119">
        <f>+VLOOKUP(B63,'IP PITSS'!$B$9:C129,2,0)</f>
        <v>15</v>
      </c>
      <c r="D63" s="119">
        <f>+VLOOKUP(B63,'IP PITSS'!$B$9:F129,5,0)</f>
        <v>222.72</v>
      </c>
      <c r="E63" s="119">
        <v>6300</v>
      </c>
      <c r="F63" s="120">
        <f t="shared" si="3"/>
        <v>3150</v>
      </c>
      <c r="G63" s="91">
        <f t="shared" si="4"/>
        <v>210</v>
      </c>
      <c r="H63" s="121"/>
      <c r="I63" s="91">
        <f t="shared" si="13"/>
        <v>0</v>
      </c>
      <c r="J63" s="91">
        <f t="shared" si="5"/>
        <v>0</v>
      </c>
      <c r="K63" s="121"/>
      <c r="L63" s="91">
        <f>+VLOOKUP(B63,'IP PITSS'!$B$9:AF130,3,0)</f>
        <v>0</v>
      </c>
      <c r="M63" s="91">
        <f t="shared" si="6"/>
        <v>0</v>
      </c>
      <c r="N63" s="91">
        <f>+VLOOKUP(B63,'IP PITSS'!$B$9:AG130,7,0)</f>
        <v>0</v>
      </c>
      <c r="O63" s="91">
        <f t="shared" si="7"/>
        <v>0</v>
      </c>
      <c r="P63" s="121"/>
      <c r="Q63" s="91">
        <f>+VLOOKUP(B63,'IP PITSS'!$B$9:AJ130,3,0)</f>
        <v>0</v>
      </c>
      <c r="R63" s="91">
        <f t="shared" si="8"/>
        <v>0</v>
      </c>
      <c r="S63" s="91">
        <f>+VLOOKUP(B63,'IP PITSS'!$B$9:AL130,8,0)</f>
        <v>0</v>
      </c>
      <c r="T63" s="91">
        <f t="shared" si="9"/>
        <v>0</v>
      </c>
      <c r="U63" s="121"/>
      <c r="V63" s="121"/>
      <c r="W63" s="91"/>
      <c r="X63" s="91"/>
      <c r="Y63" s="91"/>
      <c r="Z63" s="91"/>
      <c r="AA63" s="91"/>
      <c r="AB63" s="91"/>
      <c r="AC63" s="91"/>
      <c r="AD63" s="91">
        <v>0</v>
      </c>
      <c r="AE63" s="91">
        <f t="shared" si="10"/>
        <v>0</v>
      </c>
      <c r="AF63" s="91">
        <f t="shared" si="11"/>
        <v>0</v>
      </c>
      <c r="AG63" s="91">
        <f t="shared" si="12"/>
        <v>0</v>
      </c>
      <c r="AH63" s="121"/>
    </row>
    <row r="64" spans="1:34" customFormat="1" x14ac:dyDescent="0.25">
      <c r="A64" s="1" t="s">
        <v>89</v>
      </c>
      <c r="B64" s="4" t="s">
        <v>211</v>
      </c>
      <c r="C64" s="119">
        <f>+VLOOKUP(B64,'IP PITSS'!$B$9:C130,2,0)</f>
        <v>15</v>
      </c>
      <c r="D64" s="119">
        <f>+VLOOKUP(B64,'IP PITSS'!$B$9:F130,5,0)</f>
        <v>494.92</v>
      </c>
      <c r="E64" s="119">
        <v>14000</v>
      </c>
      <c r="F64" s="120">
        <f t="shared" si="3"/>
        <v>7000</v>
      </c>
      <c r="G64" s="91">
        <f t="shared" si="4"/>
        <v>466.66666666666669</v>
      </c>
      <c r="H64" s="121"/>
      <c r="I64" s="91">
        <f t="shared" si="13"/>
        <v>0</v>
      </c>
      <c r="J64" s="91">
        <f t="shared" si="5"/>
        <v>0</v>
      </c>
      <c r="K64" s="121"/>
      <c r="L64" s="91">
        <f>+VLOOKUP(B64,'IP PITSS'!$B$9:AF131,3,0)</f>
        <v>0</v>
      </c>
      <c r="M64" s="91">
        <f t="shared" si="6"/>
        <v>0</v>
      </c>
      <c r="N64" s="91">
        <f>+VLOOKUP(B64,'IP PITSS'!$B$9:AG131,7,0)</f>
        <v>0</v>
      </c>
      <c r="O64" s="91">
        <f t="shared" si="7"/>
        <v>0</v>
      </c>
      <c r="P64" s="121"/>
      <c r="Q64" s="91">
        <f>+VLOOKUP(B64,'IP PITSS'!$B$9:AJ131,3,0)</f>
        <v>0</v>
      </c>
      <c r="R64" s="91">
        <f t="shared" si="8"/>
        <v>0</v>
      </c>
      <c r="S64" s="91">
        <f>+VLOOKUP(B64,'IP PITSS'!$B$9:AL131,8,0)</f>
        <v>0</v>
      </c>
      <c r="T64" s="91">
        <f t="shared" si="9"/>
        <v>0</v>
      </c>
      <c r="U64" s="121"/>
      <c r="V64" s="121"/>
      <c r="W64" s="91"/>
      <c r="X64" s="91"/>
      <c r="Y64" s="91"/>
      <c r="Z64" s="91"/>
      <c r="AA64" s="91"/>
      <c r="AB64" s="91"/>
      <c r="AC64" s="91"/>
      <c r="AD64" s="91">
        <v>0</v>
      </c>
      <c r="AE64" s="91">
        <f t="shared" si="10"/>
        <v>0</v>
      </c>
      <c r="AF64" s="91">
        <f t="shared" si="11"/>
        <v>0</v>
      </c>
      <c r="AG64" s="91">
        <f t="shared" si="12"/>
        <v>0</v>
      </c>
      <c r="AH64" s="121"/>
    </row>
    <row r="65" spans="1:34" customFormat="1" x14ac:dyDescent="0.25">
      <c r="A65" s="1" t="s">
        <v>89</v>
      </c>
      <c r="B65" s="4" t="s">
        <v>214</v>
      </c>
      <c r="C65" s="119">
        <f>+VLOOKUP(B65,'IP PITSS'!$B$9:C131,2,0)</f>
        <v>15</v>
      </c>
      <c r="D65" s="119">
        <f>+VLOOKUP(B65,'IP PITSS'!$B$9:F131,5,0)</f>
        <v>272.20999999999998</v>
      </c>
      <c r="E65" s="119">
        <v>19950</v>
      </c>
      <c r="F65" s="120">
        <f t="shared" si="3"/>
        <v>9975</v>
      </c>
      <c r="G65" s="91">
        <f t="shared" si="4"/>
        <v>665</v>
      </c>
      <c r="H65" s="121"/>
      <c r="I65" s="91">
        <f t="shared" si="13"/>
        <v>0</v>
      </c>
      <c r="J65" s="91">
        <f t="shared" si="5"/>
        <v>0</v>
      </c>
      <c r="K65" s="121"/>
      <c r="L65" s="91">
        <f>+VLOOKUP(B65,'IP PITSS'!$B$9:AF132,3,0)</f>
        <v>0</v>
      </c>
      <c r="M65" s="91">
        <f t="shared" si="6"/>
        <v>0</v>
      </c>
      <c r="N65" s="91">
        <f>+VLOOKUP(B65,'IP PITSS'!$B$9:AG132,7,0)</f>
        <v>0</v>
      </c>
      <c r="O65" s="91">
        <f t="shared" si="7"/>
        <v>0</v>
      </c>
      <c r="P65" s="121"/>
      <c r="Q65" s="91">
        <f>+VLOOKUP(B65,'IP PITSS'!$B$9:AJ132,3,0)</f>
        <v>0</v>
      </c>
      <c r="R65" s="91">
        <f t="shared" si="8"/>
        <v>0</v>
      </c>
      <c r="S65" s="91">
        <f>+VLOOKUP(B65,'IP PITSS'!$B$9:AL132,8,0)</f>
        <v>0</v>
      </c>
      <c r="T65" s="91">
        <f t="shared" si="9"/>
        <v>0</v>
      </c>
      <c r="U65" s="121"/>
      <c r="V65" s="121"/>
      <c r="W65" s="91"/>
      <c r="X65" s="91"/>
      <c r="Y65" s="91"/>
      <c r="Z65" s="91"/>
      <c r="AA65" s="91"/>
      <c r="AB65" s="91"/>
      <c r="AC65" s="91"/>
      <c r="AD65" s="91">
        <v>0</v>
      </c>
      <c r="AE65" s="91">
        <f t="shared" si="10"/>
        <v>0</v>
      </c>
      <c r="AF65" s="91">
        <f t="shared" si="11"/>
        <v>0</v>
      </c>
      <c r="AG65" s="91">
        <f t="shared" si="12"/>
        <v>0</v>
      </c>
      <c r="AH65" s="121"/>
    </row>
    <row r="66" spans="1:34" customFormat="1" x14ac:dyDescent="0.25">
      <c r="A66" s="1" t="s">
        <v>89</v>
      </c>
      <c r="B66" s="7" t="s">
        <v>217</v>
      </c>
      <c r="C66" s="119">
        <f>+VLOOKUP(B66,'IP PITSS'!$B$9:C132,2,0)</f>
        <v>15</v>
      </c>
      <c r="D66" s="119">
        <f>+VLOOKUP(B66,'IP PITSS'!$B$9:F132,5,0)</f>
        <v>278.72000000000003</v>
      </c>
      <c r="E66" s="119">
        <v>8000</v>
      </c>
      <c r="F66" s="120">
        <f t="shared" si="3"/>
        <v>4000</v>
      </c>
      <c r="G66" s="91">
        <f t="shared" si="4"/>
        <v>266.66666666666669</v>
      </c>
      <c r="H66" s="121"/>
      <c r="I66" s="91">
        <f t="shared" si="13"/>
        <v>0</v>
      </c>
      <c r="J66" s="91">
        <f t="shared" si="5"/>
        <v>0</v>
      </c>
      <c r="K66" s="121"/>
      <c r="L66" s="91">
        <f>+VLOOKUP(B66,'IP PITSS'!$B$9:AF133,3,0)</f>
        <v>0</v>
      </c>
      <c r="M66" s="91">
        <f t="shared" si="6"/>
        <v>0</v>
      </c>
      <c r="N66" s="91">
        <f>+VLOOKUP(B66,'IP PITSS'!$B$9:AG133,7,0)</f>
        <v>0</v>
      </c>
      <c r="O66" s="91">
        <f t="shared" si="7"/>
        <v>0</v>
      </c>
      <c r="P66" s="121"/>
      <c r="Q66" s="91">
        <f>+VLOOKUP(B66,'IP PITSS'!$B$9:AJ133,3,0)</f>
        <v>0</v>
      </c>
      <c r="R66" s="91">
        <f t="shared" si="8"/>
        <v>0</v>
      </c>
      <c r="S66" s="91">
        <f>+VLOOKUP(B66,'IP PITSS'!$B$9:AL133,8,0)</f>
        <v>0</v>
      </c>
      <c r="T66" s="91">
        <f t="shared" si="9"/>
        <v>0</v>
      </c>
      <c r="U66" s="121"/>
      <c r="V66" s="121"/>
      <c r="W66" s="91"/>
      <c r="X66" s="91"/>
      <c r="Y66" s="91"/>
      <c r="Z66" s="91"/>
      <c r="AA66" s="91"/>
      <c r="AB66" s="91"/>
      <c r="AC66" s="91"/>
      <c r="AD66" s="91">
        <v>0</v>
      </c>
      <c r="AE66" s="91">
        <f t="shared" si="10"/>
        <v>0</v>
      </c>
      <c r="AF66" s="91">
        <f t="shared" si="11"/>
        <v>0</v>
      </c>
      <c r="AG66" s="91">
        <f t="shared" si="12"/>
        <v>0</v>
      </c>
      <c r="AH66" s="121"/>
    </row>
    <row r="67" spans="1:34" customFormat="1" x14ac:dyDescent="0.25">
      <c r="A67" s="1" t="s">
        <v>89</v>
      </c>
      <c r="B67" s="4" t="s">
        <v>221</v>
      </c>
      <c r="C67" s="119">
        <f>+VLOOKUP(B67,'IP PITSS'!$B$9:C133,2,0)</f>
        <v>15</v>
      </c>
      <c r="D67" s="119">
        <f>+VLOOKUP(B67,'IP PITSS'!$B$9:F133,5,0)</f>
        <v>282.81</v>
      </c>
      <c r="E67" s="119">
        <v>8000</v>
      </c>
      <c r="F67" s="120">
        <f t="shared" si="3"/>
        <v>4000</v>
      </c>
      <c r="G67" s="91">
        <f t="shared" si="4"/>
        <v>266.66666666666669</v>
      </c>
      <c r="H67" s="121"/>
      <c r="I67" s="91">
        <f t="shared" si="13"/>
        <v>0</v>
      </c>
      <c r="J67" s="91">
        <f t="shared" si="5"/>
        <v>0</v>
      </c>
      <c r="K67" s="121"/>
      <c r="L67" s="91">
        <f>+VLOOKUP(B67,'IP PITSS'!$B$9:AF134,3,0)</f>
        <v>0</v>
      </c>
      <c r="M67" s="91">
        <f t="shared" si="6"/>
        <v>0</v>
      </c>
      <c r="N67" s="91">
        <f>+VLOOKUP(B67,'IP PITSS'!$B$9:AG134,7,0)</f>
        <v>0</v>
      </c>
      <c r="O67" s="91">
        <f t="shared" si="7"/>
        <v>0</v>
      </c>
      <c r="P67" s="121"/>
      <c r="Q67" s="91">
        <f>+VLOOKUP(B67,'IP PITSS'!$B$9:AJ134,3,0)</f>
        <v>0</v>
      </c>
      <c r="R67" s="91">
        <f t="shared" si="8"/>
        <v>0</v>
      </c>
      <c r="S67" s="91">
        <f>+VLOOKUP(B67,'IP PITSS'!$B$9:AL134,8,0)</f>
        <v>0</v>
      </c>
      <c r="T67" s="91">
        <f t="shared" si="9"/>
        <v>0</v>
      </c>
      <c r="U67" s="121"/>
      <c r="V67" s="121"/>
      <c r="W67" s="91"/>
      <c r="X67" s="91"/>
      <c r="Y67" s="91"/>
      <c r="Z67" s="91"/>
      <c r="AA67" s="91"/>
      <c r="AB67" s="91"/>
      <c r="AC67" s="91"/>
      <c r="AD67" s="91">
        <v>0</v>
      </c>
      <c r="AE67" s="91">
        <f t="shared" si="10"/>
        <v>0</v>
      </c>
      <c r="AF67" s="91">
        <f t="shared" si="11"/>
        <v>0</v>
      </c>
      <c r="AG67" s="91">
        <f t="shared" si="12"/>
        <v>0</v>
      </c>
      <c r="AH67" s="121"/>
    </row>
    <row r="68" spans="1:34" customFormat="1" x14ac:dyDescent="0.25">
      <c r="A68" s="1" t="s">
        <v>89</v>
      </c>
      <c r="B68" s="1" t="s">
        <v>224</v>
      </c>
      <c r="C68" s="119">
        <f>+VLOOKUP(B68,'IP PITSS'!$B$9:C134,2,0)</f>
        <v>15</v>
      </c>
      <c r="D68" s="119">
        <f>+VLOOKUP(B68,'IP PITSS'!$B$9:F134,5,0)</f>
        <v>282.81</v>
      </c>
      <c r="E68" s="119">
        <v>8000</v>
      </c>
      <c r="F68" s="120">
        <f t="shared" si="3"/>
        <v>4000</v>
      </c>
      <c r="G68" s="91">
        <f t="shared" si="4"/>
        <v>266.66666666666669</v>
      </c>
      <c r="H68" s="121"/>
      <c r="I68" s="91">
        <f t="shared" si="13"/>
        <v>0</v>
      </c>
      <c r="J68" s="91">
        <f t="shared" si="5"/>
        <v>0</v>
      </c>
      <c r="K68" s="121"/>
      <c r="L68" s="91">
        <f>+VLOOKUP(B68,'IP PITSS'!$B$9:AF135,3,0)</f>
        <v>0</v>
      </c>
      <c r="M68" s="91">
        <f t="shared" si="6"/>
        <v>0</v>
      </c>
      <c r="N68" s="91">
        <f>+VLOOKUP(B68,'IP PITSS'!$B$9:AG135,7,0)</f>
        <v>0</v>
      </c>
      <c r="O68" s="91">
        <f t="shared" si="7"/>
        <v>0</v>
      </c>
      <c r="P68" s="121"/>
      <c r="Q68" s="91">
        <f>+VLOOKUP(B68,'IP PITSS'!$B$9:AJ135,3,0)</f>
        <v>0</v>
      </c>
      <c r="R68" s="91">
        <f t="shared" si="8"/>
        <v>0</v>
      </c>
      <c r="S68" s="91">
        <f>+VLOOKUP(B68,'IP PITSS'!$B$9:AL135,8,0)</f>
        <v>0</v>
      </c>
      <c r="T68" s="91">
        <f t="shared" si="9"/>
        <v>0</v>
      </c>
      <c r="U68" s="121"/>
      <c r="V68" s="121"/>
      <c r="W68" s="91"/>
      <c r="X68" s="91"/>
      <c r="Y68" s="91"/>
      <c r="Z68" s="91"/>
      <c r="AA68" s="91"/>
      <c r="AB68" s="91"/>
      <c r="AC68" s="91"/>
      <c r="AD68" s="91">
        <v>0</v>
      </c>
      <c r="AE68" s="91">
        <f t="shared" si="10"/>
        <v>0</v>
      </c>
      <c r="AF68" s="91">
        <f t="shared" si="11"/>
        <v>0</v>
      </c>
      <c r="AG68" s="91">
        <f t="shared" si="12"/>
        <v>0</v>
      </c>
      <c r="AH68" s="121"/>
    </row>
    <row r="69" spans="1:34" customFormat="1" x14ac:dyDescent="0.25">
      <c r="A69" s="1" t="s">
        <v>89</v>
      </c>
      <c r="B69" s="1" t="s">
        <v>227</v>
      </c>
      <c r="C69" s="119">
        <f>+VLOOKUP(B69,'IP PITSS'!$B$9:C135,2,0)</f>
        <v>15</v>
      </c>
      <c r="D69" s="119">
        <f>+VLOOKUP(B69,'IP PITSS'!$B$9:F135,5,0)</f>
        <v>204.21</v>
      </c>
      <c r="E69" s="119">
        <v>9000</v>
      </c>
      <c r="F69" s="120">
        <f t="shared" si="3"/>
        <v>4500</v>
      </c>
      <c r="G69" s="91">
        <f t="shared" si="4"/>
        <v>300</v>
      </c>
      <c r="H69" s="121"/>
      <c r="I69" s="91">
        <f t="shared" si="13"/>
        <v>0</v>
      </c>
      <c r="J69" s="91">
        <f t="shared" si="5"/>
        <v>0</v>
      </c>
      <c r="K69" s="121"/>
      <c r="L69" s="91">
        <f>+VLOOKUP(B69,'IP PITSS'!$B$9:AF136,3,0)</f>
        <v>0</v>
      </c>
      <c r="M69" s="91">
        <f t="shared" si="6"/>
        <v>0</v>
      </c>
      <c r="N69" s="91">
        <f>+VLOOKUP(B69,'IP PITSS'!$B$9:AG136,7,0)</f>
        <v>0</v>
      </c>
      <c r="O69" s="91">
        <f t="shared" si="7"/>
        <v>0</v>
      </c>
      <c r="P69" s="121"/>
      <c r="Q69" s="91">
        <f>+VLOOKUP(B69,'IP PITSS'!$B$9:AJ136,3,0)</f>
        <v>0</v>
      </c>
      <c r="R69" s="91">
        <f t="shared" si="8"/>
        <v>0</v>
      </c>
      <c r="S69" s="91">
        <f>+VLOOKUP(B69,'IP PITSS'!$B$9:AL136,8,0)</f>
        <v>0</v>
      </c>
      <c r="T69" s="91">
        <f t="shared" si="9"/>
        <v>0</v>
      </c>
      <c r="U69" s="121"/>
      <c r="V69" s="121"/>
      <c r="W69" s="91"/>
      <c r="X69" s="91"/>
      <c r="Y69" s="91"/>
      <c r="Z69" s="91"/>
      <c r="AA69" s="91"/>
      <c r="AB69" s="91"/>
      <c r="AC69" s="91"/>
      <c r="AD69" s="91">
        <v>0</v>
      </c>
      <c r="AE69" s="91">
        <f t="shared" si="10"/>
        <v>0</v>
      </c>
      <c r="AF69" s="91">
        <f t="shared" si="11"/>
        <v>0</v>
      </c>
      <c r="AG69" s="91">
        <f t="shared" si="12"/>
        <v>0</v>
      </c>
      <c r="AH69" s="121"/>
    </row>
    <row r="70" spans="1:34" customFormat="1" x14ac:dyDescent="0.25">
      <c r="A70" s="1" t="s">
        <v>89</v>
      </c>
      <c r="B70" s="1" t="s">
        <v>230</v>
      </c>
      <c r="C70" s="119">
        <f>+VLOOKUP(B70,'IP PITSS'!$B$9:C136,2,0)</f>
        <v>15</v>
      </c>
      <c r="D70" s="119">
        <f>+VLOOKUP(B70,'IP PITSS'!$B$9:F136,5,0)</f>
        <v>494.92</v>
      </c>
      <c r="E70" s="119">
        <v>14000</v>
      </c>
      <c r="F70" s="120">
        <f t="shared" si="3"/>
        <v>7000</v>
      </c>
      <c r="G70" s="91">
        <f t="shared" si="4"/>
        <v>466.66666666666669</v>
      </c>
      <c r="H70" s="121"/>
      <c r="I70" s="91">
        <f t="shared" si="13"/>
        <v>0</v>
      </c>
      <c r="J70" s="91">
        <f t="shared" si="5"/>
        <v>0</v>
      </c>
      <c r="K70" s="121"/>
      <c r="L70" s="91">
        <f>+VLOOKUP(B70,'IP PITSS'!$B$9:AF137,3,0)</f>
        <v>0</v>
      </c>
      <c r="M70" s="91">
        <f t="shared" si="6"/>
        <v>0</v>
      </c>
      <c r="N70" s="91">
        <f>+VLOOKUP(B70,'IP PITSS'!$B$9:AG137,7,0)</f>
        <v>0</v>
      </c>
      <c r="O70" s="91">
        <f t="shared" si="7"/>
        <v>0</v>
      </c>
      <c r="P70" s="121"/>
      <c r="Q70" s="91">
        <f>+VLOOKUP(B70,'IP PITSS'!$B$9:AJ137,3,0)</f>
        <v>0</v>
      </c>
      <c r="R70" s="91">
        <f t="shared" si="8"/>
        <v>0</v>
      </c>
      <c r="S70" s="91">
        <f>+VLOOKUP(B70,'IP PITSS'!$B$9:AL137,8,0)</f>
        <v>0</v>
      </c>
      <c r="T70" s="91">
        <f t="shared" si="9"/>
        <v>0</v>
      </c>
      <c r="U70" s="121"/>
      <c r="V70" s="121"/>
      <c r="W70" s="91"/>
      <c r="X70" s="91"/>
      <c r="Y70" s="91"/>
      <c r="Z70" s="91"/>
      <c r="AA70" s="91"/>
      <c r="AB70" s="91"/>
      <c r="AC70" s="91"/>
      <c r="AD70" s="91">
        <v>0</v>
      </c>
      <c r="AE70" s="91">
        <f t="shared" si="10"/>
        <v>0</v>
      </c>
      <c r="AF70" s="91">
        <f t="shared" si="11"/>
        <v>0</v>
      </c>
      <c r="AG70" s="91">
        <f t="shared" si="12"/>
        <v>0</v>
      </c>
      <c r="AH70" s="121"/>
    </row>
    <row r="71" spans="1:34" customFormat="1" x14ac:dyDescent="0.25">
      <c r="A71" s="1" t="s">
        <v>89</v>
      </c>
      <c r="B71" s="1" t="s">
        <v>233</v>
      </c>
      <c r="C71" s="119">
        <f>+VLOOKUP(B71,'IP PITSS'!$B$9:C137,2,0)</f>
        <v>10</v>
      </c>
      <c r="D71" s="119">
        <f>+VLOOKUP(B71,'IP PITSS'!$B$9:F137,5,0)</f>
        <v>327.01</v>
      </c>
      <c r="E71" s="119">
        <v>15000</v>
      </c>
      <c r="F71" s="120">
        <f t="shared" si="3"/>
        <v>7500</v>
      </c>
      <c r="G71" s="91">
        <f t="shared" si="4"/>
        <v>500</v>
      </c>
      <c r="H71" s="121"/>
      <c r="I71" s="91">
        <v>0</v>
      </c>
      <c r="J71" s="91">
        <f t="shared" si="5"/>
        <v>0</v>
      </c>
      <c r="K71" s="121"/>
      <c r="L71" s="91">
        <f>+VLOOKUP(B71,'IP PITSS'!$B$9:AF138,3,0)</f>
        <v>5</v>
      </c>
      <c r="M71" s="91">
        <f t="shared" si="6"/>
        <v>2500</v>
      </c>
      <c r="N71" s="91">
        <f>+VLOOKUP(B71,'IP PITSS'!$B$9:AG138,7,0)</f>
        <v>1564.35</v>
      </c>
      <c r="O71" s="91">
        <f t="shared" si="7"/>
        <v>935.65000000000009</v>
      </c>
      <c r="P71" s="121"/>
      <c r="Q71" s="91">
        <f>+VLOOKUP(B71,'IP PITSS'!$B$9:AJ138,3,0)</f>
        <v>5</v>
      </c>
      <c r="R71" s="91">
        <f t="shared" si="8"/>
        <v>750</v>
      </c>
      <c r="S71" s="91">
        <f>+VLOOKUP(B71,'IP PITSS'!$B$9:AL138,8,0)</f>
        <v>469.31</v>
      </c>
      <c r="T71" s="91">
        <f t="shared" si="9"/>
        <v>280.69</v>
      </c>
      <c r="U71" s="121"/>
      <c r="V71" s="121"/>
      <c r="W71" s="91"/>
      <c r="X71" s="91"/>
      <c r="Y71" s="91"/>
      <c r="Z71" s="91"/>
      <c r="AA71" s="91"/>
      <c r="AB71" s="91"/>
      <c r="AC71" s="91"/>
      <c r="AD71" s="91">
        <v>0</v>
      </c>
      <c r="AE71" s="91">
        <f t="shared" si="10"/>
        <v>0</v>
      </c>
      <c r="AF71" s="91">
        <f t="shared" si="11"/>
        <v>0</v>
      </c>
      <c r="AG71" s="91">
        <f t="shared" si="12"/>
        <v>0</v>
      </c>
      <c r="AH71" s="121"/>
    </row>
    <row r="72" spans="1:34" customFormat="1" x14ac:dyDescent="0.25">
      <c r="A72" s="1" t="s">
        <v>89</v>
      </c>
      <c r="B72" s="1" t="s">
        <v>236</v>
      </c>
      <c r="C72" s="119">
        <f>+VLOOKUP(B72,'IP PITSS'!$B$9:C138,2,0)</f>
        <v>13</v>
      </c>
      <c r="D72" s="119">
        <f>+VLOOKUP(B72,'IP PITSS'!$B$9:F138,5,0)</f>
        <v>174.2</v>
      </c>
      <c r="E72" s="119">
        <v>10000</v>
      </c>
      <c r="F72" s="120">
        <f t="shared" si="3"/>
        <v>5000</v>
      </c>
      <c r="G72" s="91">
        <f t="shared" si="4"/>
        <v>333.33333333333331</v>
      </c>
      <c r="H72" s="121"/>
      <c r="I72" s="91">
        <v>0</v>
      </c>
      <c r="J72" s="91">
        <f t="shared" si="5"/>
        <v>0</v>
      </c>
      <c r="K72" s="121"/>
      <c r="L72" s="91">
        <f>+VLOOKUP(B72,'IP PITSS'!$B$9:AF139,3,0)</f>
        <v>2</v>
      </c>
      <c r="M72" s="91">
        <f t="shared" si="6"/>
        <v>666.66666666666663</v>
      </c>
      <c r="N72" s="91">
        <f>+VLOOKUP(B72,'IP PITSS'!$B$9:AG139,7,0)</f>
        <v>333.34</v>
      </c>
      <c r="O72" s="91">
        <f t="shared" si="7"/>
        <v>333.32666666666665</v>
      </c>
      <c r="P72" s="121"/>
      <c r="Q72" s="91">
        <f>+VLOOKUP(B72,'IP PITSS'!$B$9:AJ139,3,0)</f>
        <v>2</v>
      </c>
      <c r="R72" s="91">
        <f t="shared" si="8"/>
        <v>199.99999999999997</v>
      </c>
      <c r="S72" s="91">
        <f>+VLOOKUP(B72,'IP PITSS'!$B$9:AL139,8,0)</f>
        <v>100</v>
      </c>
      <c r="T72" s="91">
        <f t="shared" si="9"/>
        <v>99.999999999999972</v>
      </c>
      <c r="U72" s="121"/>
      <c r="V72" s="121"/>
      <c r="W72" s="91"/>
      <c r="X72" s="91"/>
      <c r="Y72" s="91"/>
      <c r="Z72" s="91"/>
      <c r="AA72" s="91"/>
      <c r="AB72" s="91"/>
      <c r="AC72" s="91"/>
      <c r="AD72" s="91">
        <v>0</v>
      </c>
      <c r="AE72" s="91">
        <f t="shared" si="10"/>
        <v>0</v>
      </c>
      <c r="AF72" s="91">
        <f t="shared" si="11"/>
        <v>0</v>
      </c>
      <c r="AG72" s="91">
        <f t="shared" si="12"/>
        <v>0</v>
      </c>
      <c r="AH72" s="121"/>
    </row>
    <row r="73" spans="1:34" customFormat="1" x14ac:dyDescent="0.25">
      <c r="A73" s="1" t="s">
        <v>89</v>
      </c>
      <c r="B73" s="1" t="s">
        <v>239</v>
      </c>
      <c r="C73" s="119">
        <f>+VLOOKUP(B73,'IP PITSS'!$B$9:C139,2,0)</f>
        <v>15</v>
      </c>
      <c r="D73" s="119">
        <f>+VLOOKUP(B73,'IP PITSS'!$B$9:F139,5,0)</f>
        <v>337.61</v>
      </c>
      <c r="E73" s="119">
        <v>9550.01</v>
      </c>
      <c r="F73" s="120">
        <f t="shared" si="3"/>
        <v>4775.0050000000001</v>
      </c>
      <c r="G73" s="91">
        <f t="shared" si="4"/>
        <v>318.33366666666666</v>
      </c>
      <c r="H73" s="121"/>
      <c r="I73" s="91">
        <f t="shared" si="13"/>
        <v>0</v>
      </c>
      <c r="J73" s="91">
        <f t="shared" si="5"/>
        <v>0</v>
      </c>
      <c r="K73" s="121"/>
      <c r="L73" s="91">
        <f>+VLOOKUP(B73,'IP PITSS'!$B$9:AF140,3,0)</f>
        <v>0</v>
      </c>
      <c r="M73" s="91">
        <f t="shared" si="6"/>
        <v>0</v>
      </c>
      <c r="N73" s="91">
        <f>+VLOOKUP(B73,'IP PITSS'!$B$9:AG140,7,0)</f>
        <v>0</v>
      </c>
      <c r="O73" s="91">
        <f t="shared" si="7"/>
        <v>0</v>
      </c>
      <c r="P73" s="121"/>
      <c r="Q73" s="91">
        <f>+VLOOKUP(B73,'IP PITSS'!$B$9:AJ140,3,0)</f>
        <v>0</v>
      </c>
      <c r="R73" s="91">
        <f t="shared" si="8"/>
        <v>0</v>
      </c>
      <c r="S73" s="91">
        <f>+VLOOKUP(B73,'IP PITSS'!$B$9:AL140,8,0)</f>
        <v>0</v>
      </c>
      <c r="T73" s="91">
        <f t="shared" si="9"/>
        <v>0</v>
      </c>
      <c r="U73" s="121"/>
      <c r="V73" s="121"/>
      <c r="W73" s="91"/>
      <c r="X73" s="91"/>
      <c r="Y73" s="91"/>
      <c r="Z73" s="91"/>
      <c r="AA73" s="91"/>
      <c r="AB73" s="91"/>
      <c r="AC73" s="91"/>
      <c r="AD73" s="91">
        <v>0</v>
      </c>
      <c r="AE73" s="91">
        <f t="shared" si="10"/>
        <v>0</v>
      </c>
      <c r="AF73" s="91">
        <f t="shared" si="11"/>
        <v>0</v>
      </c>
      <c r="AG73" s="91">
        <f t="shared" si="12"/>
        <v>0</v>
      </c>
      <c r="AH73" s="121"/>
    </row>
    <row r="74" spans="1:34" customFormat="1" x14ac:dyDescent="0.25">
      <c r="A74" s="1" t="s">
        <v>89</v>
      </c>
      <c r="B74" s="1" t="s">
        <v>242</v>
      </c>
      <c r="C74" s="119">
        <f>+VLOOKUP(B74,'IP PITSS'!$B$9:C140,2,0)</f>
        <v>15</v>
      </c>
      <c r="D74" s="119">
        <f>+VLOOKUP(B74,'IP PITSS'!$B$9:F140,5,0)</f>
        <v>327.01</v>
      </c>
      <c r="E74" s="119">
        <v>17000</v>
      </c>
      <c r="F74" s="120">
        <f t="shared" ref="F74:F108" si="14">+E74/2</f>
        <v>8500</v>
      </c>
      <c r="G74" s="91">
        <f t="shared" ref="G74:G108" si="15">+F74/15</f>
        <v>566.66666666666663</v>
      </c>
      <c r="H74" s="121"/>
      <c r="I74" s="91">
        <f t="shared" ref="I74:I108" si="16">15-C74</f>
        <v>0</v>
      </c>
      <c r="J74" s="91">
        <f t="shared" ref="J74:J108" si="17">+I74*G74</f>
        <v>0</v>
      </c>
      <c r="K74" s="121"/>
      <c r="L74" s="91">
        <f>+VLOOKUP(B74,'IP PITSS'!$B$9:AF141,3,0)</f>
        <v>0</v>
      </c>
      <c r="M74" s="91">
        <f t="shared" ref="M74:M108" si="18">+G74*L74</f>
        <v>0</v>
      </c>
      <c r="N74" s="91">
        <f>+VLOOKUP(B74,'IP PITSS'!$B$9:AG141,7,0)</f>
        <v>0</v>
      </c>
      <c r="O74" s="91">
        <f t="shared" ref="O74:O108" si="19">+M74-N74</f>
        <v>0</v>
      </c>
      <c r="P74" s="121"/>
      <c r="Q74" s="91">
        <f>+VLOOKUP(B74,'IP PITSS'!$B$9:AJ141,3,0)</f>
        <v>0</v>
      </c>
      <c r="R74" s="91">
        <f t="shared" ref="R74:R108" si="20">+G74*Q74*30%</f>
        <v>0</v>
      </c>
      <c r="S74" s="91">
        <f>+VLOOKUP(B74,'IP PITSS'!$B$9:AL141,8,0)</f>
        <v>0</v>
      </c>
      <c r="T74" s="91">
        <f t="shared" ref="T74:T108" si="21">+R74-S74</f>
        <v>0</v>
      </c>
      <c r="U74" s="121"/>
      <c r="V74" s="121"/>
      <c r="W74" s="91"/>
      <c r="X74" s="91"/>
      <c r="Y74" s="91"/>
      <c r="Z74" s="91"/>
      <c r="AA74" s="91"/>
      <c r="AB74" s="91"/>
      <c r="AC74" s="91"/>
      <c r="AD74" s="91">
        <v>0</v>
      </c>
      <c r="AE74" s="91">
        <f t="shared" ref="AE74:AE108" si="22">+G74*AD74</f>
        <v>0</v>
      </c>
      <c r="AF74" s="91">
        <f t="shared" ref="AF74:AF108" si="23">+AD74*D74</f>
        <v>0</v>
      </c>
      <c r="AG74" s="91">
        <f t="shared" ref="AG74:AG108" si="24">+AE74-AF74</f>
        <v>0</v>
      </c>
      <c r="AH74" s="121"/>
    </row>
    <row r="75" spans="1:34" customFormat="1" x14ac:dyDescent="0.25">
      <c r="A75" s="1" t="s">
        <v>89</v>
      </c>
      <c r="B75" s="62" t="s">
        <v>419</v>
      </c>
      <c r="C75" s="119">
        <f>+VLOOKUP(B75,'IP PITSS'!$B$9:C141,2,0)</f>
        <v>15</v>
      </c>
      <c r="D75" s="119">
        <f>+VLOOKUP(B75,'IP PITSS'!$B$9:F141,5,0)</f>
        <v>176.76</v>
      </c>
      <c r="E75" s="119">
        <v>12000</v>
      </c>
      <c r="F75" s="120">
        <f t="shared" si="14"/>
        <v>6000</v>
      </c>
      <c r="G75" s="91">
        <f t="shared" si="15"/>
        <v>400</v>
      </c>
      <c r="H75" s="121"/>
      <c r="I75" s="91">
        <f t="shared" si="16"/>
        <v>0</v>
      </c>
      <c r="J75" s="91">
        <f t="shared" si="17"/>
        <v>0</v>
      </c>
      <c r="K75" s="121"/>
      <c r="L75" s="91">
        <f>+VLOOKUP(B75,'IP PITSS'!$B$9:AF142,3,0)</f>
        <v>0</v>
      </c>
      <c r="M75" s="91">
        <f t="shared" si="18"/>
        <v>0</v>
      </c>
      <c r="N75" s="91">
        <f>+VLOOKUP(B75,'IP PITSS'!$B$9:AG142,7,0)</f>
        <v>0</v>
      </c>
      <c r="O75" s="91">
        <f t="shared" si="19"/>
        <v>0</v>
      </c>
      <c r="P75" s="121"/>
      <c r="Q75" s="91">
        <f>+VLOOKUP(B75,'IP PITSS'!$B$9:AJ142,3,0)</f>
        <v>0</v>
      </c>
      <c r="R75" s="91">
        <f t="shared" si="20"/>
        <v>0</v>
      </c>
      <c r="S75" s="91">
        <f>+VLOOKUP(B75,'IP PITSS'!$B$9:AL142,8,0)</f>
        <v>0</v>
      </c>
      <c r="T75" s="91">
        <f t="shared" si="21"/>
        <v>0</v>
      </c>
      <c r="U75" s="121"/>
      <c r="V75" s="121"/>
      <c r="W75" s="91"/>
      <c r="X75" s="91"/>
      <c r="Y75" s="91"/>
      <c r="Z75" s="91"/>
      <c r="AA75" s="91"/>
      <c r="AB75" s="91"/>
      <c r="AC75" s="91"/>
      <c r="AD75" s="91">
        <v>0</v>
      </c>
      <c r="AE75" s="91">
        <f t="shared" si="22"/>
        <v>0</v>
      </c>
      <c r="AF75" s="91">
        <f t="shared" si="23"/>
        <v>0</v>
      </c>
      <c r="AG75" s="91">
        <f t="shared" si="24"/>
        <v>0</v>
      </c>
      <c r="AH75" s="121"/>
    </row>
    <row r="76" spans="1:34" customFormat="1" x14ac:dyDescent="0.25">
      <c r="A76" s="1" t="s">
        <v>89</v>
      </c>
      <c r="B76" s="1" t="s">
        <v>247</v>
      </c>
      <c r="C76" s="119">
        <f>+VLOOKUP(B76,'IP PITSS'!$B$9:C142,2,0)</f>
        <v>15</v>
      </c>
      <c r="D76" s="119">
        <f>+VLOOKUP(B76,'IP PITSS'!$B$9:F142,5,0)</f>
        <v>174.19</v>
      </c>
      <c r="E76" s="119">
        <v>5000</v>
      </c>
      <c r="F76" s="120">
        <f t="shared" si="14"/>
        <v>2500</v>
      </c>
      <c r="G76" s="91">
        <f t="shared" si="15"/>
        <v>166.66666666666666</v>
      </c>
      <c r="H76" s="121"/>
      <c r="I76" s="91">
        <f t="shared" si="16"/>
        <v>0</v>
      </c>
      <c r="J76" s="91">
        <f t="shared" si="17"/>
        <v>0</v>
      </c>
      <c r="K76" s="121"/>
      <c r="L76" s="91">
        <f>+VLOOKUP(B76,'IP PITSS'!$B$9:AF143,3,0)</f>
        <v>0</v>
      </c>
      <c r="M76" s="91">
        <f t="shared" si="18"/>
        <v>0</v>
      </c>
      <c r="N76" s="91">
        <f>+VLOOKUP(B76,'IP PITSS'!$B$9:AG143,7,0)</f>
        <v>0</v>
      </c>
      <c r="O76" s="91">
        <f t="shared" si="19"/>
        <v>0</v>
      </c>
      <c r="P76" s="121"/>
      <c r="Q76" s="91">
        <f>+VLOOKUP(B76,'IP PITSS'!$B$9:AJ143,3,0)</f>
        <v>0</v>
      </c>
      <c r="R76" s="91">
        <f t="shared" si="20"/>
        <v>0</v>
      </c>
      <c r="S76" s="91">
        <f>+VLOOKUP(B76,'IP PITSS'!$B$9:AL143,8,0)</f>
        <v>0</v>
      </c>
      <c r="T76" s="91">
        <f t="shared" si="21"/>
        <v>0</v>
      </c>
      <c r="U76" s="121"/>
      <c r="V76" s="121"/>
      <c r="W76" s="91"/>
      <c r="X76" s="91"/>
      <c r="Y76" s="91"/>
      <c r="Z76" s="91"/>
      <c r="AA76" s="91"/>
      <c r="AB76" s="91"/>
      <c r="AC76" s="91"/>
      <c r="AD76" s="91">
        <v>0</v>
      </c>
      <c r="AE76" s="91">
        <f t="shared" si="22"/>
        <v>0</v>
      </c>
      <c r="AF76" s="91">
        <f t="shared" si="23"/>
        <v>0</v>
      </c>
      <c r="AG76" s="91">
        <f t="shared" si="24"/>
        <v>0</v>
      </c>
      <c r="AH76" s="121"/>
    </row>
    <row r="77" spans="1:34" customFormat="1" x14ac:dyDescent="0.25">
      <c r="A77" s="1" t="s">
        <v>89</v>
      </c>
      <c r="B77" s="1" t="s">
        <v>250</v>
      </c>
      <c r="C77" s="119">
        <f>+VLOOKUP(B77,'IP PITSS'!$B$9:C143,2,0)</f>
        <v>15</v>
      </c>
      <c r="D77" s="119">
        <f>+VLOOKUP(B77,'IP PITSS'!$B$9:F143,5,0)</f>
        <v>156.78</v>
      </c>
      <c r="E77" s="119">
        <v>9000</v>
      </c>
      <c r="F77" s="120">
        <f t="shared" si="14"/>
        <v>4500</v>
      </c>
      <c r="G77" s="91">
        <f t="shared" si="15"/>
        <v>300</v>
      </c>
      <c r="H77" s="121"/>
      <c r="I77" s="91">
        <f t="shared" si="16"/>
        <v>0</v>
      </c>
      <c r="J77" s="91">
        <f t="shared" si="17"/>
        <v>0</v>
      </c>
      <c r="K77" s="121"/>
      <c r="L77" s="91">
        <f>+VLOOKUP(B77,'IP PITSS'!$B$9:AF144,3,0)</f>
        <v>0</v>
      </c>
      <c r="M77" s="91">
        <f t="shared" si="18"/>
        <v>0</v>
      </c>
      <c r="N77" s="91">
        <f>+VLOOKUP(B77,'IP PITSS'!$B$9:AG144,7,0)</f>
        <v>0</v>
      </c>
      <c r="O77" s="91">
        <f t="shared" si="19"/>
        <v>0</v>
      </c>
      <c r="P77" s="121"/>
      <c r="Q77" s="91">
        <f>+VLOOKUP(B77,'IP PITSS'!$B$9:AJ144,3,0)</f>
        <v>0</v>
      </c>
      <c r="R77" s="91">
        <f t="shared" si="20"/>
        <v>0</v>
      </c>
      <c r="S77" s="91">
        <f>+VLOOKUP(B77,'IP PITSS'!$B$9:AL144,8,0)</f>
        <v>0</v>
      </c>
      <c r="T77" s="91">
        <f t="shared" si="21"/>
        <v>0</v>
      </c>
      <c r="U77" s="121"/>
      <c r="V77" s="121"/>
      <c r="W77" s="91"/>
      <c r="X77" s="91"/>
      <c r="Y77" s="91"/>
      <c r="Z77" s="91"/>
      <c r="AA77" s="91"/>
      <c r="AB77" s="91"/>
      <c r="AC77" s="91"/>
      <c r="AD77" s="91">
        <v>0</v>
      </c>
      <c r="AE77" s="91">
        <f t="shared" si="22"/>
        <v>0</v>
      </c>
      <c r="AF77" s="91">
        <f t="shared" si="23"/>
        <v>0</v>
      </c>
      <c r="AG77" s="91">
        <f t="shared" si="24"/>
        <v>0</v>
      </c>
      <c r="AH77" s="121"/>
    </row>
    <row r="78" spans="1:34" customFormat="1" x14ac:dyDescent="0.25">
      <c r="A78" s="1" t="s">
        <v>89</v>
      </c>
      <c r="B78" s="1" t="s">
        <v>252</v>
      </c>
      <c r="C78" s="119">
        <f>+VLOOKUP(B78,'IP PITSS'!$B$9:C144,2,0)</f>
        <v>15</v>
      </c>
      <c r="D78" s="119">
        <f>+VLOOKUP(B78,'IP PITSS'!$B$9:F144,5,0)</f>
        <v>287.43</v>
      </c>
      <c r="E78" s="119">
        <v>8800</v>
      </c>
      <c r="F78" s="120">
        <f t="shared" si="14"/>
        <v>4400</v>
      </c>
      <c r="G78" s="91">
        <f t="shared" si="15"/>
        <v>293.33333333333331</v>
      </c>
      <c r="H78" s="121"/>
      <c r="I78" s="91">
        <f t="shared" si="16"/>
        <v>0</v>
      </c>
      <c r="J78" s="91">
        <f t="shared" si="17"/>
        <v>0</v>
      </c>
      <c r="K78" s="121"/>
      <c r="L78" s="91">
        <f>+VLOOKUP(B78,'IP PITSS'!$B$9:AF145,3,0)</f>
        <v>0</v>
      </c>
      <c r="M78" s="91">
        <f t="shared" si="18"/>
        <v>0</v>
      </c>
      <c r="N78" s="91">
        <f>+VLOOKUP(B78,'IP PITSS'!$B$9:AG145,7,0)</f>
        <v>0</v>
      </c>
      <c r="O78" s="91">
        <f t="shared" si="19"/>
        <v>0</v>
      </c>
      <c r="P78" s="121"/>
      <c r="Q78" s="91">
        <f>+VLOOKUP(B78,'IP PITSS'!$B$9:AJ145,3,0)</f>
        <v>0</v>
      </c>
      <c r="R78" s="91">
        <f t="shared" si="20"/>
        <v>0</v>
      </c>
      <c r="S78" s="91">
        <f>+VLOOKUP(B78,'IP PITSS'!$B$9:AL145,8,0)</f>
        <v>0</v>
      </c>
      <c r="T78" s="91">
        <f t="shared" si="21"/>
        <v>0</v>
      </c>
      <c r="U78" s="121"/>
      <c r="V78" s="121"/>
      <c r="W78" s="91"/>
      <c r="X78" s="91"/>
      <c r="Y78" s="91"/>
      <c r="Z78" s="91"/>
      <c r="AA78" s="91"/>
      <c r="AB78" s="91"/>
      <c r="AC78" s="91"/>
      <c r="AD78" s="91">
        <v>0</v>
      </c>
      <c r="AE78" s="91">
        <f t="shared" si="22"/>
        <v>0</v>
      </c>
      <c r="AF78" s="91">
        <f t="shared" si="23"/>
        <v>0</v>
      </c>
      <c r="AG78" s="91">
        <f t="shared" si="24"/>
        <v>0</v>
      </c>
      <c r="AH78" s="121"/>
    </row>
    <row r="79" spans="1:34" customFormat="1" x14ac:dyDescent="0.25">
      <c r="A79" s="1" t="s">
        <v>89</v>
      </c>
      <c r="B79" s="1" t="s">
        <v>255</v>
      </c>
      <c r="C79" s="119">
        <f>+VLOOKUP(B79,'IP PITSS'!$B$9:C145,2,0)</f>
        <v>10</v>
      </c>
      <c r="D79" s="119">
        <f>+VLOOKUP(B79,'IP PITSS'!$B$9:F145,5,0)</f>
        <v>156.78</v>
      </c>
      <c r="E79" s="119">
        <v>9000</v>
      </c>
      <c r="F79" s="120">
        <f t="shared" si="14"/>
        <v>4500</v>
      </c>
      <c r="G79" s="91">
        <f t="shared" si="15"/>
        <v>300</v>
      </c>
      <c r="H79" s="121"/>
      <c r="I79" s="91">
        <v>0</v>
      </c>
      <c r="J79" s="91">
        <f t="shared" si="17"/>
        <v>0</v>
      </c>
      <c r="K79" s="121"/>
      <c r="L79" s="91">
        <f>+VLOOKUP(B79,'IP PITSS'!$B$9:AF146,3,0)</f>
        <v>5</v>
      </c>
      <c r="M79" s="91">
        <f t="shared" si="18"/>
        <v>1500</v>
      </c>
      <c r="N79" s="91">
        <f>+VLOOKUP(B79,'IP PITSS'!$B$9:AG146,7,0)</f>
        <v>750</v>
      </c>
      <c r="O79" s="91">
        <f t="shared" si="19"/>
        <v>750</v>
      </c>
      <c r="P79" s="121"/>
      <c r="Q79" s="91">
        <f>+VLOOKUP(B79,'IP PITSS'!$B$9:AJ146,3,0)</f>
        <v>5</v>
      </c>
      <c r="R79" s="91">
        <f t="shared" si="20"/>
        <v>450</v>
      </c>
      <c r="S79" s="91">
        <f>+VLOOKUP(B79,'IP PITSS'!$B$9:AL146,8,0)</f>
        <v>225</v>
      </c>
      <c r="T79" s="91">
        <f t="shared" si="21"/>
        <v>225</v>
      </c>
      <c r="U79" s="121"/>
      <c r="V79" s="121"/>
      <c r="W79" s="91"/>
      <c r="X79" s="91"/>
      <c r="Y79" s="91"/>
      <c r="Z79" s="91"/>
      <c r="AA79" s="91"/>
      <c r="AB79" s="91"/>
      <c r="AC79" s="91"/>
      <c r="AD79" s="91">
        <v>0</v>
      </c>
      <c r="AE79" s="91">
        <f t="shared" si="22"/>
        <v>0</v>
      </c>
      <c r="AF79" s="91">
        <f t="shared" si="23"/>
        <v>0</v>
      </c>
      <c r="AG79" s="91">
        <f t="shared" si="24"/>
        <v>0</v>
      </c>
      <c r="AH79" s="121"/>
    </row>
    <row r="80" spans="1:34" customFormat="1" x14ac:dyDescent="0.25">
      <c r="A80" s="1" t="s">
        <v>89</v>
      </c>
      <c r="B80" s="7" t="s">
        <v>258</v>
      </c>
      <c r="C80" s="119">
        <f>+VLOOKUP(B80,'IP PITSS'!$B$9:C146,2,0)</f>
        <v>15</v>
      </c>
      <c r="D80" s="119">
        <f>+VLOOKUP(B80,'IP PITSS'!$B$9:F146,5,0)</f>
        <v>278.72000000000003</v>
      </c>
      <c r="E80" s="119">
        <v>8000</v>
      </c>
      <c r="F80" s="120">
        <f t="shared" si="14"/>
        <v>4000</v>
      </c>
      <c r="G80" s="91">
        <f t="shared" si="15"/>
        <v>266.66666666666669</v>
      </c>
      <c r="H80" s="121"/>
      <c r="I80" s="91">
        <f t="shared" si="16"/>
        <v>0</v>
      </c>
      <c r="J80" s="91">
        <f t="shared" si="17"/>
        <v>0</v>
      </c>
      <c r="K80" s="121"/>
      <c r="L80" s="91">
        <f>+VLOOKUP(B80,'IP PITSS'!$B$9:AF147,3,0)</f>
        <v>0</v>
      </c>
      <c r="M80" s="91">
        <f t="shared" si="18"/>
        <v>0</v>
      </c>
      <c r="N80" s="91">
        <f>+VLOOKUP(B80,'IP PITSS'!$B$9:AG147,7,0)</f>
        <v>0</v>
      </c>
      <c r="O80" s="91">
        <f t="shared" si="19"/>
        <v>0</v>
      </c>
      <c r="P80" s="121"/>
      <c r="Q80" s="91">
        <f>+VLOOKUP(B80,'IP PITSS'!$B$9:AJ147,3,0)</f>
        <v>0</v>
      </c>
      <c r="R80" s="91">
        <f t="shared" si="20"/>
        <v>0</v>
      </c>
      <c r="S80" s="91">
        <f>+VLOOKUP(B80,'IP PITSS'!$B$9:AL147,8,0)</f>
        <v>0</v>
      </c>
      <c r="T80" s="91">
        <f t="shared" si="21"/>
        <v>0</v>
      </c>
      <c r="U80" s="121"/>
      <c r="V80" s="121"/>
      <c r="W80" s="91"/>
      <c r="X80" s="91"/>
      <c r="Y80" s="91"/>
      <c r="Z80" s="91"/>
      <c r="AA80" s="91"/>
      <c r="AB80" s="91"/>
      <c r="AC80" s="91"/>
      <c r="AD80" s="91">
        <v>0</v>
      </c>
      <c r="AE80" s="91">
        <f t="shared" si="22"/>
        <v>0</v>
      </c>
      <c r="AF80" s="91">
        <f t="shared" si="23"/>
        <v>0</v>
      </c>
      <c r="AG80" s="91">
        <f t="shared" si="24"/>
        <v>0</v>
      </c>
      <c r="AH80" s="121"/>
    </row>
    <row r="81" spans="1:34" customFormat="1" x14ac:dyDescent="0.25">
      <c r="A81" s="1" t="s">
        <v>89</v>
      </c>
      <c r="B81" s="1" t="s">
        <v>262</v>
      </c>
      <c r="C81" s="119">
        <f>+VLOOKUP(B81,'IP PITSS'!$B$9:C147,2,0)</f>
        <v>15</v>
      </c>
      <c r="D81" s="119">
        <f>+VLOOKUP(B81,'IP PITSS'!$B$9:F147,5,0)</f>
        <v>222.72</v>
      </c>
      <c r="E81" s="119">
        <v>6300</v>
      </c>
      <c r="F81" s="120">
        <f t="shared" si="14"/>
        <v>3150</v>
      </c>
      <c r="G81" s="91">
        <f t="shared" si="15"/>
        <v>210</v>
      </c>
      <c r="H81" s="121"/>
      <c r="I81" s="91">
        <f t="shared" si="16"/>
        <v>0</v>
      </c>
      <c r="J81" s="91">
        <f t="shared" si="17"/>
        <v>0</v>
      </c>
      <c r="K81" s="121"/>
      <c r="L81" s="91">
        <f>+VLOOKUP(B81,'IP PITSS'!$B$9:AF148,3,0)</f>
        <v>0</v>
      </c>
      <c r="M81" s="91">
        <f t="shared" si="18"/>
        <v>0</v>
      </c>
      <c r="N81" s="91">
        <f>+VLOOKUP(B81,'IP PITSS'!$B$9:AG148,7,0)</f>
        <v>0</v>
      </c>
      <c r="O81" s="91">
        <f t="shared" si="19"/>
        <v>0</v>
      </c>
      <c r="P81" s="121"/>
      <c r="Q81" s="91">
        <f>+VLOOKUP(B81,'IP PITSS'!$B$9:AJ148,3,0)</f>
        <v>0</v>
      </c>
      <c r="R81" s="91">
        <f t="shared" si="20"/>
        <v>0</v>
      </c>
      <c r="S81" s="91">
        <f>+VLOOKUP(B81,'IP PITSS'!$B$9:AL148,8,0)</f>
        <v>0</v>
      </c>
      <c r="T81" s="91">
        <f t="shared" si="21"/>
        <v>0</v>
      </c>
      <c r="U81" s="121"/>
      <c r="V81" s="121"/>
      <c r="W81" s="91"/>
      <c r="X81" s="91"/>
      <c r="Y81" s="91"/>
      <c r="Z81" s="91"/>
      <c r="AA81" s="91"/>
      <c r="AB81" s="91"/>
      <c r="AC81" s="91"/>
      <c r="AD81" s="91">
        <v>0</v>
      </c>
      <c r="AE81" s="91">
        <f t="shared" si="22"/>
        <v>0</v>
      </c>
      <c r="AF81" s="91">
        <f t="shared" si="23"/>
        <v>0</v>
      </c>
      <c r="AG81" s="91">
        <f t="shared" si="24"/>
        <v>0</v>
      </c>
      <c r="AH81" s="121"/>
    </row>
    <row r="82" spans="1:34" customFormat="1" x14ac:dyDescent="0.25">
      <c r="A82" s="1" t="s">
        <v>89</v>
      </c>
      <c r="B82" s="1" t="s">
        <v>265</v>
      </c>
      <c r="C82" s="119">
        <f>+VLOOKUP(B82,'IP PITSS'!$B$9:C148,2,0)</f>
        <v>15</v>
      </c>
      <c r="D82" s="119">
        <f>+VLOOKUP(B82,'IP PITSS'!$B$9:F148,5,0)</f>
        <v>282.81</v>
      </c>
      <c r="E82" s="119">
        <v>8000</v>
      </c>
      <c r="F82" s="120">
        <f t="shared" si="14"/>
        <v>4000</v>
      </c>
      <c r="G82" s="91">
        <f t="shared" si="15"/>
        <v>266.66666666666669</v>
      </c>
      <c r="H82" s="121"/>
      <c r="I82" s="91">
        <f t="shared" si="16"/>
        <v>0</v>
      </c>
      <c r="J82" s="91">
        <f t="shared" si="17"/>
        <v>0</v>
      </c>
      <c r="K82" s="121"/>
      <c r="L82" s="91">
        <f>+VLOOKUP(B82,'IP PITSS'!$B$9:AF149,3,0)</f>
        <v>0</v>
      </c>
      <c r="M82" s="91">
        <f t="shared" si="18"/>
        <v>0</v>
      </c>
      <c r="N82" s="91">
        <f>+VLOOKUP(B82,'IP PITSS'!$B$9:AG149,7,0)</f>
        <v>0</v>
      </c>
      <c r="O82" s="91">
        <f t="shared" si="19"/>
        <v>0</v>
      </c>
      <c r="P82" s="121"/>
      <c r="Q82" s="91">
        <f>+VLOOKUP(B82,'IP PITSS'!$B$9:AJ149,3,0)</f>
        <v>0</v>
      </c>
      <c r="R82" s="91">
        <f t="shared" si="20"/>
        <v>0</v>
      </c>
      <c r="S82" s="91">
        <f>+VLOOKUP(B82,'IP PITSS'!$B$9:AL149,8,0)</f>
        <v>0</v>
      </c>
      <c r="T82" s="91">
        <f t="shared" si="21"/>
        <v>0</v>
      </c>
      <c r="U82" s="121"/>
      <c r="V82" s="121"/>
      <c r="W82" s="91"/>
      <c r="X82" s="91"/>
      <c r="Y82" s="91"/>
      <c r="Z82" s="91"/>
      <c r="AA82" s="91"/>
      <c r="AB82" s="91"/>
      <c r="AC82" s="91"/>
      <c r="AD82" s="91">
        <v>0</v>
      </c>
      <c r="AE82" s="91">
        <f t="shared" si="22"/>
        <v>0</v>
      </c>
      <c r="AF82" s="91">
        <f t="shared" si="23"/>
        <v>0</v>
      </c>
      <c r="AG82" s="91">
        <f t="shared" si="24"/>
        <v>0</v>
      </c>
      <c r="AH82" s="121"/>
    </row>
    <row r="83" spans="1:34" customFormat="1" x14ac:dyDescent="0.25">
      <c r="A83" s="1" t="s">
        <v>89</v>
      </c>
      <c r="B83" s="1" t="s">
        <v>269</v>
      </c>
      <c r="C83" s="119">
        <f>+VLOOKUP(B83,'IP PITSS'!$B$9:C149,2,0)</f>
        <v>15</v>
      </c>
      <c r="D83" s="119">
        <f>+VLOOKUP(B83,'IP PITSS'!$B$9:F149,5,0)</f>
        <v>278.72000000000003</v>
      </c>
      <c r="E83" s="119">
        <v>8000</v>
      </c>
      <c r="F83" s="120">
        <f t="shared" si="14"/>
        <v>4000</v>
      </c>
      <c r="G83" s="91">
        <f t="shared" si="15"/>
        <v>266.66666666666669</v>
      </c>
      <c r="H83" s="121"/>
      <c r="I83" s="91">
        <f t="shared" si="16"/>
        <v>0</v>
      </c>
      <c r="J83" s="91">
        <f t="shared" si="17"/>
        <v>0</v>
      </c>
      <c r="K83" s="121"/>
      <c r="L83" s="91">
        <f>+VLOOKUP(B83,'IP PITSS'!$B$9:AF150,3,0)</f>
        <v>0</v>
      </c>
      <c r="M83" s="91">
        <f t="shared" si="18"/>
        <v>0</v>
      </c>
      <c r="N83" s="91">
        <f>+VLOOKUP(B83,'IP PITSS'!$B$9:AG150,7,0)</f>
        <v>0</v>
      </c>
      <c r="O83" s="91">
        <f t="shared" si="19"/>
        <v>0</v>
      </c>
      <c r="P83" s="121"/>
      <c r="Q83" s="91">
        <f>+VLOOKUP(B83,'IP PITSS'!$B$9:AJ150,3,0)</f>
        <v>0</v>
      </c>
      <c r="R83" s="91">
        <f t="shared" si="20"/>
        <v>0</v>
      </c>
      <c r="S83" s="91">
        <f>+VLOOKUP(B83,'IP PITSS'!$B$9:AL150,8,0)</f>
        <v>0</v>
      </c>
      <c r="T83" s="91">
        <f t="shared" si="21"/>
        <v>0</v>
      </c>
      <c r="U83" s="121"/>
      <c r="V83" s="121"/>
      <c r="W83" s="91"/>
      <c r="X83" s="91"/>
      <c r="Y83" s="91"/>
      <c r="Z83" s="91"/>
      <c r="AA83" s="91"/>
      <c r="AB83" s="91"/>
      <c r="AC83" s="91"/>
      <c r="AD83" s="91">
        <v>0</v>
      </c>
      <c r="AE83" s="91">
        <f t="shared" si="22"/>
        <v>0</v>
      </c>
      <c r="AF83" s="91">
        <f t="shared" si="23"/>
        <v>0</v>
      </c>
      <c r="AG83" s="91">
        <f t="shared" si="24"/>
        <v>0</v>
      </c>
      <c r="AH83" s="121"/>
    </row>
    <row r="84" spans="1:34" customFormat="1" x14ac:dyDescent="0.25">
      <c r="A84" s="1" t="s">
        <v>89</v>
      </c>
      <c r="B84" s="1" t="s">
        <v>272</v>
      </c>
      <c r="C84" s="119">
        <f>+VLOOKUP(B84,'IP PITSS'!$B$9:C150,2,0)</f>
        <v>14</v>
      </c>
      <c r="D84" s="119">
        <f>+VLOOKUP(B84,'IP PITSS'!$B$9:F150,5,0)</f>
        <v>353.5</v>
      </c>
      <c r="E84" s="119">
        <v>10000</v>
      </c>
      <c r="F84" s="120">
        <f t="shared" si="14"/>
        <v>5000</v>
      </c>
      <c r="G84" s="91">
        <f t="shared" si="15"/>
        <v>333.33333333333331</v>
      </c>
      <c r="H84" s="121"/>
      <c r="I84" s="91">
        <f t="shared" si="16"/>
        <v>1</v>
      </c>
      <c r="J84" s="91">
        <f t="shared" si="17"/>
        <v>333.33333333333331</v>
      </c>
      <c r="K84" s="121"/>
      <c r="L84" s="91">
        <f>+VLOOKUP(B84,'IP PITSS'!$B$9:AF151,3,0)</f>
        <v>0</v>
      </c>
      <c r="M84" s="91">
        <f t="shared" si="18"/>
        <v>0</v>
      </c>
      <c r="N84" s="91">
        <f>+VLOOKUP(B84,'IP PITSS'!$B$9:AG151,7,0)</f>
        <v>0</v>
      </c>
      <c r="O84" s="91">
        <f t="shared" si="19"/>
        <v>0</v>
      </c>
      <c r="P84" s="121"/>
      <c r="Q84" s="91">
        <f>+VLOOKUP(B84,'IP PITSS'!$B$9:AJ151,3,0)</f>
        <v>0</v>
      </c>
      <c r="R84" s="91">
        <f t="shared" si="20"/>
        <v>0</v>
      </c>
      <c r="S84" s="91">
        <f>+VLOOKUP(B84,'IP PITSS'!$B$9:AL151,8,0)</f>
        <v>0</v>
      </c>
      <c r="T84" s="91">
        <f t="shared" si="21"/>
        <v>0</v>
      </c>
      <c r="U84" s="121"/>
      <c r="V84" s="121"/>
      <c r="W84" s="91"/>
      <c r="X84" s="91"/>
      <c r="Y84" s="91"/>
      <c r="Z84" s="91"/>
      <c r="AA84" s="91"/>
      <c r="AB84" s="91"/>
      <c r="AC84" s="91"/>
      <c r="AD84" s="91">
        <v>0</v>
      </c>
      <c r="AE84" s="91">
        <f t="shared" si="22"/>
        <v>0</v>
      </c>
      <c r="AF84" s="91">
        <f t="shared" si="23"/>
        <v>0</v>
      </c>
      <c r="AG84" s="91">
        <f t="shared" si="24"/>
        <v>0</v>
      </c>
      <c r="AH84" s="121"/>
    </row>
    <row r="85" spans="1:34" customFormat="1" x14ac:dyDescent="0.25">
      <c r="A85" s="1" t="s">
        <v>89</v>
      </c>
      <c r="B85" s="1" t="s">
        <v>274</v>
      </c>
      <c r="C85" s="119">
        <f>+VLOOKUP(B85,'IP PITSS'!$B$9:C151,2,0)</f>
        <v>15</v>
      </c>
      <c r="D85" s="119">
        <f>+VLOOKUP(B85,'IP PITSS'!$B$9:F151,5,0)</f>
        <v>160.96</v>
      </c>
      <c r="E85" s="119">
        <v>5000</v>
      </c>
      <c r="F85" s="120">
        <f t="shared" si="14"/>
        <v>2500</v>
      </c>
      <c r="G85" s="91">
        <f t="shared" si="15"/>
        <v>166.66666666666666</v>
      </c>
      <c r="H85" s="121"/>
      <c r="I85" s="91">
        <f t="shared" si="16"/>
        <v>0</v>
      </c>
      <c r="J85" s="91">
        <f t="shared" si="17"/>
        <v>0</v>
      </c>
      <c r="K85" s="121"/>
      <c r="L85" s="91">
        <f>+VLOOKUP(B85,'IP PITSS'!$B$9:AF152,3,0)</f>
        <v>0</v>
      </c>
      <c r="M85" s="91">
        <f t="shared" si="18"/>
        <v>0</v>
      </c>
      <c r="N85" s="91">
        <f>+VLOOKUP(B85,'IP PITSS'!$B$9:AG152,7,0)</f>
        <v>0</v>
      </c>
      <c r="O85" s="91">
        <f t="shared" si="19"/>
        <v>0</v>
      </c>
      <c r="P85" s="121"/>
      <c r="Q85" s="91">
        <f>+VLOOKUP(B85,'IP PITSS'!$B$9:AJ152,3,0)</f>
        <v>0</v>
      </c>
      <c r="R85" s="91">
        <f t="shared" si="20"/>
        <v>0</v>
      </c>
      <c r="S85" s="91">
        <f>+VLOOKUP(B85,'IP PITSS'!$B$9:AL152,8,0)</f>
        <v>0</v>
      </c>
      <c r="T85" s="91">
        <f t="shared" si="21"/>
        <v>0</v>
      </c>
      <c r="U85" s="121"/>
      <c r="V85" s="121"/>
      <c r="W85" s="91"/>
      <c r="X85" s="91"/>
      <c r="Y85" s="91"/>
      <c r="Z85" s="91"/>
      <c r="AA85" s="91"/>
      <c r="AB85" s="91"/>
      <c r="AC85" s="91"/>
      <c r="AD85" s="91">
        <v>0</v>
      </c>
      <c r="AE85" s="91">
        <f t="shared" si="22"/>
        <v>0</v>
      </c>
      <c r="AF85" s="91">
        <f t="shared" si="23"/>
        <v>0</v>
      </c>
      <c r="AG85" s="91">
        <f t="shared" si="24"/>
        <v>0</v>
      </c>
      <c r="AH85" s="121"/>
    </row>
    <row r="86" spans="1:34" customFormat="1" x14ac:dyDescent="0.25">
      <c r="A86" s="1" t="s">
        <v>89</v>
      </c>
      <c r="B86" s="1" t="s">
        <v>278</v>
      </c>
      <c r="C86" s="119">
        <f>+VLOOKUP(B86,'IP PITSS'!$B$9:C152,2,0)</f>
        <v>15</v>
      </c>
      <c r="D86" s="119">
        <f>+VLOOKUP(B86,'IP PITSS'!$B$9:F152,5,0)</f>
        <v>222.72</v>
      </c>
      <c r="E86" s="119">
        <v>6300</v>
      </c>
      <c r="F86" s="120">
        <f t="shared" si="14"/>
        <v>3150</v>
      </c>
      <c r="G86" s="91">
        <f t="shared" si="15"/>
        <v>210</v>
      </c>
      <c r="H86" s="121"/>
      <c r="I86" s="91">
        <f t="shared" si="16"/>
        <v>0</v>
      </c>
      <c r="J86" s="91">
        <f t="shared" si="17"/>
        <v>0</v>
      </c>
      <c r="K86" s="121"/>
      <c r="L86" s="91">
        <f>+VLOOKUP(B86,'IP PITSS'!$B$9:AF153,3,0)</f>
        <v>0</v>
      </c>
      <c r="M86" s="91">
        <f t="shared" si="18"/>
        <v>0</v>
      </c>
      <c r="N86" s="91">
        <f>+VLOOKUP(B86,'IP PITSS'!$B$9:AG153,7,0)</f>
        <v>0</v>
      </c>
      <c r="O86" s="91">
        <f t="shared" si="19"/>
        <v>0</v>
      </c>
      <c r="P86" s="121"/>
      <c r="Q86" s="91">
        <f>+VLOOKUP(B86,'IP PITSS'!$B$9:AJ153,3,0)</f>
        <v>0</v>
      </c>
      <c r="R86" s="91">
        <f t="shared" si="20"/>
        <v>0</v>
      </c>
      <c r="S86" s="91">
        <f>+VLOOKUP(B86,'IP PITSS'!$B$9:AL153,8,0)</f>
        <v>0</v>
      </c>
      <c r="T86" s="91">
        <f t="shared" si="21"/>
        <v>0</v>
      </c>
      <c r="U86" s="121"/>
      <c r="V86" s="121"/>
      <c r="W86" s="91"/>
      <c r="X86" s="91"/>
      <c r="Y86" s="91"/>
      <c r="Z86" s="91"/>
      <c r="AA86" s="91"/>
      <c r="AB86" s="91"/>
      <c r="AC86" s="91"/>
      <c r="AD86" s="91">
        <v>0</v>
      </c>
      <c r="AE86" s="91">
        <f t="shared" si="22"/>
        <v>0</v>
      </c>
      <c r="AF86" s="91">
        <f t="shared" si="23"/>
        <v>0</v>
      </c>
      <c r="AG86" s="91">
        <f t="shared" si="24"/>
        <v>0</v>
      </c>
      <c r="AH86" s="121"/>
    </row>
    <row r="87" spans="1:34" customFormat="1" x14ac:dyDescent="0.25">
      <c r="A87" s="1" t="s">
        <v>89</v>
      </c>
      <c r="B87" s="1" t="s">
        <v>281</v>
      </c>
      <c r="C87" s="119">
        <f>+VLOOKUP(B87,'IP PITSS'!$B$9:C153,2,0)</f>
        <v>15</v>
      </c>
      <c r="D87" s="119">
        <f>+VLOOKUP(B87,'IP PITSS'!$B$9:F153,5,0)</f>
        <v>282.81</v>
      </c>
      <c r="E87" s="119">
        <v>8000</v>
      </c>
      <c r="F87" s="120">
        <f t="shared" si="14"/>
        <v>4000</v>
      </c>
      <c r="G87" s="91">
        <f t="shared" si="15"/>
        <v>266.66666666666669</v>
      </c>
      <c r="H87" s="121"/>
      <c r="I87" s="91">
        <f t="shared" si="16"/>
        <v>0</v>
      </c>
      <c r="J87" s="91">
        <f t="shared" si="17"/>
        <v>0</v>
      </c>
      <c r="K87" s="121"/>
      <c r="L87" s="91">
        <f>+VLOOKUP(B87,'IP PITSS'!$B$9:AF154,3,0)</f>
        <v>0</v>
      </c>
      <c r="M87" s="91">
        <f t="shared" si="18"/>
        <v>0</v>
      </c>
      <c r="N87" s="91">
        <f>+VLOOKUP(B87,'IP PITSS'!$B$9:AG154,7,0)</f>
        <v>0</v>
      </c>
      <c r="O87" s="91">
        <f t="shared" si="19"/>
        <v>0</v>
      </c>
      <c r="P87" s="121"/>
      <c r="Q87" s="91">
        <f>+VLOOKUP(B87,'IP PITSS'!$B$9:AJ154,3,0)</f>
        <v>0</v>
      </c>
      <c r="R87" s="91">
        <f t="shared" si="20"/>
        <v>0</v>
      </c>
      <c r="S87" s="91">
        <f>+VLOOKUP(B87,'IP PITSS'!$B$9:AL154,8,0)</f>
        <v>0</v>
      </c>
      <c r="T87" s="91">
        <f t="shared" si="21"/>
        <v>0</v>
      </c>
      <c r="U87" s="121"/>
      <c r="V87" s="121"/>
      <c r="W87" s="91"/>
      <c r="X87" s="91"/>
      <c r="Y87" s="91"/>
      <c r="Z87" s="91"/>
      <c r="AA87" s="91"/>
      <c r="AB87" s="91"/>
      <c r="AC87" s="91"/>
      <c r="AD87" s="91">
        <v>0</v>
      </c>
      <c r="AE87" s="91">
        <f t="shared" si="22"/>
        <v>0</v>
      </c>
      <c r="AF87" s="91">
        <f t="shared" si="23"/>
        <v>0</v>
      </c>
      <c r="AG87" s="91">
        <f t="shared" si="24"/>
        <v>0</v>
      </c>
      <c r="AH87" s="121"/>
    </row>
    <row r="88" spans="1:34" customFormat="1" x14ac:dyDescent="0.25">
      <c r="A88" s="1" t="s">
        <v>89</v>
      </c>
      <c r="B88" s="4" t="s">
        <v>284</v>
      </c>
      <c r="C88" s="119">
        <f>+VLOOKUP(B88,'IP PITSS'!$B$9:C154,2,0)</f>
        <v>15</v>
      </c>
      <c r="D88" s="119">
        <f>+VLOOKUP(B88,'IP PITSS'!$B$9:F154,5,0)</f>
        <v>174.2</v>
      </c>
      <c r="E88" s="119">
        <v>5000</v>
      </c>
      <c r="F88" s="120">
        <f t="shared" si="14"/>
        <v>2500</v>
      </c>
      <c r="G88" s="91">
        <f t="shared" si="15"/>
        <v>166.66666666666666</v>
      </c>
      <c r="H88" s="121"/>
      <c r="I88" s="91">
        <f t="shared" si="16"/>
        <v>0</v>
      </c>
      <c r="J88" s="91">
        <f t="shared" si="17"/>
        <v>0</v>
      </c>
      <c r="K88" s="121"/>
      <c r="L88" s="91">
        <f>+VLOOKUP(B88,'IP PITSS'!$B$9:AF155,3,0)</f>
        <v>0</v>
      </c>
      <c r="M88" s="91">
        <f t="shared" si="18"/>
        <v>0</v>
      </c>
      <c r="N88" s="91">
        <f>+VLOOKUP(B88,'IP PITSS'!$B$9:AG155,7,0)</f>
        <v>0</v>
      </c>
      <c r="O88" s="91">
        <f t="shared" si="19"/>
        <v>0</v>
      </c>
      <c r="P88" s="121"/>
      <c r="Q88" s="91">
        <f>+VLOOKUP(B88,'IP PITSS'!$B$9:AJ155,3,0)</f>
        <v>0</v>
      </c>
      <c r="R88" s="91">
        <f t="shared" si="20"/>
        <v>0</v>
      </c>
      <c r="S88" s="91">
        <f>+VLOOKUP(B88,'IP PITSS'!$B$9:AL155,8,0)</f>
        <v>0</v>
      </c>
      <c r="T88" s="91">
        <f t="shared" si="21"/>
        <v>0</v>
      </c>
      <c r="U88" s="121"/>
      <c r="V88" s="121"/>
      <c r="W88" s="91"/>
      <c r="X88" s="91"/>
      <c r="Y88" s="91"/>
      <c r="Z88" s="91"/>
      <c r="AA88" s="91"/>
      <c r="AB88" s="91"/>
      <c r="AC88" s="91"/>
      <c r="AD88" s="91">
        <v>0</v>
      </c>
      <c r="AE88" s="91">
        <f t="shared" si="22"/>
        <v>0</v>
      </c>
      <c r="AF88" s="91">
        <f t="shared" si="23"/>
        <v>0</v>
      </c>
      <c r="AG88" s="91">
        <f t="shared" si="24"/>
        <v>0</v>
      </c>
      <c r="AH88" s="121"/>
    </row>
    <row r="89" spans="1:34" customFormat="1" x14ac:dyDescent="0.25">
      <c r="A89" s="1" t="s">
        <v>89</v>
      </c>
      <c r="B89" s="1" t="s">
        <v>288</v>
      </c>
      <c r="C89" s="119">
        <f>+VLOOKUP(B89,'IP PITSS'!$B$9:C155,2,0)</f>
        <v>15</v>
      </c>
      <c r="D89" s="119">
        <f>+VLOOKUP(B89,'IP PITSS'!$B$9:F155,5,0)</f>
        <v>204.21</v>
      </c>
      <c r="E89" s="119">
        <v>10000</v>
      </c>
      <c r="F89" s="120">
        <f t="shared" si="14"/>
        <v>5000</v>
      </c>
      <c r="G89" s="91">
        <f t="shared" si="15"/>
        <v>333.33333333333331</v>
      </c>
      <c r="H89" s="121"/>
      <c r="I89" s="91">
        <f t="shared" si="16"/>
        <v>0</v>
      </c>
      <c r="J89" s="91">
        <f t="shared" si="17"/>
        <v>0</v>
      </c>
      <c r="K89" s="121"/>
      <c r="L89" s="91">
        <f>+VLOOKUP(B89,'IP PITSS'!$B$9:AF156,3,0)</f>
        <v>0</v>
      </c>
      <c r="M89" s="91">
        <f t="shared" si="18"/>
        <v>0</v>
      </c>
      <c r="N89" s="91">
        <f>+VLOOKUP(B89,'IP PITSS'!$B$9:AG156,7,0)</f>
        <v>0</v>
      </c>
      <c r="O89" s="91">
        <f t="shared" si="19"/>
        <v>0</v>
      </c>
      <c r="P89" s="121"/>
      <c r="Q89" s="91">
        <f>+VLOOKUP(B89,'IP PITSS'!$B$9:AJ156,3,0)</f>
        <v>0</v>
      </c>
      <c r="R89" s="91">
        <f t="shared" si="20"/>
        <v>0</v>
      </c>
      <c r="S89" s="91">
        <f>+VLOOKUP(B89,'IP PITSS'!$B$9:AL156,8,0)</f>
        <v>0</v>
      </c>
      <c r="T89" s="91">
        <f t="shared" si="21"/>
        <v>0</v>
      </c>
      <c r="U89" s="121"/>
      <c r="V89" s="121"/>
      <c r="W89" s="91"/>
      <c r="X89" s="91"/>
      <c r="Y89" s="91"/>
      <c r="Z89" s="91"/>
      <c r="AA89" s="91"/>
      <c r="AB89" s="91"/>
      <c r="AC89" s="91"/>
      <c r="AD89" s="91">
        <v>0</v>
      </c>
      <c r="AE89" s="91">
        <f t="shared" si="22"/>
        <v>0</v>
      </c>
      <c r="AF89" s="91">
        <f t="shared" si="23"/>
        <v>0</v>
      </c>
      <c r="AG89" s="91">
        <f t="shared" si="24"/>
        <v>0</v>
      </c>
      <c r="AH89" s="121"/>
    </row>
    <row r="90" spans="1:34" customFormat="1" x14ac:dyDescent="0.25">
      <c r="A90" s="1" t="s">
        <v>89</v>
      </c>
      <c r="B90" s="1" t="s">
        <v>291</v>
      </c>
      <c r="C90" s="119">
        <f>+VLOOKUP(B90,'IP PITSS'!$B$9:C156,2,0)</f>
        <v>15</v>
      </c>
      <c r="D90" s="119">
        <f>+VLOOKUP(B90,'IP PITSS'!$B$9:F156,5,0)</f>
        <v>282.81</v>
      </c>
      <c r="E90" s="119">
        <v>8000</v>
      </c>
      <c r="F90" s="120">
        <f t="shared" si="14"/>
        <v>4000</v>
      </c>
      <c r="G90" s="91">
        <f t="shared" si="15"/>
        <v>266.66666666666669</v>
      </c>
      <c r="H90" s="121"/>
      <c r="I90" s="91">
        <f t="shared" si="16"/>
        <v>0</v>
      </c>
      <c r="J90" s="91">
        <f t="shared" si="17"/>
        <v>0</v>
      </c>
      <c r="K90" s="121"/>
      <c r="L90" s="91">
        <f>+VLOOKUP(B90,'IP PITSS'!$B$9:AF157,3,0)</f>
        <v>0</v>
      </c>
      <c r="M90" s="91">
        <f t="shared" si="18"/>
        <v>0</v>
      </c>
      <c r="N90" s="91">
        <f>+VLOOKUP(B90,'IP PITSS'!$B$9:AG157,7,0)</f>
        <v>0</v>
      </c>
      <c r="O90" s="91">
        <f t="shared" si="19"/>
        <v>0</v>
      </c>
      <c r="P90" s="121"/>
      <c r="Q90" s="91">
        <f>+VLOOKUP(B90,'IP PITSS'!$B$9:AJ157,3,0)</f>
        <v>0</v>
      </c>
      <c r="R90" s="91">
        <f t="shared" si="20"/>
        <v>0</v>
      </c>
      <c r="S90" s="91">
        <f>+VLOOKUP(B90,'IP PITSS'!$B$9:AL157,8,0)</f>
        <v>0</v>
      </c>
      <c r="T90" s="91">
        <f t="shared" si="21"/>
        <v>0</v>
      </c>
      <c r="U90" s="121"/>
      <c r="V90" s="121"/>
      <c r="W90" s="91"/>
      <c r="X90" s="91"/>
      <c r="Y90" s="91"/>
      <c r="Z90" s="91"/>
      <c r="AA90" s="91"/>
      <c r="AB90" s="91"/>
      <c r="AC90" s="91"/>
      <c r="AD90" s="91">
        <v>0</v>
      </c>
      <c r="AE90" s="91">
        <f t="shared" si="22"/>
        <v>0</v>
      </c>
      <c r="AF90" s="91">
        <f t="shared" si="23"/>
        <v>0</v>
      </c>
      <c r="AG90" s="91">
        <f t="shared" si="24"/>
        <v>0</v>
      </c>
      <c r="AH90" s="121"/>
    </row>
    <row r="91" spans="1:34" customFormat="1" x14ac:dyDescent="0.25">
      <c r="A91" s="1" t="s">
        <v>89</v>
      </c>
      <c r="B91" s="1" t="s">
        <v>294</v>
      </c>
      <c r="C91" s="119">
        <f>+VLOOKUP(B91,'IP PITSS'!$B$9:C157,2,0)</f>
        <v>15</v>
      </c>
      <c r="D91" s="119">
        <f>+VLOOKUP(B91,'IP PITSS'!$B$9:F157,5,0)</f>
        <v>247.45</v>
      </c>
      <c r="E91" s="119">
        <v>7000</v>
      </c>
      <c r="F91" s="120">
        <f t="shared" si="14"/>
        <v>3500</v>
      </c>
      <c r="G91" s="91">
        <f t="shared" si="15"/>
        <v>233.33333333333334</v>
      </c>
      <c r="H91" s="121"/>
      <c r="I91" s="91">
        <f t="shared" si="16"/>
        <v>0</v>
      </c>
      <c r="J91" s="91">
        <f t="shared" si="17"/>
        <v>0</v>
      </c>
      <c r="K91" s="121"/>
      <c r="L91" s="91">
        <f>+VLOOKUP(B91,'IP PITSS'!$B$9:AF158,3,0)</f>
        <v>0</v>
      </c>
      <c r="M91" s="91">
        <f t="shared" si="18"/>
        <v>0</v>
      </c>
      <c r="N91" s="91">
        <f>+VLOOKUP(B91,'IP PITSS'!$B$9:AG158,7,0)</f>
        <v>0</v>
      </c>
      <c r="O91" s="91">
        <f t="shared" si="19"/>
        <v>0</v>
      </c>
      <c r="P91" s="121"/>
      <c r="Q91" s="91">
        <f>+VLOOKUP(B91,'IP PITSS'!$B$9:AJ158,3,0)</f>
        <v>0</v>
      </c>
      <c r="R91" s="91">
        <f t="shared" si="20"/>
        <v>0</v>
      </c>
      <c r="S91" s="91">
        <f>+VLOOKUP(B91,'IP PITSS'!$B$9:AL158,8,0)</f>
        <v>0</v>
      </c>
      <c r="T91" s="91">
        <f t="shared" si="21"/>
        <v>0</v>
      </c>
      <c r="U91" s="121"/>
      <c r="V91" s="121"/>
      <c r="W91" s="91"/>
      <c r="X91" s="91"/>
      <c r="Y91" s="91"/>
      <c r="Z91" s="91"/>
      <c r="AA91" s="91"/>
      <c r="AB91" s="91"/>
      <c r="AC91" s="91"/>
      <c r="AD91" s="91">
        <v>0</v>
      </c>
      <c r="AE91" s="91">
        <f t="shared" si="22"/>
        <v>0</v>
      </c>
      <c r="AF91" s="91">
        <f t="shared" si="23"/>
        <v>0</v>
      </c>
      <c r="AG91" s="91">
        <f t="shared" si="24"/>
        <v>0</v>
      </c>
      <c r="AH91" s="121"/>
    </row>
    <row r="92" spans="1:34" customFormat="1" x14ac:dyDescent="0.25">
      <c r="A92" s="1" t="s">
        <v>89</v>
      </c>
      <c r="B92" s="1" t="s">
        <v>298</v>
      </c>
      <c r="C92" s="119">
        <f>+VLOOKUP(B92,'IP PITSS'!$B$9:C158,2,0)</f>
        <v>15</v>
      </c>
      <c r="D92" s="119">
        <f>+VLOOKUP(B92,'IP PITSS'!$B$9:F158,5,0)</f>
        <v>243.88</v>
      </c>
      <c r="E92" s="119">
        <v>7000</v>
      </c>
      <c r="F92" s="120">
        <f t="shared" si="14"/>
        <v>3500</v>
      </c>
      <c r="G92" s="91">
        <f t="shared" si="15"/>
        <v>233.33333333333334</v>
      </c>
      <c r="H92" s="121"/>
      <c r="I92" s="91">
        <f t="shared" si="16"/>
        <v>0</v>
      </c>
      <c r="J92" s="91">
        <f t="shared" si="17"/>
        <v>0</v>
      </c>
      <c r="K92" s="121"/>
      <c r="L92" s="91">
        <f>+VLOOKUP(B92,'IP PITSS'!$B$9:AF159,3,0)</f>
        <v>0</v>
      </c>
      <c r="M92" s="91">
        <f t="shared" si="18"/>
        <v>0</v>
      </c>
      <c r="N92" s="91">
        <f>+VLOOKUP(B92,'IP PITSS'!$B$9:AG159,7,0)</f>
        <v>0</v>
      </c>
      <c r="O92" s="91">
        <f t="shared" si="19"/>
        <v>0</v>
      </c>
      <c r="P92" s="121"/>
      <c r="Q92" s="91">
        <f>+VLOOKUP(B92,'IP PITSS'!$B$9:AJ159,3,0)</f>
        <v>0</v>
      </c>
      <c r="R92" s="91">
        <f t="shared" si="20"/>
        <v>0</v>
      </c>
      <c r="S92" s="91">
        <f>+VLOOKUP(B92,'IP PITSS'!$B$9:AL159,8,0)</f>
        <v>0</v>
      </c>
      <c r="T92" s="91">
        <f t="shared" si="21"/>
        <v>0</v>
      </c>
      <c r="U92" s="121"/>
      <c r="V92" s="121"/>
      <c r="W92" s="91"/>
      <c r="X92" s="91"/>
      <c r="Y92" s="91"/>
      <c r="Z92" s="91"/>
      <c r="AA92" s="91"/>
      <c r="AB92" s="91"/>
      <c r="AC92" s="91"/>
      <c r="AD92" s="91">
        <v>0</v>
      </c>
      <c r="AE92" s="91">
        <f t="shared" si="22"/>
        <v>0</v>
      </c>
      <c r="AF92" s="91">
        <f t="shared" si="23"/>
        <v>0</v>
      </c>
      <c r="AG92" s="91">
        <f t="shared" si="24"/>
        <v>0</v>
      </c>
      <c r="AH92" s="121"/>
    </row>
    <row r="93" spans="1:34" customFormat="1" x14ac:dyDescent="0.25">
      <c r="A93" s="1" t="s">
        <v>89</v>
      </c>
      <c r="B93" s="1" t="s">
        <v>301</v>
      </c>
      <c r="C93" s="119">
        <f>+VLOOKUP(B93,'IP PITSS'!$B$9:C159,2,0)</f>
        <v>15</v>
      </c>
      <c r="D93" s="119">
        <f>+VLOOKUP(B93,'IP PITSS'!$B$9:F159,5,0)</f>
        <v>282.81</v>
      </c>
      <c r="E93" s="119">
        <v>8000</v>
      </c>
      <c r="F93" s="120">
        <f t="shared" si="14"/>
        <v>4000</v>
      </c>
      <c r="G93" s="91">
        <f t="shared" si="15"/>
        <v>266.66666666666669</v>
      </c>
      <c r="H93" s="121"/>
      <c r="I93" s="91">
        <f t="shared" si="16"/>
        <v>0</v>
      </c>
      <c r="J93" s="91">
        <f t="shared" si="17"/>
        <v>0</v>
      </c>
      <c r="K93" s="121"/>
      <c r="L93" s="91">
        <f>+VLOOKUP(B93,'IP PITSS'!$B$9:AF160,3,0)</f>
        <v>0</v>
      </c>
      <c r="M93" s="91">
        <f t="shared" si="18"/>
        <v>0</v>
      </c>
      <c r="N93" s="91">
        <f>+VLOOKUP(B93,'IP PITSS'!$B$9:AG160,7,0)</f>
        <v>0</v>
      </c>
      <c r="O93" s="91">
        <f t="shared" si="19"/>
        <v>0</v>
      </c>
      <c r="P93" s="121"/>
      <c r="Q93" s="91">
        <f>+VLOOKUP(B93,'IP PITSS'!$B$9:AJ160,3,0)</f>
        <v>0</v>
      </c>
      <c r="R93" s="91">
        <f t="shared" si="20"/>
        <v>0</v>
      </c>
      <c r="S93" s="91">
        <f>+VLOOKUP(B93,'IP PITSS'!$B$9:AL160,8,0)</f>
        <v>0</v>
      </c>
      <c r="T93" s="91">
        <f t="shared" si="21"/>
        <v>0</v>
      </c>
      <c r="U93" s="121"/>
      <c r="V93" s="121"/>
      <c r="W93" s="91"/>
      <c r="X93" s="91"/>
      <c r="Y93" s="91"/>
      <c r="Z93" s="91"/>
      <c r="AA93" s="91"/>
      <c r="AB93" s="91"/>
      <c r="AC93" s="91"/>
      <c r="AD93" s="91">
        <v>0</v>
      </c>
      <c r="AE93" s="91">
        <f t="shared" si="22"/>
        <v>0</v>
      </c>
      <c r="AF93" s="91">
        <f t="shared" si="23"/>
        <v>0</v>
      </c>
      <c r="AG93" s="91">
        <f t="shared" si="24"/>
        <v>0</v>
      </c>
      <c r="AH93" s="121"/>
    </row>
    <row r="94" spans="1:34" customFormat="1" x14ac:dyDescent="0.25">
      <c r="A94" s="1" t="s">
        <v>89</v>
      </c>
      <c r="B94" s="1" t="s">
        <v>304</v>
      </c>
      <c r="C94" s="119">
        <f>+VLOOKUP(B94,'IP PITSS'!$B$9:C160,2,0)</f>
        <v>15</v>
      </c>
      <c r="D94" s="119">
        <f>+VLOOKUP(B94,'IP PITSS'!$B$9:F160,5,0)</f>
        <v>278.72000000000003</v>
      </c>
      <c r="E94" s="119">
        <v>8000</v>
      </c>
      <c r="F94" s="120">
        <f t="shared" si="14"/>
        <v>4000</v>
      </c>
      <c r="G94" s="91">
        <f t="shared" si="15"/>
        <v>266.66666666666669</v>
      </c>
      <c r="H94" s="121"/>
      <c r="I94" s="91">
        <f t="shared" si="16"/>
        <v>0</v>
      </c>
      <c r="J94" s="91">
        <f t="shared" si="17"/>
        <v>0</v>
      </c>
      <c r="K94" s="121"/>
      <c r="L94" s="91">
        <f>+VLOOKUP(B94,'IP PITSS'!$B$9:AF161,3,0)</f>
        <v>0</v>
      </c>
      <c r="M94" s="91">
        <f t="shared" si="18"/>
        <v>0</v>
      </c>
      <c r="N94" s="91">
        <f>+VLOOKUP(B94,'IP PITSS'!$B$9:AG161,7,0)</f>
        <v>0</v>
      </c>
      <c r="O94" s="91">
        <f t="shared" si="19"/>
        <v>0</v>
      </c>
      <c r="P94" s="121"/>
      <c r="Q94" s="91">
        <f>+VLOOKUP(B94,'IP PITSS'!$B$9:AJ161,3,0)</f>
        <v>0</v>
      </c>
      <c r="R94" s="91">
        <f t="shared" si="20"/>
        <v>0</v>
      </c>
      <c r="S94" s="91">
        <f>+VLOOKUP(B94,'IP PITSS'!$B$9:AL161,8,0)</f>
        <v>0</v>
      </c>
      <c r="T94" s="91">
        <f t="shared" si="21"/>
        <v>0</v>
      </c>
      <c r="U94" s="121"/>
      <c r="V94" s="121"/>
      <c r="W94" s="91"/>
      <c r="X94" s="91"/>
      <c r="Y94" s="91"/>
      <c r="Z94" s="91"/>
      <c r="AA94" s="91"/>
      <c r="AB94" s="91"/>
      <c r="AC94" s="91"/>
      <c r="AD94" s="91">
        <v>0</v>
      </c>
      <c r="AE94" s="91">
        <f t="shared" si="22"/>
        <v>0</v>
      </c>
      <c r="AF94" s="91">
        <f t="shared" si="23"/>
        <v>0</v>
      </c>
      <c r="AG94" s="91">
        <f t="shared" si="24"/>
        <v>0</v>
      </c>
      <c r="AH94" s="121"/>
    </row>
    <row r="95" spans="1:34" customFormat="1" x14ac:dyDescent="0.25">
      <c r="A95" s="1" t="s">
        <v>89</v>
      </c>
      <c r="B95" s="1" t="s">
        <v>307</v>
      </c>
      <c r="C95" s="119">
        <f>+VLOOKUP(B95,'IP PITSS'!$B$9:C161,2,0)</f>
        <v>15</v>
      </c>
      <c r="D95" s="119">
        <f>+VLOOKUP(B95,'IP PITSS'!$B$9:F161,5,0)</f>
        <v>123.73</v>
      </c>
      <c r="E95" s="119">
        <v>7000</v>
      </c>
      <c r="F95" s="120">
        <f t="shared" si="14"/>
        <v>3500</v>
      </c>
      <c r="G95" s="91">
        <f t="shared" si="15"/>
        <v>233.33333333333334</v>
      </c>
      <c r="H95" s="121"/>
      <c r="I95" s="91">
        <f t="shared" si="16"/>
        <v>0</v>
      </c>
      <c r="J95" s="91">
        <f t="shared" si="17"/>
        <v>0</v>
      </c>
      <c r="K95" s="121"/>
      <c r="L95" s="91">
        <f>+VLOOKUP(B95,'IP PITSS'!$B$9:AF162,3,0)</f>
        <v>0</v>
      </c>
      <c r="M95" s="91">
        <f t="shared" si="18"/>
        <v>0</v>
      </c>
      <c r="N95" s="91">
        <f>+VLOOKUP(B95,'IP PITSS'!$B$9:AG162,7,0)</f>
        <v>0</v>
      </c>
      <c r="O95" s="91">
        <f t="shared" si="19"/>
        <v>0</v>
      </c>
      <c r="P95" s="121"/>
      <c r="Q95" s="91">
        <f>+VLOOKUP(B95,'IP PITSS'!$B$9:AJ162,3,0)</f>
        <v>0</v>
      </c>
      <c r="R95" s="91">
        <f t="shared" si="20"/>
        <v>0</v>
      </c>
      <c r="S95" s="91">
        <f>+VLOOKUP(B95,'IP PITSS'!$B$9:AL162,8,0)</f>
        <v>0</v>
      </c>
      <c r="T95" s="91">
        <f t="shared" si="21"/>
        <v>0</v>
      </c>
      <c r="U95" s="121"/>
      <c r="V95" s="121"/>
      <c r="W95" s="91"/>
      <c r="X95" s="91"/>
      <c r="Y95" s="91"/>
      <c r="Z95" s="91"/>
      <c r="AA95" s="91"/>
      <c r="AB95" s="91"/>
      <c r="AC95" s="91"/>
      <c r="AD95" s="91">
        <v>0</v>
      </c>
      <c r="AE95" s="91">
        <f t="shared" si="22"/>
        <v>0</v>
      </c>
      <c r="AF95" s="91">
        <f t="shared" si="23"/>
        <v>0</v>
      </c>
      <c r="AG95" s="91">
        <f t="shared" si="24"/>
        <v>0</v>
      </c>
      <c r="AH95" s="121"/>
    </row>
    <row r="96" spans="1:34" customFormat="1" x14ac:dyDescent="0.25">
      <c r="A96" s="1" t="s">
        <v>89</v>
      </c>
      <c r="B96" s="1" t="s">
        <v>311</v>
      </c>
      <c r="C96" s="119">
        <f>+VLOOKUP(B96,'IP PITSS'!$B$9:C162,2,0)</f>
        <v>15</v>
      </c>
      <c r="D96" s="119">
        <f>+VLOOKUP(B96,'IP PITSS'!$B$9:F162,5,0)</f>
        <v>249.64</v>
      </c>
      <c r="E96" s="119">
        <v>10000</v>
      </c>
      <c r="F96" s="120">
        <f t="shared" si="14"/>
        <v>5000</v>
      </c>
      <c r="G96" s="91">
        <f t="shared" si="15"/>
        <v>333.33333333333331</v>
      </c>
      <c r="H96" s="121"/>
      <c r="I96" s="91">
        <f t="shared" si="16"/>
        <v>0</v>
      </c>
      <c r="J96" s="91">
        <f t="shared" si="17"/>
        <v>0</v>
      </c>
      <c r="K96" s="121"/>
      <c r="L96" s="91">
        <f>+VLOOKUP(B96,'IP PITSS'!$B$9:AF163,3,0)</f>
        <v>0</v>
      </c>
      <c r="M96" s="91">
        <f t="shared" si="18"/>
        <v>0</v>
      </c>
      <c r="N96" s="91">
        <f>+VLOOKUP(B96,'IP PITSS'!$B$9:AG163,7,0)</f>
        <v>0</v>
      </c>
      <c r="O96" s="91">
        <f t="shared" si="19"/>
        <v>0</v>
      </c>
      <c r="P96" s="121"/>
      <c r="Q96" s="91">
        <f>+VLOOKUP(B96,'IP PITSS'!$B$9:AJ163,3,0)</f>
        <v>0</v>
      </c>
      <c r="R96" s="91">
        <f t="shared" si="20"/>
        <v>0</v>
      </c>
      <c r="S96" s="91">
        <f>+VLOOKUP(B96,'IP PITSS'!$B$9:AL163,8,0)</f>
        <v>0</v>
      </c>
      <c r="T96" s="91">
        <f t="shared" si="21"/>
        <v>0</v>
      </c>
      <c r="U96" s="121"/>
      <c r="V96" s="121"/>
      <c r="W96" s="91"/>
      <c r="X96" s="91"/>
      <c r="Y96" s="91"/>
      <c r="Z96" s="91"/>
      <c r="AA96" s="91"/>
      <c r="AB96" s="91"/>
      <c r="AC96" s="91"/>
      <c r="AD96" s="91">
        <v>0</v>
      </c>
      <c r="AE96" s="91">
        <f t="shared" si="22"/>
        <v>0</v>
      </c>
      <c r="AF96" s="91">
        <f t="shared" si="23"/>
        <v>0</v>
      </c>
      <c r="AG96" s="91">
        <f t="shared" si="24"/>
        <v>0</v>
      </c>
      <c r="AH96" s="121"/>
    </row>
    <row r="97" spans="1:34" customFormat="1" x14ac:dyDescent="0.25">
      <c r="A97" s="1" t="s">
        <v>89</v>
      </c>
      <c r="B97" s="1" t="s">
        <v>314</v>
      </c>
      <c r="C97" s="119">
        <f>+VLOOKUP(B97,'IP PITSS'!$B$9:C163,2,0)</f>
        <v>15</v>
      </c>
      <c r="D97" s="119">
        <f>+VLOOKUP(B97,'IP PITSS'!$B$9:F163,5,0)</f>
        <v>249.64</v>
      </c>
      <c r="E97" s="119">
        <v>10500</v>
      </c>
      <c r="F97" s="120">
        <f t="shared" si="14"/>
        <v>5250</v>
      </c>
      <c r="G97" s="91">
        <f t="shared" si="15"/>
        <v>350</v>
      </c>
      <c r="H97" s="121"/>
      <c r="I97" s="91">
        <f t="shared" si="16"/>
        <v>0</v>
      </c>
      <c r="J97" s="91">
        <f t="shared" si="17"/>
        <v>0</v>
      </c>
      <c r="K97" s="121"/>
      <c r="L97" s="91">
        <f>+VLOOKUP(B97,'IP PITSS'!$B$9:AF164,3,0)</f>
        <v>0</v>
      </c>
      <c r="M97" s="91">
        <f t="shared" si="18"/>
        <v>0</v>
      </c>
      <c r="N97" s="91">
        <f>+VLOOKUP(B97,'IP PITSS'!$B$9:AG164,7,0)</f>
        <v>0</v>
      </c>
      <c r="O97" s="91">
        <f t="shared" si="19"/>
        <v>0</v>
      </c>
      <c r="P97" s="121"/>
      <c r="Q97" s="91">
        <f>+VLOOKUP(B97,'IP PITSS'!$B$9:AJ164,3,0)</f>
        <v>0</v>
      </c>
      <c r="R97" s="91">
        <f t="shared" si="20"/>
        <v>0</v>
      </c>
      <c r="S97" s="91">
        <f>+VLOOKUP(B97,'IP PITSS'!$B$9:AL164,8,0)</f>
        <v>0</v>
      </c>
      <c r="T97" s="91">
        <f t="shared" si="21"/>
        <v>0</v>
      </c>
      <c r="U97" s="121"/>
      <c r="V97" s="121"/>
      <c r="W97" s="91"/>
      <c r="X97" s="91"/>
      <c r="Y97" s="91"/>
      <c r="Z97" s="91"/>
      <c r="AA97" s="91"/>
      <c r="AB97" s="91"/>
      <c r="AC97" s="91"/>
      <c r="AD97" s="91">
        <v>0</v>
      </c>
      <c r="AE97" s="91">
        <f t="shared" si="22"/>
        <v>0</v>
      </c>
      <c r="AF97" s="91">
        <f t="shared" si="23"/>
        <v>0</v>
      </c>
      <c r="AG97" s="91">
        <f t="shared" si="24"/>
        <v>0</v>
      </c>
      <c r="AH97" s="121"/>
    </row>
    <row r="98" spans="1:34" customFormat="1" x14ac:dyDescent="0.25">
      <c r="A98" s="1" t="s">
        <v>89</v>
      </c>
      <c r="B98" s="1" t="s">
        <v>316</v>
      </c>
      <c r="C98" s="119">
        <f>+VLOOKUP(B98,'IP PITSS'!$B$9:C164,2,0)</f>
        <v>15</v>
      </c>
      <c r="D98" s="119">
        <f>+VLOOKUP(B98,'IP PITSS'!$B$9:F164,5,0)</f>
        <v>278.72000000000003</v>
      </c>
      <c r="E98" s="119">
        <v>8000</v>
      </c>
      <c r="F98" s="120">
        <f t="shared" si="14"/>
        <v>4000</v>
      </c>
      <c r="G98" s="91">
        <f t="shared" si="15"/>
        <v>266.66666666666669</v>
      </c>
      <c r="H98" s="121"/>
      <c r="I98" s="91">
        <f t="shared" si="16"/>
        <v>0</v>
      </c>
      <c r="J98" s="91">
        <f t="shared" si="17"/>
        <v>0</v>
      </c>
      <c r="K98" s="121"/>
      <c r="L98" s="91">
        <f>+VLOOKUP(B98,'IP PITSS'!$B$9:AF165,3,0)</f>
        <v>0</v>
      </c>
      <c r="M98" s="91">
        <f t="shared" si="18"/>
        <v>0</v>
      </c>
      <c r="N98" s="91">
        <f>+VLOOKUP(B98,'IP PITSS'!$B$9:AG165,7,0)</f>
        <v>0</v>
      </c>
      <c r="O98" s="91">
        <f t="shared" si="19"/>
        <v>0</v>
      </c>
      <c r="P98" s="121"/>
      <c r="Q98" s="91">
        <f>+VLOOKUP(B98,'IP PITSS'!$B$9:AJ165,3,0)</f>
        <v>0</v>
      </c>
      <c r="R98" s="91">
        <f t="shared" si="20"/>
        <v>0</v>
      </c>
      <c r="S98" s="91">
        <f>+VLOOKUP(B98,'IP PITSS'!$B$9:AL165,8,0)</f>
        <v>0</v>
      </c>
      <c r="T98" s="91">
        <f t="shared" si="21"/>
        <v>0</v>
      </c>
      <c r="U98" s="121"/>
      <c r="V98" s="121"/>
      <c r="W98" s="91"/>
      <c r="X98" s="91"/>
      <c r="Y98" s="91"/>
      <c r="Z98" s="91"/>
      <c r="AA98" s="91"/>
      <c r="AB98" s="91"/>
      <c r="AC98" s="91"/>
      <c r="AD98" s="91">
        <v>0</v>
      </c>
      <c r="AE98" s="91">
        <f t="shared" si="22"/>
        <v>0</v>
      </c>
      <c r="AF98" s="91">
        <f t="shared" si="23"/>
        <v>0</v>
      </c>
      <c r="AG98" s="91">
        <f t="shared" si="24"/>
        <v>0</v>
      </c>
      <c r="AH98" s="121"/>
    </row>
    <row r="99" spans="1:34" customFormat="1" x14ac:dyDescent="0.25">
      <c r="A99" s="1" t="s">
        <v>89</v>
      </c>
      <c r="B99" s="1" t="s">
        <v>319</v>
      </c>
      <c r="C99" s="119">
        <f>+VLOOKUP(B99,'IP PITSS'!$B$9:C165,2,0)</f>
        <v>15</v>
      </c>
      <c r="D99" s="119">
        <f>+VLOOKUP(B99,'IP PITSS'!$B$9:F165,5,0)</f>
        <v>282.81</v>
      </c>
      <c r="E99" s="119">
        <v>8000</v>
      </c>
      <c r="F99" s="120">
        <f t="shared" si="14"/>
        <v>4000</v>
      </c>
      <c r="G99" s="91">
        <f t="shared" si="15"/>
        <v>266.66666666666669</v>
      </c>
      <c r="H99" s="121"/>
      <c r="I99" s="91">
        <f t="shared" si="16"/>
        <v>0</v>
      </c>
      <c r="J99" s="91">
        <f t="shared" si="17"/>
        <v>0</v>
      </c>
      <c r="K99" s="121"/>
      <c r="L99" s="91">
        <f>+VLOOKUP(B99,'IP PITSS'!$B$9:AF166,3,0)</f>
        <v>0</v>
      </c>
      <c r="M99" s="91">
        <f t="shared" si="18"/>
        <v>0</v>
      </c>
      <c r="N99" s="91">
        <f>+VLOOKUP(B99,'IP PITSS'!$B$9:AG166,7,0)</f>
        <v>0</v>
      </c>
      <c r="O99" s="91">
        <f t="shared" si="19"/>
        <v>0</v>
      </c>
      <c r="P99" s="121"/>
      <c r="Q99" s="91">
        <f>+VLOOKUP(B99,'IP PITSS'!$B$9:AJ166,3,0)</f>
        <v>0</v>
      </c>
      <c r="R99" s="91">
        <f t="shared" si="20"/>
        <v>0</v>
      </c>
      <c r="S99" s="91">
        <f>+VLOOKUP(B99,'IP PITSS'!$B$9:AL166,8,0)</f>
        <v>0</v>
      </c>
      <c r="T99" s="91">
        <f t="shared" si="21"/>
        <v>0</v>
      </c>
      <c r="U99" s="121"/>
      <c r="V99" s="121"/>
      <c r="W99" s="91"/>
      <c r="X99" s="91"/>
      <c r="Y99" s="91"/>
      <c r="Z99" s="91"/>
      <c r="AA99" s="91"/>
      <c r="AB99" s="91"/>
      <c r="AC99" s="91"/>
      <c r="AD99" s="91">
        <v>0</v>
      </c>
      <c r="AE99" s="91">
        <f t="shared" si="22"/>
        <v>0</v>
      </c>
      <c r="AF99" s="91">
        <f t="shared" si="23"/>
        <v>0</v>
      </c>
      <c r="AG99" s="91">
        <f t="shared" si="24"/>
        <v>0</v>
      </c>
      <c r="AH99" s="121"/>
    </row>
    <row r="100" spans="1:34" customFormat="1" x14ac:dyDescent="0.25">
      <c r="A100" s="1" t="s">
        <v>89</v>
      </c>
      <c r="B100" s="1" t="s">
        <v>322</v>
      </c>
      <c r="C100" s="119">
        <f>+VLOOKUP(B100,'IP PITSS'!$B$9:C166,2,0)</f>
        <v>15</v>
      </c>
      <c r="D100" s="119">
        <f>+VLOOKUP(B100,'IP PITSS'!$B$9:F166,5,0)</f>
        <v>249.64</v>
      </c>
      <c r="E100" s="119">
        <v>12000</v>
      </c>
      <c r="F100" s="120">
        <f t="shared" si="14"/>
        <v>6000</v>
      </c>
      <c r="G100" s="91">
        <f t="shared" si="15"/>
        <v>400</v>
      </c>
      <c r="H100" s="121"/>
      <c r="I100" s="91">
        <f t="shared" si="16"/>
        <v>0</v>
      </c>
      <c r="J100" s="91">
        <f t="shared" si="17"/>
        <v>0</v>
      </c>
      <c r="K100" s="121"/>
      <c r="L100" s="91">
        <f>+VLOOKUP(B100,'IP PITSS'!$B$9:AF167,3,0)</f>
        <v>0</v>
      </c>
      <c r="M100" s="91">
        <f t="shared" si="18"/>
        <v>0</v>
      </c>
      <c r="N100" s="91">
        <f>+VLOOKUP(B100,'IP PITSS'!$B$9:AG167,7,0)</f>
        <v>0</v>
      </c>
      <c r="O100" s="91">
        <f t="shared" si="19"/>
        <v>0</v>
      </c>
      <c r="P100" s="121"/>
      <c r="Q100" s="91">
        <f>+VLOOKUP(B100,'IP PITSS'!$B$9:AJ167,3,0)</f>
        <v>0</v>
      </c>
      <c r="R100" s="91">
        <f t="shared" si="20"/>
        <v>0</v>
      </c>
      <c r="S100" s="91">
        <f>+VLOOKUP(B100,'IP PITSS'!$B$9:AL167,8,0)</f>
        <v>0</v>
      </c>
      <c r="T100" s="91">
        <f t="shared" si="21"/>
        <v>0</v>
      </c>
      <c r="U100" s="121"/>
      <c r="V100" s="121"/>
      <c r="W100" s="91"/>
      <c r="X100" s="91"/>
      <c r="Y100" s="91"/>
      <c r="Z100" s="91"/>
      <c r="AA100" s="91"/>
      <c r="AB100" s="91"/>
      <c r="AC100" s="91"/>
      <c r="AD100" s="91">
        <v>0</v>
      </c>
      <c r="AE100" s="91">
        <f t="shared" si="22"/>
        <v>0</v>
      </c>
      <c r="AF100" s="91">
        <f t="shared" si="23"/>
        <v>0</v>
      </c>
      <c r="AG100" s="91">
        <f t="shared" si="24"/>
        <v>0</v>
      </c>
      <c r="AH100" s="121"/>
    </row>
    <row r="101" spans="1:34" customFormat="1" x14ac:dyDescent="0.25">
      <c r="A101" s="1" t="s">
        <v>89</v>
      </c>
      <c r="B101" s="1" t="s">
        <v>325</v>
      </c>
      <c r="C101" s="119">
        <f>+VLOOKUP(B101,'IP PITSS'!$B$9:C167,2,0)</f>
        <v>15</v>
      </c>
      <c r="D101" s="119">
        <f>+VLOOKUP(B101,'IP PITSS'!$B$9:F167,5,0)</f>
        <v>282.81</v>
      </c>
      <c r="E101" s="119">
        <v>8000</v>
      </c>
      <c r="F101" s="120">
        <f t="shared" si="14"/>
        <v>4000</v>
      </c>
      <c r="G101" s="91">
        <f t="shared" si="15"/>
        <v>266.66666666666669</v>
      </c>
      <c r="H101" s="121"/>
      <c r="I101" s="91">
        <f t="shared" si="16"/>
        <v>0</v>
      </c>
      <c r="J101" s="91">
        <f t="shared" si="17"/>
        <v>0</v>
      </c>
      <c r="K101" s="121"/>
      <c r="L101" s="91">
        <f>+VLOOKUP(B101,'IP PITSS'!$B$9:AF168,3,0)</f>
        <v>0</v>
      </c>
      <c r="M101" s="91">
        <f t="shared" si="18"/>
        <v>0</v>
      </c>
      <c r="N101" s="91">
        <f>+VLOOKUP(B101,'IP PITSS'!$B$9:AG168,7,0)</f>
        <v>0</v>
      </c>
      <c r="O101" s="91">
        <f t="shared" si="19"/>
        <v>0</v>
      </c>
      <c r="P101" s="121"/>
      <c r="Q101" s="91">
        <f>+VLOOKUP(B101,'IP PITSS'!$B$9:AJ168,3,0)</f>
        <v>0</v>
      </c>
      <c r="R101" s="91">
        <f t="shared" si="20"/>
        <v>0</v>
      </c>
      <c r="S101" s="91">
        <f>+VLOOKUP(B101,'IP PITSS'!$B$9:AL168,8,0)</f>
        <v>0</v>
      </c>
      <c r="T101" s="91">
        <f t="shared" si="21"/>
        <v>0</v>
      </c>
      <c r="U101" s="121"/>
      <c r="V101" s="121"/>
      <c r="W101" s="91"/>
      <c r="X101" s="91"/>
      <c r="Y101" s="91"/>
      <c r="Z101" s="91"/>
      <c r="AA101" s="91"/>
      <c r="AB101" s="91"/>
      <c r="AC101" s="91"/>
      <c r="AD101" s="91">
        <v>0</v>
      </c>
      <c r="AE101" s="91">
        <f t="shared" si="22"/>
        <v>0</v>
      </c>
      <c r="AF101" s="91">
        <f t="shared" si="23"/>
        <v>0</v>
      </c>
      <c r="AG101" s="91">
        <f t="shared" si="24"/>
        <v>0</v>
      </c>
      <c r="AH101" s="121"/>
    </row>
    <row r="102" spans="1:34" customFormat="1" x14ac:dyDescent="0.25">
      <c r="A102" s="1" t="s">
        <v>89</v>
      </c>
      <c r="B102" s="1" t="s">
        <v>328</v>
      </c>
      <c r="C102" s="119">
        <f>+VLOOKUP(B102,'IP PITSS'!$B$9:C168,2,0)</f>
        <v>15</v>
      </c>
      <c r="D102" s="119">
        <f>+VLOOKUP(B102,'IP PITSS'!$B$9:F168,5,0)</f>
        <v>212.11</v>
      </c>
      <c r="E102" s="119">
        <v>6000</v>
      </c>
      <c r="F102" s="120">
        <f t="shared" si="14"/>
        <v>3000</v>
      </c>
      <c r="G102" s="91">
        <f t="shared" si="15"/>
        <v>200</v>
      </c>
      <c r="H102" s="121"/>
      <c r="I102" s="91">
        <f t="shared" si="16"/>
        <v>0</v>
      </c>
      <c r="J102" s="91">
        <f t="shared" si="17"/>
        <v>0</v>
      </c>
      <c r="K102" s="121"/>
      <c r="L102" s="91">
        <f>+VLOOKUP(B102,'IP PITSS'!$B$9:AF169,3,0)</f>
        <v>0</v>
      </c>
      <c r="M102" s="91">
        <f t="shared" si="18"/>
        <v>0</v>
      </c>
      <c r="N102" s="91">
        <f>+VLOOKUP(B102,'IP PITSS'!$B$9:AG169,7,0)</f>
        <v>0</v>
      </c>
      <c r="O102" s="91">
        <f t="shared" si="19"/>
        <v>0</v>
      </c>
      <c r="P102" s="121"/>
      <c r="Q102" s="91">
        <f>+VLOOKUP(B102,'IP PITSS'!$B$9:AJ169,3,0)</f>
        <v>0</v>
      </c>
      <c r="R102" s="91">
        <f t="shared" si="20"/>
        <v>0</v>
      </c>
      <c r="S102" s="91">
        <f>+VLOOKUP(B102,'IP PITSS'!$B$9:AL169,8,0)</f>
        <v>0</v>
      </c>
      <c r="T102" s="91">
        <f t="shared" si="21"/>
        <v>0</v>
      </c>
      <c r="U102" s="121"/>
      <c r="V102" s="121"/>
      <c r="W102" s="91"/>
      <c r="X102" s="91"/>
      <c r="Y102" s="91"/>
      <c r="Z102" s="91"/>
      <c r="AA102" s="91"/>
      <c r="AB102" s="91"/>
      <c r="AC102" s="91"/>
      <c r="AD102" s="91">
        <v>0</v>
      </c>
      <c r="AE102" s="91">
        <f t="shared" si="22"/>
        <v>0</v>
      </c>
      <c r="AF102" s="91">
        <f t="shared" si="23"/>
        <v>0</v>
      </c>
      <c r="AG102" s="91">
        <f t="shared" si="24"/>
        <v>0</v>
      </c>
      <c r="AH102" s="121"/>
    </row>
    <row r="103" spans="1:34" customFormat="1" x14ac:dyDescent="0.25">
      <c r="A103" s="1" t="s">
        <v>89</v>
      </c>
      <c r="B103" s="1" t="s">
        <v>332</v>
      </c>
      <c r="C103" s="119">
        <f>+VLOOKUP(B103,'IP PITSS'!$B$9:C169,2,0)</f>
        <v>15</v>
      </c>
      <c r="D103" s="119">
        <f>+VLOOKUP(B103,'IP PITSS'!$B$9:F169,5,0)</f>
        <v>212.1</v>
      </c>
      <c r="E103" s="119">
        <v>8000</v>
      </c>
      <c r="F103" s="120">
        <f t="shared" si="14"/>
        <v>4000</v>
      </c>
      <c r="G103" s="91">
        <f t="shared" si="15"/>
        <v>266.66666666666669</v>
      </c>
      <c r="H103" s="121"/>
      <c r="I103" s="91">
        <f t="shared" si="16"/>
        <v>0</v>
      </c>
      <c r="J103" s="91">
        <f t="shared" si="17"/>
        <v>0</v>
      </c>
      <c r="K103" s="121"/>
      <c r="L103" s="91">
        <f>+VLOOKUP(B103,'IP PITSS'!$B$9:AF170,3,0)</f>
        <v>0</v>
      </c>
      <c r="M103" s="91">
        <f t="shared" si="18"/>
        <v>0</v>
      </c>
      <c r="N103" s="91">
        <f>+VLOOKUP(B103,'IP PITSS'!$B$9:AG170,7,0)</f>
        <v>0</v>
      </c>
      <c r="O103" s="91">
        <f t="shared" si="19"/>
        <v>0</v>
      </c>
      <c r="P103" s="121"/>
      <c r="Q103" s="91">
        <f>+VLOOKUP(B103,'IP PITSS'!$B$9:AJ170,3,0)</f>
        <v>0</v>
      </c>
      <c r="R103" s="91">
        <f t="shared" si="20"/>
        <v>0</v>
      </c>
      <c r="S103" s="91">
        <f>+VLOOKUP(B103,'IP PITSS'!$B$9:AL170,8,0)</f>
        <v>0</v>
      </c>
      <c r="T103" s="91">
        <f t="shared" si="21"/>
        <v>0</v>
      </c>
      <c r="U103" s="121"/>
      <c r="V103" s="121"/>
      <c r="W103" s="91"/>
      <c r="X103" s="91"/>
      <c r="Y103" s="91"/>
      <c r="Z103" s="91"/>
      <c r="AA103" s="91"/>
      <c r="AB103" s="91"/>
      <c r="AC103" s="91"/>
      <c r="AD103" s="91">
        <v>0</v>
      </c>
      <c r="AE103" s="91">
        <f t="shared" si="22"/>
        <v>0</v>
      </c>
      <c r="AF103" s="91">
        <f t="shared" si="23"/>
        <v>0</v>
      </c>
      <c r="AG103" s="91">
        <f t="shared" si="24"/>
        <v>0</v>
      </c>
      <c r="AH103" s="121"/>
    </row>
    <row r="104" spans="1:34" customFormat="1" x14ac:dyDescent="0.25">
      <c r="A104" s="1" t="s">
        <v>89</v>
      </c>
      <c r="B104" s="1" t="s">
        <v>334</v>
      </c>
      <c r="C104" s="119">
        <f>+VLOOKUP(B104,'IP PITSS'!$B$9:C170,2,0)</f>
        <v>15</v>
      </c>
      <c r="D104" s="119">
        <f>+VLOOKUP(B104,'IP PITSS'!$B$9:F170,5,0)</f>
        <v>176.76</v>
      </c>
      <c r="E104" s="119">
        <v>5000</v>
      </c>
      <c r="F104" s="120">
        <f t="shared" si="14"/>
        <v>2500</v>
      </c>
      <c r="G104" s="91">
        <f t="shared" si="15"/>
        <v>166.66666666666666</v>
      </c>
      <c r="H104" s="121"/>
      <c r="I104" s="91">
        <f t="shared" si="16"/>
        <v>0</v>
      </c>
      <c r="J104" s="91">
        <f t="shared" si="17"/>
        <v>0</v>
      </c>
      <c r="K104" s="121"/>
      <c r="L104" s="91">
        <f>+VLOOKUP(B104,'IP PITSS'!$B$9:AF171,3,0)</f>
        <v>0</v>
      </c>
      <c r="M104" s="91">
        <f t="shared" si="18"/>
        <v>0</v>
      </c>
      <c r="N104" s="91">
        <f>+VLOOKUP(B104,'IP PITSS'!$B$9:AG171,7,0)</f>
        <v>0</v>
      </c>
      <c r="O104" s="91">
        <f t="shared" si="19"/>
        <v>0</v>
      </c>
      <c r="P104" s="121"/>
      <c r="Q104" s="91">
        <f>+VLOOKUP(B104,'IP PITSS'!$B$9:AJ171,3,0)</f>
        <v>0</v>
      </c>
      <c r="R104" s="91">
        <f t="shared" si="20"/>
        <v>0</v>
      </c>
      <c r="S104" s="91">
        <f>+VLOOKUP(B104,'IP PITSS'!$B$9:AL171,8,0)</f>
        <v>0</v>
      </c>
      <c r="T104" s="91">
        <f t="shared" si="21"/>
        <v>0</v>
      </c>
      <c r="U104" s="121"/>
      <c r="V104" s="121"/>
      <c r="W104" s="91"/>
      <c r="X104" s="91"/>
      <c r="Y104" s="91"/>
      <c r="Z104" s="91"/>
      <c r="AA104" s="91"/>
      <c r="AB104" s="91"/>
      <c r="AC104" s="91"/>
      <c r="AD104" s="91">
        <v>0</v>
      </c>
      <c r="AE104" s="91">
        <f t="shared" si="22"/>
        <v>0</v>
      </c>
      <c r="AF104" s="91">
        <f t="shared" si="23"/>
        <v>0</v>
      </c>
      <c r="AG104" s="91">
        <f t="shared" si="24"/>
        <v>0</v>
      </c>
      <c r="AH104" s="121"/>
    </row>
    <row r="105" spans="1:34" customFormat="1" x14ac:dyDescent="0.25">
      <c r="A105" s="11" t="s">
        <v>89</v>
      </c>
      <c r="B105" s="1" t="s">
        <v>336</v>
      </c>
      <c r="C105" s="119">
        <f>+VLOOKUP(B105,'IP PITSS'!$B$9:C171,2,0)</f>
        <v>15</v>
      </c>
      <c r="D105" s="119">
        <f>+VLOOKUP(B105,'IP PITSS'!$B$9:F171,5,0)</f>
        <v>209.04</v>
      </c>
      <c r="E105" s="119">
        <v>6000</v>
      </c>
      <c r="F105" s="120">
        <f t="shared" si="14"/>
        <v>3000</v>
      </c>
      <c r="G105" s="91">
        <f t="shared" si="15"/>
        <v>200</v>
      </c>
      <c r="H105" s="121"/>
      <c r="I105" s="91">
        <f t="shared" si="16"/>
        <v>0</v>
      </c>
      <c r="J105" s="91">
        <f t="shared" si="17"/>
        <v>0</v>
      </c>
      <c r="K105" s="121"/>
      <c r="L105" s="91">
        <f>+VLOOKUP(B105,'IP PITSS'!$B$9:AF172,3,0)</f>
        <v>0</v>
      </c>
      <c r="M105" s="91">
        <f t="shared" si="18"/>
        <v>0</v>
      </c>
      <c r="N105" s="91">
        <f>+VLOOKUP(B105,'IP PITSS'!$B$9:AG172,7,0)</f>
        <v>0</v>
      </c>
      <c r="O105" s="91">
        <f t="shared" si="19"/>
        <v>0</v>
      </c>
      <c r="P105" s="121"/>
      <c r="Q105" s="91">
        <f>+VLOOKUP(B105,'IP PITSS'!$B$9:AJ172,3,0)</f>
        <v>0</v>
      </c>
      <c r="R105" s="91">
        <f t="shared" si="20"/>
        <v>0</v>
      </c>
      <c r="S105" s="91">
        <f>+VLOOKUP(B105,'IP PITSS'!$B$9:AL172,8,0)</f>
        <v>0</v>
      </c>
      <c r="T105" s="91">
        <f t="shared" si="21"/>
        <v>0</v>
      </c>
      <c r="U105" s="121"/>
      <c r="V105" s="121"/>
      <c r="W105" s="91"/>
      <c r="X105" s="91"/>
      <c r="Y105" s="91"/>
      <c r="Z105" s="91"/>
      <c r="AA105" s="91"/>
      <c r="AB105" s="91"/>
      <c r="AC105" s="91"/>
      <c r="AD105" s="91">
        <v>0</v>
      </c>
      <c r="AE105" s="91">
        <f t="shared" si="22"/>
        <v>0</v>
      </c>
      <c r="AF105" s="91">
        <f t="shared" si="23"/>
        <v>0</v>
      </c>
      <c r="AG105" s="91">
        <f t="shared" si="24"/>
        <v>0</v>
      </c>
      <c r="AH105" s="121"/>
    </row>
    <row r="106" spans="1:34" customFormat="1" x14ac:dyDescent="0.25">
      <c r="A106" s="11" t="s">
        <v>89</v>
      </c>
      <c r="B106" s="1" t="s">
        <v>422</v>
      </c>
      <c r="C106" s="119">
        <f>+VLOOKUP(B106,'IP PITSS'!$B$9:C172,2,0)</f>
        <v>15</v>
      </c>
      <c r="D106" s="119">
        <f>+VLOOKUP(B106,'IP PITSS'!$B$9:F172,5,0)</f>
        <v>219.83</v>
      </c>
      <c r="E106" s="119">
        <v>6300</v>
      </c>
      <c r="F106" s="120">
        <f t="shared" si="14"/>
        <v>3150</v>
      </c>
      <c r="G106" s="91">
        <f t="shared" si="15"/>
        <v>210</v>
      </c>
      <c r="H106" s="121"/>
      <c r="I106" s="91">
        <f t="shared" si="16"/>
        <v>0</v>
      </c>
      <c r="J106" s="91">
        <f t="shared" si="17"/>
        <v>0</v>
      </c>
      <c r="K106" s="121"/>
      <c r="L106" s="91">
        <f>+VLOOKUP(B106,'IP PITSS'!$B$9:AF173,3,0)</f>
        <v>0</v>
      </c>
      <c r="M106" s="91">
        <f t="shared" si="18"/>
        <v>0</v>
      </c>
      <c r="N106" s="91">
        <f>+VLOOKUP(B106,'IP PITSS'!$B$9:AG173,7,0)</f>
        <v>0</v>
      </c>
      <c r="O106" s="91">
        <f t="shared" si="19"/>
        <v>0</v>
      </c>
      <c r="P106" s="121"/>
      <c r="Q106" s="91">
        <f>+VLOOKUP(B106,'IP PITSS'!$B$9:AJ173,3,0)</f>
        <v>0</v>
      </c>
      <c r="R106" s="91">
        <f t="shared" si="20"/>
        <v>0</v>
      </c>
      <c r="S106" s="91">
        <f>+VLOOKUP(B106,'IP PITSS'!$B$9:AL173,8,0)</f>
        <v>0</v>
      </c>
      <c r="T106" s="91">
        <f t="shared" si="21"/>
        <v>0</v>
      </c>
      <c r="U106" s="121"/>
      <c r="V106" s="121"/>
      <c r="W106" s="91"/>
      <c r="X106" s="91"/>
      <c r="Y106" s="91"/>
      <c r="Z106" s="91"/>
      <c r="AA106" s="91"/>
      <c r="AB106" s="91"/>
      <c r="AC106" s="91"/>
      <c r="AD106" s="91">
        <v>0</v>
      </c>
      <c r="AE106" s="91">
        <f t="shared" si="22"/>
        <v>0</v>
      </c>
      <c r="AF106" s="91">
        <f t="shared" si="23"/>
        <v>0</v>
      </c>
      <c r="AG106" s="91">
        <f t="shared" si="24"/>
        <v>0</v>
      </c>
      <c r="AH106" s="121"/>
    </row>
    <row r="107" spans="1:34" customFormat="1" x14ac:dyDescent="0.25">
      <c r="A107" s="11" t="s">
        <v>89</v>
      </c>
      <c r="B107" s="9" t="s">
        <v>424</v>
      </c>
      <c r="C107" s="119">
        <f>+VLOOKUP(B107,'IP PITSS'!$B$9:C173,2,0)</f>
        <v>15</v>
      </c>
      <c r="D107" s="119">
        <f>+VLOOKUP(B107,'IP PITSS'!$B$9:F173,5,0)</f>
        <v>219.49</v>
      </c>
      <c r="E107" s="119">
        <v>6300</v>
      </c>
      <c r="F107" s="120">
        <f t="shared" si="14"/>
        <v>3150</v>
      </c>
      <c r="G107" s="91">
        <f t="shared" si="15"/>
        <v>210</v>
      </c>
      <c r="H107" s="121"/>
      <c r="I107" s="91">
        <f t="shared" si="16"/>
        <v>0</v>
      </c>
      <c r="J107" s="91">
        <f t="shared" si="17"/>
        <v>0</v>
      </c>
      <c r="K107" s="121"/>
      <c r="L107" s="91">
        <f>+VLOOKUP(B107,'IP PITSS'!$B$9:AF174,3,0)</f>
        <v>0</v>
      </c>
      <c r="M107" s="91">
        <f t="shared" si="18"/>
        <v>0</v>
      </c>
      <c r="N107" s="91">
        <f>+VLOOKUP(B107,'IP PITSS'!$B$9:AG174,7,0)</f>
        <v>0</v>
      </c>
      <c r="O107" s="91">
        <f t="shared" si="19"/>
        <v>0</v>
      </c>
      <c r="P107" s="121"/>
      <c r="Q107" s="91">
        <f>+VLOOKUP(B107,'IP PITSS'!$B$9:AJ174,3,0)</f>
        <v>0</v>
      </c>
      <c r="R107" s="91">
        <f t="shared" si="20"/>
        <v>0</v>
      </c>
      <c r="S107" s="91">
        <f>+VLOOKUP(B107,'IP PITSS'!$B$9:AL174,8,0)</f>
        <v>0</v>
      </c>
      <c r="T107" s="91">
        <f t="shared" si="21"/>
        <v>0</v>
      </c>
      <c r="U107" s="121"/>
      <c r="V107" s="121"/>
      <c r="W107" s="91"/>
      <c r="X107" s="91"/>
      <c r="Y107" s="91"/>
      <c r="Z107" s="91"/>
      <c r="AA107" s="91"/>
      <c r="AB107" s="91"/>
      <c r="AC107" s="91"/>
      <c r="AD107" s="91">
        <v>0</v>
      </c>
      <c r="AE107" s="91">
        <f t="shared" si="22"/>
        <v>0</v>
      </c>
      <c r="AF107" s="91">
        <f t="shared" si="23"/>
        <v>0</v>
      </c>
      <c r="AG107" s="91">
        <f t="shared" si="24"/>
        <v>0</v>
      </c>
      <c r="AH107" s="121"/>
    </row>
    <row r="108" spans="1:34" customFormat="1" x14ac:dyDescent="0.25">
      <c r="A108" s="11" t="s">
        <v>89</v>
      </c>
      <c r="B108" s="9" t="s">
        <v>426</v>
      </c>
      <c r="C108" s="119">
        <f>+VLOOKUP(B108,'IP PITSS'!$B$9:C174,2,0)</f>
        <v>15</v>
      </c>
      <c r="D108" s="119">
        <f>+VLOOKUP(B108,'IP PITSS'!$B$9:F174,5,0)</f>
        <v>209.04</v>
      </c>
      <c r="E108" s="119">
        <v>6000</v>
      </c>
      <c r="F108" s="120">
        <f t="shared" si="14"/>
        <v>3000</v>
      </c>
      <c r="G108" s="91">
        <f t="shared" si="15"/>
        <v>200</v>
      </c>
      <c r="H108" s="121"/>
      <c r="I108" s="91">
        <f t="shared" si="16"/>
        <v>0</v>
      </c>
      <c r="J108" s="91">
        <f t="shared" si="17"/>
        <v>0</v>
      </c>
      <c r="K108" s="121"/>
      <c r="L108" s="91">
        <f>+VLOOKUP(B108,'IP PITSS'!$B$9:AF175,3,0)</f>
        <v>0</v>
      </c>
      <c r="M108" s="91">
        <f t="shared" si="18"/>
        <v>0</v>
      </c>
      <c r="N108" s="91">
        <f>+VLOOKUP(B108,'IP PITSS'!$B$9:AG175,7,0)</f>
        <v>0</v>
      </c>
      <c r="O108" s="91">
        <f t="shared" si="19"/>
        <v>0</v>
      </c>
      <c r="P108" s="121"/>
      <c r="Q108" s="91">
        <f>+VLOOKUP(B108,'IP PITSS'!$B$9:AJ175,3,0)</f>
        <v>0</v>
      </c>
      <c r="R108" s="91">
        <f t="shared" si="20"/>
        <v>0</v>
      </c>
      <c r="S108" s="91">
        <f>+VLOOKUP(B108,'IP PITSS'!$B$9:AL175,8,0)</f>
        <v>0</v>
      </c>
      <c r="T108" s="91">
        <f t="shared" si="21"/>
        <v>0</v>
      </c>
      <c r="U108" s="121"/>
      <c r="V108" s="121"/>
      <c r="W108" s="91"/>
      <c r="X108" s="91"/>
      <c r="Y108" s="91"/>
      <c r="Z108" s="91"/>
      <c r="AA108" s="91"/>
      <c r="AB108" s="91"/>
      <c r="AC108" s="91"/>
      <c r="AD108" s="91">
        <v>0</v>
      </c>
      <c r="AE108" s="91">
        <f t="shared" si="22"/>
        <v>0</v>
      </c>
      <c r="AF108" s="91">
        <f t="shared" si="23"/>
        <v>0</v>
      </c>
      <c r="AG108" s="91">
        <f t="shared" si="24"/>
        <v>0</v>
      </c>
      <c r="AH108" s="121"/>
    </row>
    <row r="109" spans="1:34" customFormat="1" x14ac:dyDescent="0.25">
      <c r="A109" s="11" t="s">
        <v>89</v>
      </c>
      <c r="B109" s="9" t="s">
        <v>455</v>
      </c>
      <c r="C109" s="119">
        <f>+VLOOKUP(B109,'IP PITSS'!$B$9:C175,2,0)</f>
        <v>14</v>
      </c>
      <c r="D109" s="119">
        <f>+VLOOKUP(B109,'IP PITSS'!$B$9:F175,5,0)</f>
        <v>209.04</v>
      </c>
      <c r="E109" s="119">
        <v>6000</v>
      </c>
      <c r="F109" s="120">
        <f t="shared" ref="F109:F111" si="25">+E109/2</f>
        <v>3000</v>
      </c>
      <c r="G109" s="91">
        <f t="shared" ref="G109:G111" si="26">+F109/15</f>
        <v>200</v>
      </c>
      <c r="H109" s="121"/>
      <c r="I109" s="91">
        <f t="shared" ref="I109:I111" si="27">15-C109</f>
        <v>1</v>
      </c>
      <c r="J109" s="91">
        <f t="shared" ref="J109:J111" si="28">+I109*G109</f>
        <v>200</v>
      </c>
      <c r="K109" s="121"/>
      <c r="L109" s="91">
        <f>+VLOOKUP(B109,'IP PITSS'!$B$9:AF176,3,0)</f>
        <v>0</v>
      </c>
      <c r="M109" s="91">
        <f t="shared" ref="M109:M111" si="29">+G109*L109</f>
        <v>0</v>
      </c>
      <c r="N109" s="91">
        <f>+VLOOKUP(B109,'IP PITSS'!$B$9:AG176,7,0)</f>
        <v>0</v>
      </c>
      <c r="O109" s="91">
        <f t="shared" ref="O109:O111" si="30">+M109-N109</f>
        <v>0</v>
      </c>
      <c r="P109" s="121"/>
      <c r="Q109" s="91">
        <f>+VLOOKUP(B109,'IP PITSS'!$B$9:AJ176,3,0)</f>
        <v>0</v>
      </c>
      <c r="R109" s="91">
        <f t="shared" ref="R109:R111" si="31">+G109*Q109*30%</f>
        <v>0</v>
      </c>
      <c r="S109" s="91">
        <f>+VLOOKUP(B109,'IP PITSS'!$B$9:AL176,8,0)</f>
        <v>0</v>
      </c>
      <c r="T109" s="91">
        <f t="shared" ref="T109:T111" si="32">+R109-S109</f>
        <v>0</v>
      </c>
      <c r="U109" s="121"/>
      <c r="V109" s="121"/>
      <c r="W109" s="91"/>
      <c r="X109" s="91"/>
      <c r="Y109" s="91"/>
      <c r="Z109" s="91"/>
      <c r="AA109" s="91"/>
      <c r="AB109" s="91"/>
      <c r="AC109" s="91"/>
      <c r="AD109" s="91">
        <v>0</v>
      </c>
      <c r="AE109" s="91">
        <f t="shared" ref="AE109:AE111" si="33">+G109*AD109</f>
        <v>0</v>
      </c>
      <c r="AF109" s="91">
        <f t="shared" ref="AF109:AF111" si="34">+AD109*D109</f>
        <v>0</v>
      </c>
      <c r="AG109" s="91">
        <f t="shared" ref="AG109:AG111" si="35">+AE109-AF109</f>
        <v>0</v>
      </c>
      <c r="AH109" s="121"/>
    </row>
    <row r="110" spans="1:34" customFormat="1" x14ac:dyDescent="0.25">
      <c r="A110" s="11" t="s">
        <v>89</v>
      </c>
      <c r="B110" s="9" t="s">
        <v>457</v>
      </c>
      <c r="C110" s="119">
        <f>+VLOOKUP(B110,'IP PITSS'!$B$9:C176,2,0)</f>
        <v>13</v>
      </c>
      <c r="D110" s="119">
        <f>+VLOOKUP(B110,'IP PITSS'!$B$9:F176,5,0)</f>
        <v>219.49</v>
      </c>
      <c r="E110" s="119">
        <v>6300</v>
      </c>
      <c r="F110" s="120">
        <f t="shared" si="25"/>
        <v>3150</v>
      </c>
      <c r="G110" s="91">
        <f t="shared" si="26"/>
        <v>210</v>
      </c>
      <c r="H110" s="121"/>
      <c r="I110" s="91">
        <f t="shared" si="27"/>
        <v>2</v>
      </c>
      <c r="J110" s="91">
        <f t="shared" si="28"/>
        <v>420</v>
      </c>
      <c r="K110" s="121"/>
      <c r="L110" s="91">
        <f>+VLOOKUP(B110,'IP PITSS'!$B$9:AF177,3,0)</f>
        <v>0</v>
      </c>
      <c r="M110" s="91">
        <f t="shared" si="29"/>
        <v>0</v>
      </c>
      <c r="N110" s="91">
        <f>+VLOOKUP(B110,'IP PITSS'!$B$9:AG177,7,0)</f>
        <v>0</v>
      </c>
      <c r="O110" s="91">
        <f t="shared" si="30"/>
        <v>0</v>
      </c>
      <c r="P110" s="121"/>
      <c r="Q110" s="91">
        <f>+VLOOKUP(B110,'IP PITSS'!$B$9:AJ177,3,0)</f>
        <v>0</v>
      </c>
      <c r="R110" s="91">
        <f t="shared" si="31"/>
        <v>0</v>
      </c>
      <c r="S110" s="91">
        <f>+VLOOKUP(B110,'IP PITSS'!$B$9:AL177,8,0)</f>
        <v>0</v>
      </c>
      <c r="T110" s="91">
        <f t="shared" si="32"/>
        <v>0</v>
      </c>
      <c r="U110" s="121"/>
      <c r="V110" s="121"/>
      <c r="W110" s="91"/>
      <c r="X110" s="91"/>
      <c r="Y110" s="91"/>
      <c r="Z110" s="91"/>
      <c r="AA110" s="91"/>
      <c r="AB110" s="91"/>
      <c r="AC110" s="91"/>
      <c r="AD110" s="91">
        <v>0</v>
      </c>
      <c r="AE110" s="91">
        <f t="shared" si="33"/>
        <v>0</v>
      </c>
      <c r="AF110" s="91">
        <f t="shared" si="34"/>
        <v>0</v>
      </c>
      <c r="AG110" s="91">
        <f t="shared" si="35"/>
        <v>0</v>
      </c>
      <c r="AH110" s="121"/>
    </row>
    <row r="111" spans="1:34" customFormat="1" x14ac:dyDescent="0.25">
      <c r="A111" s="11" t="s">
        <v>89</v>
      </c>
      <c r="B111" s="9" t="s">
        <v>459</v>
      </c>
      <c r="C111" s="119">
        <f>+VLOOKUP(B111,'IP PITSS'!$B$9:C177,2,0)</f>
        <v>6</v>
      </c>
      <c r="D111" s="119">
        <f>+VLOOKUP(B111,'IP PITSS'!$B$9:F177,5,0)</f>
        <v>209.04</v>
      </c>
      <c r="E111" s="119">
        <v>6000</v>
      </c>
      <c r="F111" s="120">
        <f t="shared" si="25"/>
        <v>3000</v>
      </c>
      <c r="G111" s="91">
        <f t="shared" si="26"/>
        <v>200</v>
      </c>
      <c r="H111" s="121"/>
      <c r="I111" s="91">
        <f t="shared" si="27"/>
        <v>9</v>
      </c>
      <c r="J111" s="91">
        <f t="shared" si="28"/>
        <v>1800</v>
      </c>
      <c r="K111" s="121"/>
      <c r="L111" s="91">
        <f>+VLOOKUP(B111,'IP PITSS'!$B$9:AF178,3,0)</f>
        <v>0</v>
      </c>
      <c r="M111" s="91">
        <f t="shared" si="29"/>
        <v>0</v>
      </c>
      <c r="N111" s="91">
        <f>+VLOOKUP(B111,'IP PITSS'!$B$9:AG178,7,0)</f>
        <v>0</v>
      </c>
      <c r="O111" s="91">
        <f t="shared" si="30"/>
        <v>0</v>
      </c>
      <c r="P111" s="121"/>
      <c r="Q111" s="91">
        <f>+VLOOKUP(B111,'IP PITSS'!$B$9:AJ178,3,0)</f>
        <v>0</v>
      </c>
      <c r="R111" s="91">
        <f t="shared" si="31"/>
        <v>0</v>
      </c>
      <c r="S111" s="91">
        <f>+VLOOKUP(B111,'IP PITSS'!$B$9:AL178,8,0)</f>
        <v>0</v>
      </c>
      <c r="T111" s="91">
        <f t="shared" si="32"/>
        <v>0</v>
      </c>
      <c r="U111" s="121"/>
      <c r="V111" s="121"/>
      <c r="W111" s="91"/>
      <c r="X111" s="91"/>
      <c r="Y111" s="91"/>
      <c r="Z111" s="91"/>
      <c r="AA111" s="91"/>
      <c r="AB111" s="91"/>
      <c r="AC111" s="91"/>
      <c r="AD111" s="91">
        <v>0</v>
      </c>
      <c r="AE111" s="91">
        <f t="shared" si="33"/>
        <v>0</v>
      </c>
      <c r="AF111" s="91">
        <f t="shared" si="34"/>
        <v>0</v>
      </c>
      <c r="AG111" s="91">
        <f t="shared" si="35"/>
        <v>0</v>
      </c>
      <c r="AH111" s="121"/>
    </row>
    <row r="112" spans="1:34" customFormat="1" x14ac:dyDescent="0.25">
      <c r="A112" s="122" t="s">
        <v>87</v>
      </c>
      <c r="C112" s="123" t="s">
        <v>451</v>
      </c>
      <c r="D112" s="123" t="s">
        <v>451</v>
      </c>
      <c r="E112" s="123" t="s">
        <v>451</v>
      </c>
      <c r="F112" s="124" t="s">
        <v>451</v>
      </c>
      <c r="G112" s="125" t="s">
        <v>451</v>
      </c>
      <c r="H112" s="124" t="s">
        <v>451</v>
      </c>
      <c r="I112" s="124" t="s">
        <v>451</v>
      </c>
      <c r="J112" s="124" t="s">
        <v>451</v>
      </c>
      <c r="K112" s="124" t="s">
        <v>451</v>
      </c>
      <c r="L112" s="124" t="s">
        <v>451</v>
      </c>
      <c r="M112" s="124" t="s">
        <v>451</v>
      </c>
      <c r="N112" s="124" t="s">
        <v>451</v>
      </c>
      <c r="O112" s="124" t="s">
        <v>451</v>
      </c>
      <c r="P112" s="124"/>
      <c r="Q112" s="124" t="s">
        <v>451</v>
      </c>
      <c r="R112" s="124" t="s">
        <v>451</v>
      </c>
      <c r="S112" s="124" t="s">
        <v>451</v>
      </c>
      <c r="T112" s="124" t="s">
        <v>451</v>
      </c>
      <c r="U112" s="124" t="s">
        <v>451</v>
      </c>
      <c r="V112" s="124" t="s">
        <v>451</v>
      </c>
      <c r="W112" s="124" t="s">
        <v>451</v>
      </c>
      <c r="X112" s="124" t="s">
        <v>451</v>
      </c>
      <c r="Y112" s="124" t="s">
        <v>451</v>
      </c>
      <c r="Z112" s="124" t="s">
        <v>451</v>
      </c>
      <c r="AA112" s="124" t="s">
        <v>451</v>
      </c>
      <c r="AB112" s="124" t="s">
        <v>451</v>
      </c>
      <c r="AC112" s="124" t="s">
        <v>451</v>
      </c>
      <c r="AD112" s="124" t="s">
        <v>451</v>
      </c>
      <c r="AE112" s="124" t="s">
        <v>451</v>
      </c>
      <c r="AF112" s="124" t="s">
        <v>451</v>
      </c>
      <c r="AG112" s="124" t="s">
        <v>451</v>
      </c>
      <c r="AH112" s="124" t="s">
        <v>451</v>
      </c>
    </row>
    <row r="113" spans="3:34" x14ac:dyDescent="0.25">
      <c r="C113" s="59">
        <f t="shared" ref="C113:O113" si="36">+SUM(C9:C112)</f>
        <v>1501</v>
      </c>
      <c r="D113" s="59">
        <f t="shared" si="36"/>
        <v>26418.550000000007</v>
      </c>
      <c r="E113" s="59">
        <f t="shared" si="36"/>
        <v>1028731.01</v>
      </c>
      <c r="F113" s="59">
        <f t="shared" si="36"/>
        <v>514365.505</v>
      </c>
      <c r="G113" s="59">
        <f t="shared" si="36"/>
        <v>34291.033666666677</v>
      </c>
      <c r="H113" s="59">
        <f t="shared" si="36"/>
        <v>0</v>
      </c>
      <c r="I113" s="59">
        <f t="shared" si="36"/>
        <v>13</v>
      </c>
      <c r="J113" s="59">
        <f t="shared" si="36"/>
        <v>2753.333333333333</v>
      </c>
      <c r="K113" s="59">
        <f t="shared" si="36"/>
        <v>0</v>
      </c>
      <c r="L113" s="59">
        <f t="shared" si="36"/>
        <v>31</v>
      </c>
      <c r="M113" s="59">
        <f t="shared" si="36"/>
        <v>11850.199666666666</v>
      </c>
      <c r="N113" s="59">
        <f t="shared" si="36"/>
        <v>6706.380000000001</v>
      </c>
      <c r="O113" s="59">
        <f t="shared" si="36"/>
        <v>5143.8196666666672</v>
      </c>
      <c r="P113" s="59"/>
      <c r="Q113" s="59">
        <f t="shared" ref="Q113:AH113" si="37">+SUM(Q9:Q112)</f>
        <v>31</v>
      </c>
      <c r="R113" s="59">
        <f t="shared" si="37"/>
        <v>3555.0599000000002</v>
      </c>
      <c r="S113" s="59">
        <f t="shared" si="37"/>
        <v>2011.92</v>
      </c>
      <c r="T113" s="59">
        <f t="shared" si="37"/>
        <v>1543.1398999999999</v>
      </c>
      <c r="U113" s="59">
        <f t="shared" si="37"/>
        <v>0</v>
      </c>
      <c r="V113" s="59">
        <f t="shared" si="37"/>
        <v>0</v>
      </c>
      <c r="W113" s="59">
        <f t="shared" si="37"/>
        <v>0</v>
      </c>
      <c r="X113" s="59">
        <f t="shared" si="37"/>
        <v>0</v>
      </c>
      <c r="Y113" s="59">
        <f t="shared" si="37"/>
        <v>0</v>
      </c>
      <c r="Z113" s="59">
        <f t="shared" si="37"/>
        <v>0</v>
      </c>
      <c r="AA113" s="59">
        <f t="shared" si="37"/>
        <v>0</v>
      </c>
      <c r="AB113" s="59">
        <f t="shared" si="37"/>
        <v>0</v>
      </c>
      <c r="AC113" s="59">
        <f t="shared" si="37"/>
        <v>0</v>
      </c>
      <c r="AD113" s="59">
        <f t="shared" si="37"/>
        <v>0</v>
      </c>
      <c r="AE113" s="59">
        <f t="shared" si="37"/>
        <v>0</v>
      </c>
      <c r="AF113" s="59">
        <f t="shared" si="37"/>
        <v>0</v>
      </c>
      <c r="AG113" s="59">
        <f t="shared" si="37"/>
        <v>0</v>
      </c>
      <c r="AH113" s="59">
        <f t="shared" si="37"/>
        <v>0</v>
      </c>
    </row>
    <row r="114" spans="3:34" customFormat="1" ht="15.75" x14ac:dyDescent="0.25">
      <c r="F114" s="42"/>
      <c r="G114" s="47"/>
      <c r="K114" s="106"/>
      <c r="L114" s="107"/>
      <c r="M114" s="107"/>
      <c r="N114" s="107"/>
      <c r="O114" s="107"/>
      <c r="P114" s="106"/>
      <c r="Q114" s="107"/>
      <c r="R114" s="107"/>
      <c r="S114" s="107"/>
      <c r="T114" s="107"/>
      <c r="U114" s="106"/>
      <c r="V114" s="106"/>
      <c r="W114" s="107"/>
      <c r="X114" s="107"/>
      <c r="Y114" s="107"/>
      <c r="Z114" s="107"/>
      <c r="AA114" s="107"/>
      <c r="AB114" s="107"/>
      <c r="AC114" s="107"/>
    </row>
    <row r="115" spans="3:34" customFormat="1" ht="15.75" x14ac:dyDescent="0.25">
      <c r="F115" s="42"/>
      <c r="K115" s="106"/>
      <c r="L115" s="107"/>
      <c r="M115" s="107"/>
      <c r="N115" s="107"/>
      <c r="O115" s="107"/>
      <c r="P115" s="106"/>
      <c r="Q115" s="107"/>
      <c r="R115" s="107"/>
      <c r="S115" s="107"/>
      <c r="T115" s="107"/>
      <c r="U115" s="106"/>
      <c r="V115" s="106"/>
      <c r="W115" s="107"/>
      <c r="X115" s="107"/>
      <c r="Y115" s="107"/>
      <c r="Z115" s="107"/>
      <c r="AA115" s="107"/>
      <c r="AB115" s="107"/>
      <c r="AC115" s="107"/>
    </row>
    <row r="116" spans="3:34" customFormat="1" ht="15.75" x14ac:dyDescent="0.25">
      <c r="F116" s="42"/>
      <c r="K116" s="106"/>
      <c r="L116" s="107"/>
      <c r="M116" s="107"/>
      <c r="N116" s="107"/>
      <c r="O116" s="107"/>
      <c r="P116" s="106"/>
      <c r="Q116" s="107"/>
      <c r="R116" s="107"/>
      <c r="S116" s="107"/>
      <c r="T116" s="107"/>
      <c r="U116" s="106"/>
      <c r="V116" s="106"/>
      <c r="W116" s="107"/>
      <c r="X116" s="107"/>
      <c r="Y116" s="107"/>
      <c r="Z116" s="107"/>
      <c r="AA116" s="107"/>
      <c r="AB116" s="107"/>
      <c r="AC116" s="107"/>
    </row>
    <row r="117" spans="3:34" customFormat="1" ht="15.75" x14ac:dyDescent="0.25">
      <c r="F117" s="42"/>
      <c r="K117" s="106"/>
      <c r="L117" s="107"/>
      <c r="M117" s="107"/>
      <c r="N117" s="107"/>
      <c r="O117" s="107"/>
      <c r="P117" s="106"/>
      <c r="Q117" s="107"/>
      <c r="R117" s="107"/>
      <c r="S117" s="107"/>
      <c r="T117" s="107"/>
      <c r="U117" s="106"/>
      <c r="V117" s="106"/>
      <c r="W117" s="107"/>
      <c r="X117" s="107"/>
      <c r="Y117" s="107"/>
      <c r="Z117" s="107"/>
      <c r="AA117" s="107"/>
      <c r="AB117" s="107"/>
      <c r="AC117" s="107"/>
    </row>
    <row r="118" spans="3:34" customFormat="1" ht="15.75" x14ac:dyDescent="0.25">
      <c r="F118" s="42"/>
      <c r="K118" s="106"/>
      <c r="L118" s="107"/>
      <c r="M118" s="107"/>
      <c r="N118" s="107"/>
      <c r="O118" s="107"/>
      <c r="P118" s="106"/>
      <c r="Q118" s="107"/>
      <c r="R118" s="107"/>
      <c r="S118" s="107"/>
      <c r="T118" s="107"/>
      <c r="U118" s="106"/>
      <c r="V118" s="106"/>
      <c r="W118" s="107"/>
      <c r="X118" s="107"/>
      <c r="Y118" s="107"/>
      <c r="Z118" s="107"/>
      <c r="AA118" s="107"/>
      <c r="AB118" s="107"/>
      <c r="AC118" s="107"/>
    </row>
    <row r="119" spans="3:34" customFormat="1" ht="15.75" x14ac:dyDescent="0.25">
      <c r="F119" s="42"/>
      <c r="K119" s="106"/>
      <c r="L119" s="107"/>
      <c r="M119" s="107"/>
      <c r="N119" s="107"/>
      <c r="O119" s="107"/>
      <c r="P119" s="106"/>
      <c r="Q119" s="107"/>
      <c r="R119" s="107"/>
      <c r="S119" s="107"/>
      <c r="T119" s="107"/>
      <c r="U119" s="106"/>
      <c r="V119" s="106"/>
      <c r="W119" s="107"/>
      <c r="X119" s="107"/>
      <c r="Y119" s="107"/>
      <c r="Z119" s="107"/>
      <c r="AA119" s="107"/>
      <c r="AB119" s="107"/>
      <c r="AC119" s="107"/>
    </row>
  </sheetData>
  <autoFilter ref="A8:AC113" xr:uid="{00000000-0009-0000-0000-000003000000}"/>
  <pageMargins left="0.7" right="0.7" top="0.75" bottom="0.75" header="0.3" footer="0.3"/>
  <pageSetup orientation="portrait" horizontalDpi="4294967292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16"/>
  <sheetViews>
    <sheetView showGridLines="0" zoomScale="90" zoomScaleNormal="90" workbookViewId="0">
      <pane xSplit="3" ySplit="8" topLeftCell="R9" activePane="bottomRight" state="frozen"/>
      <selection activeCell="E31" sqref="E31"/>
      <selection pane="topRight" activeCell="E31" sqref="E31"/>
      <selection pane="bottomLeft" activeCell="E31" sqref="E31"/>
      <selection pane="bottomRight" activeCell="V10" sqref="V10"/>
    </sheetView>
  </sheetViews>
  <sheetFormatPr baseColWidth="10" defaultColWidth="11.42578125" defaultRowHeight="12.75" x14ac:dyDescent="0.2"/>
  <cols>
    <col min="1" max="1" width="11.42578125" style="9"/>
    <col min="2" max="2" width="15.5703125" style="9" customWidth="1"/>
    <col min="3" max="3" width="46.28515625" style="41" customWidth="1"/>
    <col min="4" max="4" width="17.7109375" style="9" customWidth="1"/>
    <col min="5" max="5" width="4" style="16" customWidth="1"/>
    <col min="6" max="9" width="16.140625" style="9" customWidth="1"/>
    <col min="10" max="10" width="3.5703125" style="16" customWidth="1"/>
    <col min="11" max="11" width="19.5703125" style="9" customWidth="1"/>
    <col min="12" max="12" width="22.5703125" style="9" customWidth="1"/>
    <col min="13" max="13" width="19.5703125" style="9" customWidth="1"/>
    <col min="14" max="14" width="3.7109375" style="16" customWidth="1"/>
    <col min="15" max="20" width="13.28515625" style="9" customWidth="1"/>
    <col min="21" max="21" width="3.140625" style="16" customWidth="1"/>
    <col min="22" max="22" width="16.7109375" style="9" customWidth="1"/>
    <col min="23" max="23" width="13.85546875" style="10" customWidth="1"/>
    <col min="24" max="24" width="27.5703125" style="18" customWidth="1"/>
    <col min="25" max="25" width="11.42578125" style="19" hidden="1" customWidth="1"/>
    <col min="26" max="36" width="11.42578125" style="10" customWidth="1"/>
    <col min="37" max="16384" width="11.42578125" style="10"/>
  </cols>
  <sheetData>
    <row r="1" spans="1:26" ht="18" customHeight="1" x14ac:dyDescent="0.2">
      <c r="E1" s="9"/>
      <c r="J1" s="9"/>
      <c r="N1" s="9"/>
      <c r="U1" s="9"/>
      <c r="W1" s="9"/>
      <c r="X1" s="9"/>
      <c r="Y1" s="9"/>
    </row>
    <row r="2" spans="1:26" ht="24.75" customHeight="1" x14ac:dyDescent="0.2">
      <c r="B2" s="100" t="s">
        <v>452</v>
      </c>
      <c r="E2" s="9"/>
      <c r="J2" s="9"/>
      <c r="N2" s="9"/>
      <c r="U2" s="9"/>
      <c r="W2" s="9"/>
      <c r="X2" s="9"/>
      <c r="Y2" s="9"/>
    </row>
    <row r="3" spans="1:26" ht="15" customHeight="1" x14ac:dyDescent="0.25">
      <c r="B3" s="81" t="s">
        <v>1</v>
      </c>
      <c r="E3" s="9"/>
      <c r="J3" s="9"/>
      <c r="N3" s="9"/>
      <c r="U3" s="9"/>
      <c r="W3" s="9"/>
      <c r="X3" s="9"/>
      <c r="Y3" s="9"/>
    </row>
    <row r="4" spans="1:26" ht="15" customHeight="1" x14ac:dyDescent="0.2">
      <c r="E4" s="9"/>
      <c r="J4" s="9"/>
      <c r="N4" s="9"/>
      <c r="U4" s="9"/>
      <c r="W4" s="9"/>
      <c r="X4" s="9"/>
      <c r="Y4" s="9"/>
    </row>
    <row r="5" spans="1:26" ht="15" customHeight="1" x14ac:dyDescent="0.2">
      <c r="E5" s="9"/>
      <c r="J5" s="9"/>
      <c r="N5" s="9"/>
      <c r="U5" s="9"/>
      <c r="W5" s="9"/>
      <c r="X5" s="9"/>
      <c r="Y5" s="9"/>
    </row>
    <row r="6" spans="1:26" ht="15" customHeight="1" x14ac:dyDescent="0.2">
      <c r="E6" s="9"/>
      <c r="J6" s="9"/>
      <c r="N6" s="9"/>
      <c r="U6" s="9"/>
      <c r="W6" s="9"/>
      <c r="X6" s="9"/>
      <c r="Y6" s="9"/>
    </row>
    <row r="7" spans="1:26" ht="15" customHeight="1" x14ac:dyDescent="0.2">
      <c r="A7" s="208"/>
      <c r="B7" s="208"/>
      <c r="C7" s="208"/>
      <c r="D7" s="208"/>
      <c r="F7" s="208" t="s">
        <v>78</v>
      </c>
      <c r="G7" s="208"/>
      <c r="H7" s="208"/>
      <c r="I7" s="208"/>
      <c r="K7" s="208"/>
      <c r="L7" s="208"/>
      <c r="M7" s="208"/>
      <c r="O7" s="143"/>
      <c r="P7" s="143"/>
      <c r="Q7" s="143"/>
      <c r="R7" s="143"/>
      <c r="S7" s="143"/>
      <c r="T7" s="143"/>
      <c r="V7" s="17"/>
      <c r="W7" s="17"/>
      <c r="X7" s="17"/>
    </row>
    <row r="8" spans="1:26" ht="30" customHeight="1" thickBot="1" x14ac:dyDescent="0.25">
      <c r="A8" s="20" t="s">
        <v>80</v>
      </c>
      <c r="B8" s="20" t="s">
        <v>81</v>
      </c>
      <c r="C8" s="20" t="s">
        <v>82</v>
      </c>
      <c r="D8" s="20" t="s">
        <v>427</v>
      </c>
      <c r="E8" s="21"/>
      <c r="F8" s="22" t="s">
        <v>338</v>
      </c>
      <c r="G8" s="22" t="s">
        <v>84</v>
      </c>
      <c r="H8" s="22" t="s">
        <v>85</v>
      </c>
      <c r="I8" s="22" t="s">
        <v>339</v>
      </c>
      <c r="J8" s="21" t="s">
        <v>340</v>
      </c>
      <c r="K8" s="23" t="s">
        <v>341</v>
      </c>
      <c r="L8" s="20" t="s">
        <v>342</v>
      </c>
      <c r="M8" s="24" t="s">
        <v>343</v>
      </c>
      <c r="N8" s="21" t="s">
        <v>344</v>
      </c>
      <c r="O8" s="20" t="s">
        <v>345</v>
      </c>
      <c r="P8" s="20" t="s">
        <v>346</v>
      </c>
      <c r="Q8" s="20" t="s">
        <v>347</v>
      </c>
      <c r="R8" s="20" t="s">
        <v>348</v>
      </c>
      <c r="S8" s="20" t="s">
        <v>462</v>
      </c>
      <c r="T8" s="20" t="s">
        <v>349</v>
      </c>
      <c r="U8" s="21" t="s">
        <v>350</v>
      </c>
      <c r="V8" s="25" t="s">
        <v>351</v>
      </c>
      <c r="W8" s="25" t="s">
        <v>352</v>
      </c>
      <c r="X8" s="26" t="s">
        <v>353</v>
      </c>
    </row>
    <row r="9" spans="1:26" ht="13.5" thickTop="1" x14ac:dyDescent="0.2">
      <c r="A9" s="5" t="s">
        <v>38</v>
      </c>
      <c r="B9" s="5" t="s">
        <v>102</v>
      </c>
      <c r="C9" s="27" t="s">
        <v>39</v>
      </c>
      <c r="D9" s="5">
        <f>+VLOOKUP(C9,'CPD PITSS'!$B$9:V27,21,0)</f>
        <v>2774.6</v>
      </c>
      <c r="E9" s="28"/>
      <c r="F9" s="19">
        <f>VLOOKUP(C9,'SIND PITS'!$C$9:$H$113,2,0)</f>
        <v>1475.4</v>
      </c>
      <c r="G9" s="19">
        <f>VLOOKUP(C9,'SIND PITS'!$C$9:$E$113,3,0)</f>
        <v>0</v>
      </c>
      <c r="H9" s="19">
        <f>VLOOKUP(C9,'SIND PITS'!$C$9:$F$113,4,0)</f>
        <v>0</v>
      </c>
      <c r="I9" s="19">
        <f>VLOOKUP(C9,'SIND PITS'!$C$9:$G$113,5,0)</f>
        <v>0</v>
      </c>
      <c r="K9" s="19">
        <f>SUM(D9:I9)</f>
        <v>4250</v>
      </c>
      <c r="L9" s="19">
        <v>8500</v>
      </c>
      <c r="M9" s="19">
        <f>+L9/2</f>
        <v>4250</v>
      </c>
      <c r="O9" s="19">
        <f>+VLOOKUP(C9,'CPD PITSS'!$B$9:I27,8,0)</f>
        <v>0</v>
      </c>
      <c r="P9" s="19">
        <f>+G9+H9+I9</f>
        <v>0</v>
      </c>
      <c r="Q9" s="19">
        <f>(VLOOKUP($C9,'CPD PITSS'!$B$9:V26,13,0))+(VLOOKUP($C9,'CPD PITSS'!$B$9:V26,14,0))</f>
        <v>0</v>
      </c>
      <c r="R9" s="19">
        <v>0</v>
      </c>
      <c r="S9" s="19">
        <f>+VLOOKUP(C9,'EXTRAS Y FESTIVOS'!$B$9:J111,9,0)</f>
        <v>0</v>
      </c>
      <c r="T9" s="19">
        <f>VLOOKUP(C9,'CPD PITSS'!$B$9:S26,18,0)</f>
        <v>0</v>
      </c>
      <c r="V9" s="19">
        <f>+K9-O9-P9+Q9+R9+T9+S9+IFERROR(VLOOKUP('RESUMEN PITS'!C9,'IP PITSS'!$B$9:$M$93,10),0)+IFERROR(VLOOKUP('RESUMEN PITS'!C9,'IP PITSS'!$B$9:$M$93,11),0)+IFERROR(VLOOKUP('RESUMEN PITS'!C9,'IP PITSS'!$B$9:$M$93,12),0)+VLOOKUP("Comision",'IP PITSS'!$I$99:$J$110,2)/COUNT($F$9:$F$111)+IFERROR(VLOOKUP('RESUMEN PITS'!C9,'IP PITSS'!$B$9:$AD$93,15),0)+IFERROR(VLOOKUP('RESUMEN PITS'!C9,'IP PITSS'!$B$9:$AD$93,21),0)+IFERROR(VLOOKUP('RESUMEN PITS'!C9,'IP PITSS'!$B$9:$AD$93,22),0)+IFERROR(VLOOKUP('RESUMEN PITS'!C9,'IP PITSS'!$B$9:$AD$93,23),0)+IFERROR(VLOOKUP('RESUMEN PITS'!C9,'IP PITSS'!$B$9:$AD$93,24),0)+IFERROR(VLOOKUP('RESUMEN PITS'!C9,'IP PITSS'!$B$9:$AD$93,26),0)+IFERROR(VLOOKUP('RESUMEN PITS'!C9,'IP PITSS'!$B$9:$AD$93,28),0)+IFERROR(VLOOKUP('RESUMEN PITS'!C9,'IP PITSS'!$B$9:$AD$93,29),0)+IFERROR(VLOOKUP('RESUMEN PITS'!C9,'IP PITSS'!$B$9:$AD$93,9),0)*2%</f>
        <v>5664.5349242718448</v>
      </c>
      <c r="W9" s="10">
        <f>+M9-V9-S9</f>
        <v>-1414.5349242718448</v>
      </c>
      <c r="X9" s="10"/>
      <c r="Y9" s="19" t="s">
        <v>187</v>
      </c>
      <c r="Z9" s="10">
        <f>SUM(V9:V111)</f>
        <v>631029.96653333376</v>
      </c>
    </row>
    <row r="10" spans="1:26" x14ac:dyDescent="0.2">
      <c r="A10" s="5" t="s">
        <v>40</v>
      </c>
      <c r="B10" s="5" t="s">
        <v>102</v>
      </c>
      <c r="C10" s="27" t="s">
        <v>41</v>
      </c>
      <c r="D10" s="5">
        <f>+VLOOKUP(C10,'CPD PITSS'!$B$9:V28,21,0)</f>
        <v>2912</v>
      </c>
      <c r="E10" s="28"/>
      <c r="F10" s="19">
        <f>VLOOKUP(C10,'SIND PITS'!$C$9:$H$113,2,0)</f>
        <v>1588</v>
      </c>
      <c r="G10" s="19">
        <f>VLOOKUP(C10,'SIND PITS'!$C$9:$E$113,3,0)</f>
        <v>400</v>
      </c>
      <c r="H10" s="19">
        <f>VLOOKUP(C10,'SIND PITS'!$C$9:$F$113,4,0)</f>
        <v>0</v>
      </c>
      <c r="I10" s="19">
        <f>VLOOKUP(C10,'SIND PITS'!$C$9:$G$113,5,0)</f>
        <v>0</v>
      </c>
      <c r="K10" s="19">
        <f t="shared" ref="K10:K73" si="0">SUM(D10:I10)</f>
        <v>4900</v>
      </c>
      <c r="L10" s="19">
        <v>9000</v>
      </c>
      <c r="M10" s="19">
        <f t="shared" ref="M10:M72" si="1">+L10/2</f>
        <v>4500</v>
      </c>
      <c r="O10" s="19">
        <f>+VLOOKUP(C10,'CPD PITSS'!$B$9:I28,8,0)</f>
        <v>0</v>
      </c>
      <c r="P10" s="19">
        <f t="shared" ref="P10:P73" si="2">+G10+H10+I10</f>
        <v>400</v>
      </c>
      <c r="Q10" s="19">
        <f>(VLOOKUP($C10,'CPD PITSS'!$B$9:V27,13,0))+(VLOOKUP($C10,'CPD PITSS'!$B$9:V27,14,0))</f>
        <v>0</v>
      </c>
      <c r="R10" s="19">
        <v>0</v>
      </c>
      <c r="S10" s="19">
        <f>+VLOOKUP(C10,'EXTRAS Y FESTIVOS'!$B$9:J112,9,0)</f>
        <v>0</v>
      </c>
      <c r="T10" s="19">
        <f>VLOOKUP(C10,'CPD PITSS'!$B$9:S27,18,0)</f>
        <v>0</v>
      </c>
      <c r="V10" s="19">
        <f>+K10-O10-P10+Q10+R10+T10+S10+IFERROR(VLOOKUP('RESUMEN PITS'!C10,'IP PITSS'!$B$9:$M$93,10),0)+IFERROR(VLOOKUP('RESUMEN PITS'!C10,'IP PITSS'!$B$9:$M$93,11),0)+IFERROR(VLOOKUP('RESUMEN PITS'!C10,'IP PITSS'!$B$9:$M$93,12),0)+VLOOKUP("Comision",'IP PITSS'!$I$99:$J$110,2)/COUNT($F$9:$F$111)+IFERROR(VLOOKUP('RESUMEN PITS'!C10,'IP PITSS'!$B$9:$AD$93,15),0)+IFERROR(VLOOKUP('RESUMEN PITS'!C10,'IP PITSS'!$B$9:$AD$93,21),0)+IFERROR(VLOOKUP('RESUMEN PITS'!C10,'IP PITSS'!$B$9:$AD$93,22),0)+IFERROR(VLOOKUP('RESUMEN PITS'!C10,'IP PITSS'!$B$9:$AD$93,23),0)+IFERROR(VLOOKUP('RESUMEN PITS'!C10,'IP PITSS'!$B$9:$AD$93,24),0)+IFERROR(VLOOKUP('RESUMEN PITS'!C10,'IP PITSS'!$B$9:$AD$93,26),0)+IFERROR(VLOOKUP('RESUMEN PITS'!C10,'IP PITSS'!$B$9:$AD$93,28),0)+IFERROR(VLOOKUP('RESUMEN PITS'!C10,'IP PITSS'!$B$9:$AD$93,29),0)+IFERROR(VLOOKUP('RESUMEN PITS'!C10,'IP PITSS'!$B$9:$AD$93,9),0)*2%</f>
        <v>5842.3659242718441</v>
      </c>
      <c r="W10" s="10">
        <f t="shared" ref="W10:W73" si="3">+M10-V10-S10</f>
        <v>-1342.3659242718441</v>
      </c>
      <c r="X10" s="10"/>
      <c r="Y10" s="19" t="s">
        <v>286</v>
      </c>
    </row>
    <row r="11" spans="1:26" x14ac:dyDescent="0.2">
      <c r="A11" s="5" t="s">
        <v>42</v>
      </c>
      <c r="B11" s="5" t="s">
        <v>102</v>
      </c>
      <c r="C11" s="27" t="s">
        <v>43</v>
      </c>
      <c r="D11" s="5">
        <f>+VLOOKUP(C11,'CPD PITSS'!$B$9:V29,21,0)</f>
        <v>4036</v>
      </c>
      <c r="E11" s="28"/>
      <c r="F11" s="19">
        <f>VLOOKUP(C11,'SIND PITS'!$C$9:$H$113,2,0)</f>
        <v>2464</v>
      </c>
      <c r="G11" s="19">
        <f>VLOOKUP(C11,'SIND PITS'!$C$9:$E$113,3,0)</f>
        <v>1000</v>
      </c>
      <c r="H11" s="19">
        <f>VLOOKUP(C11,'SIND PITS'!$C$9:$F$113,4,0)</f>
        <v>0</v>
      </c>
      <c r="I11" s="19">
        <f>VLOOKUP(C11,'SIND PITS'!$C$9:$G$113,5,0)</f>
        <v>0</v>
      </c>
      <c r="K11" s="19">
        <f t="shared" si="0"/>
        <v>7500</v>
      </c>
      <c r="L11" s="19">
        <v>13000</v>
      </c>
      <c r="M11" s="19">
        <f t="shared" si="1"/>
        <v>6500</v>
      </c>
      <c r="O11" s="19">
        <f>+VLOOKUP(C11,'CPD PITSS'!$B$9:I29,8,0)</f>
        <v>0</v>
      </c>
      <c r="P11" s="19">
        <f t="shared" si="2"/>
        <v>1000</v>
      </c>
      <c r="Q11" s="19">
        <f>(VLOOKUP($C11,'CPD PITSS'!$B$9:V28,13,0))+(VLOOKUP($C11,'CPD PITSS'!$B$9:V28,14,0))</f>
        <v>0</v>
      </c>
      <c r="R11" s="19">
        <v>0</v>
      </c>
      <c r="S11" s="19">
        <f>+VLOOKUP(C11,'EXTRAS Y FESTIVOS'!$B$9:J113,9,0)</f>
        <v>0</v>
      </c>
      <c r="T11" s="19">
        <f>VLOOKUP(C11,'CPD PITSS'!$B$9:S28,18,0)</f>
        <v>0</v>
      </c>
      <c r="V11" s="19">
        <f>+K11-O11-P11+Q11+R11+T11+S11+IFERROR(VLOOKUP('RESUMEN PITS'!C11,'IP PITSS'!$B$9:$M$93,10),0)+IFERROR(VLOOKUP('RESUMEN PITS'!C11,'IP PITSS'!$B$9:$M$93,11),0)+IFERROR(VLOOKUP('RESUMEN PITS'!C11,'IP PITSS'!$B$9:$M$93,12),0)+VLOOKUP("Comision",'IP PITSS'!$I$99:$J$110,2)/COUNT($F$9:$F$111)+IFERROR(VLOOKUP('RESUMEN PITS'!C11,'IP PITSS'!$B$9:$AD$93,15),0)+IFERROR(VLOOKUP('RESUMEN PITS'!C11,'IP PITSS'!$B$9:$AD$93,21),0)+IFERROR(VLOOKUP('RESUMEN PITS'!C11,'IP PITSS'!$B$9:$AD$93,22),0)+IFERROR(VLOOKUP('RESUMEN PITS'!C11,'IP PITSS'!$B$9:$AD$93,23),0)+IFERROR(VLOOKUP('RESUMEN PITS'!C11,'IP PITSS'!$B$9:$AD$93,24),0)+IFERROR(VLOOKUP('RESUMEN PITS'!C11,'IP PITSS'!$B$9:$AD$93,26),0)+IFERROR(VLOOKUP('RESUMEN PITS'!C11,'IP PITSS'!$B$9:$AD$93,28),0)+IFERROR(VLOOKUP('RESUMEN PITS'!C11,'IP PITSS'!$B$9:$AD$93,29),0)+IFERROR(VLOOKUP('RESUMEN PITS'!C11,'IP PITSS'!$B$9:$AD$93,9),0)*2%</f>
        <v>8001.4969242718444</v>
      </c>
      <c r="W11" s="10">
        <f t="shared" si="3"/>
        <v>-1501.4969242718444</v>
      </c>
      <c r="X11" s="10"/>
      <c r="Y11" s="19" t="s">
        <v>260</v>
      </c>
    </row>
    <row r="12" spans="1:26" x14ac:dyDescent="0.2">
      <c r="A12" s="5" t="s">
        <v>44</v>
      </c>
      <c r="B12" s="5" t="s">
        <v>102</v>
      </c>
      <c r="C12" s="27" t="s">
        <v>45</v>
      </c>
      <c r="D12" s="5">
        <f>+VLOOKUP(C12,'CPD PITSS'!$B$9:V30,21,0)</f>
        <v>5074</v>
      </c>
      <c r="E12" s="28"/>
      <c r="F12" s="19">
        <f>VLOOKUP(C12,'SIND PITS'!$C$9:$H$113,2,0)</f>
        <v>4176</v>
      </c>
      <c r="G12" s="19">
        <f>VLOOKUP(C12,'SIND PITS'!$C$9:$E$113,3,0)</f>
        <v>750</v>
      </c>
      <c r="H12" s="19">
        <f>VLOOKUP(C12,'SIND PITS'!$C$9:$F$113,4,0)</f>
        <v>0</v>
      </c>
      <c r="I12" s="19">
        <f>VLOOKUP(C12,'SIND PITS'!$C$9:$G$113,5,0)</f>
        <v>0</v>
      </c>
      <c r="K12" s="19">
        <f t="shared" si="0"/>
        <v>10000</v>
      </c>
      <c r="L12" s="19">
        <v>18500</v>
      </c>
      <c r="M12" s="19">
        <f t="shared" si="1"/>
        <v>9250</v>
      </c>
      <c r="O12" s="19">
        <f>+VLOOKUP(C12,'CPD PITSS'!$B$9:I30,8,0)</f>
        <v>0</v>
      </c>
      <c r="P12" s="19">
        <f t="shared" si="2"/>
        <v>750</v>
      </c>
      <c r="Q12" s="19">
        <f>(VLOOKUP($C12,'CPD PITSS'!$B$9:V29,13,0))+(VLOOKUP($C12,'CPD PITSS'!$B$9:V29,14,0))</f>
        <v>0</v>
      </c>
      <c r="R12" s="19">
        <v>0</v>
      </c>
      <c r="S12" s="19">
        <f>+VLOOKUP(C12,'EXTRAS Y FESTIVOS'!$B$9:J114,9,0)</f>
        <v>0</v>
      </c>
      <c r="T12" s="19">
        <f>VLOOKUP(C12,'CPD PITSS'!$B$9:S29,18,0)</f>
        <v>0</v>
      </c>
      <c r="V12" s="19">
        <f>+K12-O12-P12+Q12+R12+T12+S12+IFERROR(VLOOKUP('RESUMEN PITS'!C12,'IP PITSS'!$B$9:$M$93,10),0)+IFERROR(VLOOKUP('RESUMEN PITS'!C12,'IP PITSS'!$B$9:$M$93,11),0)+IFERROR(VLOOKUP('RESUMEN PITS'!C12,'IP PITSS'!$B$9:$M$93,12),0)+VLOOKUP("Comision",'IP PITSS'!$I$99:$J$110,2)/COUNT($F$9:$F$111)+IFERROR(VLOOKUP('RESUMEN PITS'!C12,'IP PITSS'!$B$9:$AD$93,15),0)+IFERROR(VLOOKUP('RESUMEN PITS'!C12,'IP PITSS'!$B$9:$AD$93,21),0)+IFERROR(VLOOKUP('RESUMEN PITS'!C12,'IP PITSS'!$B$9:$AD$93,22),0)+IFERROR(VLOOKUP('RESUMEN PITS'!C12,'IP PITSS'!$B$9:$AD$93,23),0)+IFERROR(VLOOKUP('RESUMEN PITS'!C12,'IP PITSS'!$B$9:$AD$93,24),0)+IFERROR(VLOOKUP('RESUMEN PITS'!C12,'IP PITSS'!$B$9:$AD$93,26),0)+IFERROR(VLOOKUP('RESUMEN PITS'!C12,'IP PITSS'!$B$9:$AD$93,28),0)+IFERROR(VLOOKUP('RESUMEN PITS'!C12,'IP PITSS'!$B$9:$AD$93,29),0)+IFERROR(VLOOKUP('RESUMEN PITS'!C12,'IP PITSS'!$B$9:$AD$93,9),0)*2%</f>
        <v>10034.995924271847</v>
      </c>
      <c r="W12" s="10">
        <f t="shared" si="3"/>
        <v>-784.99592427184689</v>
      </c>
      <c r="X12" s="10"/>
      <c r="Y12" s="19" t="s">
        <v>330</v>
      </c>
    </row>
    <row r="13" spans="1:26" x14ac:dyDescent="0.2">
      <c r="A13" s="5" t="s">
        <v>46</v>
      </c>
      <c r="B13" s="5" t="s">
        <v>102</v>
      </c>
      <c r="C13" s="27" t="s">
        <v>47</v>
      </c>
      <c r="D13" s="5">
        <f>+VLOOKUP(C13,'CPD PITSS'!$B$9:V31,21,0)</f>
        <v>4623.8</v>
      </c>
      <c r="E13" s="28"/>
      <c r="F13" s="19">
        <f>VLOOKUP(C13,'SIND PITS'!$C$9:$H$113,2,0)</f>
        <v>2600.25</v>
      </c>
      <c r="G13" s="19">
        <f>VLOOKUP(C13,'SIND PITS'!$C$9:$E$113,3,0)</f>
        <v>75</v>
      </c>
      <c r="H13" s="19">
        <f>VLOOKUP(C13,'SIND PITS'!$C$9:$F$113,4,0)</f>
        <v>0</v>
      </c>
      <c r="I13" s="19">
        <f>VLOOKUP(C13,'SIND PITS'!$C$9:$G$113,5,0)</f>
        <v>0</v>
      </c>
      <c r="K13" s="19">
        <f t="shared" si="0"/>
        <v>7299.05</v>
      </c>
      <c r="L13" s="19">
        <v>15000</v>
      </c>
      <c r="M13" s="19">
        <f t="shared" si="1"/>
        <v>7500</v>
      </c>
      <c r="O13" s="19">
        <f>+VLOOKUP(C13,'CPD PITSS'!$B$9:I31,8,0)</f>
        <v>0</v>
      </c>
      <c r="P13" s="19">
        <f t="shared" si="2"/>
        <v>75</v>
      </c>
      <c r="Q13" s="19">
        <f>(VLOOKUP($C13,'CPD PITSS'!$B$9:V30,13,0))+(VLOOKUP($C13,'CPD PITSS'!$B$9:V30,14,0))</f>
        <v>0</v>
      </c>
      <c r="R13" s="19">
        <v>0</v>
      </c>
      <c r="S13" s="19">
        <f>+VLOOKUP(C13,'EXTRAS Y FESTIVOS'!$B$9:J115,9,0)</f>
        <v>0</v>
      </c>
      <c r="T13" s="19">
        <f>VLOOKUP(C13,'CPD PITSS'!$B$9:S30,18,0)</f>
        <v>275.95</v>
      </c>
      <c r="V13" s="19">
        <f>+K13-O13-P13+Q13+R13+T13+S13+IFERROR(VLOOKUP('RESUMEN PITS'!C13,'IP PITSS'!$B$9:$M$93,10),0)+IFERROR(VLOOKUP('RESUMEN PITS'!C13,'IP PITSS'!$B$9:$M$93,11),0)+IFERROR(VLOOKUP('RESUMEN PITS'!C13,'IP PITSS'!$B$9:$M$93,12),0)+VLOOKUP("Comision",'IP PITSS'!$I$99:$J$110,2)/COUNT($F$9:$F$111)+IFERROR(VLOOKUP('RESUMEN PITS'!C13,'IP PITSS'!$B$9:$AD$93,15),0)+IFERROR(VLOOKUP('RESUMEN PITS'!C13,'IP PITSS'!$B$9:$AD$93,21),0)+IFERROR(VLOOKUP('RESUMEN PITS'!C13,'IP PITSS'!$B$9:$AD$93,22),0)+IFERROR(VLOOKUP('RESUMEN PITS'!C13,'IP PITSS'!$B$9:$AD$93,23),0)+IFERROR(VLOOKUP('RESUMEN PITS'!C13,'IP PITSS'!$B$9:$AD$93,24),0)+IFERROR(VLOOKUP('RESUMEN PITS'!C13,'IP PITSS'!$B$9:$AD$93,26),0)+IFERROR(VLOOKUP('RESUMEN PITS'!C13,'IP PITSS'!$B$9:$AD$93,28),0)+IFERROR(VLOOKUP('RESUMEN PITS'!C13,'IP PITSS'!$B$9:$AD$93,29),0)+IFERROR(VLOOKUP('RESUMEN PITS'!C13,'IP PITSS'!$B$9:$AD$93,9),0)*2%</f>
        <v>9001.4969242718453</v>
      </c>
      <c r="W13" s="10">
        <f t="shared" si="3"/>
        <v>-1501.4969242718453</v>
      </c>
      <c r="X13" s="10"/>
      <c r="Y13" s="19" t="s">
        <v>267</v>
      </c>
    </row>
    <row r="14" spans="1:26" x14ac:dyDescent="0.2">
      <c r="A14" s="5" t="s">
        <v>48</v>
      </c>
      <c r="B14" s="5" t="s">
        <v>102</v>
      </c>
      <c r="C14" s="27" t="s">
        <v>49</v>
      </c>
      <c r="D14" s="5">
        <f>+VLOOKUP(C14,'CPD PITSS'!$B$9:V32,21,0)</f>
        <v>1666.6</v>
      </c>
      <c r="E14" s="28"/>
      <c r="F14" s="19">
        <f>VLOOKUP(C14,'SIND PITS'!$C$9:$H$113,2,0)</f>
        <v>1558.0699999999997</v>
      </c>
      <c r="G14" s="19">
        <f>VLOOKUP(C14,'SIND PITS'!$C$9:$E$113,3,0)</f>
        <v>420</v>
      </c>
      <c r="H14" s="19">
        <f>VLOOKUP(C14,'SIND PITS'!$C$9:$F$113,4,0)</f>
        <v>0</v>
      </c>
      <c r="I14" s="19">
        <f>VLOOKUP(C14,'SIND PITS'!$C$9:$G$113,5,0)</f>
        <v>0</v>
      </c>
      <c r="K14" s="19">
        <f t="shared" si="0"/>
        <v>3644.6699999999996</v>
      </c>
      <c r="L14" s="19">
        <v>10150</v>
      </c>
      <c r="M14" s="19">
        <f t="shared" si="1"/>
        <v>5075</v>
      </c>
      <c r="O14" s="19">
        <f>+VLOOKUP(C14,'CPD PITSS'!$B$9:I32,8,0)</f>
        <v>0</v>
      </c>
      <c r="P14" s="19">
        <f t="shared" si="2"/>
        <v>420</v>
      </c>
      <c r="Q14" s="19">
        <f>(VLOOKUP($C14,'CPD PITSS'!$B$9:V31,13,0))+(VLOOKUP($C14,'CPD PITSS'!$B$9:V31,14,0))</f>
        <v>1541.78</v>
      </c>
      <c r="R14" s="19">
        <v>0</v>
      </c>
      <c r="S14" s="19">
        <f>+VLOOKUP(C14,'EXTRAS Y FESTIVOS'!$B$9:J116,9,0)</f>
        <v>0</v>
      </c>
      <c r="T14" s="19">
        <f>VLOOKUP(C14,'CPD PITSS'!$B$9:S31,18,0)</f>
        <v>308.55</v>
      </c>
      <c r="V14" s="19">
        <f>+K14-O14-P14+Q14+R14+T14+S14+IFERROR(VLOOKUP('RESUMEN PITS'!C14,'IP PITSS'!$B$9:$M$93,10),0)+IFERROR(VLOOKUP('RESUMEN PITS'!C14,'IP PITSS'!$B$9:$M$93,11),0)+IFERROR(VLOOKUP('RESUMEN PITS'!C14,'IP PITSS'!$B$9:$M$93,12),0)+VLOOKUP("Comision",'IP PITSS'!$I$99:$J$110,2)/COUNT($F$9:$F$111)+IFERROR(VLOOKUP('RESUMEN PITS'!C14,'IP PITSS'!$B$9:$AD$93,15),0)+IFERROR(VLOOKUP('RESUMEN PITS'!C14,'IP PITSS'!$B$9:$AD$93,21),0)+IFERROR(VLOOKUP('RESUMEN PITS'!C14,'IP PITSS'!$B$9:$AD$93,22),0)+IFERROR(VLOOKUP('RESUMEN PITS'!C14,'IP PITSS'!$B$9:$AD$93,23),0)+IFERROR(VLOOKUP('RESUMEN PITS'!C14,'IP PITSS'!$B$9:$AD$93,24),0)+IFERROR(VLOOKUP('RESUMEN PITS'!C14,'IP PITSS'!$B$9:$AD$93,26),0)+IFERROR(VLOOKUP('RESUMEN PITS'!C14,'IP PITSS'!$B$9:$AD$93,28),0)+IFERROR(VLOOKUP('RESUMEN PITS'!C14,'IP PITSS'!$B$9:$AD$93,29),0)+IFERROR(VLOOKUP('RESUMEN PITS'!C14,'IP PITSS'!$B$9:$AD$93,9),0)*2%</f>
        <v>5129.0559242718446</v>
      </c>
      <c r="W14" s="10">
        <f t="shared" si="3"/>
        <v>-54.05592427184456</v>
      </c>
      <c r="X14" s="10"/>
      <c r="Y14" s="19" t="s">
        <v>103</v>
      </c>
    </row>
    <row r="15" spans="1:26" x14ac:dyDescent="0.2">
      <c r="A15" s="5" t="s">
        <v>50</v>
      </c>
      <c r="B15" s="5" t="s">
        <v>102</v>
      </c>
      <c r="C15" s="27" t="s">
        <v>51</v>
      </c>
      <c r="D15" s="5">
        <f>+VLOOKUP(C15,'CPD PITSS'!$B$9:V33,21,0)</f>
        <v>4686.2</v>
      </c>
      <c r="E15" s="28"/>
      <c r="F15" s="19">
        <f>VLOOKUP(C15,'SIND PITS'!$C$9:$H$113,2,0)</f>
        <v>2600.25</v>
      </c>
      <c r="G15" s="19">
        <f>VLOOKUP(C15,'SIND PITS'!$C$9:$E$113,3,0)</f>
        <v>0</v>
      </c>
      <c r="H15" s="19">
        <f>VLOOKUP(C15,'SIND PITS'!$C$9:$F$113,4,0)</f>
        <v>0</v>
      </c>
      <c r="I15" s="19">
        <f>VLOOKUP(C15,'SIND PITS'!$C$9:$G$113,5,0)</f>
        <v>0</v>
      </c>
      <c r="K15" s="19">
        <f t="shared" si="0"/>
        <v>7286.45</v>
      </c>
      <c r="L15" s="19">
        <v>15000</v>
      </c>
      <c r="M15" s="19">
        <f t="shared" si="1"/>
        <v>7500</v>
      </c>
      <c r="O15" s="19">
        <f>+VLOOKUP(C15,'CPD PITSS'!$B$9:I33,8,0)</f>
        <v>0</v>
      </c>
      <c r="P15" s="19">
        <f t="shared" si="2"/>
        <v>0</v>
      </c>
      <c r="Q15" s="19">
        <f>(VLOOKUP($C15,'CPD PITSS'!$B$9:V32,13,0))+(VLOOKUP($C15,'CPD PITSS'!$B$9:V32,14,0))</f>
        <v>0</v>
      </c>
      <c r="R15" s="19">
        <v>0</v>
      </c>
      <c r="S15" s="19">
        <f>+VLOOKUP(C15,'EXTRAS Y FESTIVOS'!$B$9:J117,9,0)</f>
        <v>0</v>
      </c>
      <c r="T15" s="19">
        <f>VLOOKUP(C15,'CPD PITSS'!$B$9:S32,18,0)</f>
        <v>213.55</v>
      </c>
      <c r="V15" s="19">
        <f>+K15-O15-P15+Q15+R15+T15+S15+IFERROR(VLOOKUP('RESUMEN PITS'!C15,'IP PITSS'!$B$9:$M$93,10),0)+IFERROR(VLOOKUP('RESUMEN PITS'!C15,'IP PITSS'!$B$9:$M$93,11),0)+IFERROR(VLOOKUP('RESUMEN PITS'!C15,'IP PITSS'!$B$9:$M$93,12),0)+VLOOKUP("Comision",'IP PITSS'!$I$99:$J$110,2)/COUNT($F$9:$F$111)+IFERROR(VLOOKUP('RESUMEN PITS'!C15,'IP PITSS'!$B$9:$AD$93,15),0)+IFERROR(VLOOKUP('RESUMEN PITS'!C15,'IP PITSS'!$B$9:$AD$93,21),0)+IFERROR(VLOOKUP('RESUMEN PITS'!C15,'IP PITSS'!$B$9:$AD$93,22),0)+IFERROR(VLOOKUP('RESUMEN PITS'!C15,'IP PITSS'!$B$9:$AD$93,23),0)+IFERROR(VLOOKUP('RESUMEN PITS'!C15,'IP PITSS'!$B$9:$AD$93,24),0)+IFERROR(VLOOKUP('RESUMEN PITS'!C15,'IP PITSS'!$B$9:$AD$93,26),0)+IFERROR(VLOOKUP('RESUMEN PITS'!C15,'IP PITSS'!$B$9:$AD$93,28),0)+IFERROR(VLOOKUP('RESUMEN PITS'!C15,'IP PITSS'!$B$9:$AD$93,29),0)+IFERROR(VLOOKUP('RESUMEN PITS'!C15,'IP PITSS'!$B$9:$AD$93,9),0)*2%</f>
        <v>8914.5349242718439</v>
      </c>
      <c r="W15" s="10">
        <f t="shared" si="3"/>
        <v>-1414.5349242718439</v>
      </c>
      <c r="X15" s="10"/>
      <c r="Y15" s="19" t="s">
        <v>175</v>
      </c>
    </row>
    <row r="16" spans="1:26" x14ac:dyDescent="0.2">
      <c r="A16" s="5" t="s">
        <v>52</v>
      </c>
      <c r="B16" s="5" t="s">
        <v>102</v>
      </c>
      <c r="C16" s="27" t="s">
        <v>53</v>
      </c>
      <c r="D16" s="5">
        <f>+VLOOKUP(C16,'CPD PITSS'!$B$9:V34,21,0)</f>
        <v>1488.8</v>
      </c>
      <c r="E16" s="28"/>
      <c r="F16" s="19">
        <f>VLOOKUP(C16,'SIND PITS'!$C$9:$H$113,2,0)</f>
        <v>1558.0199999999995</v>
      </c>
      <c r="G16" s="19">
        <f>VLOOKUP(C16,'SIND PITS'!$C$9:$E$113,3,0)</f>
        <v>210</v>
      </c>
      <c r="H16" s="19">
        <f>VLOOKUP(C16,'SIND PITS'!$C$9:$F$113,4,0)</f>
        <v>0</v>
      </c>
      <c r="I16" s="19">
        <f>VLOOKUP(C16,'SIND PITS'!$C$9:$G$113,5,0)</f>
        <v>0</v>
      </c>
      <c r="K16" s="19">
        <f t="shared" si="0"/>
        <v>3256.8199999999997</v>
      </c>
      <c r="L16" s="19">
        <v>10150</v>
      </c>
      <c r="M16" s="19">
        <f t="shared" si="1"/>
        <v>5075</v>
      </c>
      <c r="O16" s="19">
        <f>+VLOOKUP(C16,'CPD PITSS'!$B$9:I34,8,0)</f>
        <v>0</v>
      </c>
      <c r="P16" s="19">
        <f t="shared" si="2"/>
        <v>210</v>
      </c>
      <c r="Q16" s="19">
        <f>(VLOOKUP($C16,'CPD PITSS'!$B$9:V33,13,0))+(VLOOKUP($C16,'CPD PITSS'!$B$9:V33,14,0))</f>
        <v>1789.38</v>
      </c>
      <c r="R16" s="19">
        <v>0</v>
      </c>
      <c r="S16" s="19">
        <f>+VLOOKUP(C16,'EXTRAS Y FESTIVOS'!$B$9:J118,9,0)</f>
        <v>0</v>
      </c>
      <c r="T16" s="19">
        <f>VLOOKUP(C16,'CPD PITSS'!$B$9:S33,18,0)</f>
        <v>238.8</v>
      </c>
      <c r="V16" s="19">
        <f>+K16-O16-P16+Q16+R16+T16+S16+IFERROR(VLOOKUP('RESUMEN PITS'!C16,'IP PITSS'!$B$9:$M$93,10),0)+IFERROR(VLOOKUP('RESUMEN PITS'!C16,'IP PITSS'!$B$9:$M$93,11),0)+IFERROR(VLOOKUP('RESUMEN PITS'!C16,'IP PITSS'!$B$9:$M$93,12),0)+VLOOKUP("Comision",'IP PITSS'!$I$99:$J$110,2)/COUNT($F$9:$F$111)+IFERROR(VLOOKUP('RESUMEN PITS'!C16,'IP PITSS'!$B$9:$AD$93,15),0)+IFERROR(VLOOKUP('RESUMEN PITS'!C16,'IP PITSS'!$B$9:$AD$93,21),0)+IFERROR(VLOOKUP('RESUMEN PITS'!C16,'IP PITSS'!$B$9:$AD$93,22),0)+IFERROR(VLOOKUP('RESUMEN PITS'!C16,'IP PITSS'!$B$9:$AD$93,23),0)+IFERROR(VLOOKUP('RESUMEN PITS'!C16,'IP PITSS'!$B$9:$AD$93,24),0)+IFERROR(VLOOKUP('RESUMEN PITS'!C16,'IP PITSS'!$B$9:$AD$93,26),0)+IFERROR(VLOOKUP('RESUMEN PITS'!C16,'IP PITSS'!$B$9:$AD$93,28),0)+IFERROR(VLOOKUP('RESUMEN PITS'!C16,'IP PITSS'!$B$9:$AD$93,29),0)+IFERROR(VLOOKUP('RESUMEN PITS'!C16,'IP PITSS'!$B$9:$AD$93,9),0)*2%</f>
        <v>5129.0559242718446</v>
      </c>
      <c r="W16" s="10">
        <f t="shared" si="3"/>
        <v>-54.05592427184456</v>
      </c>
      <c r="X16" s="10"/>
      <c r="Y16" s="19" t="s">
        <v>110</v>
      </c>
    </row>
    <row r="17" spans="1:25" x14ac:dyDescent="0.2">
      <c r="A17" s="5" t="s">
        <v>54</v>
      </c>
      <c r="B17" s="5" t="s">
        <v>102</v>
      </c>
      <c r="C17" s="27" t="s">
        <v>55</v>
      </c>
      <c r="D17" s="5">
        <f>+VLOOKUP(C17,'CPD PITSS'!$B$9:V35,21,0)</f>
        <v>3545.2</v>
      </c>
      <c r="E17" s="28"/>
      <c r="F17" s="19">
        <f>VLOOKUP(C17,'SIND PITS'!$C$9:$H$113,2,0)</f>
        <v>1891.12</v>
      </c>
      <c r="G17" s="19">
        <f>VLOOKUP(C17,'SIND PITS'!$C$9:$E$113,3,0)</f>
        <v>0</v>
      </c>
      <c r="H17" s="19">
        <f>VLOOKUP(C17,'SIND PITS'!$C$9:$F$113,4,0)</f>
        <v>0</v>
      </c>
      <c r="I17" s="19">
        <f>VLOOKUP(C17,'SIND PITS'!$C$9:$G$113,5,0)</f>
        <v>268.75</v>
      </c>
      <c r="K17" s="19">
        <f t="shared" si="0"/>
        <v>5705.07</v>
      </c>
      <c r="L17" s="19">
        <v>12000</v>
      </c>
      <c r="M17" s="19">
        <f t="shared" si="1"/>
        <v>6000</v>
      </c>
      <c r="O17" s="19">
        <f>+VLOOKUP(C17,'CPD PITSS'!$B$9:I35,8,0)</f>
        <v>331.25</v>
      </c>
      <c r="P17" s="19">
        <f t="shared" si="2"/>
        <v>268.75</v>
      </c>
      <c r="Q17" s="19">
        <f>(VLOOKUP($C17,'CPD PITSS'!$B$9:V34,13,0))+(VLOOKUP($C17,'CPD PITSS'!$B$9:V34,14,0))</f>
        <v>894.93</v>
      </c>
      <c r="R17" s="19">
        <v>0</v>
      </c>
      <c r="S17" s="19">
        <f>+VLOOKUP(C17,'EXTRAS Y FESTIVOS'!$B$9:J119,9,0)</f>
        <v>0</v>
      </c>
      <c r="T17" s="19">
        <f>VLOOKUP(C17,'CPD PITSS'!$B$9:S34,18,0)</f>
        <v>0</v>
      </c>
      <c r="V17" s="19">
        <f>+K17-O17-P17+Q17+R17+T17+S17+IFERROR(VLOOKUP('RESUMEN PITS'!C17,'IP PITSS'!$B$9:$M$93,10),0)+IFERROR(VLOOKUP('RESUMEN PITS'!C17,'IP PITSS'!$B$9:$M$93,11),0)+IFERROR(VLOOKUP('RESUMEN PITS'!C17,'IP PITSS'!$B$9:$M$93,12),0)+VLOOKUP("Comision",'IP PITSS'!$I$99:$J$110,2)/COUNT($F$9:$F$111)+IFERROR(VLOOKUP('RESUMEN PITS'!C17,'IP PITSS'!$B$9:$AD$93,15),0)+IFERROR(VLOOKUP('RESUMEN PITS'!C17,'IP PITSS'!$B$9:$AD$93,21),0)+IFERROR(VLOOKUP('RESUMEN PITS'!C17,'IP PITSS'!$B$9:$AD$93,22),0)+IFERROR(VLOOKUP('RESUMEN PITS'!C17,'IP PITSS'!$B$9:$AD$93,23),0)+IFERROR(VLOOKUP('RESUMEN PITS'!C17,'IP PITSS'!$B$9:$AD$93,24),0)+IFERROR(VLOOKUP('RESUMEN PITS'!C17,'IP PITSS'!$B$9:$AD$93,26),0)+IFERROR(VLOOKUP('RESUMEN PITS'!C17,'IP PITSS'!$B$9:$AD$93,28),0)+IFERROR(VLOOKUP('RESUMEN PITS'!C17,'IP PITSS'!$B$9:$AD$93,29),0)+IFERROR(VLOOKUP('RESUMEN PITS'!C17,'IP PITSS'!$B$9:$AD$93,9),0)*2%</f>
        <v>6054.0559242718446</v>
      </c>
      <c r="W17" s="10">
        <f t="shared" si="3"/>
        <v>-54.05592427184456</v>
      </c>
      <c r="X17" s="10"/>
      <c r="Y17" s="19" t="s">
        <v>115</v>
      </c>
    </row>
    <row r="18" spans="1:25" x14ac:dyDescent="0.2">
      <c r="A18" s="11" t="s">
        <v>56</v>
      </c>
      <c r="B18" s="5" t="s">
        <v>102</v>
      </c>
      <c r="C18" s="29" t="s">
        <v>57</v>
      </c>
      <c r="D18" s="5">
        <f>+VLOOKUP(C18,'CPD PITSS'!$B$9:V36,21,0)</f>
        <v>4987.2</v>
      </c>
      <c r="E18" s="28"/>
      <c r="F18" s="19">
        <f>VLOOKUP(C18,'SIND PITS'!$C$9:$H$113,2,0)</f>
        <v>2750.92</v>
      </c>
      <c r="G18" s="19">
        <f>VLOOKUP(C18,'SIND PITS'!$C$9:$E$113,3,0)</f>
        <v>0</v>
      </c>
      <c r="H18" s="19">
        <f>VLOOKUP(C18,'SIND PITS'!$C$9:$F$113,4,0)</f>
        <v>0</v>
      </c>
      <c r="I18" s="19">
        <f>VLOOKUP(C18,'SIND PITS'!$C$9:$G$113,5,0)</f>
        <v>211.88</v>
      </c>
      <c r="K18" s="19">
        <f t="shared" si="0"/>
        <v>7950</v>
      </c>
      <c r="L18" s="10">
        <v>15000</v>
      </c>
      <c r="M18" s="19">
        <f t="shared" si="1"/>
        <v>7500</v>
      </c>
      <c r="O18" s="19">
        <f>+VLOOKUP(C18,'CPD PITSS'!$B$9:I36,8,0)</f>
        <v>238.12</v>
      </c>
      <c r="P18" s="19">
        <f t="shared" si="2"/>
        <v>211.88</v>
      </c>
      <c r="Q18" s="19">
        <f>(VLOOKUP($C18,'CPD PITSS'!$B$9:V35,13,0))+(VLOOKUP($C18,'CPD PITSS'!$B$9:V35,14,0))</f>
        <v>0</v>
      </c>
      <c r="R18" s="19">
        <v>0</v>
      </c>
      <c r="S18" s="19">
        <f>+VLOOKUP(C18,'EXTRAS Y FESTIVOS'!$B$9:J120,9,0)</f>
        <v>0</v>
      </c>
      <c r="T18" s="19">
        <f>VLOOKUP(C18,'CPD PITSS'!$B$9:S35,18,0)</f>
        <v>0</v>
      </c>
      <c r="V18" s="19">
        <f>+K18-O18-P18+Q18+R18+T18+S18+IFERROR(VLOOKUP('RESUMEN PITS'!C18,'IP PITSS'!$B$9:$M$93,10),0)+IFERROR(VLOOKUP('RESUMEN PITS'!C18,'IP PITSS'!$B$9:$M$93,11),0)+IFERROR(VLOOKUP('RESUMEN PITS'!C18,'IP PITSS'!$B$9:$M$93,12),0)+VLOOKUP("Comision",'IP PITSS'!$I$99:$J$110,2)/COUNT($F$9:$F$111)+IFERROR(VLOOKUP('RESUMEN PITS'!C18,'IP PITSS'!$B$9:$AD$93,15),0)+IFERROR(VLOOKUP('RESUMEN PITS'!C18,'IP PITSS'!$B$9:$AD$93,21),0)+IFERROR(VLOOKUP('RESUMEN PITS'!C18,'IP PITSS'!$B$9:$AD$93,22),0)+IFERROR(VLOOKUP('RESUMEN PITS'!C18,'IP PITSS'!$B$9:$AD$93,23),0)+IFERROR(VLOOKUP('RESUMEN PITS'!C18,'IP PITSS'!$B$9:$AD$93,24),0)+IFERROR(VLOOKUP('RESUMEN PITS'!C18,'IP PITSS'!$B$9:$AD$93,26),0)+IFERROR(VLOOKUP('RESUMEN PITS'!C18,'IP PITSS'!$B$9:$AD$93,28),0)+IFERROR(VLOOKUP('RESUMEN PITS'!C18,'IP PITSS'!$B$9:$AD$93,29),0)+IFERROR(VLOOKUP('RESUMEN PITS'!C18,'IP PITSS'!$B$9:$AD$93,9),0)*2%</f>
        <v>8914.5349242718439</v>
      </c>
      <c r="W18" s="10">
        <f t="shared" si="3"/>
        <v>-1414.5349242718439</v>
      </c>
      <c r="X18" s="10"/>
      <c r="Y18" s="19" t="s">
        <v>219</v>
      </c>
    </row>
    <row r="19" spans="1:25" x14ac:dyDescent="0.2">
      <c r="A19" s="5" t="s">
        <v>58</v>
      </c>
      <c r="B19" s="5" t="s">
        <v>102</v>
      </c>
      <c r="C19" s="27" t="s">
        <v>59</v>
      </c>
      <c r="D19" s="5">
        <f>+VLOOKUP(C19,'CPD PITSS'!$B$9:V37,21,0)</f>
        <v>3058.4</v>
      </c>
      <c r="E19" s="28"/>
      <c r="F19" s="19">
        <f>VLOOKUP(C19,'SIND PITS'!$C$9:$H$113,2,0)</f>
        <v>2110.62</v>
      </c>
      <c r="G19" s="19">
        <f>VLOOKUP(C19,'SIND PITS'!$C$9:$E$113,3,0)</f>
        <v>0</v>
      </c>
      <c r="H19" s="19">
        <f>VLOOKUP(C19,'SIND PITS'!$C$9:$F$113,4,0)</f>
        <v>0</v>
      </c>
      <c r="I19" s="19">
        <f>VLOOKUP(C19,'SIND PITS'!$C$9:$G$113,5,0)</f>
        <v>58.5</v>
      </c>
      <c r="K19" s="19">
        <f t="shared" si="0"/>
        <v>5227.5200000000004</v>
      </c>
      <c r="L19" s="19">
        <v>13000</v>
      </c>
      <c r="M19" s="19">
        <f t="shared" si="1"/>
        <v>6500</v>
      </c>
      <c r="O19" s="19">
        <f>+VLOOKUP(C19,'CPD PITSS'!$B$9:I37,8,0)</f>
        <v>71.5</v>
      </c>
      <c r="P19" s="19">
        <f t="shared" si="2"/>
        <v>58.5</v>
      </c>
      <c r="Q19" s="19">
        <f>(VLOOKUP($C19,'CPD PITSS'!$B$9:V36,13,0))+(VLOOKUP($C19,'CPD PITSS'!$B$9:V36,14,0))</f>
        <v>1402.48</v>
      </c>
      <c r="R19" s="19">
        <v>0</v>
      </c>
      <c r="S19" s="19">
        <f>+VLOOKUP(C19,'EXTRAS Y FESTIVOS'!$B$9:J121,9,0)</f>
        <v>0</v>
      </c>
      <c r="T19" s="19">
        <f>VLOOKUP(C19,'CPD PITSS'!$B$9:S36,18,0)</f>
        <v>0</v>
      </c>
      <c r="V19" s="19">
        <f>+K19-O19-P19+Q19+R19+T19+S19+IFERROR(VLOOKUP('RESUMEN PITS'!C19,'IP PITSS'!$B$9:$M$93,10),0)+IFERROR(VLOOKUP('RESUMEN PITS'!C19,'IP PITSS'!$B$9:$M$93,11),0)+IFERROR(VLOOKUP('RESUMEN PITS'!C19,'IP PITSS'!$B$9:$M$93,12),0)+VLOOKUP("Comision",'IP PITSS'!$I$99:$J$110,2)/COUNT($F$9:$F$111)+IFERROR(VLOOKUP('RESUMEN PITS'!C19,'IP PITSS'!$B$9:$AD$93,15),0)+IFERROR(VLOOKUP('RESUMEN PITS'!C19,'IP PITSS'!$B$9:$AD$93,21),0)+IFERROR(VLOOKUP('RESUMEN PITS'!C19,'IP PITSS'!$B$9:$AD$93,22),0)+IFERROR(VLOOKUP('RESUMEN PITS'!C19,'IP PITSS'!$B$9:$AD$93,23),0)+IFERROR(VLOOKUP('RESUMEN PITS'!C19,'IP PITSS'!$B$9:$AD$93,24),0)+IFERROR(VLOOKUP('RESUMEN PITS'!C19,'IP PITSS'!$B$9:$AD$93,26),0)+IFERROR(VLOOKUP('RESUMEN PITS'!C19,'IP PITSS'!$B$9:$AD$93,28),0)+IFERROR(VLOOKUP('RESUMEN PITS'!C19,'IP PITSS'!$B$9:$AD$93,29),0)+IFERROR(VLOOKUP('RESUMEN PITS'!C19,'IP PITSS'!$B$9:$AD$93,9),0)*2%</f>
        <v>6554.0559242718446</v>
      </c>
      <c r="W19" s="10">
        <f t="shared" si="3"/>
        <v>-54.05592427184456</v>
      </c>
      <c r="X19" s="10"/>
      <c r="Y19" s="19" t="s">
        <v>104</v>
      </c>
    </row>
    <row r="20" spans="1:25" x14ac:dyDescent="0.2">
      <c r="A20" s="5" t="s">
        <v>60</v>
      </c>
      <c r="B20" s="5" t="s">
        <v>102</v>
      </c>
      <c r="C20" s="29" t="s">
        <v>61</v>
      </c>
      <c r="D20" s="5">
        <f>+VLOOKUP(C20,'CPD PITSS'!$B$9:V38,21,0)</f>
        <v>4899.8</v>
      </c>
      <c r="E20" s="30"/>
      <c r="F20" s="19">
        <f>VLOOKUP(C20,'SIND PITS'!$C$9:$H$113,2,0)</f>
        <v>2600.1999999999998</v>
      </c>
      <c r="G20" s="19">
        <f>VLOOKUP(C20,'SIND PITS'!$C$9:$E$113,3,0)</f>
        <v>337.5</v>
      </c>
      <c r="H20" s="19">
        <f>VLOOKUP(C20,'SIND PITS'!$C$9:$F$113,4,0)</f>
        <v>0</v>
      </c>
      <c r="I20" s="19">
        <f>VLOOKUP(C20,'SIND PITS'!$C$9:$G$113,5,0)</f>
        <v>0</v>
      </c>
      <c r="K20" s="19">
        <f t="shared" si="0"/>
        <v>7837.5</v>
      </c>
      <c r="L20" s="19">
        <v>15000</v>
      </c>
      <c r="M20" s="19">
        <f t="shared" si="1"/>
        <v>7500</v>
      </c>
      <c r="O20" s="19">
        <f>+VLOOKUP(C20,'CPD PITSS'!$B$9:I38,8,0)</f>
        <v>0</v>
      </c>
      <c r="P20" s="19">
        <f t="shared" si="2"/>
        <v>337.5</v>
      </c>
      <c r="Q20" s="19">
        <f>(VLOOKUP($C20,'CPD PITSS'!$B$9:V37,13,0))+(VLOOKUP($C20,'CPD PITSS'!$B$9:V37,14,0))</f>
        <v>0</v>
      </c>
      <c r="R20" s="19">
        <v>0</v>
      </c>
      <c r="S20" s="19">
        <f>+VLOOKUP(C20,'EXTRAS Y FESTIVOS'!$B$9:J122,9,0)</f>
        <v>0</v>
      </c>
      <c r="T20" s="19">
        <f>VLOOKUP(C20,'CPD PITSS'!$B$9:S37,18,0)</f>
        <v>0</v>
      </c>
      <c r="V20" s="19">
        <f>+K20-O20-P20+Q20+R20+T20+S20+IFERROR(VLOOKUP('RESUMEN PITS'!C20,'IP PITSS'!$B$9:$M$93,10),0)+IFERROR(VLOOKUP('RESUMEN PITS'!C20,'IP PITSS'!$B$9:$M$93,11),0)+IFERROR(VLOOKUP('RESUMEN PITS'!C20,'IP PITSS'!$B$9:$M$93,12),0)+VLOOKUP("Comision",'IP PITSS'!$I$99:$J$110,2)/COUNT($F$9:$F$111)+IFERROR(VLOOKUP('RESUMEN PITS'!C20,'IP PITSS'!$B$9:$AD$93,15),0)+IFERROR(VLOOKUP('RESUMEN PITS'!C20,'IP PITSS'!$B$9:$AD$93,21),0)+IFERROR(VLOOKUP('RESUMEN PITS'!C20,'IP PITSS'!$B$9:$AD$93,22),0)+IFERROR(VLOOKUP('RESUMEN PITS'!C20,'IP PITSS'!$B$9:$AD$93,23),0)+IFERROR(VLOOKUP('RESUMEN PITS'!C20,'IP PITSS'!$B$9:$AD$93,24),0)+IFERROR(VLOOKUP('RESUMEN PITS'!C20,'IP PITSS'!$B$9:$AD$93,26),0)+IFERROR(VLOOKUP('RESUMEN PITS'!C20,'IP PITSS'!$B$9:$AD$93,28),0)+IFERROR(VLOOKUP('RESUMEN PITS'!C20,'IP PITSS'!$B$9:$AD$93,29),0)+IFERROR(VLOOKUP('RESUMEN PITS'!C20,'IP PITSS'!$B$9:$AD$93,9),0)*2%</f>
        <v>8914.5349242718439</v>
      </c>
      <c r="W20" s="10">
        <f t="shared" si="3"/>
        <v>-1414.5349242718439</v>
      </c>
      <c r="X20" s="10"/>
      <c r="Y20" s="19" t="s">
        <v>194</v>
      </c>
    </row>
    <row r="21" spans="1:25" x14ac:dyDescent="0.2">
      <c r="A21" s="5" t="s">
        <v>62</v>
      </c>
      <c r="B21" s="5" t="s">
        <v>102</v>
      </c>
      <c r="C21" s="27" t="s">
        <v>63</v>
      </c>
      <c r="D21" s="5">
        <f>+VLOOKUP(C21,'CPD PITSS'!$B$9:V39,21,0)</f>
        <v>1595.4</v>
      </c>
      <c r="E21" s="30"/>
      <c r="F21" s="19">
        <f>VLOOKUP(C21,'SIND PITS'!$C$9:$H$113,2,0)</f>
        <v>1483.0900000000001</v>
      </c>
      <c r="G21" s="19">
        <f>VLOOKUP(C21,'SIND PITS'!$C$9:$E$113,3,0)</f>
        <v>30</v>
      </c>
      <c r="H21" s="19">
        <f>VLOOKUP(C21,'SIND PITS'!$C$9:$F$113,4,0)</f>
        <v>0</v>
      </c>
      <c r="I21" s="19">
        <f>VLOOKUP(C21,'SIND PITS'!$C$9:$G$113,5,0)</f>
        <v>398.26</v>
      </c>
      <c r="K21" s="19">
        <f t="shared" si="0"/>
        <v>3506.75</v>
      </c>
      <c r="L21" s="19">
        <v>10000</v>
      </c>
      <c r="M21" s="19">
        <f t="shared" si="1"/>
        <v>5000</v>
      </c>
      <c r="O21" s="19">
        <f>+VLOOKUP(C21,'CPD PITSS'!$B$9:I39,8,0)</f>
        <v>501.74</v>
      </c>
      <c r="P21" s="19">
        <f t="shared" si="2"/>
        <v>428.26</v>
      </c>
      <c r="Q21" s="19">
        <f>(VLOOKUP($C21,'CPD PITSS'!$B$9:V38,13,0))+(VLOOKUP($C21,'CPD PITSS'!$B$9:V38,14,0))</f>
        <v>2126.25</v>
      </c>
      <c r="R21" s="19">
        <v>0</v>
      </c>
      <c r="S21" s="19">
        <f>+VLOOKUP(C21,'EXTRAS Y FESTIVOS'!$B$9:J123,9,0)</f>
        <v>0</v>
      </c>
      <c r="T21" s="19">
        <f>VLOOKUP(C21,'CPD PITSS'!$B$9:S38,18,0)</f>
        <v>297</v>
      </c>
      <c r="V21" s="19">
        <f>+K21-O21-P21+Q21+R21+T21+S21+IFERROR(VLOOKUP('RESUMEN PITS'!C21,'IP PITSS'!$B$9:$M$93,10),0)+IFERROR(VLOOKUP('RESUMEN PITS'!C21,'IP PITSS'!$B$9:$M$93,11),0)+IFERROR(VLOOKUP('RESUMEN PITS'!C21,'IP PITSS'!$B$9:$M$93,12),0)+VLOOKUP("Comision",'IP PITSS'!$I$99:$J$110,2)/COUNT($F$9:$F$111)+IFERROR(VLOOKUP('RESUMEN PITS'!C21,'IP PITSS'!$B$9:$AD$93,15),0)+IFERROR(VLOOKUP('RESUMEN PITS'!C21,'IP PITSS'!$B$9:$AD$93,21),0)+IFERROR(VLOOKUP('RESUMEN PITS'!C21,'IP PITSS'!$B$9:$AD$93,22),0)+IFERROR(VLOOKUP('RESUMEN PITS'!C21,'IP PITSS'!$B$9:$AD$93,23),0)+IFERROR(VLOOKUP('RESUMEN PITS'!C21,'IP PITSS'!$B$9:$AD$93,24),0)+IFERROR(VLOOKUP('RESUMEN PITS'!C21,'IP PITSS'!$B$9:$AD$93,26),0)+IFERROR(VLOOKUP('RESUMEN PITS'!C21,'IP PITSS'!$B$9:$AD$93,28),0)+IFERROR(VLOOKUP('RESUMEN PITS'!C21,'IP PITSS'!$B$9:$AD$93,29),0)+IFERROR(VLOOKUP('RESUMEN PITS'!C21,'IP PITSS'!$B$9:$AD$93,9),0)*2%</f>
        <v>6501.4969242718444</v>
      </c>
      <c r="W21" s="10">
        <f t="shared" si="3"/>
        <v>-1501.4969242718444</v>
      </c>
      <c r="X21" s="10"/>
      <c r="Y21" s="19" t="s">
        <v>276</v>
      </c>
    </row>
    <row r="22" spans="1:25" x14ac:dyDescent="0.2">
      <c r="A22" s="5" t="s">
        <v>64</v>
      </c>
      <c r="B22" s="5" t="s">
        <v>102</v>
      </c>
      <c r="C22" s="27" t="s">
        <v>65</v>
      </c>
      <c r="D22" s="5">
        <f>+VLOOKUP(C22,'CPD PITSS'!$B$9:V40,21,0)</f>
        <v>17106.400000000001</v>
      </c>
      <c r="E22" s="30"/>
      <c r="F22" s="19">
        <f>VLOOKUP(C22,'SIND PITS'!$C$9:$H$113,2,0)</f>
        <v>12613.07</v>
      </c>
      <c r="G22" s="19">
        <f>VLOOKUP(C22,'SIND PITS'!$C$9:$E$113,3,0)</f>
        <v>0</v>
      </c>
      <c r="H22" s="19">
        <f>VLOOKUP(C22,'SIND PITS'!$C$9:$F$113,4,0)</f>
        <v>0</v>
      </c>
      <c r="I22" s="19">
        <f>VLOOKUP(C22,'SIND PITS'!$C$9:$G$113,5,0)</f>
        <v>0</v>
      </c>
      <c r="K22" s="19">
        <f t="shared" si="0"/>
        <v>29719.47</v>
      </c>
      <c r="L22" s="19">
        <v>60000</v>
      </c>
      <c r="M22" s="19">
        <f t="shared" si="1"/>
        <v>30000</v>
      </c>
      <c r="O22" s="19">
        <f>+VLOOKUP(C22,'CPD PITSS'!$B$9:I40,8,0)</f>
        <v>0</v>
      </c>
      <c r="P22" s="19">
        <f t="shared" si="2"/>
        <v>0</v>
      </c>
      <c r="Q22" s="19">
        <f>(VLOOKUP($C22,'CPD PITSS'!$B$9:V39,13,0))+(VLOOKUP($C22,'CPD PITSS'!$B$9:V39,14,0))</f>
        <v>0</v>
      </c>
      <c r="R22" s="19">
        <v>0</v>
      </c>
      <c r="S22" s="19">
        <f>+VLOOKUP(C22,'EXTRAS Y FESTIVOS'!$B$9:J124,9,0)</f>
        <v>0</v>
      </c>
      <c r="T22" s="19">
        <f>VLOOKUP(C22,'CPD PITSS'!$B$9:S39,18,0)</f>
        <v>280.52999999999997</v>
      </c>
      <c r="V22" s="19">
        <f>+K22-O22-P22+Q22+R22+T22+S22+IFERROR(VLOOKUP('RESUMEN PITS'!C22,'IP PITSS'!$B$9:$M$93,10),0)+IFERROR(VLOOKUP('RESUMEN PITS'!C22,'IP PITSS'!$B$9:$M$93,11),0)+IFERROR(VLOOKUP('RESUMEN PITS'!C22,'IP PITSS'!$B$9:$M$93,12),0)+VLOOKUP("Comision",'IP PITSS'!$I$99:$J$110,2)/COUNT($F$9:$F$111)+IFERROR(VLOOKUP('RESUMEN PITS'!C22,'IP PITSS'!$B$9:$AD$93,15),0)+IFERROR(VLOOKUP('RESUMEN PITS'!C22,'IP PITSS'!$B$9:$AD$93,21),0)+IFERROR(VLOOKUP('RESUMEN PITS'!C22,'IP PITSS'!$B$9:$AD$93,22),0)+IFERROR(VLOOKUP('RESUMEN PITS'!C22,'IP PITSS'!$B$9:$AD$93,23),0)+IFERROR(VLOOKUP('RESUMEN PITS'!C22,'IP PITSS'!$B$9:$AD$93,24),0)+IFERROR(VLOOKUP('RESUMEN PITS'!C22,'IP PITSS'!$B$9:$AD$93,26),0)+IFERROR(VLOOKUP('RESUMEN PITS'!C22,'IP PITSS'!$B$9:$AD$93,28),0)+IFERROR(VLOOKUP('RESUMEN PITS'!C22,'IP PITSS'!$B$9:$AD$93,29),0)+IFERROR(VLOOKUP('RESUMEN PITS'!C22,'IP PITSS'!$B$9:$AD$93,9),0)*2%</f>
        <v>31342.365924271839</v>
      </c>
      <c r="W22" s="10">
        <f t="shared" si="3"/>
        <v>-1342.3659242718386</v>
      </c>
      <c r="X22" s="10"/>
      <c r="Y22" s="19" t="s">
        <v>296</v>
      </c>
    </row>
    <row r="23" spans="1:25" x14ac:dyDescent="0.2">
      <c r="A23" s="5" t="s">
        <v>66</v>
      </c>
      <c r="B23" s="5" t="s">
        <v>102</v>
      </c>
      <c r="C23" s="27" t="s">
        <v>67</v>
      </c>
      <c r="D23" s="5">
        <f>+VLOOKUP(C23,'CPD PITSS'!$B$9:V41,21,0)</f>
        <v>3516.8</v>
      </c>
      <c r="E23" s="30"/>
      <c r="F23" s="19">
        <f>VLOOKUP(C23,'SIND PITS'!$C$9:$H$113,2,0)</f>
        <v>1558.1999999999998</v>
      </c>
      <c r="G23" s="19">
        <f>VLOOKUP(C23,'SIND PITS'!$C$9:$E$113,3,0)</f>
        <v>60</v>
      </c>
      <c r="H23" s="19">
        <f>VLOOKUP(C23,'SIND PITS'!$C$9:$F$113,4,0)</f>
        <v>0</v>
      </c>
      <c r="I23" s="19">
        <f>VLOOKUP(C23,'SIND PITS'!$C$9:$G$113,5,0)</f>
        <v>0</v>
      </c>
      <c r="K23" s="19">
        <f t="shared" si="0"/>
        <v>5135</v>
      </c>
      <c r="L23" s="19">
        <v>10150</v>
      </c>
      <c r="M23" s="19">
        <f t="shared" si="1"/>
        <v>5075</v>
      </c>
      <c r="O23" s="19">
        <f>+VLOOKUP(C23,'CPD PITSS'!$B$9:I41,8,0)</f>
        <v>0</v>
      </c>
      <c r="P23" s="19">
        <f t="shared" si="2"/>
        <v>60</v>
      </c>
      <c r="Q23" s="19">
        <f>(VLOOKUP($C23,'CPD PITSS'!$B$9:V40,13,0))+(VLOOKUP($C23,'CPD PITSS'!$B$9:V40,14,0))</f>
        <v>0</v>
      </c>
      <c r="R23" s="19">
        <v>0</v>
      </c>
      <c r="S23" s="19">
        <f>+VLOOKUP(C23,'EXTRAS Y FESTIVOS'!$B$9:J125,9,0)</f>
        <v>0</v>
      </c>
      <c r="T23" s="19">
        <f>VLOOKUP(C23,'CPD PITSS'!$B$9:S40,18,0)</f>
        <v>0</v>
      </c>
      <c r="V23" s="19">
        <f>+K23-O23-P23+Q23+R23+T23+S23+IFERROR(VLOOKUP('RESUMEN PITS'!C23,'IP PITSS'!$B$9:$M$93,10),0)+IFERROR(VLOOKUP('RESUMEN PITS'!C23,'IP PITSS'!$B$9:$M$93,11),0)+IFERROR(VLOOKUP('RESUMEN PITS'!C23,'IP PITSS'!$B$9:$M$93,12),0)+VLOOKUP("Comision",'IP PITSS'!$I$99:$J$110,2)/COUNT($F$9:$F$111)+IFERROR(VLOOKUP('RESUMEN PITS'!C23,'IP PITSS'!$B$9:$AD$93,15),0)+IFERROR(VLOOKUP('RESUMEN PITS'!C23,'IP PITSS'!$B$9:$AD$93,21),0)+IFERROR(VLOOKUP('RESUMEN PITS'!C23,'IP PITSS'!$B$9:$AD$93,22),0)+IFERROR(VLOOKUP('RESUMEN PITS'!C23,'IP PITSS'!$B$9:$AD$93,23),0)+IFERROR(VLOOKUP('RESUMEN PITS'!C23,'IP PITSS'!$B$9:$AD$93,24),0)+IFERROR(VLOOKUP('RESUMEN PITS'!C23,'IP PITSS'!$B$9:$AD$93,26),0)+IFERROR(VLOOKUP('RESUMEN PITS'!C23,'IP PITSS'!$B$9:$AD$93,28),0)+IFERROR(VLOOKUP('RESUMEN PITS'!C23,'IP PITSS'!$B$9:$AD$93,29),0)+IFERROR(VLOOKUP('RESUMEN PITS'!C23,'IP PITSS'!$B$9:$AD$93,9),0)*2%</f>
        <v>6489.5349242718448</v>
      </c>
      <c r="W23" s="10">
        <f t="shared" si="3"/>
        <v>-1414.5349242718448</v>
      </c>
      <c r="X23" s="10"/>
      <c r="Y23" s="19" t="s">
        <v>154</v>
      </c>
    </row>
    <row r="24" spans="1:25" x14ac:dyDescent="0.2">
      <c r="A24" s="5" t="s">
        <v>68</v>
      </c>
      <c r="B24" s="5" t="s">
        <v>102</v>
      </c>
      <c r="C24" s="27" t="s">
        <v>69</v>
      </c>
      <c r="D24" s="5">
        <f>+VLOOKUP(C24,'CPD PITSS'!$B$9:V42,21,0)</f>
        <v>2041.8</v>
      </c>
      <c r="E24" s="30"/>
      <c r="F24" s="19">
        <f>VLOOKUP(C24,'SIND PITS'!$C$9:$H$113,2,0)</f>
        <v>1607.9699999999998</v>
      </c>
      <c r="G24" s="19">
        <f>VLOOKUP(C24,'SIND PITS'!$C$9:$E$113,3,0)</f>
        <v>210</v>
      </c>
      <c r="H24" s="19">
        <f>VLOOKUP(C24,'SIND PITS'!$C$9:$F$113,4,0)</f>
        <v>0</v>
      </c>
      <c r="I24" s="19">
        <f>VLOOKUP(C24,'SIND PITS'!$C$9:$G$113,5,0)</f>
        <v>0</v>
      </c>
      <c r="K24" s="19">
        <f t="shared" si="0"/>
        <v>3859.7699999999995</v>
      </c>
      <c r="L24" s="19">
        <v>10250</v>
      </c>
      <c r="M24" s="19">
        <f t="shared" si="1"/>
        <v>5125</v>
      </c>
      <c r="O24" s="19">
        <f>+VLOOKUP(C24,'CPD PITSS'!$B$9:I42,8,0)</f>
        <v>0</v>
      </c>
      <c r="P24" s="19">
        <f t="shared" si="2"/>
        <v>210</v>
      </c>
      <c r="Q24" s="19">
        <f>(VLOOKUP($C24,'CPD PITSS'!$B$9:V41,13,0))+(VLOOKUP($C24,'CPD PITSS'!$B$9:V41,14,0))</f>
        <v>1475.23</v>
      </c>
      <c r="R24" s="19">
        <v>0</v>
      </c>
      <c r="S24" s="19">
        <f>+VLOOKUP(C24,'EXTRAS Y FESTIVOS'!$B$9:J126,9,0)</f>
        <v>0</v>
      </c>
      <c r="T24" s="19">
        <f>VLOOKUP(C24,'CPD PITSS'!$B$9:S41,18,0)</f>
        <v>0</v>
      </c>
      <c r="V24" s="19">
        <f>+K24-O24-P24+Q24+R24+T24+S24+IFERROR(VLOOKUP('RESUMEN PITS'!C24,'IP PITSS'!$B$9:$M$93,10),0)+IFERROR(VLOOKUP('RESUMEN PITS'!C24,'IP PITSS'!$B$9:$M$93,11),0)+IFERROR(VLOOKUP('RESUMEN PITS'!C24,'IP PITSS'!$B$9:$M$93,12),0)+VLOOKUP("Comision",'IP PITSS'!$I$99:$J$110,2)/COUNT($F$9:$F$111)+IFERROR(VLOOKUP('RESUMEN PITS'!C24,'IP PITSS'!$B$9:$AD$93,15),0)+IFERROR(VLOOKUP('RESUMEN PITS'!C24,'IP PITSS'!$B$9:$AD$93,21),0)+IFERROR(VLOOKUP('RESUMEN PITS'!C24,'IP PITSS'!$B$9:$AD$93,22),0)+IFERROR(VLOOKUP('RESUMEN PITS'!C24,'IP PITSS'!$B$9:$AD$93,23),0)+IFERROR(VLOOKUP('RESUMEN PITS'!C24,'IP PITSS'!$B$9:$AD$93,24),0)+IFERROR(VLOOKUP('RESUMEN PITS'!C24,'IP PITSS'!$B$9:$AD$93,26),0)+IFERROR(VLOOKUP('RESUMEN PITS'!C24,'IP PITSS'!$B$9:$AD$93,28),0)+IFERROR(VLOOKUP('RESUMEN PITS'!C24,'IP PITSS'!$B$9:$AD$93,29),0)+IFERROR(VLOOKUP('RESUMEN PITS'!C24,'IP PITSS'!$B$9:$AD$93,9),0)*2%</f>
        <v>5179.0559242718446</v>
      </c>
      <c r="W24" s="10">
        <f t="shared" si="3"/>
        <v>-54.05592427184456</v>
      </c>
      <c r="X24" s="10"/>
      <c r="Y24" s="19" t="s">
        <v>111</v>
      </c>
    </row>
    <row r="25" spans="1:25" x14ac:dyDescent="0.2">
      <c r="A25" s="4" t="s">
        <v>70</v>
      </c>
      <c r="B25" s="5" t="s">
        <v>102</v>
      </c>
      <c r="C25" s="4" t="s">
        <v>71</v>
      </c>
      <c r="D25" s="5">
        <f>+VLOOKUP(C25,'CPD PITSS'!$B$9:V43,21,0)</f>
        <v>3196.8</v>
      </c>
      <c r="E25" s="30"/>
      <c r="F25" s="19">
        <f>VLOOKUP(C25,'SIND PITS'!$C$9:$H$113,2,0)</f>
        <v>16803.2</v>
      </c>
      <c r="G25" s="19">
        <f>VLOOKUP(C25,'SIND PITS'!$C$9:$E$113,3,0)</f>
        <v>0</v>
      </c>
      <c r="H25" s="19">
        <f>VLOOKUP(C25,'SIND PITS'!$C$9:$F$113,4,0)</f>
        <v>0</v>
      </c>
      <c r="I25" s="19">
        <f>VLOOKUP(C25,'SIND PITS'!$C$9:$G$113,5,0)</f>
        <v>0</v>
      </c>
      <c r="K25" s="19">
        <f t="shared" si="0"/>
        <v>20000</v>
      </c>
      <c r="L25" s="10">
        <v>40000</v>
      </c>
      <c r="M25" s="19">
        <f t="shared" si="1"/>
        <v>20000</v>
      </c>
      <c r="O25" s="19">
        <f>+VLOOKUP(C25,'CPD PITSS'!$B$9:I43,8,0)</f>
        <v>0</v>
      </c>
      <c r="P25" s="19">
        <f t="shared" si="2"/>
        <v>0</v>
      </c>
      <c r="Q25" s="19">
        <f>(VLOOKUP($C25,'CPD PITSS'!$B$9:V42,13,0))+(VLOOKUP($C25,'CPD PITSS'!$B$9:V42,14,0))</f>
        <v>0</v>
      </c>
      <c r="R25" s="19">
        <v>0</v>
      </c>
      <c r="S25" s="19">
        <f>+VLOOKUP(C25,'EXTRAS Y FESTIVOS'!$B$9:J127,9,0)</f>
        <v>0</v>
      </c>
      <c r="T25" s="19">
        <f>VLOOKUP(C25,'CPD PITSS'!$B$9:S42,18,0)</f>
        <v>0</v>
      </c>
      <c r="V25" s="19">
        <f>+K25-O25-P25+Q25+R25+T25+S25+IFERROR(VLOOKUP('RESUMEN PITS'!C25,'IP PITSS'!$B$9:$M$93,10),0)+IFERROR(VLOOKUP('RESUMEN PITS'!C25,'IP PITSS'!$B$9:$M$93,11),0)+IFERROR(VLOOKUP('RESUMEN PITS'!C25,'IP PITSS'!$B$9:$M$93,12),0)+VLOOKUP("Comision",'IP PITSS'!$I$99:$J$110,2)/COUNT($F$9:$F$111)+IFERROR(VLOOKUP('RESUMEN PITS'!C25,'IP PITSS'!$B$9:$AD$93,15),0)+IFERROR(VLOOKUP('RESUMEN PITS'!C25,'IP PITSS'!$B$9:$AD$93,21),0)+IFERROR(VLOOKUP('RESUMEN PITS'!C25,'IP PITSS'!$B$9:$AD$93,22),0)+IFERROR(VLOOKUP('RESUMEN PITS'!C25,'IP PITSS'!$B$9:$AD$93,23),0)+IFERROR(VLOOKUP('RESUMEN PITS'!C25,'IP PITSS'!$B$9:$AD$93,24),0)+IFERROR(VLOOKUP('RESUMEN PITS'!C25,'IP PITSS'!$B$9:$AD$93,26),0)+IFERROR(VLOOKUP('RESUMEN PITS'!C25,'IP PITSS'!$B$9:$AD$93,28),0)+IFERROR(VLOOKUP('RESUMEN PITS'!C25,'IP PITSS'!$B$9:$AD$93,29),0)+IFERROR(VLOOKUP('RESUMEN PITS'!C25,'IP PITSS'!$B$9:$AD$93,9),0)*2%</f>
        <v>20054.055924271845</v>
      </c>
      <c r="W25" s="10">
        <f t="shared" si="3"/>
        <v>-54.05592427184456</v>
      </c>
      <c r="X25" s="10"/>
      <c r="Y25" s="19" t="s">
        <v>109</v>
      </c>
    </row>
    <row r="26" spans="1:25" x14ac:dyDescent="0.2">
      <c r="A26" s="1" t="s">
        <v>72</v>
      </c>
      <c r="B26" s="5" t="s">
        <v>102</v>
      </c>
      <c r="C26" s="1" t="s">
        <v>73</v>
      </c>
      <c r="D26" s="5">
        <f>+VLOOKUP(C26,'CPD PITSS'!$B$9:V44,21,0)</f>
        <v>4036</v>
      </c>
      <c r="E26" s="30"/>
      <c r="F26" s="19">
        <f>VLOOKUP(C26,'SIND PITS'!$C$9:$H$113,2,0)</f>
        <v>2464</v>
      </c>
      <c r="G26" s="19">
        <f>VLOOKUP(C26,'SIND PITS'!$C$9:$E$113,3,0)</f>
        <v>1000</v>
      </c>
      <c r="H26" s="19">
        <f>VLOOKUP(C26,'SIND PITS'!$C$9:$F$113,4,0)</f>
        <v>0</v>
      </c>
      <c r="I26" s="19">
        <f>VLOOKUP(C26,'SIND PITS'!$C$9:$G$113,5,0)</f>
        <v>0</v>
      </c>
      <c r="K26" s="19">
        <f t="shared" si="0"/>
        <v>7500</v>
      </c>
      <c r="L26" s="19">
        <v>13000</v>
      </c>
      <c r="M26" s="19">
        <f t="shared" si="1"/>
        <v>6500</v>
      </c>
      <c r="O26" s="19">
        <f>+VLOOKUP(C26,'CPD PITSS'!$B$9:I44,8,0)</f>
        <v>0</v>
      </c>
      <c r="P26" s="19">
        <f t="shared" si="2"/>
        <v>1000</v>
      </c>
      <c r="Q26" s="19">
        <f>(VLOOKUP($C26,'CPD PITSS'!$B$9:V43,13,0))+(VLOOKUP($C26,'CPD PITSS'!$B$9:V43,14,0))</f>
        <v>0</v>
      </c>
      <c r="R26" s="19">
        <v>0</v>
      </c>
      <c r="S26" s="19">
        <f>+VLOOKUP(C26,'EXTRAS Y FESTIVOS'!$B$9:J128,9,0)</f>
        <v>0</v>
      </c>
      <c r="T26" s="19">
        <f>VLOOKUP(C26,'CPD PITSS'!$B$9:S43,18,0)</f>
        <v>0</v>
      </c>
      <c r="V26" s="19">
        <f>+K26-O26-P26+Q26+R26+T26+S26+IFERROR(VLOOKUP('RESUMEN PITS'!C26,'IP PITSS'!$B$9:$M$93,10),0)+IFERROR(VLOOKUP('RESUMEN PITS'!C26,'IP PITSS'!$B$9:$M$93,11),0)+IFERROR(VLOOKUP('RESUMEN PITS'!C26,'IP PITSS'!$B$9:$M$93,12),0)+VLOOKUP("Comision",'IP PITSS'!$I$99:$J$110,2)/COUNT($F$9:$F$111)+IFERROR(VLOOKUP('RESUMEN PITS'!C26,'IP PITSS'!$B$9:$AD$93,15),0)+IFERROR(VLOOKUP('RESUMEN PITS'!C26,'IP PITSS'!$B$9:$AD$93,21),0)+IFERROR(VLOOKUP('RESUMEN PITS'!C26,'IP PITSS'!$B$9:$AD$93,22),0)+IFERROR(VLOOKUP('RESUMEN PITS'!C26,'IP PITSS'!$B$9:$AD$93,23),0)+IFERROR(VLOOKUP('RESUMEN PITS'!C26,'IP PITSS'!$B$9:$AD$93,24),0)+IFERROR(VLOOKUP('RESUMEN PITS'!C26,'IP PITSS'!$B$9:$AD$93,26),0)+IFERROR(VLOOKUP('RESUMEN PITS'!C26,'IP PITSS'!$B$9:$AD$93,28),0)+IFERROR(VLOOKUP('RESUMEN PITS'!C26,'IP PITSS'!$B$9:$AD$93,29),0)+IFERROR(VLOOKUP('RESUMEN PITS'!C26,'IP PITSS'!$B$9:$AD$93,9),0)*2%</f>
        <v>7284.9959242718442</v>
      </c>
      <c r="W26" s="10">
        <f t="shared" si="3"/>
        <v>-784.99592427184416</v>
      </c>
      <c r="X26" s="32"/>
      <c r="Y26" s="19" t="s">
        <v>309</v>
      </c>
    </row>
    <row r="27" spans="1:25" s="65" customFormat="1" x14ac:dyDescent="0.2">
      <c r="A27" s="66" t="s">
        <v>36</v>
      </c>
      <c r="B27" s="11" t="s">
        <v>89</v>
      </c>
      <c r="C27" s="66" t="s">
        <v>316</v>
      </c>
      <c r="D27" s="5">
        <f>+VLOOKUP(C27,'IP PITSS'!$B$9:U94,20,0)</f>
        <v>3335.4</v>
      </c>
      <c r="E27" s="30"/>
      <c r="F27" s="67">
        <f>VLOOKUP(C27,'SIND PITS'!$C$9:$H$113,2,0)</f>
        <v>414.59999999999991</v>
      </c>
      <c r="G27" s="67">
        <f>VLOOKUP(C27,'SIND PITS'!$C$9:$E$113,3,0)</f>
        <v>175</v>
      </c>
      <c r="H27" s="67">
        <f>VLOOKUP(C27,'SIND PITS'!$C$9:$F$113,4,0)</f>
        <v>0</v>
      </c>
      <c r="I27" s="67">
        <f>VLOOKUP(C27,'SIND PITS'!$C$9:$G$113,5,0)</f>
        <v>0</v>
      </c>
      <c r="J27" s="16"/>
      <c r="K27" s="19">
        <f t="shared" si="0"/>
        <v>3925</v>
      </c>
      <c r="L27" s="68">
        <v>8000</v>
      </c>
      <c r="M27" s="67">
        <f t="shared" si="1"/>
        <v>4000</v>
      </c>
      <c r="N27" s="69"/>
      <c r="O27" s="19">
        <f>+VLOOKUP(C27,'IP PITSS'!$B$9:I94,8,0)</f>
        <v>0</v>
      </c>
      <c r="P27" s="19">
        <f t="shared" si="2"/>
        <v>175</v>
      </c>
      <c r="Q27" s="68">
        <f>+(VLOOKUP(C27,'IP PITSS'!$B$9:L94,11,0))+VLOOKUP('RESUMEN PITS'!C27,'IP PITSS'!$B$9:M94,12,0)+VLOOKUP(C27,'IP PITSS'!$B$9:K94,10,0)</f>
        <v>0</v>
      </c>
      <c r="R27" s="68">
        <f>VLOOKUP(C27,'IP PITSS'!$B$9:Q90,16,0)</f>
        <v>0</v>
      </c>
      <c r="S27" s="19">
        <f>+VLOOKUP(C27,'EXTRAS Y FESTIVOS'!$B$9:J129,9,0)</f>
        <v>0</v>
      </c>
      <c r="T27" s="68">
        <f>VLOOKUP(C27,'IP PITSS'!$B$9:R90,17,0)</f>
        <v>250</v>
      </c>
      <c r="U27" s="69"/>
      <c r="V27" s="19">
        <f>+K27-O27-P27+Q27+R27+T27+S27+IFERROR(VLOOKUP('RESUMEN PITS'!C27,'IP PITSS'!$B$9:$M$93,10),0)+IFERROR(VLOOKUP('RESUMEN PITS'!C27,'IP PITSS'!$B$9:$M$93,11),0)+IFERROR(VLOOKUP('RESUMEN PITS'!C27,'IP PITSS'!$B$9:$M$93,12),0)+VLOOKUP("Comision",'IP PITSS'!$I$99:$J$110,2)/COUNT($F$9:$F$111)+IFERROR(VLOOKUP('RESUMEN PITS'!C27,'IP PITSS'!$B$9:$AD$93,15),0)+IFERROR(VLOOKUP('RESUMEN PITS'!C27,'IP PITSS'!$B$9:$AD$93,21),0)+IFERROR(VLOOKUP('RESUMEN PITS'!C27,'IP PITSS'!$B$9:$AD$93,22),0)+IFERROR(VLOOKUP('RESUMEN PITS'!C27,'IP PITSS'!$B$9:$AD$93,23),0)+IFERROR(VLOOKUP('RESUMEN PITS'!C27,'IP PITSS'!$B$9:$AD$93,24),0)+IFERROR(VLOOKUP('RESUMEN PITS'!C27,'IP PITSS'!$B$9:$AD$93,26),0)+IFERROR(VLOOKUP('RESUMEN PITS'!C27,'IP PITSS'!$B$9:$AD$93,28),0)+IFERROR(VLOOKUP('RESUMEN PITS'!C27,'IP PITSS'!$B$9:$AD$93,29),0)+IFERROR(VLOOKUP('RESUMEN PITS'!C27,'IP PITSS'!$B$9:$AD$93,9),0)*2%</f>
        <v>4784.9959242718442</v>
      </c>
      <c r="W27" s="10">
        <f t="shared" si="3"/>
        <v>-784.99592427184416</v>
      </c>
      <c r="Y27" s="64" t="s">
        <v>317</v>
      </c>
    </row>
    <row r="28" spans="1:25" x14ac:dyDescent="0.2">
      <c r="A28" s="70" t="s">
        <v>257</v>
      </c>
      <c r="B28" s="11" t="s">
        <v>89</v>
      </c>
      <c r="C28" s="71" t="s">
        <v>258</v>
      </c>
      <c r="D28" s="5">
        <f>+VLOOKUP(C28,'IP PITSS'!$B$9:U95,20,0)</f>
        <v>3585.4</v>
      </c>
      <c r="E28" s="30"/>
      <c r="F28" s="67">
        <f>VLOOKUP(C28,'SIND PITS'!$C$9:$H$113,2,0)</f>
        <v>414.59999999999991</v>
      </c>
      <c r="G28" s="67">
        <f>VLOOKUP(C28,'SIND PITS'!$C$9:$E$113,3,0)</f>
        <v>175</v>
      </c>
      <c r="H28" s="67">
        <f>VLOOKUP(C28,'SIND PITS'!$C$9:$F$113,4,0)</f>
        <v>0</v>
      </c>
      <c r="I28" s="67">
        <f>VLOOKUP(C28,'SIND PITS'!$C$9:$G$113,5,0)</f>
        <v>0</v>
      </c>
      <c r="K28" s="19">
        <f t="shared" si="0"/>
        <v>4175</v>
      </c>
      <c r="L28" s="67">
        <v>8000</v>
      </c>
      <c r="M28" s="67">
        <f t="shared" si="1"/>
        <v>4000</v>
      </c>
      <c r="N28" s="69"/>
      <c r="O28" s="19">
        <f>+VLOOKUP(C28,'IP PITSS'!$B$9:I95,8,0)</f>
        <v>0</v>
      </c>
      <c r="P28" s="19">
        <f t="shared" si="2"/>
        <v>175</v>
      </c>
      <c r="Q28" s="68">
        <f>+(VLOOKUP(C28,'IP PITSS'!$B$9:L95,11,0))+VLOOKUP('RESUMEN PITS'!C28,'IP PITSS'!$B$9:M95,12,0)+VLOOKUP(C28,'IP PITSS'!$B$9:K95,10,0)</f>
        <v>0</v>
      </c>
      <c r="R28" s="68">
        <f>VLOOKUP(C28,'IP PITSS'!$B$9:Q91,16,0)</f>
        <v>0</v>
      </c>
      <c r="S28" s="19">
        <f>+VLOOKUP(C28,'EXTRAS Y FESTIVOS'!$B$9:J130,9,0)</f>
        <v>0</v>
      </c>
      <c r="T28" s="68">
        <f>VLOOKUP(C28,'IP PITSS'!$B$9:R91,17,0)</f>
        <v>0</v>
      </c>
      <c r="U28" s="69"/>
      <c r="V28" s="19">
        <f>+K28-O28-P28+Q28+R28+T28+S28+IFERROR(VLOOKUP('RESUMEN PITS'!C28,'IP PITSS'!$B$9:$M$93,10),0)+IFERROR(VLOOKUP('RESUMEN PITS'!C28,'IP PITSS'!$B$9:$M$93,11),0)+IFERROR(VLOOKUP('RESUMEN PITS'!C28,'IP PITSS'!$B$9:$M$93,12),0)+VLOOKUP("Comision",'IP PITSS'!$I$99:$J$110,2)/COUNT($F$9:$F$111)+IFERROR(VLOOKUP('RESUMEN PITS'!C28,'IP PITSS'!$B$9:$AD$93,15),0)+IFERROR(VLOOKUP('RESUMEN PITS'!C28,'IP PITSS'!$B$9:$AD$93,21),0)+IFERROR(VLOOKUP('RESUMEN PITS'!C28,'IP PITSS'!$B$9:$AD$93,22),0)+IFERROR(VLOOKUP('RESUMEN PITS'!C28,'IP PITSS'!$B$9:$AD$93,23),0)+IFERROR(VLOOKUP('RESUMEN PITS'!C28,'IP PITSS'!$B$9:$AD$93,24),0)+IFERROR(VLOOKUP('RESUMEN PITS'!C28,'IP PITSS'!$B$9:$AD$93,26),0)+IFERROR(VLOOKUP('RESUMEN PITS'!C28,'IP PITSS'!$B$9:$AD$93,28),0)+IFERROR(VLOOKUP('RESUMEN PITS'!C28,'IP PITSS'!$B$9:$AD$93,29),0)+IFERROR(VLOOKUP('RESUMEN PITS'!C28,'IP PITSS'!$B$9:$AD$93,9),0)*2%</f>
        <v>5501.4969242718444</v>
      </c>
      <c r="W28" s="10">
        <f t="shared" si="3"/>
        <v>-1501.4969242718444</v>
      </c>
      <c r="X28" s="10"/>
      <c r="Y28" s="19" t="s">
        <v>259</v>
      </c>
    </row>
    <row r="29" spans="1:25" x14ac:dyDescent="0.2">
      <c r="A29" s="71" t="s">
        <v>268</v>
      </c>
      <c r="B29" s="11" t="s">
        <v>89</v>
      </c>
      <c r="C29" s="71" t="s">
        <v>269</v>
      </c>
      <c r="D29" s="5">
        <f>+VLOOKUP(C29,'IP PITSS'!$B$9:U96,20,0)</f>
        <v>2717</v>
      </c>
      <c r="E29" s="30"/>
      <c r="F29" s="67">
        <f>VLOOKUP(C29,'SIND PITS'!$C$9:$H$113,2,0)</f>
        <v>414.55999999999995</v>
      </c>
      <c r="G29" s="67">
        <f>VLOOKUP(C29,'SIND PITS'!$C$9:$E$113,3,0)</f>
        <v>250</v>
      </c>
      <c r="H29" s="67">
        <f>VLOOKUP(C29,'SIND PITS'!$C$9:$F$113,4,0)</f>
        <v>0</v>
      </c>
      <c r="I29" s="67">
        <f>VLOOKUP(C29,'SIND PITS'!$C$9:$G$113,5,0)</f>
        <v>0</v>
      </c>
      <c r="K29" s="19">
        <f t="shared" si="0"/>
        <v>3381.56</v>
      </c>
      <c r="L29" s="67">
        <v>8000</v>
      </c>
      <c r="M29" s="67">
        <f t="shared" si="1"/>
        <v>4000</v>
      </c>
      <c r="N29" s="69"/>
      <c r="O29" s="19">
        <f>+VLOOKUP(C29,'IP PITSS'!$B$9:I96,8,0)</f>
        <v>0</v>
      </c>
      <c r="P29" s="19">
        <f t="shared" si="2"/>
        <v>250</v>
      </c>
      <c r="Q29" s="68">
        <f>+(VLOOKUP(C29,'IP PITSS'!$B$9:L96,11,0))+VLOOKUP('RESUMEN PITS'!C29,'IP PITSS'!$B$9:M96,12,0)+VLOOKUP(C29,'IP PITSS'!$B$9:K96,10,0)</f>
        <v>868.44</v>
      </c>
      <c r="R29" s="68">
        <f>VLOOKUP(C29,'IP PITSS'!$B$9:Q92,16,0)</f>
        <v>0</v>
      </c>
      <c r="S29" s="19">
        <f>+VLOOKUP(C29,'EXTRAS Y FESTIVOS'!$B$9:J131,9,0)</f>
        <v>0</v>
      </c>
      <c r="T29" s="68">
        <f>VLOOKUP(C29,'IP PITSS'!$B$9:R92,17,0)</f>
        <v>0</v>
      </c>
      <c r="U29" s="69"/>
      <c r="V29" s="19">
        <f>+K29-O29-P29+Q29+R29+T29+S29+IFERROR(VLOOKUP('RESUMEN PITS'!C29,'IP PITSS'!$B$9:$M$93,10),0)+IFERROR(VLOOKUP('RESUMEN PITS'!C29,'IP PITSS'!$B$9:$M$93,11),0)+IFERROR(VLOOKUP('RESUMEN PITS'!C29,'IP PITSS'!$B$9:$M$93,12),0)+VLOOKUP("Comision",'IP PITSS'!$I$99:$J$110,2)/COUNT($F$9:$F$111)+IFERROR(VLOOKUP('RESUMEN PITS'!C29,'IP PITSS'!$B$9:$AD$93,15),0)+IFERROR(VLOOKUP('RESUMEN PITS'!C29,'IP PITSS'!$B$9:$AD$93,21),0)+IFERROR(VLOOKUP('RESUMEN PITS'!C29,'IP PITSS'!$B$9:$AD$93,22),0)+IFERROR(VLOOKUP('RESUMEN PITS'!C29,'IP PITSS'!$B$9:$AD$93,23),0)+IFERROR(VLOOKUP('RESUMEN PITS'!C29,'IP PITSS'!$B$9:$AD$93,24),0)+IFERROR(VLOOKUP('RESUMEN PITS'!C29,'IP PITSS'!$B$9:$AD$93,26),0)+IFERROR(VLOOKUP('RESUMEN PITS'!C29,'IP PITSS'!$B$9:$AD$93,28),0)+IFERROR(VLOOKUP('RESUMEN PITS'!C29,'IP PITSS'!$B$9:$AD$93,29),0)+IFERROR(VLOOKUP('RESUMEN PITS'!C29,'IP PITSS'!$B$9:$AD$93,9),0)*2%</f>
        <v>5501.4969242718444</v>
      </c>
      <c r="W29" s="10">
        <f t="shared" si="3"/>
        <v>-1501.4969242718444</v>
      </c>
      <c r="X29" s="10"/>
      <c r="Y29" s="19" t="s">
        <v>270</v>
      </c>
    </row>
    <row r="30" spans="1:25" x14ac:dyDescent="0.2">
      <c r="A30" s="71" t="s">
        <v>179</v>
      </c>
      <c r="B30" s="11" t="s">
        <v>89</v>
      </c>
      <c r="C30" s="71" t="s">
        <v>180</v>
      </c>
      <c r="D30" s="5">
        <f>+VLOOKUP(C30,'IP PITSS'!$B$9:U97,20,0)</f>
        <v>6577</v>
      </c>
      <c r="E30" s="30"/>
      <c r="F30" s="67">
        <f>VLOOKUP(C30,'SIND PITS'!$C$9:$H$113,2,0)</f>
        <v>-14.5</v>
      </c>
      <c r="G30" s="67">
        <f>VLOOKUP(C30,'SIND PITS'!$C$9:$E$113,3,0)</f>
        <v>937.5</v>
      </c>
      <c r="H30" s="67">
        <f>VLOOKUP(C30,'SIND PITS'!$C$9:$F$113,4,0)</f>
        <v>0</v>
      </c>
      <c r="I30" s="67">
        <f>VLOOKUP(C30,'SIND PITS'!$C$9:$G$113,5,0)</f>
        <v>0</v>
      </c>
      <c r="K30" s="19">
        <f t="shared" si="0"/>
        <v>7500</v>
      </c>
      <c r="L30" s="73">
        <v>13125</v>
      </c>
      <c r="M30" s="67">
        <f>+L30/2</f>
        <v>6562.5</v>
      </c>
      <c r="N30" s="69"/>
      <c r="O30" s="19">
        <f>+VLOOKUP(C30,'IP PITSS'!$B$9:I97,8,0)</f>
        <v>0</v>
      </c>
      <c r="P30" s="19">
        <f t="shared" si="2"/>
        <v>937.5</v>
      </c>
      <c r="Q30" s="68">
        <f>+(VLOOKUP(C30,'IP PITSS'!$B$9:L97,11,0))+VLOOKUP('RESUMEN PITS'!C30,'IP PITSS'!$B$9:M97,12,0)+VLOOKUP(C30,'IP PITSS'!$B$9:K97,10,0)</f>
        <v>0</v>
      </c>
      <c r="R30" s="68">
        <f>VLOOKUP(C30,'IP PITSS'!$B$9:Q93,16,0)</f>
        <v>0</v>
      </c>
      <c r="S30" s="19">
        <f>+VLOOKUP(C30,'EXTRAS Y FESTIVOS'!$B$9:J132,9,0)</f>
        <v>0</v>
      </c>
      <c r="T30" s="68">
        <f>VLOOKUP(C30,'IP PITSS'!$B$9:R93,17,0)</f>
        <v>0</v>
      </c>
      <c r="U30" s="69"/>
      <c r="V30" s="19">
        <f>+K30-O30-P30+Q30+R30+T30+S30+IFERROR(VLOOKUP('RESUMEN PITS'!C30,'IP PITSS'!$B$9:$M$93,10),0)+IFERROR(VLOOKUP('RESUMEN PITS'!C30,'IP PITSS'!$B$9:$M$93,11),0)+IFERROR(VLOOKUP('RESUMEN PITS'!C30,'IP PITSS'!$B$9:$M$93,12),0)+VLOOKUP("Comision",'IP PITSS'!$I$99:$J$110,2)/COUNT($F$9:$F$111)+IFERROR(VLOOKUP('RESUMEN PITS'!C30,'IP PITSS'!$B$9:$AD$93,15),0)+IFERROR(VLOOKUP('RESUMEN PITS'!C30,'IP PITSS'!$B$9:$AD$93,21),0)+IFERROR(VLOOKUP('RESUMEN PITS'!C30,'IP PITSS'!$B$9:$AD$93,22),0)+IFERROR(VLOOKUP('RESUMEN PITS'!C30,'IP PITSS'!$B$9:$AD$93,23),0)+IFERROR(VLOOKUP('RESUMEN PITS'!C30,'IP PITSS'!$B$9:$AD$93,24),0)+IFERROR(VLOOKUP('RESUMEN PITS'!C30,'IP PITSS'!$B$9:$AD$93,26),0)+IFERROR(VLOOKUP('RESUMEN PITS'!C30,'IP PITSS'!$B$9:$AD$93,28),0)+IFERROR(VLOOKUP('RESUMEN PITS'!C30,'IP PITSS'!$B$9:$AD$93,29),0)+IFERROR(VLOOKUP('RESUMEN PITS'!C30,'IP PITSS'!$B$9:$AD$93,9),0)*2%</f>
        <v>7977.0349242718448</v>
      </c>
      <c r="W30" s="10">
        <f t="shared" si="3"/>
        <v>-1414.5349242718448</v>
      </c>
      <c r="X30" s="10"/>
      <c r="Y30" s="19" t="s">
        <v>181</v>
      </c>
    </row>
    <row r="31" spans="1:25" x14ac:dyDescent="0.2">
      <c r="A31" s="71" t="s">
        <v>216</v>
      </c>
      <c r="B31" s="11" t="s">
        <v>89</v>
      </c>
      <c r="C31" s="71" t="s">
        <v>217</v>
      </c>
      <c r="D31" s="5">
        <f>+VLOOKUP(C31,'IP PITSS'!$B$9:U98,20,0)</f>
        <v>3585.4</v>
      </c>
      <c r="E31" s="30"/>
      <c r="F31" s="67">
        <f>VLOOKUP(C31,'SIND PITS'!$C$9:$H$113,2,0)</f>
        <v>414.59999999999991</v>
      </c>
      <c r="G31" s="67">
        <f>VLOOKUP(C31,'SIND PITS'!$C$9:$E$113,3,0)</f>
        <v>220</v>
      </c>
      <c r="H31" s="67">
        <f>VLOOKUP(C31,'SIND PITS'!$C$9:$F$113,4,0)</f>
        <v>0</v>
      </c>
      <c r="I31" s="67">
        <f>VLOOKUP(C31,'SIND PITS'!$C$9:$G$113,5,0)</f>
        <v>0</v>
      </c>
      <c r="K31" s="19">
        <f t="shared" si="0"/>
        <v>4220</v>
      </c>
      <c r="L31" s="67">
        <v>8000</v>
      </c>
      <c r="M31" s="67">
        <f t="shared" si="1"/>
        <v>4000</v>
      </c>
      <c r="N31" s="69"/>
      <c r="O31" s="19">
        <f>+VLOOKUP(C31,'IP PITSS'!$B$9:I98,8,0)</f>
        <v>0</v>
      </c>
      <c r="P31" s="19">
        <f t="shared" si="2"/>
        <v>220</v>
      </c>
      <c r="Q31" s="68">
        <f>+(VLOOKUP(C31,'IP PITSS'!$B$9:L98,11,0))+VLOOKUP('RESUMEN PITS'!C31,'IP PITSS'!$B$9:M98,12,0)+VLOOKUP(C31,'IP PITSS'!$B$9:K98,10,0)</f>
        <v>0</v>
      </c>
      <c r="R31" s="68">
        <f>VLOOKUP(C31,'IP PITSS'!$B$9:Q94,16,0)</f>
        <v>0</v>
      </c>
      <c r="S31" s="19">
        <f>+VLOOKUP(C31,'EXTRAS Y FESTIVOS'!$B$9:J133,9,0)</f>
        <v>0</v>
      </c>
      <c r="T31" s="68">
        <f>VLOOKUP(C31,'IP PITSS'!$B$9:R94,17,0)</f>
        <v>0</v>
      </c>
      <c r="U31" s="69"/>
      <c r="V31" s="19">
        <f>+K31-O31-P31+Q31+R31+T31+S31+IFERROR(VLOOKUP('RESUMEN PITS'!C31,'IP PITSS'!$B$9:$M$93,10),0)+IFERROR(VLOOKUP('RESUMEN PITS'!C31,'IP PITSS'!$B$9:$M$93,11),0)+IFERROR(VLOOKUP('RESUMEN PITS'!C31,'IP PITSS'!$B$9:$M$93,12),0)+VLOOKUP("Comision",'IP PITSS'!$I$99:$J$110,2)/COUNT($F$9:$F$111)+IFERROR(VLOOKUP('RESUMEN PITS'!C31,'IP PITSS'!$B$9:$AD$93,15),0)+IFERROR(VLOOKUP('RESUMEN PITS'!C31,'IP PITSS'!$B$9:$AD$93,21),0)+IFERROR(VLOOKUP('RESUMEN PITS'!C31,'IP PITSS'!$B$9:$AD$93,22),0)+IFERROR(VLOOKUP('RESUMEN PITS'!C31,'IP PITSS'!$B$9:$AD$93,23),0)+IFERROR(VLOOKUP('RESUMEN PITS'!C31,'IP PITSS'!$B$9:$AD$93,24),0)+IFERROR(VLOOKUP('RESUMEN PITS'!C31,'IP PITSS'!$B$9:$AD$93,26),0)+IFERROR(VLOOKUP('RESUMEN PITS'!C31,'IP PITSS'!$B$9:$AD$93,28),0)+IFERROR(VLOOKUP('RESUMEN PITS'!C31,'IP PITSS'!$B$9:$AD$93,29),0)+IFERROR(VLOOKUP('RESUMEN PITS'!C31,'IP PITSS'!$B$9:$AD$93,9),0)*2%</f>
        <v>5414.5349242718448</v>
      </c>
      <c r="W31" s="10">
        <f t="shared" si="3"/>
        <v>-1414.5349242718448</v>
      </c>
      <c r="X31" s="10"/>
      <c r="Y31" s="19" t="s">
        <v>218</v>
      </c>
    </row>
    <row r="32" spans="1:25" x14ac:dyDescent="0.2">
      <c r="A32" s="66" t="s">
        <v>331</v>
      </c>
      <c r="B32" s="11" t="s">
        <v>89</v>
      </c>
      <c r="C32" s="66" t="s">
        <v>332</v>
      </c>
      <c r="D32" s="5">
        <f>+VLOOKUP(C32,'IP PITSS'!$B$9:U99,20,0)</f>
        <v>1517.8</v>
      </c>
      <c r="E32" s="30"/>
      <c r="F32" s="67">
        <f>VLOOKUP(C32,'SIND PITS'!$C$9:$H$113,2,0)</f>
        <v>1135.1000000000004</v>
      </c>
      <c r="G32" s="67">
        <f>VLOOKUP(C32,'SIND PITS'!$C$9:$E$113,3,0)</f>
        <v>315</v>
      </c>
      <c r="H32" s="67">
        <f>VLOOKUP(C32,'SIND PITS'!$C$9:$F$113,4,0)</f>
        <v>0</v>
      </c>
      <c r="I32" s="67">
        <f>VLOOKUP(C32,'SIND PITS'!$C$9:$G$113,5,0)</f>
        <v>0</v>
      </c>
      <c r="K32" s="19">
        <f t="shared" si="0"/>
        <v>2967.9000000000005</v>
      </c>
      <c r="L32" s="68">
        <v>8000</v>
      </c>
      <c r="M32" s="67">
        <f t="shared" si="1"/>
        <v>4000</v>
      </c>
      <c r="N32" s="69"/>
      <c r="O32" s="19">
        <f>+VLOOKUP(C32,'IP PITSS'!$B$9:I99,8,0)</f>
        <v>0</v>
      </c>
      <c r="P32" s="19">
        <f t="shared" si="2"/>
        <v>315</v>
      </c>
      <c r="Q32" s="68">
        <f>+(VLOOKUP(C32,'IP PITSS'!$B$9:L99,11,0))+VLOOKUP('RESUMEN PITS'!C32,'IP PITSS'!$B$9:M99,12,0)+VLOOKUP(C32,'IP PITSS'!$B$9:K99,10,0)</f>
        <v>1347.1</v>
      </c>
      <c r="R32" s="68">
        <f>VLOOKUP(C32,'IP PITSS'!$B$9:Q95,16,0)</f>
        <v>0</v>
      </c>
      <c r="S32" s="19">
        <f>+VLOOKUP(C32,'EXTRAS Y FESTIVOS'!$B$9:J134,9,0)</f>
        <v>0</v>
      </c>
      <c r="T32" s="68">
        <f>VLOOKUP(C32,'IP PITSS'!$B$9:R95,17,0)</f>
        <v>0</v>
      </c>
      <c r="U32" s="69"/>
      <c r="V32" s="19">
        <f>+K32-O32-P32+Q32+R32+T32+S32+IFERROR(VLOOKUP('RESUMEN PITS'!C32,'IP PITSS'!$B$9:$M$93,10),0)+IFERROR(VLOOKUP('RESUMEN PITS'!C32,'IP PITSS'!$B$9:$M$93,11),0)+IFERROR(VLOOKUP('RESUMEN PITS'!C32,'IP PITSS'!$B$9:$M$93,12),0)+VLOOKUP("Comision",'IP PITSS'!$I$99:$J$110,2)/COUNT($F$9:$F$111)+IFERROR(VLOOKUP('RESUMEN PITS'!C32,'IP PITSS'!$B$9:$AD$93,15),0)+IFERROR(VLOOKUP('RESUMEN PITS'!C32,'IP PITSS'!$B$9:$AD$93,21),0)+IFERROR(VLOOKUP('RESUMEN PITS'!C32,'IP PITSS'!$B$9:$AD$93,22),0)+IFERROR(VLOOKUP('RESUMEN PITS'!C32,'IP PITSS'!$B$9:$AD$93,23),0)+IFERROR(VLOOKUP('RESUMEN PITS'!C32,'IP PITSS'!$B$9:$AD$93,24),0)+IFERROR(VLOOKUP('RESUMEN PITS'!C32,'IP PITSS'!$B$9:$AD$93,26),0)+IFERROR(VLOOKUP('RESUMEN PITS'!C32,'IP PITSS'!$B$9:$AD$93,28),0)+IFERROR(VLOOKUP('RESUMEN PITS'!C32,'IP PITSS'!$B$9:$AD$93,29),0)+IFERROR(VLOOKUP('RESUMEN PITS'!C32,'IP PITSS'!$B$9:$AD$93,9),0)*2%</f>
        <v>4784.9959242718451</v>
      </c>
      <c r="W32" s="10">
        <f t="shared" si="3"/>
        <v>-784.99592427184507</v>
      </c>
      <c r="X32" s="10"/>
      <c r="Y32" s="19" t="s">
        <v>333</v>
      </c>
    </row>
    <row r="33" spans="1:25" x14ac:dyDescent="0.2">
      <c r="A33" s="71" t="s">
        <v>271</v>
      </c>
      <c r="B33" s="11" t="s">
        <v>89</v>
      </c>
      <c r="C33" s="71" t="s">
        <v>272</v>
      </c>
      <c r="D33" s="5">
        <f>+VLOOKUP(C33,'IP PITSS'!$B$9:U100,20,0)</f>
        <v>4133.6000000000004</v>
      </c>
      <c r="E33" s="30"/>
      <c r="F33" s="67">
        <f>VLOOKUP(C33,'SIND PITS'!$C$9:$H$113,2,0)</f>
        <v>533.06999999999994</v>
      </c>
      <c r="G33" s="67">
        <f>VLOOKUP(C33,'SIND PITS'!$C$9:$E$113,3,0)</f>
        <v>150</v>
      </c>
      <c r="H33" s="67">
        <f>VLOOKUP(C33,'SIND PITS'!$C$9:$F$113,4,0)</f>
        <v>0</v>
      </c>
      <c r="I33" s="67">
        <f>VLOOKUP(C33,'SIND PITS'!$C$9:$G$113,5,0)</f>
        <v>0</v>
      </c>
      <c r="K33" s="19">
        <f t="shared" si="0"/>
        <v>4816.67</v>
      </c>
      <c r="L33" s="67">
        <v>10000</v>
      </c>
      <c r="M33" s="67">
        <f t="shared" si="1"/>
        <v>5000</v>
      </c>
      <c r="N33" s="69"/>
      <c r="O33" s="19">
        <f>+VLOOKUP(C33,'IP PITSS'!$B$9:I100,8,0)</f>
        <v>0</v>
      </c>
      <c r="P33" s="19">
        <f t="shared" si="2"/>
        <v>150</v>
      </c>
      <c r="Q33" s="68">
        <f>+(VLOOKUP(C33,'IP PITSS'!$B$9:L100,11,0))+VLOOKUP('RESUMEN PITS'!C33,'IP PITSS'!$B$9:M100,12,0)+VLOOKUP(C33,'IP PITSS'!$B$9:K100,10,0)</f>
        <v>0</v>
      </c>
      <c r="R33" s="68">
        <f>VLOOKUP(C33,'IP PITSS'!$B$9:Q96,16,0)</f>
        <v>0</v>
      </c>
      <c r="S33" s="19">
        <f>+VLOOKUP(C33,'EXTRAS Y FESTIVOS'!$B$9:J135,9,0)</f>
        <v>333.33333333333331</v>
      </c>
      <c r="T33" s="68">
        <f>VLOOKUP(C33,'IP PITSS'!$B$9:R96,17,0)</f>
        <v>0</v>
      </c>
      <c r="U33" s="69"/>
      <c r="V33" s="19">
        <f>+K33-O33-P33+Q33+R33+T33+S33+IFERROR(VLOOKUP('RESUMEN PITS'!C33,'IP PITSS'!$B$9:$M$93,10),0)+IFERROR(VLOOKUP('RESUMEN PITS'!C33,'IP PITSS'!$B$9:$M$93,11),0)+IFERROR(VLOOKUP('RESUMEN PITS'!C33,'IP PITSS'!$B$9:$M$93,12),0)+VLOOKUP("Comision",'IP PITSS'!$I$99:$J$110,2)/COUNT($F$9:$F$111)+IFERROR(VLOOKUP('RESUMEN PITS'!C33,'IP PITSS'!$B$9:$AD$93,15),0)+IFERROR(VLOOKUP('RESUMEN PITS'!C33,'IP PITSS'!$B$9:$AD$93,21),0)+IFERROR(VLOOKUP('RESUMEN PITS'!C33,'IP PITSS'!$B$9:$AD$93,22),0)+IFERROR(VLOOKUP('RESUMEN PITS'!C33,'IP PITSS'!$B$9:$AD$93,23),0)+IFERROR(VLOOKUP('RESUMEN PITS'!C33,'IP PITSS'!$B$9:$AD$93,24),0)+IFERROR(VLOOKUP('RESUMEN PITS'!C33,'IP PITSS'!$B$9:$AD$93,26),0)+IFERROR(VLOOKUP('RESUMEN PITS'!C33,'IP PITSS'!$B$9:$AD$93,28),0)+IFERROR(VLOOKUP('RESUMEN PITS'!C33,'IP PITSS'!$B$9:$AD$93,29),0)+IFERROR(VLOOKUP('RESUMEN PITS'!C33,'IP PITSS'!$B$9:$AD$93,9),0)*2%</f>
        <v>6501.5002576051775</v>
      </c>
      <c r="W33" s="10">
        <f t="shared" si="3"/>
        <v>-1834.8335909385107</v>
      </c>
      <c r="X33" s="10" t="s">
        <v>463</v>
      </c>
      <c r="Y33" s="19" t="s">
        <v>273</v>
      </c>
    </row>
    <row r="34" spans="1:25" x14ac:dyDescent="0.2">
      <c r="A34" s="71" t="s">
        <v>293</v>
      </c>
      <c r="B34" s="11" t="s">
        <v>89</v>
      </c>
      <c r="C34" s="71" t="s">
        <v>294</v>
      </c>
      <c r="D34" s="5">
        <f>+VLOOKUP(C34,'IP PITSS'!$B$9:U101,20,0)</f>
        <v>3277.6</v>
      </c>
      <c r="E34" s="30"/>
      <c r="F34" s="67">
        <f>VLOOKUP(C34,'SIND PITS'!$C$9:$H$113,2,0)</f>
        <v>222.40000000000009</v>
      </c>
      <c r="G34" s="67">
        <f>VLOOKUP(C34,'SIND PITS'!$C$9:$E$113,3,0)</f>
        <v>131.25</v>
      </c>
      <c r="H34" s="67">
        <f>VLOOKUP(C34,'SIND PITS'!$C$9:$F$113,4,0)</f>
        <v>0</v>
      </c>
      <c r="I34" s="67">
        <f>VLOOKUP(C34,'SIND PITS'!$C$9:$G$113,5,0)</f>
        <v>0</v>
      </c>
      <c r="K34" s="19">
        <f t="shared" si="0"/>
        <v>3631.25</v>
      </c>
      <c r="L34" s="67">
        <v>7000</v>
      </c>
      <c r="M34" s="67">
        <f t="shared" si="1"/>
        <v>3500</v>
      </c>
      <c r="N34" s="69"/>
      <c r="O34" s="19">
        <f>+VLOOKUP(C34,'IP PITSS'!$B$9:I101,8,0)</f>
        <v>0</v>
      </c>
      <c r="P34" s="19">
        <f t="shared" si="2"/>
        <v>131.25</v>
      </c>
      <c r="Q34" s="68">
        <f>+(VLOOKUP(C34,'IP PITSS'!$B$9:L101,11,0))+VLOOKUP('RESUMEN PITS'!C34,'IP PITSS'!$B$9:M101,12,0)+VLOOKUP(C34,'IP PITSS'!$B$9:K101,10,0)</f>
        <v>0</v>
      </c>
      <c r="R34" s="68">
        <f>VLOOKUP(C34,'IP PITSS'!$B$9:Q97,16,0)</f>
        <v>0</v>
      </c>
      <c r="S34" s="19">
        <f>+VLOOKUP(C34,'EXTRAS Y FESTIVOS'!$B$9:J136,9,0)</f>
        <v>0</v>
      </c>
      <c r="T34" s="68">
        <f>VLOOKUP(C34,'IP PITSS'!$B$9:R97,17,0)</f>
        <v>0</v>
      </c>
      <c r="U34" s="69"/>
      <c r="V34" s="19">
        <f>+K34-O34-P34+Q34+R34+T34+S34+IFERROR(VLOOKUP('RESUMEN PITS'!C34,'IP PITSS'!$B$9:$M$93,10),0)+IFERROR(VLOOKUP('RESUMEN PITS'!C34,'IP PITSS'!$B$9:$M$93,11),0)+IFERROR(VLOOKUP('RESUMEN PITS'!C34,'IP PITSS'!$B$9:$M$93,12),0)+VLOOKUP("Comision",'IP PITSS'!$I$99:$J$110,2)/COUNT($F$9:$F$111)+IFERROR(VLOOKUP('RESUMEN PITS'!C34,'IP PITSS'!$B$9:$AD$93,15),0)+IFERROR(VLOOKUP('RESUMEN PITS'!C34,'IP PITSS'!$B$9:$AD$93,21),0)+IFERROR(VLOOKUP('RESUMEN PITS'!C34,'IP PITSS'!$B$9:$AD$93,22),0)+IFERROR(VLOOKUP('RESUMEN PITS'!C34,'IP PITSS'!$B$9:$AD$93,23),0)+IFERROR(VLOOKUP('RESUMEN PITS'!C34,'IP PITSS'!$B$9:$AD$93,24),0)+IFERROR(VLOOKUP('RESUMEN PITS'!C34,'IP PITSS'!$B$9:$AD$93,26),0)+IFERROR(VLOOKUP('RESUMEN PITS'!C34,'IP PITSS'!$B$9:$AD$93,28),0)+IFERROR(VLOOKUP('RESUMEN PITS'!C34,'IP PITSS'!$B$9:$AD$93,29),0)+IFERROR(VLOOKUP('RESUMEN PITS'!C34,'IP PITSS'!$B$9:$AD$93,9),0)*2%</f>
        <v>4842.3659242718441</v>
      </c>
      <c r="W34" s="10">
        <f t="shared" si="3"/>
        <v>-1342.3659242718441</v>
      </c>
      <c r="X34" s="10"/>
      <c r="Y34" s="19" t="s">
        <v>295</v>
      </c>
    </row>
    <row r="35" spans="1:25" x14ac:dyDescent="0.2">
      <c r="A35" s="66" t="s">
        <v>99</v>
      </c>
      <c r="B35" s="11" t="s">
        <v>89</v>
      </c>
      <c r="C35" s="66" t="s">
        <v>100</v>
      </c>
      <c r="D35" s="5">
        <f>+VLOOKUP(C35,'IP PITSS'!$B$9:U102,20,0)</f>
        <v>2264.8000000000002</v>
      </c>
      <c r="E35" s="30"/>
      <c r="F35" s="67">
        <f>VLOOKUP(C35,'SIND PITS'!$C$9:$H$113,2,0)</f>
        <v>285.19999999999982</v>
      </c>
      <c r="G35" s="67">
        <f>VLOOKUP(C35,'SIND PITS'!$C$9:$E$113,3,0)</f>
        <v>1000</v>
      </c>
      <c r="H35" s="67">
        <f>VLOOKUP(C35,'SIND PITS'!$C$9:$F$113,4,0)</f>
        <v>0</v>
      </c>
      <c r="I35" s="67">
        <f>VLOOKUP(C35,'SIND PITS'!$C$9:$G$113,5,0)</f>
        <v>0</v>
      </c>
      <c r="K35" s="19">
        <f t="shared" si="0"/>
        <v>3550</v>
      </c>
      <c r="L35" s="68">
        <v>6300</v>
      </c>
      <c r="M35" s="67">
        <f t="shared" si="1"/>
        <v>3150</v>
      </c>
      <c r="N35" s="69"/>
      <c r="O35" s="19">
        <f>+VLOOKUP(C35,'IP PITSS'!$B$9:I102,8,0)</f>
        <v>0</v>
      </c>
      <c r="P35" s="19">
        <f t="shared" si="2"/>
        <v>1000</v>
      </c>
      <c r="Q35" s="68">
        <f>+(VLOOKUP(C35,'IP PITSS'!$B$9:L102,11,0))+VLOOKUP('RESUMEN PITS'!C35,'IP PITSS'!$B$9:M102,12,0)+VLOOKUP(C35,'IP PITSS'!$B$9:K102,10,0)</f>
        <v>0</v>
      </c>
      <c r="R35" s="68">
        <f>VLOOKUP(C35,'IP PITSS'!$B$9:Q98,16,0)</f>
        <v>600</v>
      </c>
      <c r="S35" s="19">
        <f>+VLOOKUP(C35,'EXTRAS Y FESTIVOS'!$B$9:J137,9,0)</f>
        <v>0</v>
      </c>
      <c r="T35" s="68">
        <f>VLOOKUP(C35,'IP PITSS'!$B$9:R98,17,0)</f>
        <v>0</v>
      </c>
      <c r="U35" s="69"/>
      <c r="V35" s="19">
        <f>+K35-O35-P35+Q35+R35+T35+S35+IFERROR(VLOOKUP('RESUMEN PITS'!C35,'IP PITSS'!$B$9:$M$93,10),0)+IFERROR(VLOOKUP('RESUMEN PITS'!C35,'IP PITSS'!$B$9:$M$93,11),0)+IFERROR(VLOOKUP('RESUMEN PITS'!C35,'IP PITSS'!$B$9:$M$93,12),0)+VLOOKUP("Comision",'IP PITSS'!$I$99:$J$110,2)/COUNT($F$9:$F$111)+IFERROR(VLOOKUP('RESUMEN PITS'!C35,'IP PITSS'!$B$9:$AD$93,15),0)+IFERROR(VLOOKUP('RESUMEN PITS'!C35,'IP PITSS'!$B$9:$AD$93,21),0)+IFERROR(VLOOKUP('RESUMEN PITS'!C35,'IP PITSS'!$B$9:$AD$93,22),0)+IFERROR(VLOOKUP('RESUMEN PITS'!C35,'IP PITSS'!$B$9:$AD$93,23),0)+IFERROR(VLOOKUP('RESUMEN PITS'!C35,'IP PITSS'!$B$9:$AD$93,24),0)+IFERROR(VLOOKUP('RESUMEN PITS'!C35,'IP PITSS'!$B$9:$AD$93,26),0)+IFERROR(VLOOKUP('RESUMEN PITS'!C35,'IP PITSS'!$B$9:$AD$93,28),0)+IFERROR(VLOOKUP('RESUMEN PITS'!C35,'IP PITSS'!$B$9:$AD$93,29),0)+IFERROR(VLOOKUP('RESUMEN PITS'!C35,'IP PITSS'!$B$9:$AD$93,9),0)*2%</f>
        <v>3204.0559242718446</v>
      </c>
      <c r="W35" s="10">
        <f t="shared" si="3"/>
        <v>-54.05592427184456</v>
      </c>
      <c r="Y35" s="19" t="s">
        <v>101</v>
      </c>
    </row>
    <row r="36" spans="1:25" x14ac:dyDescent="0.2">
      <c r="A36" s="71" t="s">
        <v>161</v>
      </c>
      <c r="B36" s="11" t="s">
        <v>89</v>
      </c>
      <c r="C36" s="71" t="s">
        <v>162</v>
      </c>
      <c r="D36" s="5">
        <f>+VLOOKUP(C36,'IP PITSS'!$B$9:U103,20,0)</f>
        <v>3583.6</v>
      </c>
      <c r="E36" s="30"/>
      <c r="F36" s="67">
        <f>VLOOKUP(C36,'SIND PITS'!$C$9:$H$113,2,0)</f>
        <v>1416.3999999999996</v>
      </c>
      <c r="G36" s="67">
        <f>VLOOKUP(C36,'SIND PITS'!$C$9:$E$113,3,0)</f>
        <v>1087.5</v>
      </c>
      <c r="H36" s="67">
        <f>VLOOKUP(C36,'SIND PITS'!$C$9:$F$113,4,0)</f>
        <v>0</v>
      </c>
      <c r="I36" s="67">
        <f>VLOOKUP(C36,'SIND PITS'!$C$9:$G$113,5,0)</f>
        <v>0</v>
      </c>
      <c r="K36" s="19">
        <f t="shared" si="0"/>
        <v>6087.5</v>
      </c>
      <c r="L36" s="67">
        <v>10000</v>
      </c>
      <c r="M36" s="67">
        <f t="shared" si="1"/>
        <v>5000</v>
      </c>
      <c r="N36" s="69"/>
      <c r="O36" s="19">
        <f>+VLOOKUP(C36,'IP PITSS'!$B$9:I103,8,0)</f>
        <v>0</v>
      </c>
      <c r="P36" s="19">
        <f t="shared" si="2"/>
        <v>1087.5</v>
      </c>
      <c r="Q36" s="68">
        <f>+(VLOOKUP(C36,'IP PITSS'!$B$9:L103,11,0))+VLOOKUP('RESUMEN PITS'!C36,'IP PITSS'!$B$9:M103,12,0)+VLOOKUP(C36,'IP PITSS'!$B$9:K103,10,0)</f>
        <v>0</v>
      </c>
      <c r="R36" s="68">
        <f>VLOOKUP(C36,'IP PITSS'!$B$9:Q99,16,0)</f>
        <v>0</v>
      </c>
      <c r="S36" s="19">
        <f>+VLOOKUP(C36,'EXTRAS Y FESTIVOS'!$B$9:J138,9,0)</f>
        <v>0</v>
      </c>
      <c r="T36" s="68">
        <f>VLOOKUP(C36,'IP PITSS'!$B$9:R99,17,0)</f>
        <v>0</v>
      </c>
      <c r="U36" s="69"/>
      <c r="V36" s="19">
        <f>+K36-O36-P36+Q36+R36+T36+S36+IFERROR(VLOOKUP('RESUMEN PITS'!C36,'IP PITSS'!$B$9:$M$93,10),0)+IFERROR(VLOOKUP('RESUMEN PITS'!C36,'IP PITSS'!$B$9:$M$93,11),0)+IFERROR(VLOOKUP('RESUMEN PITS'!C36,'IP PITSS'!$B$9:$M$93,12),0)+VLOOKUP("Comision",'IP PITSS'!$I$99:$J$110,2)/COUNT($F$9:$F$111)+IFERROR(VLOOKUP('RESUMEN PITS'!C36,'IP PITSS'!$B$9:$AD$93,15),0)+IFERROR(VLOOKUP('RESUMEN PITS'!C36,'IP PITSS'!$B$9:$AD$93,21),0)+IFERROR(VLOOKUP('RESUMEN PITS'!C36,'IP PITSS'!$B$9:$AD$93,22),0)+IFERROR(VLOOKUP('RESUMEN PITS'!C36,'IP PITSS'!$B$9:$AD$93,23),0)+IFERROR(VLOOKUP('RESUMEN PITS'!C36,'IP PITSS'!$B$9:$AD$93,24),0)+IFERROR(VLOOKUP('RESUMEN PITS'!C36,'IP PITSS'!$B$9:$AD$93,26),0)+IFERROR(VLOOKUP('RESUMEN PITS'!C36,'IP PITSS'!$B$9:$AD$93,28),0)+IFERROR(VLOOKUP('RESUMEN PITS'!C36,'IP PITSS'!$B$9:$AD$93,29),0)+IFERROR(VLOOKUP('RESUMEN PITS'!C36,'IP PITSS'!$B$9:$AD$93,9),0)*2%</f>
        <v>6414.5349242718448</v>
      </c>
      <c r="W36" s="10">
        <f t="shared" si="3"/>
        <v>-1414.5349242718448</v>
      </c>
      <c r="X36" s="10"/>
      <c r="Y36" s="19" t="s">
        <v>163</v>
      </c>
    </row>
    <row r="37" spans="1:25" x14ac:dyDescent="0.2">
      <c r="A37" s="70" t="s">
        <v>145</v>
      </c>
      <c r="B37" s="11" t="s">
        <v>89</v>
      </c>
      <c r="C37" s="70" t="s">
        <v>146</v>
      </c>
      <c r="D37" s="5">
        <f>+VLOOKUP(C37,'IP PITSS'!$B$9:U104,20,0)</f>
        <v>2234</v>
      </c>
      <c r="E37" s="72"/>
      <c r="F37" s="67">
        <f>VLOOKUP(C37,'SIND PITS'!$C$9:$H$113,2,0)</f>
        <v>52.25</v>
      </c>
      <c r="G37" s="67">
        <f>VLOOKUP(C37,'SIND PITS'!$C$9:$E$113,3,0)</f>
        <v>250</v>
      </c>
      <c r="H37" s="67">
        <f>VLOOKUP(C37,'SIND PITS'!$C$9:$F$113,4,0)</f>
        <v>0</v>
      </c>
      <c r="I37" s="67">
        <f>VLOOKUP(C37,'SIND PITS'!$C$9:$G$113,5,0)</f>
        <v>0</v>
      </c>
      <c r="J37" s="69"/>
      <c r="K37" s="19">
        <f t="shared" si="0"/>
        <v>2536.25</v>
      </c>
      <c r="L37" s="67">
        <v>5000</v>
      </c>
      <c r="M37" s="67">
        <f t="shared" si="1"/>
        <v>2500</v>
      </c>
      <c r="N37" s="69"/>
      <c r="O37" s="19">
        <f>+VLOOKUP(C37,'IP PITSS'!$B$9:I104,8,0)</f>
        <v>0</v>
      </c>
      <c r="P37" s="19">
        <f t="shared" si="2"/>
        <v>250</v>
      </c>
      <c r="Q37" s="68">
        <f>+(VLOOKUP(C37,'IP PITSS'!$B$9:L104,11,0))+VLOOKUP('RESUMEN PITS'!C37,'IP PITSS'!$B$9:M104,12,0)+VLOOKUP(C37,'IP PITSS'!$B$9:K104,10,0)</f>
        <v>0</v>
      </c>
      <c r="R37" s="68">
        <f>VLOOKUP(C37,'IP PITSS'!$B$9:Q100,16,0)</f>
        <v>0</v>
      </c>
      <c r="S37" s="19">
        <f>+VLOOKUP(C37,'EXTRAS Y FESTIVOS'!$B$9:J139,9,0)</f>
        <v>0</v>
      </c>
      <c r="T37" s="68">
        <f>VLOOKUP(C37,'IP PITSS'!$B$9:R100,17,0)</f>
        <v>213.75</v>
      </c>
      <c r="U37" s="69"/>
      <c r="V37" s="19">
        <f>+K37-O37-P37+Q37+R37+T37+S37+IFERROR(VLOOKUP('RESUMEN PITS'!C37,'IP PITSS'!$B$9:$M$93,10),0)+IFERROR(VLOOKUP('RESUMEN PITS'!C37,'IP PITSS'!$B$9:$M$93,11),0)+IFERROR(VLOOKUP('RESUMEN PITS'!C37,'IP PITSS'!$B$9:$M$93,12),0)+VLOOKUP("Comision",'IP PITSS'!$I$99:$J$110,2)/COUNT($F$9:$F$111)+IFERROR(VLOOKUP('RESUMEN PITS'!C37,'IP PITSS'!$B$9:$AD$93,15),0)+IFERROR(VLOOKUP('RESUMEN PITS'!C37,'IP PITSS'!$B$9:$AD$93,21),0)+IFERROR(VLOOKUP('RESUMEN PITS'!C37,'IP PITSS'!$B$9:$AD$93,22),0)+IFERROR(VLOOKUP('RESUMEN PITS'!C37,'IP PITSS'!$B$9:$AD$93,23),0)+IFERROR(VLOOKUP('RESUMEN PITS'!C37,'IP PITSS'!$B$9:$AD$93,24),0)+IFERROR(VLOOKUP('RESUMEN PITS'!C37,'IP PITSS'!$B$9:$AD$93,26),0)+IFERROR(VLOOKUP('RESUMEN PITS'!C37,'IP PITSS'!$B$9:$AD$93,28),0)+IFERROR(VLOOKUP('RESUMEN PITS'!C37,'IP PITSS'!$B$9:$AD$93,29),0)+IFERROR(VLOOKUP('RESUMEN PITS'!C37,'IP PITSS'!$B$9:$AD$93,9),0)*2%</f>
        <v>3914.5349242718439</v>
      </c>
      <c r="W37" s="10">
        <f t="shared" si="3"/>
        <v>-1414.5349242718439</v>
      </c>
      <c r="X37" s="10"/>
      <c r="Y37" s="19" t="s">
        <v>147</v>
      </c>
    </row>
    <row r="38" spans="1:25" x14ac:dyDescent="0.2">
      <c r="A38" s="70" t="s">
        <v>354</v>
      </c>
      <c r="B38" s="5" t="s">
        <v>89</v>
      </c>
      <c r="C38" s="71" t="s">
        <v>252</v>
      </c>
      <c r="D38" s="5">
        <f>+VLOOKUP(C38,'IP PITSS'!$B$9:U105,20,0)</f>
        <v>3693</v>
      </c>
      <c r="E38" s="72"/>
      <c r="F38" s="67">
        <f>VLOOKUP(C38,'SIND PITS'!$C$9:$H$113,2,0)</f>
        <v>707</v>
      </c>
      <c r="G38" s="67">
        <f>VLOOKUP(C38,'SIND PITS'!$C$9:$E$113,3,0)</f>
        <v>500</v>
      </c>
      <c r="H38" s="67">
        <f>VLOOKUP(C38,'SIND PITS'!$C$9:$F$113,4,0)</f>
        <v>0</v>
      </c>
      <c r="I38" s="67">
        <f>VLOOKUP(C38,'SIND PITS'!$C$9:$G$113,5,0)</f>
        <v>0</v>
      </c>
      <c r="J38" s="69"/>
      <c r="K38" s="19">
        <f t="shared" si="0"/>
        <v>4900</v>
      </c>
      <c r="L38" s="67">
        <v>8800</v>
      </c>
      <c r="M38" s="67">
        <f t="shared" si="1"/>
        <v>4400</v>
      </c>
      <c r="N38" s="69"/>
      <c r="O38" s="19">
        <f>+VLOOKUP(C38,'IP PITSS'!$B$9:I105,8,0)</f>
        <v>0</v>
      </c>
      <c r="P38" s="19">
        <f t="shared" si="2"/>
        <v>500</v>
      </c>
      <c r="Q38" s="68">
        <f>+(VLOOKUP(C38,'IP PITSS'!$B$9:L105,11,0))+VLOOKUP('RESUMEN PITS'!C38,'IP PITSS'!$B$9:M105,12,0)+VLOOKUP(C38,'IP PITSS'!$B$9:K105,10,0)</f>
        <v>0</v>
      </c>
      <c r="R38" s="68">
        <f>VLOOKUP(C38,'IP PITSS'!$B$9:Q101,16,0)</f>
        <v>0</v>
      </c>
      <c r="S38" s="19">
        <f>+VLOOKUP(C38,'EXTRAS Y FESTIVOS'!$B$9:J140,9,0)</f>
        <v>0</v>
      </c>
      <c r="T38" s="68">
        <f>VLOOKUP(C38,'IP PITSS'!$B$9:R101,17,0)</f>
        <v>0</v>
      </c>
      <c r="U38" s="74"/>
      <c r="V38" s="19">
        <f>+K38-O38-P38+Q38+R38+T38+S38+IFERROR(VLOOKUP('RESUMEN PITS'!C38,'IP PITSS'!$B$9:$M$93,10),0)+IFERROR(VLOOKUP('RESUMEN PITS'!C38,'IP PITSS'!$B$9:$M$93,11),0)+IFERROR(VLOOKUP('RESUMEN PITS'!C38,'IP PITSS'!$B$9:$M$93,12),0)+VLOOKUP("Comision",'IP PITSS'!$I$99:$J$110,2)/COUNT($F$9:$F$111)+IFERROR(VLOOKUP('RESUMEN PITS'!C38,'IP PITSS'!$B$9:$AD$93,15),0)+IFERROR(VLOOKUP('RESUMEN PITS'!C38,'IP PITSS'!$B$9:$AD$93,21),0)+IFERROR(VLOOKUP('RESUMEN PITS'!C38,'IP PITSS'!$B$9:$AD$93,22),0)+IFERROR(VLOOKUP('RESUMEN PITS'!C38,'IP PITSS'!$B$9:$AD$93,23),0)+IFERROR(VLOOKUP('RESUMEN PITS'!C38,'IP PITSS'!$B$9:$AD$93,24),0)+IFERROR(VLOOKUP('RESUMEN PITS'!C38,'IP PITSS'!$B$9:$AD$93,26),0)+IFERROR(VLOOKUP('RESUMEN PITS'!C38,'IP PITSS'!$B$9:$AD$93,28),0)+IFERROR(VLOOKUP('RESUMEN PITS'!C38,'IP PITSS'!$B$9:$AD$93,29),0)+IFERROR(VLOOKUP('RESUMEN PITS'!C38,'IP PITSS'!$B$9:$AD$93,9),0)*2%</f>
        <v>5814.5349242718448</v>
      </c>
      <c r="W38" s="10">
        <f t="shared" si="3"/>
        <v>-1414.5349242718448</v>
      </c>
      <c r="X38" s="10"/>
    </row>
    <row r="39" spans="1:25" x14ac:dyDescent="0.2">
      <c r="A39" s="70" t="s">
        <v>280</v>
      </c>
      <c r="B39" s="11" t="s">
        <v>89</v>
      </c>
      <c r="C39" s="70" t="s">
        <v>281</v>
      </c>
      <c r="D39" s="5">
        <f>+VLOOKUP(C39,'IP PITSS'!$B$9:U106,20,0)</f>
        <v>3583.6</v>
      </c>
      <c r="E39" s="72"/>
      <c r="F39" s="67">
        <f>VLOOKUP(C39,'SIND PITS'!$C$9:$H$113,2,0)</f>
        <v>416.40000000000009</v>
      </c>
      <c r="G39" s="67">
        <f>VLOOKUP(C39,'SIND PITS'!$C$9:$E$113,3,0)</f>
        <v>210</v>
      </c>
      <c r="H39" s="67">
        <f>VLOOKUP(C39,'SIND PITS'!$C$9:$F$113,4,0)</f>
        <v>0</v>
      </c>
      <c r="I39" s="67">
        <f>VLOOKUP(C39,'SIND PITS'!$C$9:$G$113,5,0)</f>
        <v>0</v>
      </c>
      <c r="J39" s="69"/>
      <c r="K39" s="19">
        <f t="shared" si="0"/>
        <v>4210</v>
      </c>
      <c r="L39" s="67">
        <v>8000</v>
      </c>
      <c r="M39" s="67">
        <f t="shared" si="1"/>
        <v>4000</v>
      </c>
      <c r="N39" s="69"/>
      <c r="O39" s="19">
        <f>+VLOOKUP(C39,'IP PITSS'!$B$9:I106,8,0)</f>
        <v>0</v>
      </c>
      <c r="P39" s="19">
        <f t="shared" si="2"/>
        <v>210</v>
      </c>
      <c r="Q39" s="68">
        <f>+(VLOOKUP(C39,'IP PITSS'!$B$9:L106,11,0))+VLOOKUP('RESUMEN PITS'!C39,'IP PITSS'!$B$9:M106,12,0)+VLOOKUP(C39,'IP PITSS'!$B$9:K106,10,0)</f>
        <v>0</v>
      </c>
      <c r="R39" s="68">
        <f>VLOOKUP(C39,'IP PITSS'!$B$9:Q102,16,0)</f>
        <v>0</v>
      </c>
      <c r="S39" s="19">
        <f>+VLOOKUP(C39,'EXTRAS Y FESTIVOS'!$B$9:J141,9,0)</f>
        <v>0</v>
      </c>
      <c r="T39" s="68">
        <f>VLOOKUP(C39,'IP PITSS'!$B$9:R102,17,0)</f>
        <v>0</v>
      </c>
      <c r="U39" s="69"/>
      <c r="V39" s="19">
        <f>+K39-O39-P39+Q39+R39+T39+S39+IFERROR(VLOOKUP('RESUMEN PITS'!C39,'IP PITSS'!$B$9:$M$93,10),0)+IFERROR(VLOOKUP('RESUMEN PITS'!C39,'IP PITSS'!$B$9:$M$93,11),0)+IFERROR(VLOOKUP('RESUMEN PITS'!C39,'IP PITSS'!$B$9:$M$93,12),0)+VLOOKUP("Comision",'IP PITSS'!$I$99:$J$110,2)/COUNT($F$9:$F$111)+IFERROR(VLOOKUP('RESUMEN PITS'!C39,'IP PITSS'!$B$9:$AD$93,15),0)+IFERROR(VLOOKUP('RESUMEN PITS'!C39,'IP PITSS'!$B$9:$AD$93,21),0)+IFERROR(VLOOKUP('RESUMEN PITS'!C39,'IP PITSS'!$B$9:$AD$93,22),0)+IFERROR(VLOOKUP('RESUMEN PITS'!C39,'IP PITSS'!$B$9:$AD$93,23),0)+IFERROR(VLOOKUP('RESUMEN PITS'!C39,'IP PITSS'!$B$9:$AD$93,24),0)+IFERROR(VLOOKUP('RESUMEN PITS'!C39,'IP PITSS'!$B$9:$AD$93,26),0)+IFERROR(VLOOKUP('RESUMEN PITS'!C39,'IP PITSS'!$B$9:$AD$93,28),0)+IFERROR(VLOOKUP('RESUMEN PITS'!C39,'IP PITSS'!$B$9:$AD$93,29),0)+IFERROR(VLOOKUP('RESUMEN PITS'!C39,'IP PITSS'!$B$9:$AD$93,9),0)*2%</f>
        <v>5342.3659242718441</v>
      </c>
      <c r="W39" s="10">
        <f t="shared" si="3"/>
        <v>-1342.3659242718441</v>
      </c>
      <c r="X39" s="10"/>
      <c r="Y39" s="19" t="s">
        <v>282</v>
      </c>
    </row>
    <row r="40" spans="1:25" x14ac:dyDescent="0.2">
      <c r="A40" s="70" t="s">
        <v>223</v>
      </c>
      <c r="B40" s="11" t="s">
        <v>89</v>
      </c>
      <c r="C40" s="70" t="s">
        <v>224</v>
      </c>
      <c r="D40" s="5">
        <f>+VLOOKUP(C40,'IP PITSS'!$B$9:U107,20,0)</f>
        <v>3583.8</v>
      </c>
      <c r="E40" s="72"/>
      <c r="F40" s="67">
        <f>VLOOKUP(C40,'SIND PITS'!$C$9:$H$113,2,0)</f>
        <v>416.19999999999982</v>
      </c>
      <c r="G40" s="67">
        <f>VLOOKUP(C40,'SIND PITS'!$C$9:$E$113,3,0)</f>
        <v>120</v>
      </c>
      <c r="H40" s="67">
        <f>VLOOKUP(C40,'SIND PITS'!$C$9:$F$113,4,0)</f>
        <v>0</v>
      </c>
      <c r="I40" s="67">
        <f>VLOOKUP(C40,'SIND PITS'!$C$9:$G$113,5,0)</f>
        <v>0</v>
      </c>
      <c r="J40" s="69"/>
      <c r="K40" s="19">
        <f t="shared" si="0"/>
        <v>4120</v>
      </c>
      <c r="L40" s="67">
        <v>8000</v>
      </c>
      <c r="M40" s="67">
        <f t="shared" si="1"/>
        <v>4000</v>
      </c>
      <c r="N40" s="69"/>
      <c r="O40" s="19">
        <f>+VLOOKUP(C40,'IP PITSS'!$B$9:I107,8,0)</f>
        <v>0</v>
      </c>
      <c r="P40" s="19">
        <f t="shared" si="2"/>
        <v>120</v>
      </c>
      <c r="Q40" s="68">
        <f>+(VLOOKUP(C40,'IP PITSS'!$B$9:L107,11,0))+VLOOKUP('RESUMEN PITS'!C40,'IP PITSS'!$B$9:M107,12,0)+VLOOKUP(C40,'IP PITSS'!$B$9:K107,10,0)</f>
        <v>0</v>
      </c>
      <c r="R40" s="68">
        <f>VLOOKUP(C40,'IP PITSS'!$B$9:Q103,16,0)</f>
        <v>0</v>
      </c>
      <c r="S40" s="19">
        <f>+VLOOKUP(C40,'EXTRAS Y FESTIVOS'!$B$9:J142,9,0)</f>
        <v>0</v>
      </c>
      <c r="T40" s="68">
        <f>VLOOKUP(C40,'IP PITSS'!$B$9:R103,17,0)</f>
        <v>0</v>
      </c>
      <c r="U40" s="69"/>
      <c r="V40" s="19">
        <f>+K40-O40-P40+Q40+R40+T40+S40+IFERROR(VLOOKUP('RESUMEN PITS'!C40,'IP PITSS'!$B$9:$M$93,10),0)+IFERROR(VLOOKUP('RESUMEN PITS'!C40,'IP PITSS'!$B$9:$M$93,11),0)+IFERROR(VLOOKUP('RESUMEN PITS'!C40,'IP PITSS'!$B$9:$M$93,12),0)+VLOOKUP("Comision",'IP PITSS'!$I$99:$J$110,2)/COUNT($F$9:$F$111)+IFERROR(VLOOKUP('RESUMEN PITS'!C40,'IP PITSS'!$B$9:$AD$93,15),0)+IFERROR(VLOOKUP('RESUMEN PITS'!C40,'IP PITSS'!$B$9:$AD$93,21),0)+IFERROR(VLOOKUP('RESUMEN PITS'!C40,'IP PITSS'!$B$9:$AD$93,22),0)+IFERROR(VLOOKUP('RESUMEN PITS'!C40,'IP PITSS'!$B$9:$AD$93,23),0)+IFERROR(VLOOKUP('RESUMEN PITS'!C40,'IP PITSS'!$B$9:$AD$93,24),0)+IFERROR(VLOOKUP('RESUMEN PITS'!C40,'IP PITSS'!$B$9:$AD$93,26),0)+IFERROR(VLOOKUP('RESUMEN PITS'!C40,'IP PITSS'!$B$9:$AD$93,28),0)+IFERROR(VLOOKUP('RESUMEN PITS'!C40,'IP PITSS'!$B$9:$AD$93,29),0)+IFERROR(VLOOKUP('RESUMEN PITS'!C40,'IP PITSS'!$B$9:$AD$93,9),0)*2%</f>
        <v>5414.5349242718448</v>
      </c>
      <c r="W40" s="10">
        <f t="shared" si="3"/>
        <v>-1414.5349242718448</v>
      </c>
      <c r="X40" s="10"/>
      <c r="Y40" s="19" t="s">
        <v>225</v>
      </c>
    </row>
    <row r="41" spans="1:25" x14ac:dyDescent="0.2">
      <c r="A41" s="70" t="s">
        <v>210</v>
      </c>
      <c r="B41" s="11" t="s">
        <v>89</v>
      </c>
      <c r="C41" s="70" t="s">
        <v>211</v>
      </c>
      <c r="D41" s="5">
        <f>+VLOOKUP(C41,'IP PITSS'!$B$9:U108,20,0)</f>
        <v>5952.2</v>
      </c>
      <c r="E41" s="72"/>
      <c r="F41" s="67">
        <f>VLOOKUP(C41,'SIND PITS'!$C$9:$H$113,2,0)</f>
        <v>1047.8000000000002</v>
      </c>
      <c r="G41" s="67">
        <f>VLOOKUP(C41,'SIND PITS'!$C$9:$E$113,3,0)</f>
        <v>187.5</v>
      </c>
      <c r="H41" s="67">
        <f>VLOOKUP(C41,'SIND PITS'!$C$9:$F$113,4,0)</f>
        <v>0</v>
      </c>
      <c r="I41" s="67">
        <f>VLOOKUP(C41,'SIND PITS'!$C$9:$G$113,5,0)</f>
        <v>0</v>
      </c>
      <c r="J41" s="69"/>
      <c r="K41" s="19">
        <f t="shared" si="0"/>
        <v>7187.5</v>
      </c>
      <c r="L41" s="67">
        <v>14000</v>
      </c>
      <c r="M41" s="67">
        <f t="shared" si="1"/>
        <v>7000</v>
      </c>
      <c r="N41" s="69"/>
      <c r="O41" s="19">
        <f>+VLOOKUP(C41,'IP PITSS'!$B$9:I108,8,0)</f>
        <v>0</v>
      </c>
      <c r="P41" s="19">
        <f t="shared" si="2"/>
        <v>187.5</v>
      </c>
      <c r="Q41" s="68">
        <f>+(VLOOKUP(C41,'IP PITSS'!$B$9:L108,11,0))+VLOOKUP('RESUMEN PITS'!C41,'IP PITSS'!$B$9:M108,12,0)+VLOOKUP(C41,'IP PITSS'!$B$9:K108,10,0)</f>
        <v>0</v>
      </c>
      <c r="R41" s="68">
        <f>VLOOKUP(C41,'IP PITSS'!$B$9:Q104,16,0)</f>
        <v>0</v>
      </c>
      <c r="S41" s="19">
        <f>+VLOOKUP(C41,'EXTRAS Y FESTIVOS'!$B$9:J143,9,0)</f>
        <v>0</v>
      </c>
      <c r="T41" s="68">
        <f>VLOOKUP(C41,'IP PITSS'!$B$9:R104,17,0)</f>
        <v>0</v>
      </c>
      <c r="U41" s="69"/>
      <c r="V41" s="19">
        <f>+K41-O41-P41+Q41+R41+T41+S41+IFERROR(VLOOKUP('RESUMEN PITS'!C41,'IP PITSS'!$B$9:$M$93,10),0)+IFERROR(VLOOKUP('RESUMEN PITS'!C41,'IP PITSS'!$B$9:$M$93,11),0)+IFERROR(VLOOKUP('RESUMEN PITS'!C41,'IP PITSS'!$B$9:$M$93,12),0)+VLOOKUP("Comision",'IP PITSS'!$I$99:$J$110,2)/COUNT($F$9:$F$111)+IFERROR(VLOOKUP('RESUMEN PITS'!C41,'IP PITSS'!$B$9:$AD$93,15),0)+IFERROR(VLOOKUP('RESUMEN PITS'!C41,'IP PITSS'!$B$9:$AD$93,21),0)+IFERROR(VLOOKUP('RESUMEN PITS'!C41,'IP PITSS'!$B$9:$AD$93,22),0)+IFERROR(VLOOKUP('RESUMEN PITS'!C41,'IP PITSS'!$B$9:$AD$93,23),0)+IFERROR(VLOOKUP('RESUMEN PITS'!C41,'IP PITSS'!$B$9:$AD$93,24),0)+IFERROR(VLOOKUP('RESUMEN PITS'!C41,'IP PITSS'!$B$9:$AD$93,26),0)+IFERROR(VLOOKUP('RESUMEN PITS'!C41,'IP PITSS'!$B$9:$AD$93,28),0)+IFERROR(VLOOKUP('RESUMEN PITS'!C41,'IP PITSS'!$B$9:$AD$93,29),0)+IFERROR(VLOOKUP('RESUMEN PITS'!C41,'IP PITSS'!$B$9:$AD$93,9),0)*2%</f>
        <v>8414.5349242718457</v>
      </c>
      <c r="W41" s="10">
        <f t="shared" si="3"/>
        <v>-1414.5349242718457</v>
      </c>
      <c r="X41" s="10"/>
      <c r="Y41" s="19" t="s">
        <v>212</v>
      </c>
    </row>
    <row r="42" spans="1:25" x14ac:dyDescent="0.2">
      <c r="A42" s="66" t="s">
        <v>72</v>
      </c>
      <c r="B42" s="11" t="s">
        <v>89</v>
      </c>
      <c r="C42" s="66" t="s">
        <v>134</v>
      </c>
      <c r="D42" s="5">
        <f>+VLOOKUP(C42,'IP PITSS'!$B$9:U109,20,0)</f>
        <v>5952.2</v>
      </c>
      <c r="E42" s="72"/>
      <c r="F42" s="67">
        <f>VLOOKUP(C42,'SIND PITS'!$C$9:$H$113,2,0)</f>
        <v>1047.8000000000002</v>
      </c>
      <c r="G42" s="67">
        <f>VLOOKUP(C42,'SIND PITS'!$C$9:$E$113,3,0)</f>
        <v>312.5</v>
      </c>
      <c r="H42" s="67">
        <f>VLOOKUP(C42,'SIND PITS'!$C$9:$F$113,4,0)</f>
        <v>0</v>
      </c>
      <c r="I42" s="67">
        <f>VLOOKUP(C42,'SIND PITS'!$C$9:$G$113,5,0)</f>
        <v>0</v>
      </c>
      <c r="J42" s="69"/>
      <c r="K42" s="19">
        <f t="shared" si="0"/>
        <v>7312.5</v>
      </c>
      <c r="L42" s="68">
        <v>14000</v>
      </c>
      <c r="M42" s="67">
        <f t="shared" si="1"/>
        <v>7000</v>
      </c>
      <c r="N42" s="69"/>
      <c r="O42" s="19">
        <f>+VLOOKUP(C42,'IP PITSS'!$B$9:I109,8,0)</f>
        <v>0</v>
      </c>
      <c r="P42" s="19">
        <f t="shared" si="2"/>
        <v>312.5</v>
      </c>
      <c r="Q42" s="68">
        <f>+(VLOOKUP(C42,'IP PITSS'!$B$9:L109,11,0))+VLOOKUP('RESUMEN PITS'!C42,'IP PITSS'!$B$9:M109,12,0)+VLOOKUP(C42,'IP PITSS'!$B$9:K109,10,0)</f>
        <v>0</v>
      </c>
      <c r="R42" s="68">
        <f>VLOOKUP(C42,'IP PITSS'!$B$9:Q105,16,0)</f>
        <v>0</v>
      </c>
      <c r="S42" s="19">
        <f>+VLOOKUP(C42,'EXTRAS Y FESTIVOS'!$B$9:J144,9,0)</f>
        <v>0</v>
      </c>
      <c r="T42" s="68">
        <f>VLOOKUP(C42,'IP PITSS'!$B$9:R105,17,0)</f>
        <v>0</v>
      </c>
      <c r="U42" s="69"/>
      <c r="V42" s="19">
        <f>+K42-O42-P42+Q42+R42+T42+S42+IFERROR(VLOOKUP('RESUMEN PITS'!C42,'IP PITSS'!$B$9:$M$93,10),0)+IFERROR(VLOOKUP('RESUMEN PITS'!C42,'IP PITSS'!$B$9:$M$93,11),0)+IFERROR(VLOOKUP('RESUMEN PITS'!C42,'IP PITSS'!$B$9:$M$93,12),0)+VLOOKUP("Comision",'IP PITSS'!$I$99:$J$110,2)/COUNT($F$9:$F$111)+IFERROR(VLOOKUP('RESUMEN PITS'!C42,'IP PITSS'!$B$9:$AD$93,15),0)+IFERROR(VLOOKUP('RESUMEN PITS'!C42,'IP PITSS'!$B$9:$AD$93,21),0)+IFERROR(VLOOKUP('RESUMEN PITS'!C42,'IP PITSS'!$B$9:$AD$93,22),0)+IFERROR(VLOOKUP('RESUMEN PITS'!C42,'IP PITSS'!$B$9:$AD$93,23),0)+IFERROR(VLOOKUP('RESUMEN PITS'!C42,'IP PITSS'!$B$9:$AD$93,24),0)+IFERROR(VLOOKUP('RESUMEN PITS'!C42,'IP PITSS'!$B$9:$AD$93,26),0)+IFERROR(VLOOKUP('RESUMEN PITS'!C42,'IP PITSS'!$B$9:$AD$93,28),0)+IFERROR(VLOOKUP('RESUMEN PITS'!C42,'IP PITSS'!$B$9:$AD$93,29),0)+IFERROR(VLOOKUP('RESUMEN PITS'!C42,'IP PITSS'!$B$9:$AD$93,9),0)*2%</f>
        <v>8414.5349242718457</v>
      </c>
      <c r="W42" s="10">
        <f t="shared" si="3"/>
        <v>-1414.5349242718457</v>
      </c>
      <c r="X42" s="10"/>
      <c r="Y42" s="19" t="s">
        <v>135</v>
      </c>
    </row>
    <row r="43" spans="1:25" x14ac:dyDescent="0.2">
      <c r="A43" s="66" t="s">
        <v>119</v>
      </c>
      <c r="B43" s="11" t="s">
        <v>89</v>
      </c>
      <c r="C43" s="66" t="s">
        <v>120</v>
      </c>
      <c r="D43" s="5">
        <f>+VLOOKUP(C43,'IP PITSS'!$B$9:U110,20,0)</f>
        <v>2864.8</v>
      </c>
      <c r="E43" s="72"/>
      <c r="F43" s="67">
        <f>VLOOKUP(C43,'SIND PITS'!$C$9:$H$113,2,0)</f>
        <v>285.19999999999982</v>
      </c>
      <c r="G43" s="67">
        <f>VLOOKUP(C43,'SIND PITS'!$C$9:$E$113,3,0)</f>
        <v>800</v>
      </c>
      <c r="H43" s="67">
        <f>VLOOKUP(C43,'SIND PITS'!$C$9:$F$113,4,0)</f>
        <v>0</v>
      </c>
      <c r="I43" s="67">
        <f>VLOOKUP(C43,'SIND PITS'!$C$9:$G$113,5,0)</f>
        <v>0</v>
      </c>
      <c r="J43" s="69"/>
      <c r="K43" s="19">
        <f t="shared" si="0"/>
        <v>3950</v>
      </c>
      <c r="L43" s="68">
        <v>6300</v>
      </c>
      <c r="M43" s="67">
        <f t="shared" si="1"/>
        <v>3150</v>
      </c>
      <c r="N43" s="69"/>
      <c r="O43" s="19">
        <f>+VLOOKUP(C43,'IP PITSS'!$B$9:I110,8,0)</f>
        <v>0</v>
      </c>
      <c r="P43" s="19">
        <f t="shared" si="2"/>
        <v>800</v>
      </c>
      <c r="Q43" s="68">
        <f>+(VLOOKUP(C43,'IP PITSS'!$B$9:L110,11,0))+VLOOKUP('RESUMEN PITS'!C43,'IP PITSS'!$B$9:M110,12,0)+VLOOKUP(C43,'IP PITSS'!$B$9:K110,10,0)</f>
        <v>0</v>
      </c>
      <c r="R43" s="68">
        <f>VLOOKUP(C43,'IP PITSS'!$B$9:Q106,16,0)</f>
        <v>0</v>
      </c>
      <c r="S43" s="19">
        <f>+VLOOKUP(C43,'EXTRAS Y FESTIVOS'!$B$9:J145,9,0)</f>
        <v>0</v>
      </c>
      <c r="T43" s="68">
        <f>VLOOKUP(C43,'IP PITSS'!$B$9:R106,17,0)</f>
        <v>0</v>
      </c>
      <c r="U43" s="69"/>
      <c r="V43" s="19">
        <f>+K43-O43-P43+Q43+R43+T43+S43+IFERROR(VLOOKUP('RESUMEN PITS'!C43,'IP PITSS'!$B$9:$M$93,10),0)+IFERROR(VLOOKUP('RESUMEN PITS'!C43,'IP PITSS'!$B$9:$M$93,11),0)+IFERROR(VLOOKUP('RESUMEN PITS'!C43,'IP PITSS'!$B$9:$M$93,12),0)+VLOOKUP("Comision",'IP PITSS'!$I$99:$J$110,2)/COUNT($F$9:$F$111)+IFERROR(VLOOKUP('RESUMEN PITS'!C43,'IP PITSS'!$B$9:$AD$93,15),0)+IFERROR(VLOOKUP('RESUMEN PITS'!C43,'IP PITSS'!$B$9:$AD$93,21),0)+IFERROR(VLOOKUP('RESUMEN PITS'!C43,'IP PITSS'!$B$9:$AD$93,22),0)+IFERROR(VLOOKUP('RESUMEN PITS'!C43,'IP PITSS'!$B$9:$AD$93,23),0)+IFERROR(VLOOKUP('RESUMEN PITS'!C43,'IP PITSS'!$B$9:$AD$93,24),0)+IFERROR(VLOOKUP('RESUMEN PITS'!C43,'IP PITSS'!$B$9:$AD$93,26),0)+IFERROR(VLOOKUP('RESUMEN PITS'!C43,'IP PITSS'!$B$9:$AD$93,28),0)+IFERROR(VLOOKUP('RESUMEN PITS'!C43,'IP PITSS'!$B$9:$AD$93,29),0)+IFERROR(VLOOKUP('RESUMEN PITS'!C43,'IP PITSS'!$B$9:$AD$93,9),0)*2%</f>
        <v>3204.0559242718446</v>
      </c>
      <c r="W43" s="10">
        <f t="shared" si="3"/>
        <v>-54.05592427184456</v>
      </c>
      <c r="X43" s="10"/>
      <c r="Y43" s="19" t="s">
        <v>121</v>
      </c>
    </row>
    <row r="44" spans="1:25" x14ac:dyDescent="0.2">
      <c r="A44" s="66" t="s">
        <v>220</v>
      </c>
      <c r="B44" s="11" t="s">
        <v>89</v>
      </c>
      <c r="C44" s="66" t="s">
        <v>221</v>
      </c>
      <c r="D44" s="5">
        <f>+VLOOKUP(C44,'IP PITSS'!$B$9:U111,20,0)</f>
        <v>3142.6</v>
      </c>
      <c r="E44" s="72"/>
      <c r="F44" s="67">
        <f>VLOOKUP(C44,'SIND PITS'!$C$9:$H$113,2,0)</f>
        <v>416.40000000000009</v>
      </c>
      <c r="G44" s="67">
        <f>VLOOKUP(C44,'SIND PITS'!$C$9:$E$113,3,0)</f>
        <v>150</v>
      </c>
      <c r="H44" s="67">
        <f>VLOOKUP(C44,'SIND PITS'!$C$9:$F$113,4,0)</f>
        <v>0</v>
      </c>
      <c r="I44" s="67">
        <f>VLOOKUP(C44,'SIND PITS'!$C$9:$G$113,5,0)</f>
        <v>0</v>
      </c>
      <c r="J44" s="69"/>
      <c r="K44" s="19">
        <f t="shared" si="0"/>
        <v>3709</v>
      </c>
      <c r="L44" s="68">
        <v>8000</v>
      </c>
      <c r="M44" s="67">
        <f t="shared" si="1"/>
        <v>4000</v>
      </c>
      <c r="N44" s="69"/>
      <c r="O44" s="19">
        <f>+VLOOKUP(C44,'IP PITSS'!$B$9:I111,8,0)</f>
        <v>0</v>
      </c>
      <c r="P44" s="19">
        <f t="shared" si="2"/>
        <v>150</v>
      </c>
      <c r="Q44" s="68">
        <f>+(VLOOKUP(C44,'IP PITSS'!$B$9:L111,11,0))+VLOOKUP('RESUMEN PITS'!C44,'IP PITSS'!$B$9:M111,12,0)+VLOOKUP(C44,'IP PITSS'!$B$9:K111,10,0)</f>
        <v>0</v>
      </c>
      <c r="R44" s="68">
        <f>VLOOKUP(C44,'IP PITSS'!$B$9:Q107,16,0)</f>
        <v>0</v>
      </c>
      <c r="S44" s="19">
        <f>+VLOOKUP(C44,'EXTRAS Y FESTIVOS'!$B$9:J146,9,0)</f>
        <v>0</v>
      </c>
      <c r="T44" s="68">
        <f>VLOOKUP(C44,'IP PITSS'!$B$9:R107,17,0)</f>
        <v>441</v>
      </c>
      <c r="U44" s="69"/>
      <c r="V44" s="19">
        <f>+K44-O44-P44+Q44+R44+T44+S44+IFERROR(VLOOKUP('RESUMEN PITS'!C44,'IP PITSS'!$B$9:$M$93,10),0)+IFERROR(VLOOKUP('RESUMEN PITS'!C44,'IP PITSS'!$B$9:$M$93,11),0)+IFERROR(VLOOKUP('RESUMEN PITS'!C44,'IP PITSS'!$B$9:$M$93,12),0)+VLOOKUP("Comision",'IP PITSS'!$I$99:$J$110,2)/COUNT($F$9:$F$111)+IFERROR(VLOOKUP('RESUMEN PITS'!C44,'IP PITSS'!$B$9:$AD$93,15),0)+IFERROR(VLOOKUP('RESUMEN PITS'!C44,'IP PITSS'!$B$9:$AD$93,21),0)+IFERROR(VLOOKUP('RESUMEN PITS'!C44,'IP PITSS'!$B$9:$AD$93,22),0)+IFERROR(VLOOKUP('RESUMEN PITS'!C44,'IP PITSS'!$B$9:$AD$93,23),0)+IFERROR(VLOOKUP('RESUMEN PITS'!C44,'IP PITSS'!$B$9:$AD$93,24),0)+IFERROR(VLOOKUP('RESUMEN PITS'!C44,'IP PITSS'!$B$9:$AD$93,26),0)+IFERROR(VLOOKUP('RESUMEN PITS'!C44,'IP PITSS'!$B$9:$AD$93,28),0)+IFERROR(VLOOKUP('RESUMEN PITS'!C44,'IP PITSS'!$B$9:$AD$93,29),0)+IFERROR(VLOOKUP('RESUMEN PITS'!C44,'IP PITSS'!$B$9:$AD$93,9),0)*2%</f>
        <v>5414.5349242718448</v>
      </c>
      <c r="W44" s="10">
        <f t="shared" si="3"/>
        <v>-1414.5349242718448</v>
      </c>
      <c r="X44" s="10"/>
      <c r="Y44" s="19" t="s">
        <v>222</v>
      </c>
    </row>
    <row r="45" spans="1:25" x14ac:dyDescent="0.2">
      <c r="A45" s="70" t="s">
        <v>37</v>
      </c>
      <c r="B45" s="11" t="s">
        <v>89</v>
      </c>
      <c r="C45" s="70" t="s">
        <v>167</v>
      </c>
      <c r="D45" s="5">
        <f>+VLOOKUP(C45,'IP PITSS'!$B$9:U112,20,0)</f>
        <v>3583.8</v>
      </c>
      <c r="E45" s="72"/>
      <c r="F45" s="67">
        <f>VLOOKUP(C45,'SIND PITS'!$C$9:$H$113,2,0)</f>
        <v>416.19999999999982</v>
      </c>
      <c r="G45" s="67">
        <f>VLOOKUP(C45,'SIND PITS'!$C$9:$E$113,3,0)</f>
        <v>130</v>
      </c>
      <c r="H45" s="67">
        <f>VLOOKUP(C45,'SIND PITS'!$C$9:$F$113,4,0)</f>
        <v>0</v>
      </c>
      <c r="I45" s="67">
        <f>VLOOKUP(C45,'SIND PITS'!$C$9:$G$113,5,0)</f>
        <v>0</v>
      </c>
      <c r="J45" s="69"/>
      <c r="K45" s="19">
        <f t="shared" si="0"/>
        <v>4130</v>
      </c>
      <c r="L45" s="67">
        <v>8000</v>
      </c>
      <c r="M45" s="67">
        <f t="shared" si="1"/>
        <v>4000</v>
      </c>
      <c r="N45" s="69"/>
      <c r="O45" s="19">
        <f>+VLOOKUP(C45,'IP PITSS'!$B$9:I112,8,0)</f>
        <v>0</v>
      </c>
      <c r="P45" s="19">
        <f t="shared" si="2"/>
        <v>130</v>
      </c>
      <c r="Q45" s="68">
        <f>+(VLOOKUP(C45,'IP PITSS'!$B$9:L112,11,0))+VLOOKUP('RESUMEN PITS'!C45,'IP PITSS'!$B$9:M112,12,0)+VLOOKUP(C45,'IP PITSS'!$B$9:K112,10,0)</f>
        <v>0</v>
      </c>
      <c r="R45" s="68">
        <f>VLOOKUP(C45,'IP PITSS'!$B$9:Q108,16,0)</f>
        <v>0</v>
      </c>
      <c r="S45" s="19">
        <f>+VLOOKUP(C45,'EXTRAS Y FESTIVOS'!$B$9:J147,9,0)</f>
        <v>0</v>
      </c>
      <c r="T45" s="68">
        <f>VLOOKUP(C45,'IP PITSS'!$B$9:R108,17,0)</f>
        <v>0</v>
      </c>
      <c r="U45" s="69"/>
      <c r="V45" s="19">
        <f>+K45-O45-P45+Q45+R45+T45+S45+IFERROR(VLOOKUP('RESUMEN PITS'!C45,'IP PITSS'!$B$9:$M$93,10),0)+IFERROR(VLOOKUP('RESUMEN PITS'!C45,'IP PITSS'!$B$9:$M$93,11),0)+IFERROR(VLOOKUP('RESUMEN PITS'!C45,'IP PITSS'!$B$9:$M$93,12),0)+VLOOKUP("Comision",'IP PITSS'!$I$99:$J$110,2)/COUNT($F$9:$F$111)+IFERROR(VLOOKUP('RESUMEN PITS'!C45,'IP PITSS'!$B$9:$AD$93,15),0)+IFERROR(VLOOKUP('RESUMEN PITS'!C45,'IP PITSS'!$B$9:$AD$93,21),0)+IFERROR(VLOOKUP('RESUMEN PITS'!C45,'IP PITSS'!$B$9:$AD$93,22),0)+IFERROR(VLOOKUP('RESUMEN PITS'!C45,'IP PITSS'!$B$9:$AD$93,23),0)+IFERROR(VLOOKUP('RESUMEN PITS'!C45,'IP PITSS'!$B$9:$AD$93,24),0)+IFERROR(VLOOKUP('RESUMEN PITS'!C45,'IP PITSS'!$B$9:$AD$93,26),0)+IFERROR(VLOOKUP('RESUMEN PITS'!C45,'IP PITSS'!$B$9:$AD$93,28),0)+IFERROR(VLOOKUP('RESUMEN PITS'!C45,'IP PITSS'!$B$9:$AD$93,29),0)+IFERROR(VLOOKUP('RESUMEN PITS'!C45,'IP PITSS'!$B$9:$AD$93,9),0)*2%</f>
        <v>5414.5349242718448</v>
      </c>
      <c r="W45" s="10">
        <f t="shared" si="3"/>
        <v>-1414.5349242718448</v>
      </c>
      <c r="X45" s="10"/>
      <c r="Y45" s="19" t="s">
        <v>168</v>
      </c>
    </row>
    <row r="46" spans="1:25" x14ac:dyDescent="0.2">
      <c r="A46" s="70" t="s">
        <v>290</v>
      </c>
      <c r="B46" s="11" t="s">
        <v>89</v>
      </c>
      <c r="C46" s="70" t="s">
        <v>291</v>
      </c>
      <c r="D46" s="5">
        <f>+VLOOKUP(C46,'IP PITSS'!$B$9:U113,20,0)</f>
        <v>3333.6</v>
      </c>
      <c r="E46" s="72"/>
      <c r="F46" s="67">
        <f>VLOOKUP(C46,'SIND PITS'!$C$9:$H$113,2,0)</f>
        <v>416.40000000000009</v>
      </c>
      <c r="G46" s="67">
        <f>VLOOKUP(C46,'SIND PITS'!$C$9:$E$113,3,0)</f>
        <v>315</v>
      </c>
      <c r="H46" s="67">
        <f>VLOOKUP(C46,'SIND PITS'!$C$9:$F$113,4,0)</f>
        <v>0</v>
      </c>
      <c r="I46" s="67">
        <f>VLOOKUP(C46,'SIND PITS'!$C$9:$G$113,5,0)</f>
        <v>0</v>
      </c>
      <c r="J46" s="69"/>
      <c r="K46" s="19">
        <f t="shared" si="0"/>
        <v>4065</v>
      </c>
      <c r="L46" s="67">
        <v>8000</v>
      </c>
      <c r="M46" s="67">
        <f t="shared" si="1"/>
        <v>4000</v>
      </c>
      <c r="N46" s="69"/>
      <c r="O46" s="19">
        <f>+VLOOKUP(C46,'IP PITSS'!$B$9:I113,8,0)</f>
        <v>0</v>
      </c>
      <c r="P46" s="19">
        <f t="shared" si="2"/>
        <v>315</v>
      </c>
      <c r="Q46" s="68">
        <f>+(VLOOKUP(C46,'IP PITSS'!$B$9:L113,11,0))+VLOOKUP('RESUMEN PITS'!C46,'IP PITSS'!$B$9:M113,12,0)+VLOOKUP(C46,'IP PITSS'!$B$9:K113,10,0)</f>
        <v>0</v>
      </c>
      <c r="R46" s="68">
        <f>VLOOKUP(C46,'IP PITSS'!$B$9:Q109,16,0)</f>
        <v>0</v>
      </c>
      <c r="S46" s="19">
        <f>+VLOOKUP(C46,'EXTRAS Y FESTIVOS'!$B$9:J148,9,0)</f>
        <v>0</v>
      </c>
      <c r="T46" s="68">
        <f>VLOOKUP(C46,'IP PITSS'!$B$9:R109,17,0)</f>
        <v>250</v>
      </c>
      <c r="U46" s="69"/>
      <c r="V46" s="19">
        <f>+K46-O46-P46+Q46+R46+T46+S46+IFERROR(VLOOKUP('RESUMEN PITS'!C46,'IP PITSS'!$B$9:$M$93,10),0)+IFERROR(VLOOKUP('RESUMEN PITS'!C46,'IP PITSS'!$B$9:$M$93,11),0)+IFERROR(VLOOKUP('RESUMEN PITS'!C46,'IP PITSS'!$B$9:$M$93,12),0)+VLOOKUP("Comision",'IP PITSS'!$I$99:$J$110,2)/COUNT($F$9:$F$111)+IFERROR(VLOOKUP('RESUMEN PITS'!C46,'IP PITSS'!$B$9:$AD$93,15),0)+IFERROR(VLOOKUP('RESUMEN PITS'!C46,'IP PITSS'!$B$9:$AD$93,21),0)+IFERROR(VLOOKUP('RESUMEN PITS'!C46,'IP PITSS'!$B$9:$AD$93,22),0)+IFERROR(VLOOKUP('RESUMEN PITS'!C46,'IP PITSS'!$B$9:$AD$93,23),0)+IFERROR(VLOOKUP('RESUMEN PITS'!C46,'IP PITSS'!$B$9:$AD$93,24),0)+IFERROR(VLOOKUP('RESUMEN PITS'!C46,'IP PITSS'!$B$9:$AD$93,26),0)+IFERROR(VLOOKUP('RESUMEN PITS'!C46,'IP PITSS'!$B$9:$AD$93,28),0)+IFERROR(VLOOKUP('RESUMEN PITS'!C46,'IP PITSS'!$B$9:$AD$93,29),0)+IFERROR(VLOOKUP('RESUMEN PITS'!C46,'IP PITSS'!$B$9:$AD$93,9),0)*2%</f>
        <v>5342.3659242718441</v>
      </c>
      <c r="W46" s="10">
        <f t="shared" si="3"/>
        <v>-1342.3659242718441</v>
      </c>
      <c r="X46" s="33"/>
      <c r="Y46" s="19" t="s">
        <v>292</v>
      </c>
    </row>
    <row r="47" spans="1:25" x14ac:dyDescent="0.2">
      <c r="A47" s="70" t="s">
        <v>139</v>
      </c>
      <c r="B47" s="11" t="s">
        <v>89</v>
      </c>
      <c r="C47" s="70" t="s">
        <v>140</v>
      </c>
      <c r="D47" s="5">
        <f>+VLOOKUP(C47,'IP PITSS'!$B$9:U114,20,0)</f>
        <v>4406.3999999999996</v>
      </c>
      <c r="E47" s="72"/>
      <c r="F47" s="67">
        <f>VLOOKUP(C47,'SIND PITS'!$C$9:$H$113,2,0)</f>
        <v>593.60000000000036</v>
      </c>
      <c r="G47" s="67">
        <f>VLOOKUP(C47,'SIND PITS'!$C$9:$E$113,3,0)</f>
        <v>60</v>
      </c>
      <c r="H47" s="67">
        <f>VLOOKUP(C47,'SIND PITS'!$C$9:$F$113,4,0)</f>
        <v>0</v>
      </c>
      <c r="I47" s="67">
        <f>VLOOKUP(C47,'SIND PITS'!$C$9:$G$113,5,0)</f>
        <v>0</v>
      </c>
      <c r="J47" s="69"/>
      <c r="K47" s="19">
        <f t="shared" si="0"/>
        <v>5060</v>
      </c>
      <c r="L47" s="67">
        <v>10000</v>
      </c>
      <c r="M47" s="67">
        <f t="shared" si="1"/>
        <v>5000</v>
      </c>
      <c r="N47" s="69"/>
      <c r="O47" s="19">
        <f>+VLOOKUP(C47,'IP PITSS'!$B$9:I114,8,0)</f>
        <v>0</v>
      </c>
      <c r="P47" s="19">
        <f t="shared" si="2"/>
        <v>60</v>
      </c>
      <c r="Q47" s="68">
        <f>+(VLOOKUP(C47,'IP PITSS'!$B$9:L114,11,0))+VLOOKUP('RESUMEN PITS'!C47,'IP PITSS'!$B$9:M114,12,0)+VLOOKUP(C47,'IP PITSS'!$B$9:K114,10,0)</f>
        <v>0</v>
      </c>
      <c r="R47" s="68">
        <f>VLOOKUP(C47,'IP PITSS'!$B$9:Q110,16,0)</f>
        <v>0</v>
      </c>
      <c r="S47" s="19">
        <f>+VLOOKUP(C47,'EXTRAS Y FESTIVOS'!$B$9:J149,9,0)</f>
        <v>0</v>
      </c>
      <c r="T47" s="68">
        <f>VLOOKUP(C47,'IP PITSS'!$B$9:R110,17,0)</f>
        <v>0</v>
      </c>
      <c r="U47" s="69"/>
      <c r="V47" s="19">
        <f>+K47-O47-P47+Q47+R47+T47+S47+IFERROR(VLOOKUP('RESUMEN PITS'!C47,'IP PITSS'!$B$9:$M$93,10),0)+IFERROR(VLOOKUP('RESUMEN PITS'!C47,'IP PITSS'!$B$9:$M$93,11),0)+IFERROR(VLOOKUP('RESUMEN PITS'!C47,'IP PITSS'!$B$9:$M$93,12),0)+VLOOKUP("Comision",'IP PITSS'!$I$99:$J$110,2)/COUNT($F$9:$F$111)+IFERROR(VLOOKUP('RESUMEN PITS'!C47,'IP PITSS'!$B$9:$AD$93,15),0)+IFERROR(VLOOKUP('RESUMEN PITS'!C47,'IP PITSS'!$B$9:$AD$93,21),0)+IFERROR(VLOOKUP('RESUMEN PITS'!C47,'IP PITSS'!$B$9:$AD$93,22),0)+IFERROR(VLOOKUP('RESUMEN PITS'!C47,'IP PITSS'!$B$9:$AD$93,23),0)+IFERROR(VLOOKUP('RESUMEN PITS'!C47,'IP PITSS'!$B$9:$AD$93,24),0)+IFERROR(VLOOKUP('RESUMEN PITS'!C47,'IP PITSS'!$B$9:$AD$93,26),0)+IFERROR(VLOOKUP('RESUMEN PITS'!C47,'IP PITSS'!$B$9:$AD$93,28),0)+IFERROR(VLOOKUP('RESUMEN PITS'!C47,'IP PITSS'!$B$9:$AD$93,29),0)+IFERROR(VLOOKUP('RESUMEN PITS'!C47,'IP PITSS'!$B$9:$AD$93,9),0)*2%</f>
        <v>6414.5349242718448</v>
      </c>
      <c r="W47" s="10">
        <f t="shared" si="3"/>
        <v>-1414.5349242718448</v>
      </c>
      <c r="X47" s="10"/>
      <c r="Y47" s="19" t="s">
        <v>141</v>
      </c>
    </row>
    <row r="48" spans="1:25" x14ac:dyDescent="0.2">
      <c r="A48" s="70" t="s">
        <v>182</v>
      </c>
      <c r="B48" s="11" t="s">
        <v>89</v>
      </c>
      <c r="C48" s="70" t="s">
        <v>183</v>
      </c>
      <c r="D48" s="5">
        <f>+VLOOKUP(C48,'IP PITSS'!$B$9:U115,20,0)</f>
        <v>3583.6</v>
      </c>
      <c r="E48" s="72"/>
      <c r="F48" s="67">
        <f>VLOOKUP(C48,'SIND PITS'!$C$9:$H$113,2,0)</f>
        <v>416.40000000000009</v>
      </c>
      <c r="G48" s="67">
        <f>VLOOKUP(C48,'SIND PITS'!$C$9:$E$113,3,0)</f>
        <v>225</v>
      </c>
      <c r="H48" s="67">
        <f>VLOOKUP(C48,'SIND PITS'!$C$9:$F$113,4,0)</f>
        <v>0</v>
      </c>
      <c r="I48" s="67">
        <f>VLOOKUP(C48,'SIND PITS'!$C$9:$G$113,5,0)</f>
        <v>0</v>
      </c>
      <c r="J48" s="69"/>
      <c r="K48" s="19">
        <f t="shared" si="0"/>
        <v>4225</v>
      </c>
      <c r="L48" s="67">
        <v>8000</v>
      </c>
      <c r="M48" s="67">
        <f t="shared" si="1"/>
        <v>4000</v>
      </c>
      <c r="N48" s="69"/>
      <c r="O48" s="19">
        <f>+VLOOKUP(C48,'IP PITSS'!$B$9:I115,8,0)</f>
        <v>0</v>
      </c>
      <c r="P48" s="19">
        <f t="shared" si="2"/>
        <v>225</v>
      </c>
      <c r="Q48" s="68">
        <f>+(VLOOKUP(C48,'IP PITSS'!$B$9:L115,11,0))+VLOOKUP('RESUMEN PITS'!C48,'IP PITSS'!$B$9:M115,12,0)+VLOOKUP(C48,'IP PITSS'!$B$9:K115,10,0)</f>
        <v>0</v>
      </c>
      <c r="R48" s="68">
        <f>VLOOKUP(C48,'IP PITSS'!$B$9:Q111,16,0)</f>
        <v>0</v>
      </c>
      <c r="S48" s="19">
        <f>+VLOOKUP(C48,'EXTRAS Y FESTIVOS'!$B$9:J150,9,0)</f>
        <v>0</v>
      </c>
      <c r="T48" s="68">
        <f>VLOOKUP(C48,'IP PITSS'!$B$9:R111,17,0)</f>
        <v>0</v>
      </c>
      <c r="U48" s="69"/>
      <c r="V48" s="19">
        <f>+K48-O48-P48+Q48+R48+T48+S48+IFERROR(VLOOKUP('RESUMEN PITS'!C48,'IP PITSS'!$B$9:$M$93,10),0)+IFERROR(VLOOKUP('RESUMEN PITS'!C48,'IP PITSS'!$B$9:$M$93,11),0)+IFERROR(VLOOKUP('RESUMEN PITS'!C48,'IP PITSS'!$B$9:$M$93,12),0)+VLOOKUP("Comision",'IP PITSS'!$I$99:$J$110,2)/COUNT($F$9:$F$111)+IFERROR(VLOOKUP('RESUMEN PITS'!C48,'IP PITSS'!$B$9:$AD$93,15),0)+IFERROR(VLOOKUP('RESUMEN PITS'!C48,'IP PITSS'!$B$9:$AD$93,21),0)+IFERROR(VLOOKUP('RESUMEN PITS'!C48,'IP PITSS'!$B$9:$AD$93,22),0)+IFERROR(VLOOKUP('RESUMEN PITS'!C48,'IP PITSS'!$B$9:$AD$93,23),0)+IFERROR(VLOOKUP('RESUMEN PITS'!C48,'IP PITSS'!$B$9:$AD$93,24),0)+IFERROR(VLOOKUP('RESUMEN PITS'!C48,'IP PITSS'!$B$9:$AD$93,26),0)+IFERROR(VLOOKUP('RESUMEN PITS'!C48,'IP PITSS'!$B$9:$AD$93,28),0)+IFERROR(VLOOKUP('RESUMEN PITS'!C48,'IP PITSS'!$B$9:$AD$93,29),0)+IFERROR(VLOOKUP('RESUMEN PITS'!C48,'IP PITSS'!$B$9:$AD$93,9),0)*2%</f>
        <v>5414.5349242718448</v>
      </c>
      <c r="W48" s="10">
        <f t="shared" si="3"/>
        <v>-1414.5349242718448</v>
      </c>
      <c r="X48" s="10"/>
      <c r="Y48" s="19" t="s">
        <v>184</v>
      </c>
    </row>
    <row r="49" spans="1:25" x14ac:dyDescent="0.2">
      <c r="A49" s="70" t="s">
        <v>238</v>
      </c>
      <c r="B49" s="11" t="s">
        <v>89</v>
      </c>
      <c r="C49" s="70" t="s">
        <v>239</v>
      </c>
      <c r="D49" s="5">
        <f>+VLOOKUP(C49,'IP PITSS'!$B$9:U116,20,0)</f>
        <v>2709.6</v>
      </c>
      <c r="E49" s="72"/>
      <c r="F49" s="67">
        <f>VLOOKUP(C49,'SIND PITS'!$C$9:$H$113,2,0)</f>
        <v>550.07499999999982</v>
      </c>
      <c r="G49" s="67">
        <f>VLOOKUP(C49,'SIND PITS'!$C$9:$E$113,3,0)</f>
        <v>375</v>
      </c>
      <c r="H49" s="67">
        <f>VLOOKUP(C49,'SIND PITS'!$C$9:$F$113,4,0)</f>
        <v>0</v>
      </c>
      <c r="I49" s="67">
        <f>VLOOKUP(C49,'SIND PITS'!$C$9:$G$113,5,0)</f>
        <v>0</v>
      </c>
      <c r="J49" s="69"/>
      <c r="K49" s="19">
        <f t="shared" si="0"/>
        <v>3634.6749999999997</v>
      </c>
      <c r="L49" s="67">
        <v>9550.01</v>
      </c>
      <c r="M49" s="67">
        <f t="shared" si="1"/>
        <v>4775.0050000000001</v>
      </c>
      <c r="N49" s="69"/>
      <c r="O49" s="19">
        <f>+VLOOKUP(C49,'IP PITSS'!$B$9:I116,8,0)</f>
        <v>0</v>
      </c>
      <c r="P49" s="19">
        <f t="shared" si="2"/>
        <v>375</v>
      </c>
      <c r="Q49" s="68">
        <f>+(VLOOKUP(C49,'IP PITSS'!$B$9:L116,11,0))+VLOOKUP('RESUMEN PITS'!C49,'IP PITSS'!$B$9:M116,12,0)+VLOOKUP(C49,'IP PITSS'!$B$9:K116,10,0)</f>
        <v>1515.33</v>
      </c>
      <c r="R49" s="68">
        <f>VLOOKUP(C49,'IP PITSS'!$B$9:Q112,16,0)</f>
        <v>0</v>
      </c>
      <c r="S49" s="19">
        <f>+VLOOKUP(C49,'EXTRAS Y FESTIVOS'!$B$9:J151,9,0)</f>
        <v>0</v>
      </c>
      <c r="T49" s="68">
        <f>VLOOKUP(C49,'IP PITSS'!$B$9:R112,17,0)</f>
        <v>0</v>
      </c>
      <c r="U49" s="69"/>
      <c r="V49" s="19">
        <f>+K49-O49-P49+Q49+R49+T49+S49+IFERROR(VLOOKUP('RESUMEN PITS'!C49,'IP PITSS'!$B$9:$M$93,10),0)+IFERROR(VLOOKUP('RESUMEN PITS'!C49,'IP PITSS'!$B$9:$M$93,11),0)+IFERROR(VLOOKUP('RESUMEN PITS'!C49,'IP PITSS'!$B$9:$M$93,12),0)+VLOOKUP("Comision",'IP PITSS'!$I$99:$J$110,2)/COUNT($F$9:$F$111)+IFERROR(VLOOKUP('RESUMEN PITS'!C49,'IP PITSS'!$B$9:$AD$93,15),0)+IFERROR(VLOOKUP('RESUMEN PITS'!C49,'IP PITSS'!$B$9:$AD$93,21),0)+IFERROR(VLOOKUP('RESUMEN PITS'!C49,'IP PITSS'!$B$9:$AD$93,22),0)+IFERROR(VLOOKUP('RESUMEN PITS'!C49,'IP PITSS'!$B$9:$AD$93,23),0)+IFERROR(VLOOKUP('RESUMEN PITS'!C49,'IP PITSS'!$B$9:$AD$93,24),0)+IFERROR(VLOOKUP('RESUMEN PITS'!C49,'IP PITSS'!$B$9:$AD$93,26),0)+IFERROR(VLOOKUP('RESUMEN PITS'!C49,'IP PITSS'!$B$9:$AD$93,28),0)+IFERROR(VLOOKUP('RESUMEN PITS'!C49,'IP PITSS'!$B$9:$AD$93,29),0)+IFERROR(VLOOKUP('RESUMEN PITS'!C49,'IP PITSS'!$B$9:$AD$93,9),0)*2%</f>
        <v>5987.5719242718433</v>
      </c>
      <c r="W49" s="10">
        <f t="shared" si="3"/>
        <v>-1212.5669242718432</v>
      </c>
      <c r="X49" s="10"/>
      <c r="Y49" s="19" t="s">
        <v>240</v>
      </c>
    </row>
    <row r="50" spans="1:25" x14ac:dyDescent="0.2">
      <c r="A50" s="70" t="s">
        <v>116</v>
      </c>
      <c r="B50" s="11" t="s">
        <v>89</v>
      </c>
      <c r="C50" s="70" t="s">
        <v>117</v>
      </c>
      <c r="D50" s="5">
        <f>+VLOOKUP(C50,'IP PITSS'!$B$9:U117,20,0)</f>
        <v>1884.6</v>
      </c>
      <c r="E50" s="72"/>
      <c r="F50" s="67">
        <f>VLOOKUP(C50,'SIND PITS'!$C$9:$H$113,2,0)</f>
        <v>384.78500000000031</v>
      </c>
      <c r="G50" s="67">
        <f>VLOOKUP(C50,'SIND PITS'!$C$9:$E$113,3,0)</f>
        <v>70</v>
      </c>
      <c r="H50" s="67">
        <f>VLOOKUP(C50,'SIND PITS'!$C$9:$F$113,4,0)</f>
        <v>0</v>
      </c>
      <c r="I50" s="67">
        <f>VLOOKUP(C50,'SIND PITS'!$C$9:$G$113,5,0)</f>
        <v>5.9899999999998954E-2</v>
      </c>
      <c r="J50" s="69"/>
      <c r="K50" s="19">
        <f t="shared" si="0"/>
        <v>2339.4449000000004</v>
      </c>
      <c r="L50" s="67">
        <v>7505.99</v>
      </c>
      <c r="M50" s="67">
        <f t="shared" si="1"/>
        <v>3752.9949999999999</v>
      </c>
      <c r="N50" s="69"/>
      <c r="O50" s="19">
        <f>+VLOOKUP(C50,'IP PITSS'!$B$9:I117,8,0)</f>
        <v>75</v>
      </c>
      <c r="P50" s="19">
        <f t="shared" si="2"/>
        <v>70.059899999999999</v>
      </c>
      <c r="Q50" s="68">
        <f>+(VLOOKUP(C50,'IP PITSS'!$B$9:L117,11,0))+VLOOKUP('RESUMEN PITS'!C50,'IP PITSS'!$B$9:M117,12,0)+VLOOKUP(C50,'IP PITSS'!$B$9:K117,10,0)</f>
        <v>1373.01</v>
      </c>
      <c r="R50" s="68">
        <f>VLOOKUP(C50,'IP PITSS'!$B$9:Q113,16,0)</f>
        <v>0</v>
      </c>
      <c r="S50" s="19">
        <f>+VLOOKUP(C50,'EXTRAS Y FESTIVOS'!$B$9:J152,9,0)</f>
        <v>0</v>
      </c>
      <c r="T50" s="68">
        <f>VLOOKUP(C50,'IP PITSS'!$B$9:R113,17,0)</f>
        <v>185.6</v>
      </c>
      <c r="U50" s="69"/>
      <c r="V50" s="19">
        <f>+K50-O50-P50+Q50+R50+T50+S50+IFERROR(VLOOKUP('RESUMEN PITS'!C50,'IP PITSS'!$B$9:$M$93,10),0)+IFERROR(VLOOKUP('RESUMEN PITS'!C50,'IP PITSS'!$B$9:$M$93,11),0)+IFERROR(VLOOKUP('RESUMEN PITS'!C50,'IP PITSS'!$B$9:$M$93,12),0)+VLOOKUP("Comision",'IP PITSS'!$I$99:$J$110,2)/COUNT($F$9:$F$111)+IFERROR(VLOOKUP('RESUMEN PITS'!C50,'IP PITSS'!$B$9:$AD$93,15),0)+IFERROR(VLOOKUP('RESUMEN PITS'!C50,'IP PITSS'!$B$9:$AD$93,21),0)+IFERROR(VLOOKUP('RESUMEN PITS'!C50,'IP PITSS'!$B$9:$AD$93,22),0)+IFERROR(VLOOKUP('RESUMEN PITS'!C50,'IP PITSS'!$B$9:$AD$93,23),0)+IFERROR(VLOOKUP('RESUMEN PITS'!C50,'IP PITSS'!$B$9:$AD$93,24),0)+IFERROR(VLOOKUP('RESUMEN PITS'!C50,'IP PITSS'!$B$9:$AD$93,26),0)+IFERROR(VLOOKUP('RESUMEN PITS'!C50,'IP PITSS'!$B$9:$AD$93,28),0)+IFERROR(VLOOKUP('RESUMEN PITS'!C50,'IP PITSS'!$B$9:$AD$93,29),0)+IFERROR(VLOOKUP('RESUMEN PITS'!C50,'IP PITSS'!$B$9:$AD$93,9),0)*2%</f>
        <v>3807.0509242718449</v>
      </c>
      <c r="W50" s="10">
        <f t="shared" si="3"/>
        <v>-54.055924271845015</v>
      </c>
      <c r="X50" s="10"/>
      <c r="Y50" s="19" t="s">
        <v>118</v>
      </c>
    </row>
    <row r="51" spans="1:25" x14ac:dyDescent="0.2">
      <c r="A51" s="70" t="s">
        <v>169</v>
      </c>
      <c r="B51" s="11" t="s">
        <v>89</v>
      </c>
      <c r="C51" s="70" t="s">
        <v>170</v>
      </c>
      <c r="D51" s="5">
        <f>+VLOOKUP(C51,'IP PITSS'!$B$9:U118,20,0)</f>
        <v>125.6</v>
      </c>
      <c r="E51" s="72"/>
      <c r="F51" s="67">
        <f>VLOOKUP(C51,'SIND PITS'!$C$9:$H$113,2,0)</f>
        <v>451.00500000000011</v>
      </c>
      <c r="G51" s="67">
        <f>VLOOKUP(C51,'SIND PITS'!$C$9:$E$113,3,0)</f>
        <v>162.5</v>
      </c>
      <c r="H51" s="67">
        <f>VLOOKUP(C51,'SIND PITS'!$C$9:$F$113,4,0)</f>
        <v>0</v>
      </c>
      <c r="I51" s="67">
        <f>VLOOKUP(C51,'SIND PITS'!$C$9:$G$113,5,0)</f>
        <v>0</v>
      </c>
      <c r="J51" s="69"/>
      <c r="K51" s="19">
        <f t="shared" si="0"/>
        <v>739.10500000000013</v>
      </c>
      <c r="L51" s="67">
        <v>8500.01</v>
      </c>
      <c r="M51" s="67">
        <f t="shared" si="1"/>
        <v>4250.0050000000001</v>
      </c>
      <c r="N51" s="69"/>
      <c r="O51" s="19">
        <f>+VLOOKUP(C51,'IP PITSS'!$B$9:I118,8,0)</f>
        <v>0</v>
      </c>
      <c r="P51" s="19">
        <f t="shared" si="2"/>
        <v>162.5</v>
      </c>
      <c r="Q51" s="68">
        <f>+(VLOOKUP(C51,'IP PITSS'!$B$9:L118,11,0))+VLOOKUP('RESUMEN PITS'!C51,'IP PITSS'!$B$9:M118,12,0)+VLOOKUP(C51,'IP PITSS'!$B$9:K118,10,0)</f>
        <v>3673.4</v>
      </c>
      <c r="R51" s="68">
        <f>VLOOKUP(C51,'IP PITSS'!$B$9:Q114,16,0)</f>
        <v>0</v>
      </c>
      <c r="S51" s="19">
        <f>+VLOOKUP(C51,'EXTRAS Y FESTIVOS'!$B$9:J153,9,0)</f>
        <v>0</v>
      </c>
      <c r="T51" s="68">
        <f>VLOOKUP(C51,'IP PITSS'!$B$9:R114,17,0)</f>
        <v>0</v>
      </c>
      <c r="U51" s="69"/>
      <c r="V51" s="19">
        <f>+K51-O51-P51+Q51+R51+T51+S51+IFERROR(VLOOKUP('RESUMEN PITS'!C51,'IP PITSS'!$B$9:$M$93,10),0)+IFERROR(VLOOKUP('RESUMEN PITS'!C51,'IP PITSS'!$B$9:$M$93,11),0)+IFERROR(VLOOKUP('RESUMEN PITS'!C51,'IP PITSS'!$B$9:$M$93,12),0)+VLOOKUP("Comision",'IP PITSS'!$I$99:$J$110,2)/COUNT($F$9:$F$111)+IFERROR(VLOOKUP('RESUMEN PITS'!C51,'IP PITSS'!$B$9:$AD$93,15),0)+IFERROR(VLOOKUP('RESUMEN PITS'!C51,'IP PITSS'!$B$9:$AD$93,21),0)+IFERROR(VLOOKUP('RESUMEN PITS'!C51,'IP PITSS'!$B$9:$AD$93,22),0)+IFERROR(VLOOKUP('RESUMEN PITS'!C51,'IP PITSS'!$B$9:$AD$93,23),0)+IFERROR(VLOOKUP('RESUMEN PITS'!C51,'IP PITSS'!$B$9:$AD$93,24),0)+IFERROR(VLOOKUP('RESUMEN PITS'!C51,'IP PITSS'!$B$9:$AD$93,26),0)+IFERROR(VLOOKUP('RESUMEN PITS'!C51,'IP PITSS'!$B$9:$AD$93,28),0)+IFERROR(VLOOKUP('RESUMEN PITS'!C51,'IP PITSS'!$B$9:$AD$93,29),0)+IFERROR(VLOOKUP('RESUMEN PITS'!C51,'IP PITSS'!$B$9:$AD$93,9),0)*2%</f>
        <v>5664.5399242718449</v>
      </c>
      <c r="W51" s="10">
        <f t="shared" si="3"/>
        <v>-1414.5349242718448</v>
      </c>
      <c r="X51" s="10"/>
      <c r="Y51" s="19" t="s">
        <v>171</v>
      </c>
    </row>
    <row r="52" spans="1:25" x14ac:dyDescent="0.2">
      <c r="A52" s="70" t="s">
        <v>136</v>
      </c>
      <c r="B52" s="11" t="s">
        <v>89</v>
      </c>
      <c r="C52" s="70" t="s">
        <v>137</v>
      </c>
      <c r="D52" s="5">
        <f>+VLOOKUP(C52,'IP PITSS'!$B$9:U119,20,0)</f>
        <v>3585.4</v>
      </c>
      <c r="E52" s="72"/>
      <c r="F52" s="67">
        <f>VLOOKUP(C52,'SIND PITS'!$C$9:$H$113,2,0)</f>
        <v>414.60000000000036</v>
      </c>
      <c r="G52" s="67">
        <f>VLOOKUP(C52,'SIND PITS'!$C$9:$E$113,3,0)</f>
        <v>600</v>
      </c>
      <c r="H52" s="67">
        <f>VLOOKUP(C52,'SIND PITS'!$C$9:$F$113,4,0)</f>
        <v>0</v>
      </c>
      <c r="I52" s="67">
        <f>VLOOKUP(C52,'SIND PITS'!$C$9:$G$113,5,0)</f>
        <v>0</v>
      </c>
      <c r="J52" s="69"/>
      <c r="K52" s="19">
        <f t="shared" si="0"/>
        <v>4600</v>
      </c>
      <c r="L52" s="67">
        <v>8000</v>
      </c>
      <c r="M52" s="67">
        <f t="shared" si="1"/>
        <v>4000</v>
      </c>
      <c r="N52" s="69"/>
      <c r="O52" s="19">
        <f>+VLOOKUP(C52,'IP PITSS'!$B$9:I119,8,0)</f>
        <v>0</v>
      </c>
      <c r="P52" s="19">
        <f t="shared" si="2"/>
        <v>600</v>
      </c>
      <c r="Q52" s="68">
        <f>+(VLOOKUP(C52,'IP PITSS'!$B$9:L119,11,0))+VLOOKUP('RESUMEN PITS'!C52,'IP PITSS'!$B$9:M119,12,0)+VLOOKUP(C52,'IP PITSS'!$B$9:K119,10,0)</f>
        <v>0</v>
      </c>
      <c r="R52" s="68">
        <f>VLOOKUP(C52,'IP PITSS'!$B$9:Q115,16,0)</f>
        <v>0</v>
      </c>
      <c r="S52" s="19">
        <f>+VLOOKUP(C52,'EXTRAS Y FESTIVOS'!$B$9:J154,9,0)</f>
        <v>0</v>
      </c>
      <c r="T52" s="68">
        <f>VLOOKUP(C52,'IP PITSS'!$B$9:R115,17,0)</f>
        <v>0</v>
      </c>
      <c r="U52" s="69"/>
      <c r="V52" s="19">
        <f>+K52-O52-P52+Q52+R52+T52+S52+IFERROR(VLOOKUP('RESUMEN PITS'!C52,'IP PITSS'!$B$9:$M$93,10),0)+IFERROR(VLOOKUP('RESUMEN PITS'!C52,'IP PITSS'!$B$9:$M$93,11),0)+IFERROR(VLOOKUP('RESUMEN PITS'!C52,'IP PITSS'!$B$9:$M$93,12),0)+VLOOKUP("Comision",'IP PITSS'!$I$99:$J$110,2)/COUNT($F$9:$F$111)+IFERROR(VLOOKUP('RESUMEN PITS'!C52,'IP PITSS'!$B$9:$AD$93,15),0)+IFERROR(VLOOKUP('RESUMEN PITS'!C52,'IP PITSS'!$B$9:$AD$93,21),0)+IFERROR(VLOOKUP('RESUMEN PITS'!C52,'IP PITSS'!$B$9:$AD$93,22),0)+IFERROR(VLOOKUP('RESUMEN PITS'!C52,'IP PITSS'!$B$9:$AD$93,23),0)+IFERROR(VLOOKUP('RESUMEN PITS'!C52,'IP PITSS'!$B$9:$AD$93,24),0)+IFERROR(VLOOKUP('RESUMEN PITS'!C52,'IP PITSS'!$B$9:$AD$93,26),0)+IFERROR(VLOOKUP('RESUMEN PITS'!C52,'IP PITSS'!$B$9:$AD$93,28),0)+IFERROR(VLOOKUP('RESUMEN PITS'!C52,'IP PITSS'!$B$9:$AD$93,29),0)+IFERROR(VLOOKUP('RESUMEN PITS'!C52,'IP PITSS'!$B$9:$AD$93,9),0)*2%</f>
        <v>5414.5349242718448</v>
      </c>
      <c r="W52" s="10">
        <f t="shared" si="3"/>
        <v>-1414.5349242718448</v>
      </c>
      <c r="X52" s="33"/>
      <c r="Y52" s="19" t="s">
        <v>138</v>
      </c>
    </row>
    <row r="53" spans="1:25" x14ac:dyDescent="0.2">
      <c r="A53" s="70" t="s">
        <v>201</v>
      </c>
      <c r="B53" s="11" t="s">
        <v>89</v>
      </c>
      <c r="C53" s="70" t="s">
        <v>202</v>
      </c>
      <c r="D53" s="5">
        <f>+VLOOKUP(C53,'IP PITSS'!$B$9:U120,20,0)</f>
        <v>2922.4</v>
      </c>
      <c r="E53" s="72"/>
      <c r="F53" s="67">
        <f>VLOOKUP(C53,'SIND PITS'!$C$9:$H$113,2,0)</f>
        <v>1450.85</v>
      </c>
      <c r="G53" s="67">
        <f>VLOOKUP(C53,'SIND PITS'!$C$9:$E$113,3,0)</f>
        <v>112.5</v>
      </c>
      <c r="H53" s="67">
        <f>VLOOKUP(C53,'SIND PITS'!$C$9:$F$113,4,0)</f>
        <v>0</v>
      </c>
      <c r="I53" s="67">
        <f>VLOOKUP(C53,'SIND PITS'!$C$9:$G$113,5,0)</f>
        <v>0</v>
      </c>
      <c r="J53" s="69"/>
      <c r="K53" s="19">
        <f t="shared" si="0"/>
        <v>4485.75</v>
      </c>
      <c r="L53" s="67">
        <v>10500</v>
      </c>
      <c r="M53" s="67">
        <f t="shared" si="1"/>
        <v>5250</v>
      </c>
      <c r="N53" s="69"/>
      <c r="O53" s="19">
        <f>+VLOOKUP(C53,'IP PITSS'!$B$9:I120,8,0)</f>
        <v>0</v>
      </c>
      <c r="P53" s="19">
        <f t="shared" si="2"/>
        <v>112.5</v>
      </c>
      <c r="Q53" s="68">
        <f>+(VLOOKUP(C53,'IP PITSS'!$B$9:L120,11,0))+VLOOKUP('RESUMEN PITS'!C53,'IP PITSS'!$B$9:M120,12,0)+VLOOKUP(C53,'IP PITSS'!$B$9:K120,10,0)</f>
        <v>606.75</v>
      </c>
      <c r="R53" s="68">
        <f>VLOOKUP(C53,'IP PITSS'!$B$9:Q116,16,0)</f>
        <v>0</v>
      </c>
      <c r="S53" s="19">
        <f>+VLOOKUP(C53,'EXTRAS Y FESTIVOS'!$B$9:J155,9,0)</f>
        <v>0</v>
      </c>
      <c r="T53" s="68">
        <f>VLOOKUP(C53,'IP PITSS'!$B$9:R116,17,0)</f>
        <v>270</v>
      </c>
      <c r="U53" s="69"/>
      <c r="V53" s="19">
        <f>+K53-O53-P53+Q53+R53+T53+S53+IFERROR(VLOOKUP('RESUMEN PITS'!C53,'IP PITSS'!$B$9:$M$93,10),0)+IFERROR(VLOOKUP('RESUMEN PITS'!C53,'IP PITSS'!$B$9:$M$93,11),0)+IFERROR(VLOOKUP('RESUMEN PITS'!C53,'IP PITSS'!$B$9:$M$93,12),0)+VLOOKUP("Comision",'IP PITSS'!$I$99:$J$110,2)/COUNT($F$9:$F$111)+IFERROR(VLOOKUP('RESUMEN PITS'!C53,'IP PITSS'!$B$9:$AD$93,15),0)+IFERROR(VLOOKUP('RESUMEN PITS'!C53,'IP PITSS'!$B$9:$AD$93,21),0)+IFERROR(VLOOKUP('RESUMEN PITS'!C53,'IP PITSS'!$B$9:$AD$93,22),0)+IFERROR(VLOOKUP('RESUMEN PITS'!C53,'IP PITSS'!$B$9:$AD$93,23),0)+IFERROR(VLOOKUP('RESUMEN PITS'!C53,'IP PITSS'!$B$9:$AD$93,24),0)+IFERROR(VLOOKUP('RESUMEN PITS'!C53,'IP PITSS'!$B$9:$AD$93,26),0)+IFERROR(VLOOKUP('RESUMEN PITS'!C53,'IP PITSS'!$B$9:$AD$93,28),0)+IFERROR(VLOOKUP('RESUMEN PITS'!C53,'IP PITSS'!$B$9:$AD$93,29),0)+IFERROR(VLOOKUP('RESUMEN PITS'!C53,'IP PITSS'!$B$9:$AD$93,9),0)*2%</f>
        <v>6664.5349242718448</v>
      </c>
      <c r="W53" s="10">
        <f t="shared" si="3"/>
        <v>-1414.5349242718448</v>
      </c>
      <c r="X53" s="10"/>
      <c r="Y53" s="19" t="s">
        <v>203</v>
      </c>
    </row>
    <row r="54" spans="1:25" x14ac:dyDescent="0.2">
      <c r="A54" s="70" t="s">
        <v>300</v>
      </c>
      <c r="B54" s="11" t="s">
        <v>89</v>
      </c>
      <c r="C54" s="70" t="s">
        <v>301</v>
      </c>
      <c r="D54" s="5">
        <f>+VLOOKUP(C54,'IP PITSS'!$B$9:U121,20,0)</f>
        <v>3583.6</v>
      </c>
      <c r="E54" s="72"/>
      <c r="F54" s="67">
        <f>VLOOKUP(C54,'SIND PITS'!$C$9:$H$113,2,0)</f>
        <v>416.40000000000009</v>
      </c>
      <c r="G54" s="67">
        <f>VLOOKUP(C54,'SIND PITS'!$C$9:$E$113,3,0)</f>
        <v>180</v>
      </c>
      <c r="H54" s="67">
        <f>VLOOKUP(C54,'SIND PITS'!$C$9:$F$113,4,0)</f>
        <v>0</v>
      </c>
      <c r="I54" s="67">
        <f>VLOOKUP(C54,'SIND PITS'!$C$9:$G$113,5,0)</f>
        <v>0</v>
      </c>
      <c r="J54" s="69"/>
      <c r="K54" s="19">
        <f t="shared" si="0"/>
        <v>4180</v>
      </c>
      <c r="L54" s="67">
        <v>8000</v>
      </c>
      <c r="M54" s="67">
        <f t="shared" si="1"/>
        <v>4000</v>
      </c>
      <c r="N54" s="69"/>
      <c r="O54" s="19">
        <f>+VLOOKUP(C54,'IP PITSS'!$B$9:I121,8,0)</f>
        <v>0</v>
      </c>
      <c r="P54" s="19">
        <f t="shared" si="2"/>
        <v>180</v>
      </c>
      <c r="Q54" s="68">
        <f>+(VLOOKUP(C54,'IP PITSS'!$B$9:L121,11,0))+VLOOKUP('RESUMEN PITS'!C54,'IP PITSS'!$B$9:M121,12,0)+VLOOKUP(C54,'IP PITSS'!$B$9:K121,10,0)</f>
        <v>0</v>
      </c>
      <c r="R54" s="68">
        <f>VLOOKUP(C54,'IP PITSS'!$B$9:Q117,16,0)</f>
        <v>0</v>
      </c>
      <c r="S54" s="19">
        <f>+VLOOKUP(C54,'EXTRAS Y FESTIVOS'!$B$9:J156,9,0)</f>
        <v>0</v>
      </c>
      <c r="T54" s="68">
        <f>VLOOKUP(C54,'IP PITSS'!$B$9:R117,17,0)</f>
        <v>0</v>
      </c>
      <c r="U54" s="69"/>
      <c r="V54" s="19">
        <f>+K54-O54-P54+Q54+R54+T54+S54+IFERROR(VLOOKUP('RESUMEN PITS'!C54,'IP PITSS'!$B$9:$M$93,10),0)+IFERROR(VLOOKUP('RESUMEN PITS'!C54,'IP PITSS'!$B$9:$M$93,11),0)+IFERROR(VLOOKUP('RESUMEN PITS'!C54,'IP PITSS'!$B$9:$M$93,12),0)+VLOOKUP("Comision",'IP PITSS'!$I$99:$J$110,2)/COUNT($F$9:$F$111)+IFERROR(VLOOKUP('RESUMEN PITS'!C54,'IP PITSS'!$B$9:$AD$93,15),0)+IFERROR(VLOOKUP('RESUMEN PITS'!C54,'IP PITSS'!$B$9:$AD$93,21),0)+IFERROR(VLOOKUP('RESUMEN PITS'!C54,'IP PITSS'!$B$9:$AD$93,22),0)+IFERROR(VLOOKUP('RESUMEN PITS'!C54,'IP PITSS'!$B$9:$AD$93,23),0)+IFERROR(VLOOKUP('RESUMEN PITS'!C54,'IP PITSS'!$B$9:$AD$93,24),0)+IFERROR(VLOOKUP('RESUMEN PITS'!C54,'IP PITSS'!$B$9:$AD$93,26),0)+IFERROR(VLOOKUP('RESUMEN PITS'!C54,'IP PITSS'!$B$9:$AD$93,28),0)+IFERROR(VLOOKUP('RESUMEN PITS'!C54,'IP PITSS'!$B$9:$AD$93,29),0)+IFERROR(VLOOKUP('RESUMEN PITS'!C54,'IP PITSS'!$B$9:$AD$93,9),0)*2%</f>
        <v>4784.9959242718442</v>
      </c>
      <c r="W54" s="10">
        <f t="shared" si="3"/>
        <v>-784.99592427184416</v>
      </c>
      <c r="X54" s="10"/>
      <c r="Y54" s="19" t="s">
        <v>302</v>
      </c>
    </row>
    <row r="55" spans="1:25" x14ac:dyDescent="0.2">
      <c r="A55" s="70" t="s">
        <v>324</v>
      </c>
      <c r="B55" s="11" t="s">
        <v>89</v>
      </c>
      <c r="C55" s="70" t="s">
        <v>325</v>
      </c>
      <c r="D55" s="5">
        <f>+VLOOKUP(C55,'IP PITSS'!$B$9:U122,20,0)</f>
        <v>1750.4</v>
      </c>
      <c r="E55" s="72"/>
      <c r="F55" s="67">
        <f>VLOOKUP(C55,'SIND PITS'!$C$9:$H$113,2,0)</f>
        <v>416.40999999999985</v>
      </c>
      <c r="G55" s="67">
        <f>VLOOKUP(C55,'SIND PITS'!$C$9:$E$113,3,0)</f>
        <v>270</v>
      </c>
      <c r="H55" s="67">
        <f>VLOOKUP(C55,'SIND PITS'!$C$9:$F$113,4,0)</f>
        <v>0</v>
      </c>
      <c r="I55" s="67">
        <f>VLOOKUP(C55,'SIND PITS'!$C$9:$G$113,5,0)</f>
        <v>0</v>
      </c>
      <c r="J55" s="69"/>
      <c r="K55" s="19">
        <f t="shared" si="0"/>
        <v>2436.81</v>
      </c>
      <c r="L55" s="67">
        <v>8000</v>
      </c>
      <c r="M55" s="67">
        <f t="shared" si="1"/>
        <v>4000</v>
      </c>
      <c r="N55" s="69"/>
      <c r="O55" s="19">
        <f>+VLOOKUP(C55,'IP PITSS'!$B$9:I122,8,0)</f>
        <v>0</v>
      </c>
      <c r="P55" s="19">
        <f t="shared" si="2"/>
        <v>270</v>
      </c>
      <c r="Q55" s="68">
        <f>+(VLOOKUP(C55,'IP PITSS'!$B$9:L122,11,0))+VLOOKUP('RESUMEN PITS'!C55,'IP PITSS'!$B$9:M122,12,0)+VLOOKUP(C55,'IP PITSS'!$B$9:K122,10,0)</f>
        <v>1833.19</v>
      </c>
      <c r="R55" s="68">
        <f>VLOOKUP(C55,'IP PITSS'!$B$9:Q118,16,0)</f>
        <v>0</v>
      </c>
      <c r="S55" s="19">
        <f>+VLOOKUP(C55,'EXTRAS Y FESTIVOS'!$B$9:J157,9,0)</f>
        <v>0</v>
      </c>
      <c r="T55" s="68">
        <f>VLOOKUP(C55,'IP PITSS'!$B$9:R118,17,0)</f>
        <v>0</v>
      </c>
      <c r="U55" s="69"/>
      <c r="V55" s="19">
        <f>+K55-O55-P55+Q55+R55+T55+S55+IFERROR(VLOOKUP('RESUMEN PITS'!C55,'IP PITSS'!$B$9:$M$93,10),0)+IFERROR(VLOOKUP('RESUMEN PITS'!C55,'IP PITSS'!$B$9:$M$93,11),0)+IFERROR(VLOOKUP('RESUMEN PITS'!C55,'IP PITSS'!$B$9:$M$93,12),0)+VLOOKUP("Comision",'IP PITSS'!$I$99:$J$110,2)/COUNT($F$9:$F$111)+IFERROR(VLOOKUP('RESUMEN PITS'!C55,'IP PITSS'!$B$9:$AD$93,15),0)+IFERROR(VLOOKUP('RESUMEN PITS'!C55,'IP PITSS'!$B$9:$AD$93,21),0)+IFERROR(VLOOKUP('RESUMEN PITS'!C55,'IP PITSS'!$B$9:$AD$93,22),0)+IFERROR(VLOOKUP('RESUMEN PITS'!C55,'IP PITSS'!$B$9:$AD$93,23),0)+IFERROR(VLOOKUP('RESUMEN PITS'!C55,'IP PITSS'!$B$9:$AD$93,24),0)+IFERROR(VLOOKUP('RESUMEN PITS'!C55,'IP PITSS'!$B$9:$AD$93,26),0)+IFERROR(VLOOKUP('RESUMEN PITS'!C55,'IP PITSS'!$B$9:$AD$93,28),0)+IFERROR(VLOOKUP('RESUMEN PITS'!C55,'IP PITSS'!$B$9:$AD$93,29),0)+IFERROR(VLOOKUP('RESUMEN PITS'!C55,'IP PITSS'!$B$9:$AD$93,9),0)*2%</f>
        <v>4784.9959242718442</v>
      </c>
      <c r="W55" s="10">
        <f t="shared" si="3"/>
        <v>-784.99592427184416</v>
      </c>
      <c r="X55" s="10"/>
      <c r="Y55" s="19" t="s">
        <v>326</v>
      </c>
    </row>
    <row r="56" spans="1:25" x14ac:dyDescent="0.2">
      <c r="A56" s="70" t="s">
        <v>229</v>
      </c>
      <c r="B56" s="11" t="s">
        <v>89</v>
      </c>
      <c r="C56" s="70" t="s">
        <v>230</v>
      </c>
      <c r="D56" s="5">
        <f>+VLOOKUP(C56,'IP PITSS'!$B$9:U123,20,0)</f>
        <v>5952.2</v>
      </c>
      <c r="E56" s="72"/>
      <c r="F56" s="67">
        <f>VLOOKUP(C56,'SIND PITS'!$C$9:$H$113,2,0)</f>
        <v>1047.8000000000002</v>
      </c>
      <c r="G56" s="67">
        <f>VLOOKUP(C56,'SIND PITS'!$C$9:$E$113,3,0)</f>
        <v>562.5</v>
      </c>
      <c r="H56" s="67">
        <f>VLOOKUP(C56,'SIND PITS'!$C$9:$F$113,4,0)</f>
        <v>0</v>
      </c>
      <c r="I56" s="67">
        <f>VLOOKUP(C56,'SIND PITS'!$C$9:$G$113,5,0)</f>
        <v>0</v>
      </c>
      <c r="J56" s="69"/>
      <c r="K56" s="19">
        <f t="shared" si="0"/>
        <v>7562.5</v>
      </c>
      <c r="L56" s="67">
        <v>14000</v>
      </c>
      <c r="M56" s="67">
        <f t="shared" si="1"/>
        <v>7000</v>
      </c>
      <c r="N56" s="69"/>
      <c r="O56" s="19">
        <f>+VLOOKUP(C56,'IP PITSS'!$B$9:I123,8,0)</f>
        <v>0</v>
      </c>
      <c r="P56" s="19">
        <f t="shared" si="2"/>
        <v>562.5</v>
      </c>
      <c r="Q56" s="68">
        <f>+(VLOOKUP(C56,'IP PITSS'!$B$9:L123,11,0))+VLOOKUP('RESUMEN PITS'!C56,'IP PITSS'!$B$9:M123,12,0)+VLOOKUP(C56,'IP PITSS'!$B$9:K123,10,0)</f>
        <v>0</v>
      </c>
      <c r="R56" s="68">
        <f>VLOOKUP(C56,'IP PITSS'!$B$9:Q119,16,0)</f>
        <v>0</v>
      </c>
      <c r="S56" s="19">
        <f>+VLOOKUP(C56,'EXTRAS Y FESTIVOS'!$B$9:J158,9,0)</f>
        <v>0</v>
      </c>
      <c r="T56" s="68">
        <f>VLOOKUP(C56,'IP PITSS'!$B$9:R119,17,0)</f>
        <v>0</v>
      </c>
      <c r="U56" s="69"/>
      <c r="V56" s="19">
        <f>+K56-O56-P56+Q56+R56+T56+S56+IFERROR(VLOOKUP('RESUMEN PITS'!C56,'IP PITSS'!$B$9:$M$93,10),0)+IFERROR(VLOOKUP('RESUMEN PITS'!C56,'IP PITSS'!$B$9:$M$93,11),0)+IFERROR(VLOOKUP('RESUMEN PITS'!C56,'IP PITSS'!$B$9:$M$93,12),0)+VLOOKUP("Comision",'IP PITSS'!$I$99:$J$110,2)/COUNT($F$9:$F$111)+IFERROR(VLOOKUP('RESUMEN PITS'!C56,'IP PITSS'!$B$9:$AD$93,15),0)+IFERROR(VLOOKUP('RESUMEN PITS'!C56,'IP PITSS'!$B$9:$AD$93,21),0)+IFERROR(VLOOKUP('RESUMEN PITS'!C56,'IP PITSS'!$B$9:$AD$93,22),0)+IFERROR(VLOOKUP('RESUMEN PITS'!C56,'IP PITSS'!$B$9:$AD$93,23),0)+IFERROR(VLOOKUP('RESUMEN PITS'!C56,'IP PITSS'!$B$9:$AD$93,24),0)+IFERROR(VLOOKUP('RESUMEN PITS'!C56,'IP PITSS'!$B$9:$AD$93,26),0)+IFERROR(VLOOKUP('RESUMEN PITS'!C56,'IP PITSS'!$B$9:$AD$93,28),0)+IFERROR(VLOOKUP('RESUMEN PITS'!C56,'IP PITSS'!$B$9:$AD$93,29),0)+IFERROR(VLOOKUP('RESUMEN PITS'!C56,'IP PITSS'!$B$9:$AD$93,9),0)*2%</f>
        <v>8212.5669242718432</v>
      </c>
      <c r="W56" s="10">
        <f t="shared" si="3"/>
        <v>-1212.5669242718432</v>
      </c>
      <c r="X56" s="10"/>
      <c r="Y56" s="19" t="s">
        <v>231</v>
      </c>
    </row>
    <row r="57" spans="1:25" x14ac:dyDescent="0.2">
      <c r="A57" s="70" t="s">
        <v>105</v>
      </c>
      <c r="B57" s="11" t="s">
        <v>89</v>
      </c>
      <c r="C57" s="70" t="s">
        <v>106</v>
      </c>
      <c r="D57" s="5">
        <f>+VLOOKUP(C57,'IP PITSS'!$B$9:U124,20,0)</f>
        <v>3333.6</v>
      </c>
      <c r="E57" s="72"/>
      <c r="F57" s="67">
        <f>VLOOKUP(C57,'SIND PITS'!$C$9:$H$113,2,0)</f>
        <v>416.40000000000009</v>
      </c>
      <c r="G57" s="67">
        <f>VLOOKUP(C57,'SIND PITS'!$C$9:$E$113,3,0)</f>
        <v>510</v>
      </c>
      <c r="H57" s="67">
        <f>VLOOKUP(C57,'SIND PITS'!$C$9:$F$113,4,0)</f>
        <v>0</v>
      </c>
      <c r="I57" s="67">
        <f>VLOOKUP(C57,'SIND PITS'!$C$9:$G$113,5,0)</f>
        <v>0</v>
      </c>
      <c r="J57" s="69"/>
      <c r="K57" s="19">
        <f t="shared" si="0"/>
        <v>4260</v>
      </c>
      <c r="L57" s="67">
        <v>8000</v>
      </c>
      <c r="M57" s="67">
        <f t="shared" si="1"/>
        <v>4000</v>
      </c>
      <c r="N57" s="69"/>
      <c r="O57" s="19">
        <f>+VLOOKUP(C57,'IP PITSS'!$B$9:I124,8,0)</f>
        <v>0</v>
      </c>
      <c r="P57" s="19">
        <f t="shared" si="2"/>
        <v>510</v>
      </c>
      <c r="Q57" s="68">
        <f>+(VLOOKUP(C57,'IP PITSS'!$B$9:L124,11,0))+VLOOKUP('RESUMEN PITS'!C57,'IP PITSS'!$B$9:M124,12,0)+VLOOKUP(C57,'IP PITSS'!$B$9:K124,10,0)</f>
        <v>0</v>
      </c>
      <c r="R57" s="68">
        <f>VLOOKUP(C57,'IP PITSS'!$B$9:Q120,16,0)</f>
        <v>0</v>
      </c>
      <c r="S57" s="19">
        <f>+VLOOKUP(C57,'EXTRAS Y FESTIVOS'!$B$9:J159,9,0)</f>
        <v>0</v>
      </c>
      <c r="T57" s="68">
        <f>VLOOKUP(C57,'IP PITSS'!$B$9:R120,17,0)</f>
        <v>250</v>
      </c>
      <c r="U57" s="69"/>
      <c r="V57" s="19">
        <f>+K57-O57-P57+Q57+R57+T57+S57+IFERROR(VLOOKUP('RESUMEN PITS'!C57,'IP PITSS'!$B$9:$M$93,10),0)+IFERROR(VLOOKUP('RESUMEN PITS'!C57,'IP PITSS'!$B$9:$M$93,11),0)+IFERROR(VLOOKUP('RESUMEN PITS'!C57,'IP PITSS'!$B$9:$M$93,12),0)+VLOOKUP("Comision",'IP PITSS'!$I$99:$J$110,2)/COUNT($F$9:$F$111)+IFERROR(VLOOKUP('RESUMEN PITS'!C57,'IP PITSS'!$B$9:$AD$93,15),0)+IFERROR(VLOOKUP('RESUMEN PITS'!C57,'IP PITSS'!$B$9:$AD$93,21),0)+IFERROR(VLOOKUP('RESUMEN PITS'!C57,'IP PITSS'!$B$9:$AD$93,22),0)+IFERROR(VLOOKUP('RESUMEN PITS'!C57,'IP PITSS'!$B$9:$AD$93,23),0)+IFERROR(VLOOKUP('RESUMEN PITS'!C57,'IP PITSS'!$B$9:$AD$93,24),0)+IFERROR(VLOOKUP('RESUMEN PITS'!C57,'IP PITSS'!$B$9:$AD$93,26),0)+IFERROR(VLOOKUP('RESUMEN PITS'!C57,'IP PITSS'!$B$9:$AD$93,28),0)+IFERROR(VLOOKUP('RESUMEN PITS'!C57,'IP PITSS'!$B$9:$AD$93,29),0)+IFERROR(VLOOKUP('RESUMEN PITS'!C57,'IP PITSS'!$B$9:$AD$93,9),0)*2%</f>
        <v>4054.0559242718446</v>
      </c>
      <c r="W57" s="10">
        <f t="shared" si="3"/>
        <v>-54.05592427184456</v>
      </c>
      <c r="X57" s="10"/>
      <c r="Y57" s="19" t="s">
        <v>107</v>
      </c>
    </row>
    <row r="58" spans="1:25" x14ac:dyDescent="0.2">
      <c r="A58" s="70" t="s">
        <v>318</v>
      </c>
      <c r="B58" s="11" t="s">
        <v>89</v>
      </c>
      <c r="C58" s="70" t="s">
        <v>319</v>
      </c>
      <c r="D58" s="5">
        <f>+VLOOKUP(C58,'IP PITSS'!$B$9:U125,20,0)</f>
        <v>3583.6</v>
      </c>
      <c r="E58" s="72"/>
      <c r="F58" s="67">
        <f>VLOOKUP(C58,'SIND PITS'!$C$9:$H$113,2,0)</f>
        <v>416.40000000000009</v>
      </c>
      <c r="G58" s="67">
        <f>VLOOKUP(C58,'SIND PITS'!$C$9:$E$113,3,0)</f>
        <v>360</v>
      </c>
      <c r="H58" s="67">
        <f>VLOOKUP(C58,'SIND PITS'!$C$9:$F$113,4,0)</f>
        <v>0</v>
      </c>
      <c r="I58" s="67">
        <f>VLOOKUP(C58,'SIND PITS'!$C$9:$G$113,5,0)</f>
        <v>0</v>
      </c>
      <c r="J58" s="69"/>
      <c r="K58" s="19">
        <f t="shared" si="0"/>
        <v>4360</v>
      </c>
      <c r="L58" s="67">
        <v>8000</v>
      </c>
      <c r="M58" s="67">
        <f t="shared" si="1"/>
        <v>4000</v>
      </c>
      <c r="N58" s="69"/>
      <c r="O58" s="19">
        <f>+VLOOKUP(C58,'IP PITSS'!$B$9:I125,8,0)</f>
        <v>0</v>
      </c>
      <c r="P58" s="19">
        <f t="shared" si="2"/>
        <v>360</v>
      </c>
      <c r="Q58" s="68">
        <f>+(VLOOKUP(C58,'IP PITSS'!$B$9:L125,11,0))+VLOOKUP('RESUMEN PITS'!C58,'IP PITSS'!$B$9:M125,12,0)+VLOOKUP(C58,'IP PITSS'!$B$9:K125,10,0)</f>
        <v>0</v>
      </c>
      <c r="R58" s="68">
        <f>VLOOKUP(C58,'IP PITSS'!$B$9:Q121,16,0)</f>
        <v>0</v>
      </c>
      <c r="S58" s="19">
        <f>+VLOOKUP(C58,'EXTRAS Y FESTIVOS'!$B$9:J160,9,0)</f>
        <v>0</v>
      </c>
      <c r="T58" s="68">
        <f>VLOOKUP(C58,'IP PITSS'!$B$9:R121,17,0)</f>
        <v>0</v>
      </c>
      <c r="U58" s="69"/>
      <c r="V58" s="19">
        <f>+K58-O58-P58+Q58+R58+T58+S58+IFERROR(VLOOKUP('RESUMEN PITS'!C58,'IP PITSS'!$B$9:$M$93,10),0)+IFERROR(VLOOKUP('RESUMEN PITS'!C58,'IP PITSS'!$B$9:$M$93,11),0)+IFERROR(VLOOKUP('RESUMEN PITS'!C58,'IP PITSS'!$B$9:$M$93,12),0)+VLOOKUP("Comision",'IP PITSS'!$I$99:$J$110,2)/COUNT($F$9:$F$111)+IFERROR(VLOOKUP('RESUMEN PITS'!C58,'IP PITSS'!$B$9:$AD$93,15),0)+IFERROR(VLOOKUP('RESUMEN PITS'!C58,'IP PITSS'!$B$9:$AD$93,21),0)+IFERROR(VLOOKUP('RESUMEN PITS'!C58,'IP PITSS'!$B$9:$AD$93,22),0)+IFERROR(VLOOKUP('RESUMEN PITS'!C58,'IP PITSS'!$B$9:$AD$93,23),0)+IFERROR(VLOOKUP('RESUMEN PITS'!C58,'IP PITSS'!$B$9:$AD$93,24),0)+IFERROR(VLOOKUP('RESUMEN PITS'!C58,'IP PITSS'!$B$9:$AD$93,26),0)+IFERROR(VLOOKUP('RESUMEN PITS'!C58,'IP PITSS'!$B$9:$AD$93,28),0)+IFERROR(VLOOKUP('RESUMEN PITS'!C58,'IP PITSS'!$B$9:$AD$93,29),0)+IFERROR(VLOOKUP('RESUMEN PITS'!C58,'IP PITSS'!$B$9:$AD$93,9),0)*2%</f>
        <v>4784.9959242718442</v>
      </c>
      <c r="W58" s="10">
        <f t="shared" si="3"/>
        <v>-784.99592427184416</v>
      </c>
      <c r="X58" s="10"/>
      <c r="Y58" s="19" t="s">
        <v>320</v>
      </c>
    </row>
    <row r="59" spans="1:25" x14ac:dyDescent="0.2">
      <c r="A59" s="70" t="s">
        <v>264</v>
      </c>
      <c r="B59" s="11" t="s">
        <v>89</v>
      </c>
      <c r="C59" s="70" t="s">
        <v>265</v>
      </c>
      <c r="D59" s="5">
        <f>+VLOOKUP(C59,'IP PITSS'!$B$9:U126,20,0)</f>
        <v>3583.8</v>
      </c>
      <c r="E59" s="72"/>
      <c r="F59" s="67">
        <f>VLOOKUP(C59,'SIND PITS'!$C$9:$H$113,2,0)</f>
        <v>416.19999999999982</v>
      </c>
      <c r="G59" s="67">
        <f>VLOOKUP(C59,'SIND PITS'!$C$9:$E$113,3,0)</f>
        <v>1187.5</v>
      </c>
      <c r="H59" s="67">
        <f>VLOOKUP(C59,'SIND PITS'!$C$9:$F$113,4,0)</f>
        <v>0</v>
      </c>
      <c r="I59" s="67">
        <f>VLOOKUP(C59,'SIND PITS'!$C$9:$G$113,5,0)</f>
        <v>0</v>
      </c>
      <c r="J59" s="69"/>
      <c r="K59" s="19">
        <f t="shared" si="0"/>
        <v>5187.5</v>
      </c>
      <c r="L59" s="67">
        <v>8000</v>
      </c>
      <c r="M59" s="67">
        <f t="shared" si="1"/>
        <v>4000</v>
      </c>
      <c r="N59" s="69"/>
      <c r="O59" s="19">
        <f>+VLOOKUP(C59,'IP PITSS'!$B$9:I126,8,0)</f>
        <v>0</v>
      </c>
      <c r="P59" s="19">
        <f t="shared" si="2"/>
        <v>1187.5</v>
      </c>
      <c r="Q59" s="68">
        <f>+(VLOOKUP(C59,'IP PITSS'!$B$9:L126,11,0))+VLOOKUP('RESUMEN PITS'!C59,'IP PITSS'!$B$9:M126,12,0)+VLOOKUP(C59,'IP PITSS'!$B$9:K126,10,0)</f>
        <v>0</v>
      </c>
      <c r="R59" s="68">
        <f>VLOOKUP(C59,'IP PITSS'!$B$9:Q122,16,0)</f>
        <v>0</v>
      </c>
      <c r="S59" s="19">
        <f>+VLOOKUP(C59,'EXTRAS Y FESTIVOS'!$B$9:J161,9,0)</f>
        <v>0</v>
      </c>
      <c r="T59" s="68">
        <f>VLOOKUP(C59,'IP PITSS'!$B$9:R122,17,0)</f>
        <v>0</v>
      </c>
      <c r="U59" s="69"/>
      <c r="V59" s="19">
        <f>+K59-O59-P59+Q59+R59+T59+S59+IFERROR(VLOOKUP('RESUMEN PITS'!C59,'IP PITSS'!$B$9:$M$93,10),0)+IFERROR(VLOOKUP('RESUMEN PITS'!C59,'IP PITSS'!$B$9:$M$93,11),0)+IFERROR(VLOOKUP('RESUMEN PITS'!C59,'IP PITSS'!$B$9:$M$93,12),0)+VLOOKUP("Comision",'IP PITSS'!$I$99:$J$110,2)/COUNT($F$9:$F$111)+IFERROR(VLOOKUP('RESUMEN PITS'!C59,'IP PITSS'!$B$9:$AD$93,15),0)+IFERROR(VLOOKUP('RESUMEN PITS'!C59,'IP PITSS'!$B$9:$AD$93,21),0)+IFERROR(VLOOKUP('RESUMEN PITS'!C59,'IP PITSS'!$B$9:$AD$93,22),0)+IFERROR(VLOOKUP('RESUMEN PITS'!C59,'IP PITSS'!$B$9:$AD$93,23),0)+IFERROR(VLOOKUP('RESUMEN PITS'!C59,'IP PITSS'!$B$9:$AD$93,24),0)+IFERROR(VLOOKUP('RESUMEN PITS'!C59,'IP PITSS'!$B$9:$AD$93,26),0)+IFERROR(VLOOKUP('RESUMEN PITS'!C59,'IP PITSS'!$B$9:$AD$93,28),0)+IFERROR(VLOOKUP('RESUMEN PITS'!C59,'IP PITSS'!$B$9:$AD$93,29),0)+IFERROR(VLOOKUP('RESUMEN PITS'!C59,'IP PITSS'!$B$9:$AD$93,9),0)*2%</f>
        <v>5501.4969242718444</v>
      </c>
      <c r="W59" s="10">
        <f t="shared" si="3"/>
        <v>-1501.4969242718444</v>
      </c>
      <c r="X59" s="36"/>
      <c r="Y59" s="19" t="s">
        <v>266</v>
      </c>
    </row>
    <row r="60" spans="1:25" x14ac:dyDescent="0.2">
      <c r="A60" s="70" t="s">
        <v>191</v>
      </c>
      <c r="B60" s="11" t="s">
        <v>89</v>
      </c>
      <c r="C60" s="70" t="s">
        <v>192</v>
      </c>
      <c r="D60" s="5">
        <f>+VLOOKUP(C60,'IP PITSS'!$B$9:U127,20,0)</f>
        <v>3585.2</v>
      </c>
      <c r="E60" s="72"/>
      <c r="F60" s="67">
        <f>VLOOKUP(C60,'SIND PITS'!$C$9:$H$113,2,0)</f>
        <v>414.80000000000018</v>
      </c>
      <c r="G60" s="67">
        <f>VLOOKUP(C60,'SIND PITS'!$C$9:$E$113,3,0)</f>
        <v>255</v>
      </c>
      <c r="H60" s="67">
        <f>VLOOKUP(C60,'SIND PITS'!$C$9:$F$113,4,0)</f>
        <v>0</v>
      </c>
      <c r="I60" s="67">
        <f>VLOOKUP(C60,'SIND PITS'!$C$9:$G$113,5,0)</f>
        <v>0</v>
      </c>
      <c r="J60" s="69"/>
      <c r="K60" s="19">
        <f t="shared" si="0"/>
        <v>4255</v>
      </c>
      <c r="L60" s="67">
        <v>8000</v>
      </c>
      <c r="M60" s="67">
        <f t="shared" si="1"/>
        <v>4000</v>
      </c>
      <c r="N60" s="69"/>
      <c r="O60" s="19">
        <f>+VLOOKUP(C60,'IP PITSS'!$B$9:I127,8,0)</f>
        <v>0</v>
      </c>
      <c r="P60" s="19">
        <f t="shared" si="2"/>
        <v>255</v>
      </c>
      <c r="Q60" s="68">
        <f>+(VLOOKUP(C60,'IP PITSS'!$B$9:L127,11,0))+VLOOKUP('RESUMEN PITS'!C60,'IP PITSS'!$B$9:M127,12,0)+VLOOKUP(C60,'IP PITSS'!$B$9:K127,10,0)</f>
        <v>0</v>
      </c>
      <c r="R60" s="68">
        <f>VLOOKUP(C60,'IP PITSS'!$B$9:Q123,16,0)</f>
        <v>0</v>
      </c>
      <c r="S60" s="19">
        <f>+VLOOKUP(C60,'EXTRAS Y FESTIVOS'!$B$9:J162,9,0)</f>
        <v>0</v>
      </c>
      <c r="T60" s="68">
        <f>VLOOKUP(C60,'IP PITSS'!$B$9:R123,17,0)</f>
        <v>0</v>
      </c>
      <c r="U60" s="69"/>
      <c r="V60" s="19">
        <f>+K60-O60-P60+Q60+R60+T60+S60+IFERROR(VLOOKUP('RESUMEN PITS'!C60,'IP PITSS'!$B$9:$M$93,10),0)+IFERROR(VLOOKUP('RESUMEN PITS'!C60,'IP PITSS'!$B$9:$M$93,11),0)+IFERROR(VLOOKUP('RESUMEN PITS'!C60,'IP PITSS'!$B$9:$M$93,12),0)+VLOOKUP("Comision",'IP PITSS'!$I$99:$J$110,2)/COUNT($F$9:$F$111)+IFERROR(VLOOKUP('RESUMEN PITS'!C60,'IP PITSS'!$B$9:$AD$93,15),0)+IFERROR(VLOOKUP('RESUMEN PITS'!C60,'IP PITSS'!$B$9:$AD$93,21),0)+IFERROR(VLOOKUP('RESUMEN PITS'!C60,'IP PITSS'!$B$9:$AD$93,22),0)+IFERROR(VLOOKUP('RESUMEN PITS'!C60,'IP PITSS'!$B$9:$AD$93,23),0)+IFERROR(VLOOKUP('RESUMEN PITS'!C60,'IP PITSS'!$B$9:$AD$93,24),0)+IFERROR(VLOOKUP('RESUMEN PITS'!C60,'IP PITSS'!$B$9:$AD$93,26),0)+IFERROR(VLOOKUP('RESUMEN PITS'!C60,'IP PITSS'!$B$9:$AD$93,28),0)+IFERROR(VLOOKUP('RESUMEN PITS'!C60,'IP PITSS'!$B$9:$AD$93,29),0)+IFERROR(VLOOKUP('RESUMEN PITS'!C60,'IP PITSS'!$B$9:$AD$93,9),0)*2%</f>
        <v>5414.5349242718448</v>
      </c>
      <c r="W60" s="10">
        <f t="shared" si="3"/>
        <v>-1414.5349242718448</v>
      </c>
      <c r="X60" s="32"/>
      <c r="Y60" s="19" t="s">
        <v>193</v>
      </c>
    </row>
    <row r="61" spans="1:25" x14ac:dyDescent="0.2">
      <c r="A61" s="70" t="s">
        <v>303</v>
      </c>
      <c r="B61" s="11" t="s">
        <v>89</v>
      </c>
      <c r="C61" s="70" t="s">
        <v>304</v>
      </c>
      <c r="D61" s="5">
        <f>+VLOOKUP(C61,'IP PITSS'!$B$9:U128,20,0)</f>
        <v>3585.4</v>
      </c>
      <c r="E61" s="72"/>
      <c r="F61" s="67">
        <f>VLOOKUP(C61,'SIND PITS'!$C$9:$H$113,2,0)</f>
        <v>414.59999999999991</v>
      </c>
      <c r="G61" s="67">
        <f>VLOOKUP(C61,'SIND PITS'!$C$9:$E$113,3,0)</f>
        <v>510</v>
      </c>
      <c r="H61" s="67">
        <f>VLOOKUP(C61,'SIND PITS'!$C$9:$F$113,4,0)</f>
        <v>0</v>
      </c>
      <c r="I61" s="67">
        <f>VLOOKUP(C61,'SIND PITS'!$C$9:$G$113,5,0)</f>
        <v>0</v>
      </c>
      <c r="J61" s="69"/>
      <c r="K61" s="19">
        <f t="shared" si="0"/>
        <v>4510</v>
      </c>
      <c r="L61" s="67">
        <v>8000</v>
      </c>
      <c r="M61" s="67">
        <f t="shared" si="1"/>
        <v>4000</v>
      </c>
      <c r="N61" s="69"/>
      <c r="O61" s="19">
        <f>+VLOOKUP(C61,'IP PITSS'!$B$9:I128,8,0)</f>
        <v>0</v>
      </c>
      <c r="P61" s="19">
        <f t="shared" si="2"/>
        <v>510</v>
      </c>
      <c r="Q61" s="68">
        <f>+(VLOOKUP(C61,'IP PITSS'!$B$9:L128,11,0))+VLOOKUP('RESUMEN PITS'!C61,'IP PITSS'!$B$9:M128,12,0)+VLOOKUP(C61,'IP PITSS'!$B$9:K128,10,0)</f>
        <v>0</v>
      </c>
      <c r="R61" s="68">
        <f>VLOOKUP(C61,'IP PITSS'!$B$9:Q124,16,0)</f>
        <v>0</v>
      </c>
      <c r="S61" s="19">
        <f>+VLOOKUP(C61,'EXTRAS Y FESTIVOS'!$B$9:J163,9,0)</f>
        <v>0</v>
      </c>
      <c r="T61" s="68">
        <f>VLOOKUP(C61,'IP PITSS'!$B$9:R124,17,0)</f>
        <v>0</v>
      </c>
      <c r="U61" s="69"/>
      <c r="V61" s="19">
        <f>+K61-O61-P61+Q61+R61+T61+S61+IFERROR(VLOOKUP('RESUMEN PITS'!C61,'IP PITSS'!$B$9:$M$93,10),0)+IFERROR(VLOOKUP('RESUMEN PITS'!C61,'IP PITSS'!$B$9:$M$93,11),0)+IFERROR(VLOOKUP('RESUMEN PITS'!C61,'IP PITSS'!$B$9:$M$93,12),0)+VLOOKUP("Comision",'IP PITSS'!$I$99:$J$110,2)/COUNT($F$9:$F$111)+IFERROR(VLOOKUP('RESUMEN PITS'!C61,'IP PITSS'!$B$9:$AD$93,15),0)+IFERROR(VLOOKUP('RESUMEN PITS'!C61,'IP PITSS'!$B$9:$AD$93,21),0)+IFERROR(VLOOKUP('RESUMEN PITS'!C61,'IP PITSS'!$B$9:$AD$93,22),0)+IFERROR(VLOOKUP('RESUMEN PITS'!C61,'IP PITSS'!$B$9:$AD$93,23),0)+IFERROR(VLOOKUP('RESUMEN PITS'!C61,'IP PITSS'!$B$9:$AD$93,24),0)+IFERROR(VLOOKUP('RESUMEN PITS'!C61,'IP PITSS'!$B$9:$AD$93,26),0)+IFERROR(VLOOKUP('RESUMEN PITS'!C61,'IP PITSS'!$B$9:$AD$93,28),0)+IFERROR(VLOOKUP('RESUMEN PITS'!C61,'IP PITSS'!$B$9:$AD$93,29),0)+IFERROR(VLOOKUP('RESUMEN PITS'!C61,'IP PITSS'!$B$9:$AD$93,9),0)*2%</f>
        <v>4784.9959242718442</v>
      </c>
      <c r="W61" s="10">
        <f t="shared" si="3"/>
        <v>-784.99592427184416</v>
      </c>
      <c r="X61" s="34"/>
      <c r="Y61" s="19" t="s">
        <v>305</v>
      </c>
    </row>
    <row r="62" spans="1:25" x14ac:dyDescent="0.2">
      <c r="A62" s="70" t="s">
        <v>151</v>
      </c>
      <c r="B62" s="11" t="s">
        <v>89</v>
      </c>
      <c r="C62" s="70" t="s">
        <v>152</v>
      </c>
      <c r="D62" s="5">
        <f>+VLOOKUP(C62,'IP PITSS'!$B$9:U129,20,0)</f>
        <v>3583.6</v>
      </c>
      <c r="E62" s="72"/>
      <c r="F62" s="67">
        <f>VLOOKUP(C62,'SIND PITS'!$C$9:$H$113,2,0)</f>
        <v>416.39999999999964</v>
      </c>
      <c r="G62" s="67">
        <f>VLOOKUP(C62,'SIND PITS'!$C$9:$E$113,3,0)</f>
        <v>570</v>
      </c>
      <c r="H62" s="67">
        <f>VLOOKUP(C62,'SIND PITS'!$C$9:$F$113,4,0)</f>
        <v>0</v>
      </c>
      <c r="I62" s="67">
        <f>VLOOKUP(C62,'SIND PITS'!$C$9:$G$113,5,0)</f>
        <v>0</v>
      </c>
      <c r="J62" s="69"/>
      <c r="K62" s="19">
        <f t="shared" si="0"/>
        <v>4570</v>
      </c>
      <c r="L62" s="67">
        <v>8000</v>
      </c>
      <c r="M62" s="67">
        <f t="shared" si="1"/>
        <v>4000</v>
      </c>
      <c r="N62" s="69"/>
      <c r="O62" s="19">
        <f>+VLOOKUP(C62,'IP PITSS'!$B$9:I129,8,0)</f>
        <v>0</v>
      </c>
      <c r="P62" s="19">
        <f t="shared" si="2"/>
        <v>570</v>
      </c>
      <c r="Q62" s="68">
        <f>+(VLOOKUP(C62,'IP PITSS'!$B$9:L129,11,0))+VLOOKUP('RESUMEN PITS'!C62,'IP PITSS'!$B$9:M129,12,0)+VLOOKUP(C62,'IP PITSS'!$B$9:K129,10,0)</f>
        <v>0</v>
      </c>
      <c r="R62" s="68">
        <f>VLOOKUP(C62,'IP PITSS'!$B$9:Q125,16,0)</f>
        <v>0</v>
      </c>
      <c r="S62" s="19">
        <f>+VLOOKUP(C62,'EXTRAS Y FESTIVOS'!$B$9:J164,9,0)</f>
        <v>0</v>
      </c>
      <c r="T62" s="68">
        <f>VLOOKUP(C62,'IP PITSS'!$B$9:R125,17,0)</f>
        <v>0</v>
      </c>
      <c r="U62" s="69"/>
      <c r="V62" s="19">
        <f>+K62-O62-P62+Q62+R62+T62+S62+IFERROR(VLOOKUP('RESUMEN PITS'!C62,'IP PITSS'!$B$9:$M$93,10),0)+IFERROR(VLOOKUP('RESUMEN PITS'!C62,'IP PITSS'!$B$9:$M$93,11),0)+IFERROR(VLOOKUP('RESUMEN PITS'!C62,'IP PITSS'!$B$9:$M$93,12),0)+VLOOKUP("Comision",'IP PITSS'!$I$99:$J$110,2)/COUNT($F$9:$F$111)+IFERROR(VLOOKUP('RESUMEN PITS'!C62,'IP PITSS'!$B$9:$AD$93,15),0)+IFERROR(VLOOKUP('RESUMEN PITS'!C62,'IP PITSS'!$B$9:$AD$93,21),0)+IFERROR(VLOOKUP('RESUMEN PITS'!C62,'IP PITSS'!$B$9:$AD$93,22),0)+IFERROR(VLOOKUP('RESUMEN PITS'!C62,'IP PITSS'!$B$9:$AD$93,23),0)+IFERROR(VLOOKUP('RESUMEN PITS'!C62,'IP PITSS'!$B$9:$AD$93,24),0)+IFERROR(VLOOKUP('RESUMEN PITS'!C62,'IP PITSS'!$B$9:$AD$93,26),0)+IFERROR(VLOOKUP('RESUMEN PITS'!C62,'IP PITSS'!$B$9:$AD$93,28),0)+IFERROR(VLOOKUP('RESUMEN PITS'!C62,'IP PITSS'!$B$9:$AD$93,29),0)+IFERROR(VLOOKUP('RESUMEN PITS'!C62,'IP PITSS'!$B$9:$AD$93,9),0)*2%</f>
        <v>5414.5349242718448</v>
      </c>
      <c r="W62" s="10">
        <f t="shared" si="3"/>
        <v>-1414.5349242718448</v>
      </c>
      <c r="X62" s="32"/>
      <c r="Y62" s="19" t="s">
        <v>153</v>
      </c>
    </row>
    <row r="63" spans="1:25" x14ac:dyDescent="0.2">
      <c r="A63" s="66" t="s">
        <v>355</v>
      </c>
      <c r="B63" s="11" t="s">
        <v>89</v>
      </c>
      <c r="C63" s="66" t="s">
        <v>250</v>
      </c>
      <c r="D63" s="5">
        <f>+VLOOKUP(C63,'IP PITSS'!$B$9:U130,20,0)</f>
        <v>2237.8000000000002</v>
      </c>
      <c r="E63" s="72"/>
      <c r="F63" s="67">
        <f>VLOOKUP(C63,'SIND PITS'!$C$9:$H$113,2,0)</f>
        <v>2262.1999999999998</v>
      </c>
      <c r="G63" s="67">
        <f>VLOOKUP(C63,'SIND PITS'!$C$9:$E$113,3,0)</f>
        <v>0</v>
      </c>
      <c r="H63" s="67">
        <f>VLOOKUP(C63,'SIND PITS'!$C$9:$F$113,4,0)</f>
        <v>0</v>
      </c>
      <c r="I63" s="67">
        <f>VLOOKUP(C63,'SIND PITS'!$C$9:$G$113,5,0)</f>
        <v>0</v>
      </c>
      <c r="J63" s="69"/>
      <c r="K63" s="19">
        <f t="shared" si="0"/>
        <v>4500</v>
      </c>
      <c r="L63" s="68">
        <v>9000</v>
      </c>
      <c r="M63" s="67">
        <f t="shared" si="1"/>
        <v>4500</v>
      </c>
      <c r="N63" s="69"/>
      <c r="O63" s="19">
        <f>+VLOOKUP(C63,'IP PITSS'!$B$9:I130,8,0)</f>
        <v>0</v>
      </c>
      <c r="P63" s="19">
        <f t="shared" si="2"/>
        <v>0</v>
      </c>
      <c r="Q63" s="68">
        <f>+(VLOOKUP(C63,'IP PITSS'!$B$9:L130,11,0))+VLOOKUP('RESUMEN PITS'!C63,'IP PITSS'!$B$9:M130,12,0)+VLOOKUP(C63,'IP PITSS'!$B$9:K130,10,0)</f>
        <v>0</v>
      </c>
      <c r="R63" s="68">
        <f>VLOOKUP(C63,'IP PITSS'!$B$9:Q126,16,0)</f>
        <v>0</v>
      </c>
      <c r="S63" s="19">
        <f>+VLOOKUP(C63,'EXTRAS Y FESTIVOS'!$B$9:J165,9,0)</f>
        <v>0</v>
      </c>
      <c r="T63" s="68">
        <f>VLOOKUP(C63,'IP PITSS'!$B$9:R126,17,0)</f>
        <v>0</v>
      </c>
      <c r="U63" s="69"/>
      <c r="V63" s="19">
        <f>+K63-O63-P63+Q63+R63+T63+S63+IFERROR(VLOOKUP('RESUMEN PITS'!C63,'IP PITSS'!$B$9:$M$93,10),0)+IFERROR(VLOOKUP('RESUMEN PITS'!C63,'IP PITSS'!$B$9:$M$93,11),0)+IFERROR(VLOOKUP('RESUMEN PITS'!C63,'IP PITSS'!$B$9:$M$93,12),0)+VLOOKUP("Comision",'IP PITSS'!$I$99:$J$110,2)/COUNT($F$9:$F$111)+IFERROR(VLOOKUP('RESUMEN PITS'!C63,'IP PITSS'!$B$9:$AD$93,15),0)+IFERROR(VLOOKUP('RESUMEN PITS'!C63,'IP PITSS'!$B$9:$AD$93,21),0)+IFERROR(VLOOKUP('RESUMEN PITS'!C63,'IP PITSS'!$B$9:$AD$93,22),0)+IFERROR(VLOOKUP('RESUMEN PITS'!C63,'IP PITSS'!$B$9:$AD$93,23),0)+IFERROR(VLOOKUP('RESUMEN PITS'!C63,'IP PITSS'!$B$9:$AD$93,24),0)+IFERROR(VLOOKUP('RESUMEN PITS'!C63,'IP PITSS'!$B$9:$AD$93,26),0)+IFERROR(VLOOKUP('RESUMEN PITS'!C63,'IP PITSS'!$B$9:$AD$93,28),0)+IFERROR(VLOOKUP('RESUMEN PITS'!C63,'IP PITSS'!$B$9:$AD$93,29),0)+IFERROR(VLOOKUP('RESUMEN PITS'!C63,'IP PITSS'!$B$9:$AD$93,9),0)*2%</f>
        <v>6001.4969242718444</v>
      </c>
      <c r="W63" s="10">
        <f t="shared" si="3"/>
        <v>-1501.4969242718444</v>
      </c>
      <c r="X63" s="10"/>
      <c r="Y63" s="19" t="s">
        <v>251</v>
      </c>
    </row>
    <row r="64" spans="1:25" x14ac:dyDescent="0.2">
      <c r="A64" s="71" t="s">
        <v>356</v>
      </c>
      <c r="B64" s="11" t="s">
        <v>89</v>
      </c>
      <c r="C64" s="71" t="s">
        <v>255</v>
      </c>
      <c r="D64" s="5">
        <f>+VLOOKUP(C64,'IP PITSS'!$B$9:U131,20,0)</f>
        <v>1699.2</v>
      </c>
      <c r="E64" s="72"/>
      <c r="F64" s="67">
        <f>VLOOKUP(C64,'SIND PITS'!$C$9:$H$113,2,0)</f>
        <v>2262.3700000000003</v>
      </c>
      <c r="G64" s="67">
        <f>VLOOKUP(C64,'SIND PITS'!$C$9:$E$113,3,0)</f>
        <v>400</v>
      </c>
      <c r="H64" s="67">
        <f>VLOOKUP(C64,'SIND PITS'!$C$9:$F$113,4,0)</f>
        <v>0</v>
      </c>
      <c r="I64" s="67">
        <f>VLOOKUP(C64,'SIND PITS'!$C$9:$G$113,5,0)</f>
        <v>225</v>
      </c>
      <c r="J64" s="69"/>
      <c r="K64" s="19">
        <f t="shared" si="0"/>
        <v>4586.5700000000006</v>
      </c>
      <c r="L64" s="67">
        <v>9000</v>
      </c>
      <c r="M64" s="67">
        <f t="shared" si="1"/>
        <v>4500</v>
      </c>
      <c r="N64" s="69"/>
      <c r="O64" s="19">
        <f>+VLOOKUP(C64,'IP PITSS'!$B$9:I131,8,0)</f>
        <v>225</v>
      </c>
      <c r="P64" s="19">
        <f t="shared" si="2"/>
        <v>625</v>
      </c>
      <c r="Q64" s="68">
        <f>+(VLOOKUP(C64,'IP PITSS'!$B$9:L131,11,0))+VLOOKUP('RESUMEN PITS'!C64,'IP PITSS'!$B$9:M131,12,0)+VLOOKUP(C64,'IP PITSS'!$B$9:K131,10,0)</f>
        <v>763.43</v>
      </c>
      <c r="R64" s="68">
        <f>VLOOKUP(C64,'IP PITSS'!$B$9:Q127,16,0)</f>
        <v>0</v>
      </c>
      <c r="S64" s="19">
        <f>+VLOOKUP(C64,'EXTRAS Y FESTIVOS'!$B$9:J166,9,0)</f>
        <v>0</v>
      </c>
      <c r="T64" s="68">
        <f>VLOOKUP(C64,'IP PITSS'!$B$9:R127,17,0)</f>
        <v>0</v>
      </c>
      <c r="U64" s="69"/>
      <c r="V64" s="19">
        <f>+K64-O64-P64+Q64+R64+T64+S64+IFERROR(VLOOKUP('RESUMEN PITS'!C64,'IP PITSS'!$B$9:$M$93,10),0)+IFERROR(VLOOKUP('RESUMEN PITS'!C64,'IP PITSS'!$B$9:$M$93,11),0)+IFERROR(VLOOKUP('RESUMEN PITS'!C64,'IP PITSS'!$B$9:$M$93,12),0)+VLOOKUP("Comision",'IP PITSS'!$I$99:$J$110,2)/COUNT($F$9:$F$111)+IFERROR(VLOOKUP('RESUMEN PITS'!C64,'IP PITSS'!$B$9:$AD$93,15),0)+IFERROR(VLOOKUP('RESUMEN PITS'!C64,'IP PITSS'!$B$9:$AD$93,21),0)+IFERROR(VLOOKUP('RESUMEN PITS'!C64,'IP PITSS'!$B$9:$AD$93,22),0)+IFERROR(VLOOKUP('RESUMEN PITS'!C64,'IP PITSS'!$B$9:$AD$93,23),0)+IFERROR(VLOOKUP('RESUMEN PITS'!C64,'IP PITSS'!$B$9:$AD$93,24),0)+IFERROR(VLOOKUP('RESUMEN PITS'!C64,'IP PITSS'!$B$9:$AD$93,26),0)+IFERROR(VLOOKUP('RESUMEN PITS'!C64,'IP PITSS'!$B$9:$AD$93,28),0)+IFERROR(VLOOKUP('RESUMEN PITS'!C64,'IP PITSS'!$B$9:$AD$93,29),0)+IFERROR(VLOOKUP('RESUMEN PITS'!C64,'IP PITSS'!$B$9:$AD$93,9),0)*2%</f>
        <v>6001.4969242718453</v>
      </c>
      <c r="W64" s="10">
        <f t="shared" si="3"/>
        <v>-1501.4969242718453</v>
      </c>
      <c r="X64" s="35"/>
      <c r="Y64" s="19" t="s">
        <v>256</v>
      </c>
    </row>
    <row r="65" spans="1:25" ht="14.25" customHeight="1" x14ac:dyDescent="0.2">
      <c r="A65" s="71" t="s">
        <v>357</v>
      </c>
      <c r="B65" s="11" t="s">
        <v>89</v>
      </c>
      <c r="C65" s="70" t="s">
        <v>189</v>
      </c>
      <c r="D65" s="5">
        <f>+VLOOKUP(C65,'IP PITSS'!$B$9:U132,20,0)</f>
        <v>1097</v>
      </c>
      <c r="E65" s="72"/>
      <c r="F65" s="67">
        <f>VLOOKUP(C65,'SIND PITS'!$C$9:$H$113,2,0)</f>
        <v>2885.04</v>
      </c>
      <c r="G65" s="67">
        <f>VLOOKUP(C65,'SIND PITS'!$C$9:$E$113,3,0)</f>
        <v>300</v>
      </c>
      <c r="H65" s="67">
        <f>VLOOKUP(C65,'SIND PITS'!$C$9:$F$113,4,0)</f>
        <v>0</v>
      </c>
      <c r="I65" s="67">
        <f>VLOOKUP(C65,'SIND PITS'!$C$9:$G$113,5,0)</f>
        <v>0</v>
      </c>
      <c r="J65" s="69"/>
      <c r="K65" s="19">
        <f t="shared" si="0"/>
        <v>4282.04</v>
      </c>
      <c r="L65" s="67">
        <v>12000</v>
      </c>
      <c r="M65" s="67">
        <f t="shared" si="1"/>
        <v>6000</v>
      </c>
      <c r="N65" s="69"/>
      <c r="O65" s="19">
        <f>+VLOOKUP(C65,'IP PITSS'!$B$9:I132,8,0)</f>
        <v>0</v>
      </c>
      <c r="P65" s="19">
        <f t="shared" si="2"/>
        <v>300</v>
      </c>
      <c r="Q65" s="68">
        <f>+(VLOOKUP(C65,'IP PITSS'!$B$9:L132,11,0))+VLOOKUP('RESUMEN PITS'!C65,'IP PITSS'!$B$9:M132,12,0)+VLOOKUP(C65,'IP PITSS'!$B$9:K132,10,0)</f>
        <v>2017.96</v>
      </c>
      <c r="R65" s="68">
        <f>VLOOKUP(C65,'IP PITSS'!$B$9:Q128,16,0)</f>
        <v>0</v>
      </c>
      <c r="S65" s="19">
        <f>+VLOOKUP(C65,'EXTRAS Y FESTIVOS'!$B$9:J167,9,0)</f>
        <v>0</v>
      </c>
      <c r="T65" s="68">
        <f>VLOOKUP(C65,'IP PITSS'!$B$9:R128,17,0)</f>
        <v>0</v>
      </c>
      <c r="U65" s="69"/>
      <c r="V65" s="19">
        <f>+K65-O65-P65+Q65+R65+T65+S65+IFERROR(VLOOKUP('RESUMEN PITS'!C65,'IP PITSS'!$B$9:$M$93,10),0)+IFERROR(VLOOKUP('RESUMEN PITS'!C65,'IP PITSS'!$B$9:$M$93,11),0)+IFERROR(VLOOKUP('RESUMEN PITS'!C65,'IP PITSS'!$B$9:$M$93,12),0)+VLOOKUP("Comision",'IP PITSS'!$I$99:$J$110,2)/COUNT($F$9:$F$111)+IFERROR(VLOOKUP('RESUMEN PITS'!C65,'IP PITSS'!$B$9:$AD$93,15),0)+IFERROR(VLOOKUP('RESUMEN PITS'!C65,'IP PITSS'!$B$9:$AD$93,21),0)+IFERROR(VLOOKUP('RESUMEN PITS'!C65,'IP PITSS'!$B$9:$AD$93,22),0)+IFERROR(VLOOKUP('RESUMEN PITS'!C65,'IP PITSS'!$B$9:$AD$93,23),0)+IFERROR(VLOOKUP('RESUMEN PITS'!C65,'IP PITSS'!$B$9:$AD$93,24),0)+IFERROR(VLOOKUP('RESUMEN PITS'!C65,'IP PITSS'!$B$9:$AD$93,26),0)+IFERROR(VLOOKUP('RESUMEN PITS'!C65,'IP PITSS'!$B$9:$AD$93,28),0)+IFERROR(VLOOKUP('RESUMEN PITS'!C65,'IP PITSS'!$B$9:$AD$93,29),0)+IFERROR(VLOOKUP('RESUMEN PITS'!C65,'IP PITSS'!$B$9:$AD$93,9),0)*2%</f>
        <v>7414.5349242718448</v>
      </c>
      <c r="W65" s="10">
        <f t="shared" si="3"/>
        <v>-1414.5349242718448</v>
      </c>
      <c r="X65" s="10"/>
      <c r="Y65" s="19" t="s">
        <v>190</v>
      </c>
    </row>
    <row r="66" spans="1:25" x14ac:dyDescent="0.2">
      <c r="A66" s="70" t="s">
        <v>358</v>
      </c>
      <c r="B66" s="11" t="s">
        <v>89</v>
      </c>
      <c r="C66" s="70" t="s">
        <v>165</v>
      </c>
      <c r="D66" s="5">
        <f>+VLOOKUP(C66,'IP PITSS'!$B$9:U133,20,0)</f>
        <v>3278.8</v>
      </c>
      <c r="E66" s="72"/>
      <c r="F66" s="67">
        <f>VLOOKUP(C66,'SIND PITS'!$C$9:$H$113,2,0)</f>
        <v>3721.2</v>
      </c>
      <c r="G66" s="67">
        <f>VLOOKUP(C66,'SIND PITS'!$C$9:$E$113,3,0)</f>
        <v>125</v>
      </c>
      <c r="H66" s="67">
        <f>VLOOKUP(C66,'SIND PITS'!$C$9:$F$113,4,0)</f>
        <v>0</v>
      </c>
      <c r="I66" s="67">
        <f>VLOOKUP(C66,'SIND PITS'!$C$9:$G$113,5,0)</f>
        <v>0</v>
      </c>
      <c r="J66" s="69"/>
      <c r="K66" s="19">
        <f t="shared" si="0"/>
        <v>7125</v>
      </c>
      <c r="L66" s="67">
        <v>14000</v>
      </c>
      <c r="M66" s="67">
        <f t="shared" si="1"/>
        <v>7000</v>
      </c>
      <c r="N66" s="69"/>
      <c r="O66" s="19">
        <f>+VLOOKUP(C66,'IP PITSS'!$B$9:I133,8,0)</f>
        <v>0</v>
      </c>
      <c r="P66" s="19">
        <f t="shared" si="2"/>
        <v>125</v>
      </c>
      <c r="Q66" s="68">
        <f>+(VLOOKUP(C66,'IP PITSS'!$B$9:L133,11,0))+VLOOKUP('RESUMEN PITS'!C66,'IP PITSS'!$B$9:M133,12,0)+VLOOKUP(C66,'IP PITSS'!$B$9:K133,10,0)</f>
        <v>0</v>
      </c>
      <c r="R66" s="68">
        <f>VLOOKUP(C66,'IP PITSS'!$B$9:Q129,16,0)</f>
        <v>0</v>
      </c>
      <c r="S66" s="19">
        <f>+VLOOKUP(C66,'EXTRAS Y FESTIVOS'!$B$9:J168,9,0)</f>
        <v>0</v>
      </c>
      <c r="T66" s="68">
        <f>VLOOKUP(C66,'IP PITSS'!$B$9:R129,17,0)</f>
        <v>0</v>
      </c>
      <c r="U66" s="69"/>
      <c r="V66" s="19">
        <f>+K66-O66-P66+Q66+R66+T66+S66+IFERROR(VLOOKUP('RESUMEN PITS'!C66,'IP PITSS'!$B$9:$M$93,10),0)+IFERROR(VLOOKUP('RESUMEN PITS'!C66,'IP PITSS'!$B$9:$M$93,11),0)+IFERROR(VLOOKUP('RESUMEN PITS'!C66,'IP PITSS'!$B$9:$M$93,12),0)+VLOOKUP("Comision",'IP PITSS'!$I$99:$J$110,2)/COUNT($F$9:$F$111)+IFERROR(VLOOKUP('RESUMEN PITS'!C66,'IP PITSS'!$B$9:$AD$93,15),0)+IFERROR(VLOOKUP('RESUMEN PITS'!C66,'IP PITSS'!$B$9:$AD$93,21),0)+IFERROR(VLOOKUP('RESUMEN PITS'!C66,'IP PITSS'!$B$9:$AD$93,22),0)+IFERROR(VLOOKUP('RESUMEN PITS'!C66,'IP PITSS'!$B$9:$AD$93,23),0)+IFERROR(VLOOKUP('RESUMEN PITS'!C66,'IP PITSS'!$B$9:$AD$93,24),0)+IFERROR(VLOOKUP('RESUMEN PITS'!C66,'IP PITSS'!$B$9:$AD$93,26),0)+IFERROR(VLOOKUP('RESUMEN PITS'!C66,'IP PITSS'!$B$9:$AD$93,28),0)+IFERROR(VLOOKUP('RESUMEN PITS'!C66,'IP PITSS'!$B$9:$AD$93,29),0)+IFERROR(VLOOKUP('RESUMEN PITS'!C66,'IP PITSS'!$B$9:$AD$93,9),0)*2%</f>
        <v>8414.5349242718457</v>
      </c>
      <c r="W66" s="10">
        <f t="shared" si="3"/>
        <v>-1414.5349242718457</v>
      </c>
      <c r="X66" s="10"/>
      <c r="Y66" s="19" t="s">
        <v>166</v>
      </c>
    </row>
    <row r="67" spans="1:25" x14ac:dyDescent="0.2">
      <c r="A67" s="70" t="s">
        <v>359</v>
      </c>
      <c r="B67" s="11" t="s">
        <v>89</v>
      </c>
      <c r="C67" s="70" t="s">
        <v>123</v>
      </c>
      <c r="D67" s="5">
        <f>+VLOOKUP(C67,'IP PITSS'!$B$9:U134,20,0)</f>
        <v>3278.6</v>
      </c>
      <c r="E67" s="72"/>
      <c r="F67" s="67">
        <f>VLOOKUP(C67,'SIND PITS'!$C$9:$H$113,2,0)</f>
        <v>3721.4</v>
      </c>
      <c r="G67" s="67">
        <f>VLOOKUP(C67,'SIND PITS'!$C$9:$E$113,3,0)</f>
        <v>281.25</v>
      </c>
      <c r="H67" s="67">
        <f>VLOOKUP(C67,'SIND PITS'!$C$9:$F$113,4,0)</f>
        <v>0</v>
      </c>
      <c r="I67" s="67">
        <f>VLOOKUP(C67,'SIND PITS'!$C$9:$G$113,5,0)</f>
        <v>0</v>
      </c>
      <c r="J67" s="69"/>
      <c r="K67" s="19">
        <f t="shared" si="0"/>
        <v>7281.25</v>
      </c>
      <c r="L67" s="67">
        <v>14000</v>
      </c>
      <c r="M67" s="67">
        <f t="shared" si="1"/>
        <v>7000</v>
      </c>
      <c r="N67" s="69"/>
      <c r="O67" s="19">
        <f>+VLOOKUP(C67,'IP PITSS'!$B$9:I134,8,0)</f>
        <v>0</v>
      </c>
      <c r="P67" s="19">
        <f t="shared" si="2"/>
        <v>281.25</v>
      </c>
      <c r="Q67" s="68">
        <f>+(VLOOKUP(C67,'IP PITSS'!$B$9:L134,11,0))+VLOOKUP('RESUMEN PITS'!C67,'IP PITSS'!$B$9:M134,12,0)+VLOOKUP(C67,'IP PITSS'!$B$9:K134,10,0)</f>
        <v>0</v>
      </c>
      <c r="R67" s="68">
        <f>VLOOKUP(C67,'IP PITSS'!$B$9:Q130,16,0)</f>
        <v>0</v>
      </c>
      <c r="S67" s="19">
        <f>+VLOOKUP(C67,'EXTRAS Y FESTIVOS'!$B$9:J169,9,0)</f>
        <v>0</v>
      </c>
      <c r="T67" s="68">
        <f>VLOOKUP(C67,'IP PITSS'!$B$9:R130,17,0)</f>
        <v>0</v>
      </c>
      <c r="U67" s="69"/>
      <c r="V67" s="19">
        <f>+K67-O67-P67+Q67+R67+T67+S67+IFERROR(VLOOKUP('RESUMEN PITS'!C67,'IP PITSS'!$B$9:$M$93,10),0)+IFERROR(VLOOKUP('RESUMEN PITS'!C67,'IP PITSS'!$B$9:$M$93,11),0)+IFERROR(VLOOKUP('RESUMEN PITS'!C67,'IP PITSS'!$B$9:$M$93,12),0)+VLOOKUP("Comision",'IP PITSS'!$I$99:$J$110,2)/COUNT($F$9:$F$111)+IFERROR(VLOOKUP('RESUMEN PITS'!C67,'IP PITSS'!$B$9:$AD$93,15),0)+IFERROR(VLOOKUP('RESUMEN PITS'!C67,'IP PITSS'!$B$9:$AD$93,21),0)+IFERROR(VLOOKUP('RESUMEN PITS'!C67,'IP PITSS'!$B$9:$AD$93,22),0)+IFERROR(VLOOKUP('RESUMEN PITS'!C67,'IP PITSS'!$B$9:$AD$93,23),0)+IFERROR(VLOOKUP('RESUMEN PITS'!C67,'IP PITSS'!$B$9:$AD$93,24),0)+IFERROR(VLOOKUP('RESUMEN PITS'!C67,'IP PITSS'!$B$9:$AD$93,26),0)+IFERROR(VLOOKUP('RESUMEN PITS'!C67,'IP PITSS'!$B$9:$AD$93,28),0)+IFERROR(VLOOKUP('RESUMEN PITS'!C67,'IP PITSS'!$B$9:$AD$93,29),0)+IFERROR(VLOOKUP('RESUMEN PITS'!C67,'IP PITSS'!$B$9:$AD$93,9),0)*2%</f>
        <v>8414.5349242718457</v>
      </c>
      <c r="W67" s="10">
        <f t="shared" si="3"/>
        <v>-1414.5349242718457</v>
      </c>
      <c r="X67" s="10"/>
      <c r="Y67" s="19" t="s">
        <v>124</v>
      </c>
    </row>
    <row r="68" spans="1:25" x14ac:dyDescent="0.2">
      <c r="A68" s="70" t="s">
        <v>360</v>
      </c>
      <c r="B68" s="11" t="s">
        <v>89</v>
      </c>
      <c r="C68" s="70" t="s">
        <v>233</v>
      </c>
      <c r="D68" s="5">
        <f>+VLOOKUP(C68,'IP PITSS'!$B$9:U135,20,0)</f>
        <v>2479.1999999999998</v>
      </c>
      <c r="E68" s="72"/>
      <c r="F68" s="67">
        <f>VLOOKUP(C68,'SIND PITS'!$C$9:$H$113,2,0)</f>
        <v>3339.26</v>
      </c>
      <c r="G68" s="67">
        <f>VLOOKUP(C68,'SIND PITS'!$C$9:$E$113,3,0)</f>
        <v>262.5</v>
      </c>
      <c r="H68" s="67">
        <f>VLOOKUP(C68,'SIND PITS'!$C$9:$F$113,4,0)</f>
        <v>0</v>
      </c>
      <c r="I68" s="67">
        <f>VLOOKUP(C68,'SIND PITS'!$C$9:$G$113,5,0)</f>
        <v>280.69</v>
      </c>
      <c r="J68" s="69"/>
      <c r="K68" s="19">
        <f t="shared" si="0"/>
        <v>6361.65</v>
      </c>
      <c r="L68" s="67">
        <v>15000</v>
      </c>
      <c r="M68" s="67">
        <f t="shared" si="1"/>
        <v>7500</v>
      </c>
      <c r="N68" s="69"/>
      <c r="O68" s="19">
        <f>+VLOOKUP(C68,'IP PITSS'!$B$9:I135,8,0)</f>
        <v>469.31</v>
      </c>
      <c r="P68" s="19">
        <f t="shared" si="2"/>
        <v>543.19000000000005</v>
      </c>
      <c r="Q68" s="68">
        <f>+(VLOOKUP(C68,'IP PITSS'!$B$9:L135,11,0))+VLOOKUP('RESUMEN PITS'!C68,'IP PITSS'!$B$9:M135,12,0)+VLOOKUP(C68,'IP PITSS'!$B$9:K135,10,0)</f>
        <v>1865.85</v>
      </c>
      <c r="R68" s="68">
        <f>VLOOKUP(C68,'IP PITSS'!$B$9:Q131,16,0)</f>
        <v>0</v>
      </c>
      <c r="S68" s="19">
        <f>+VLOOKUP(C68,'EXTRAS Y FESTIVOS'!$B$9:J170,9,0)</f>
        <v>0</v>
      </c>
      <c r="T68" s="68">
        <f>VLOOKUP(C68,'IP PITSS'!$B$9:R131,17,0)</f>
        <v>285</v>
      </c>
      <c r="U68" s="69"/>
      <c r="V68" s="19">
        <f>+K68-O68-P68+Q68+R68+T68+S68+IFERROR(VLOOKUP('RESUMEN PITS'!C68,'IP PITSS'!$B$9:$M$93,10),0)+IFERROR(VLOOKUP('RESUMEN PITS'!C68,'IP PITSS'!$B$9:$M$93,11),0)+IFERROR(VLOOKUP('RESUMEN PITS'!C68,'IP PITSS'!$B$9:$M$93,12),0)+VLOOKUP("Comision",'IP PITSS'!$I$99:$J$110,2)/COUNT($F$9:$F$111)+IFERROR(VLOOKUP('RESUMEN PITS'!C68,'IP PITSS'!$B$9:$AD$93,15),0)+IFERROR(VLOOKUP('RESUMEN PITS'!C68,'IP PITSS'!$B$9:$AD$93,21),0)+IFERROR(VLOOKUP('RESUMEN PITS'!C68,'IP PITSS'!$B$9:$AD$93,22),0)+IFERROR(VLOOKUP('RESUMEN PITS'!C68,'IP PITSS'!$B$9:$AD$93,23),0)+IFERROR(VLOOKUP('RESUMEN PITS'!C68,'IP PITSS'!$B$9:$AD$93,24),0)+IFERROR(VLOOKUP('RESUMEN PITS'!C68,'IP PITSS'!$B$9:$AD$93,26),0)+IFERROR(VLOOKUP('RESUMEN PITS'!C68,'IP PITSS'!$B$9:$AD$93,28),0)+IFERROR(VLOOKUP('RESUMEN PITS'!C68,'IP PITSS'!$B$9:$AD$93,29),0)+IFERROR(VLOOKUP('RESUMEN PITS'!C68,'IP PITSS'!$B$9:$AD$93,9),0)*2%</f>
        <v>8712.566924271845</v>
      </c>
      <c r="W68" s="10">
        <f t="shared" si="3"/>
        <v>-1212.566924271845</v>
      </c>
      <c r="X68" s="10"/>
      <c r="Y68" s="19" t="s">
        <v>234</v>
      </c>
    </row>
    <row r="69" spans="1:25" x14ac:dyDescent="0.2">
      <c r="A69" s="70" t="s">
        <v>354</v>
      </c>
      <c r="B69" s="11" t="s">
        <v>89</v>
      </c>
      <c r="C69" s="70" t="s">
        <v>242</v>
      </c>
      <c r="D69" s="5">
        <f>+VLOOKUP(C69,'IP PITSS'!$B$9:U136,20,0)</f>
        <v>1604.6</v>
      </c>
      <c r="E69" s="72"/>
      <c r="F69" s="67">
        <f>VLOOKUP(C69,'SIND PITS'!$C$9:$H$113,2,0)</f>
        <v>4339.43</v>
      </c>
      <c r="G69" s="67">
        <f>VLOOKUP(C69,'SIND PITS'!$C$9:$E$113,3,0)</f>
        <v>281.25</v>
      </c>
      <c r="H69" s="67">
        <f>VLOOKUP(C69,'SIND PITS'!$C$9:$F$113,4,0)</f>
        <v>0</v>
      </c>
      <c r="I69" s="67">
        <f>VLOOKUP(C69,'SIND PITS'!$C$9:$G$113,5,0)</f>
        <v>0</v>
      </c>
      <c r="J69" s="69"/>
      <c r="K69" s="19">
        <f t="shared" si="0"/>
        <v>6225.2800000000007</v>
      </c>
      <c r="L69" s="67">
        <v>17000</v>
      </c>
      <c r="M69" s="67">
        <f t="shared" si="1"/>
        <v>8500</v>
      </c>
      <c r="N69" s="69"/>
      <c r="O69" s="19">
        <f>+VLOOKUP(C69,'IP PITSS'!$B$9:I136,8,0)</f>
        <v>0</v>
      </c>
      <c r="P69" s="19">
        <f t="shared" si="2"/>
        <v>281.25</v>
      </c>
      <c r="Q69" s="68">
        <f>+(VLOOKUP(C69,'IP PITSS'!$B$9:L136,11,0))+VLOOKUP('RESUMEN PITS'!C69,'IP PITSS'!$B$9:M136,12,0)+VLOOKUP(C69,'IP PITSS'!$B$9:K136,10,0)</f>
        <v>2160.15</v>
      </c>
      <c r="R69" s="68">
        <f>VLOOKUP(C69,'IP PITSS'!$B$9:Q132,16,0)</f>
        <v>0</v>
      </c>
      <c r="S69" s="19">
        <f>+VLOOKUP(C69,'EXTRAS Y FESTIVOS'!$B$9:J171,9,0)</f>
        <v>0</v>
      </c>
      <c r="T69" s="68">
        <f>VLOOKUP(C69,'IP PITSS'!$B$9:R132,17,0)</f>
        <v>395.82</v>
      </c>
      <c r="U69" s="69"/>
      <c r="V69" s="19">
        <f>+K69-O69-P69+Q69+R69+T69+S69+IFERROR(VLOOKUP('RESUMEN PITS'!C69,'IP PITSS'!$B$9:$M$93,10),0)+IFERROR(VLOOKUP('RESUMEN PITS'!C69,'IP PITSS'!$B$9:$M$93,11),0)+IFERROR(VLOOKUP('RESUMEN PITS'!C69,'IP PITSS'!$B$9:$M$93,12),0)+VLOOKUP("Comision",'IP PITSS'!$I$99:$J$110,2)/COUNT($F$9:$F$111)+IFERROR(VLOOKUP('RESUMEN PITS'!C69,'IP PITSS'!$B$9:$AD$93,15),0)+IFERROR(VLOOKUP('RESUMEN PITS'!C69,'IP PITSS'!$B$9:$AD$93,21),0)+IFERROR(VLOOKUP('RESUMEN PITS'!C69,'IP PITSS'!$B$9:$AD$93,22),0)+IFERROR(VLOOKUP('RESUMEN PITS'!C69,'IP PITSS'!$B$9:$AD$93,23),0)+IFERROR(VLOOKUP('RESUMEN PITS'!C69,'IP PITSS'!$B$9:$AD$93,24),0)+IFERROR(VLOOKUP('RESUMEN PITS'!C69,'IP PITSS'!$B$9:$AD$93,26),0)+IFERROR(VLOOKUP('RESUMEN PITS'!C69,'IP PITSS'!$B$9:$AD$93,28),0)+IFERROR(VLOOKUP('RESUMEN PITS'!C69,'IP PITSS'!$B$9:$AD$93,29),0)+IFERROR(VLOOKUP('RESUMEN PITS'!C69,'IP PITSS'!$B$9:$AD$93,9),0)*2%</f>
        <v>9712.566924271845</v>
      </c>
      <c r="W69" s="10">
        <f t="shared" si="3"/>
        <v>-1212.566924271845</v>
      </c>
      <c r="X69" s="10"/>
      <c r="Y69" s="19" t="s">
        <v>243</v>
      </c>
    </row>
    <row r="70" spans="1:25" x14ac:dyDescent="0.2">
      <c r="A70" s="70" t="s">
        <v>361</v>
      </c>
      <c r="B70" s="11" t="s">
        <v>89</v>
      </c>
      <c r="C70" s="70" t="s">
        <v>314</v>
      </c>
      <c r="D70" s="5">
        <f>+VLOOKUP(C70,'IP PITSS'!$B$9:U137,20,0)</f>
        <v>3332.6</v>
      </c>
      <c r="E70" s="72"/>
      <c r="F70" s="67">
        <f>VLOOKUP(C70,'SIND PITS'!$C$9:$H$113,2,0)</f>
        <v>1917.3999999999996</v>
      </c>
      <c r="G70" s="67">
        <f>VLOOKUP(C70,'SIND PITS'!$C$9:$E$113,3,0)</f>
        <v>1406.25</v>
      </c>
      <c r="H70" s="67">
        <f>VLOOKUP(C70,'SIND PITS'!$C$9:$F$113,4,0)</f>
        <v>0</v>
      </c>
      <c r="I70" s="67">
        <f>VLOOKUP(C70,'SIND PITS'!$C$9:$G$113,5,0)</f>
        <v>0</v>
      </c>
      <c r="J70" s="69"/>
      <c r="K70" s="19">
        <f t="shared" si="0"/>
        <v>6656.25</v>
      </c>
      <c r="L70" s="76">
        <v>10500</v>
      </c>
      <c r="M70" s="67">
        <f t="shared" si="1"/>
        <v>5250</v>
      </c>
      <c r="N70" s="69"/>
      <c r="O70" s="19">
        <f>+VLOOKUP(C70,'IP PITSS'!$B$9:I137,8,0)</f>
        <v>0</v>
      </c>
      <c r="P70" s="19">
        <f t="shared" si="2"/>
        <v>1406.25</v>
      </c>
      <c r="Q70" s="68">
        <f>+(VLOOKUP(C70,'IP PITSS'!$B$9:L137,11,0))+VLOOKUP('RESUMEN PITS'!C70,'IP PITSS'!$B$9:M137,12,0)+VLOOKUP(C70,'IP PITSS'!$B$9:K137,10,0)</f>
        <v>0</v>
      </c>
      <c r="R70" s="68">
        <f>VLOOKUP(C70,'IP PITSS'!$B$9:Q133,16,0)</f>
        <v>0</v>
      </c>
      <c r="S70" s="19">
        <f>+VLOOKUP(C70,'EXTRAS Y FESTIVOS'!$B$9:J172,9,0)</f>
        <v>0</v>
      </c>
      <c r="T70" s="68">
        <f>VLOOKUP(C70,'IP PITSS'!$B$9:R133,17,0)</f>
        <v>0</v>
      </c>
      <c r="U70" s="69"/>
      <c r="V70" s="19">
        <f>+K70-O70-P70+Q70+R70+T70+S70+IFERROR(VLOOKUP('RESUMEN PITS'!C70,'IP PITSS'!$B$9:$M$93,10),0)+IFERROR(VLOOKUP('RESUMEN PITS'!C70,'IP PITSS'!$B$9:$M$93,11),0)+IFERROR(VLOOKUP('RESUMEN PITS'!C70,'IP PITSS'!$B$9:$M$93,12),0)+VLOOKUP("Comision",'IP PITSS'!$I$99:$J$110,2)/COUNT($F$9:$F$111)+IFERROR(VLOOKUP('RESUMEN PITS'!C70,'IP PITSS'!$B$9:$AD$93,15),0)+IFERROR(VLOOKUP('RESUMEN PITS'!C70,'IP PITSS'!$B$9:$AD$93,21),0)+IFERROR(VLOOKUP('RESUMEN PITS'!C70,'IP PITSS'!$B$9:$AD$93,22),0)+IFERROR(VLOOKUP('RESUMEN PITS'!C70,'IP PITSS'!$B$9:$AD$93,23),0)+IFERROR(VLOOKUP('RESUMEN PITS'!C70,'IP PITSS'!$B$9:$AD$93,24),0)+IFERROR(VLOOKUP('RESUMEN PITS'!C70,'IP PITSS'!$B$9:$AD$93,26),0)+IFERROR(VLOOKUP('RESUMEN PITS'!C70,'IP PITSS'!$B$9:$AD$93,28),0)+IFERROR(VLOOKUP('RESUMEN PITS'!C70,'IP PITSS'!$B$9:$AD$93,29),0)+IFERROR(VLOOKUP('RESUMEN PITS'!C70,'IP PITSS'!$B$9:$AD$93,9),0)*2%</f>
        <v>6034.9959242718442</v>
      </c>
      <c r="W70" s="10">
        <f t="shared" si="3"/>
        <v>-784.99592427184416</v>
      </c>
      <c r="X70" s="10"/>
      <c r="Y70" s="19" t="s">
        <v>315</v>
      </c>
    </row>
    <row r="71" spans="1:25" x14ac:dyDescent="0.2">
      <c r="A71" s="70" t="s">
        <v>280</v>
      </c>
      <c r="B71" s="11" t="s">
        <v>89</v>
      </c>
      <c r="C71" s="70" t="s">
        <v>322</v>
      </c>
      <c r="D71" s="5">
        <f>+VLOOKUP(C71,'IP PITSS'!$B$9:U138,20,0)</f>
        <v>2141.4</v>
      </c>
      <c r="E71" s="72"/>
      <c r="F71" s="67">
        <f>VLOOKUP(C71,'SIND PITS'!$C$9:$H$113,2,0)</f>
        <v>2667.34</v>
      </c>
      <c r="G71" s="67">
        <f>VLOOKUP(C71,'SIND PITS'!$C$9:$E$113,3,0)</f>
        <v>0</v>
      </c>
      <c r="H71" s="67">
        <f>VLOOKUP(C71,'SIND PITS'!$C$9:$F$113,4,0)</f>
        <v>0</v>
      </c>
      <c r="I71" s="67">
        <f>VLOOKUP(C71,'SIND PITS'!$C$9:$G$113,5,0)</f>
        <v>0</v>
      </c>
      <c r="J71" s="69"/>
      <c r="K71" s="19">
        <f t="shared" si="0"/>
        <v>4808.74</v>
      </c>
      <c r="L71" s="67">
        <v>12000</v>
      </c>
      <c r="M71" s="67">
        <f t="shared" si="1"/>
        <v>6000</v>
      </c>
      <c r="N71" s="69"/>
      <c r="O71" s="19">
        <f>+VLOOKUP(C71,'IP PITSS'!$B$9:I138,8,0)</f>
        <v>0</v>
      </c>
      <c r="P71" s="19">
        <f t="shared" si="2"/>
        <v>0</v>
      </c>
      <c r="Q71" s="68">
        <f>+(VLOOKUP(C71,'IP PITSS'!$B$9:L138,11,0))+VLOOKUP('RESUMEN PITS'!C71,'IP PITSS'!$B$9:M138,12,0)+VLOOKUP(C71,'IP PITSS'!$B$9:K138,10,0)</f>
        <v>1191.26</v>
      </c>
      <c r="R71" s="68">
        <f>VLOOKUP(C71,'IP PITSS'!$B$9:Q134,16,0)</f>
        <v>0</v>
      </c>
      <c r="S71" s="19">
        <f>+VLOOKUP(C71,'EXTRAS Y FESTIVOS'!$B$9:J173,9,0)</f>
        <v>0</v>
      </c>
      <c r="T71" s="68">
        <f>VLOOKUP(C71,'IP PITSS'!$B$9:R134,17,0)</f>
        <v>0</v>
      </c>
      <c r="U71" s="69"/>
      <c r="V71" s="19">
        <f>+K71-O71-P71+Q71+R71+T71+S71+IFERROR(VLOOKUP('RESUMEN PITS'!C71,'IP PITSS'!$B$9:$M$93,10),0)+IFERROR(VLOOKUP('RESUMEN PITS'!C71,'IP PITSS'!$B$9:$M$93,11),0)+IFERROR(VLOOKUP('RESUMEN PITS'!C71,'IP PITSS'!$B$9:$M$93,12),0)+VLOOKUP("Comision",'IP PITSS'!$I$99:$J$110,2)/COUNT($F$9:$F$111)+IFERROR(VLOOKUP('RESUMEN PITS'!C71,'IP PITSS'!$B$9:$AD$93,15),0)+IFERROR(VLOOKUP('RESUMEN PITS'!C71,'IP PITSS'!$B$9:$AD$93,21),0)+IFERROR(VLOOKUP('RESUMEN PITS'!C71,'IP PITSS'!$B$9:$AD$93,22),0)+IFERROR(VLOOKUP('RESUMEN PITS'!C71,'IP PITSS'!$B$9:$AD$93,23),0)+IFERROR(VLOOKUP('RESUMEN PITS'!C71,'IP PITSS'!$B$9:$AD$93,24),0)+IFERROR(VLOOKUP('RESUMEN PITS'!C71,'IP PITSS'!$B$9:$AD$93,26),0)+IFERROR(VLOOKUP('RESUMEN PITS'!C71,'IP PITSS'!$B$9:$AD$93,28),0)+IFERROR(VLOOKUP('RESUMEN PITS'!C71,'IP PITSS'!$B$9:$AD$93,29),0)+IFERROR(VLOOKUP('RESUMEN PITS'!C71,'IP PITSS'!$B$9:$AD$93,9),0)*2%</f>
        <v>6784.9959242718442</v>
      </c>
      <c r="W71" s="10">
        <f t="shared" si="3"/>
        <v>-784.99592427184416</v>
      </c>
      <c r="X71" s="10"/>
      <c r="Y71" s="19" t="s">
        <v>323</v>
      </c>
    </row>
    <row r="72" spans="1:25" x14ac:dyDescent="0.2">
      <c r="A72" s="70" t="s">
        <v>68</v>
      </c>
      <c r="B72" s="11" t="s">
        <v>89</v>
      </c>
      <c r="C72" s="70" t="s">
        <v>311</v>
      </c>
      <c r="D72" s="5">
        <f>+VLOOKUP(C72,'IP PITSS'!$B$9:U139,20,0)</f>
        <v>2101.8000000000002</v>
      </c>
      <c r="E72" s="72"/>
      <c r="F72" s="67">
        <f>VLOOKUP(C72,'SIND PITS'!$C$9:$H$113,2,0)</f>
        <v>1667.5499999999997</v>
      </c>
      <c r="G72" s="67">
        <f>VLOOKUP(C72,'SIND PITS'!$C$9:$E$113,3,0)</f>
        <v>285</v>
      </c>
      <c r="H72" s="67">
        <f>VLOOKUP(C72,'SIND PITS'!$C$9:$F$113,4,0)</f>
        <v>0</v>
      </c>
      <c r="I72" s="67">
        <f>VLOOKUP(C72,'SIND PITS'!$C$9:$G$113,5,0)</f>
        <v>0</v>
      </c>
      <c r="J72" s="69"/>
      <c r="K72" s="19">
        <f t="shared" si="0"/>
        <v>4054.35</v>
      </c>
      <c r="L72" s="67">
        <v>10000</v>
      </c>
      <c r="M72" s="67">
        <f t="shared" si="1"/>
        <v>5000</v>
      </c>
      <c r="N72" s="69"/>
      <c r="O72" s="19">
        <f>+VLOOKUP(C72,'IP PITSS'!$B$9:I139,8,0)</f>
        <v>0</v>
      </c>
      <c r="P72" s="19">
        <f t="shared" si="2"/>
        <v>285</v>
      </c>
      <c r="Q72" s="68">
        <f>+(VLOOKUP(C72,'IP PITSS'!$B$9:L139,11,0))+VLOOKUP('RESUMEN PITS'!C72,'IP PITSS'!$B$9:M139,12,0)+VLOOKUP(C72,'IP PITSS'!$B$9:K139,10,0)</f>
        <v>1230.6500000000001</v>
      </c>
      <c r="R72" s="68">
        <f>VLOOKUP(C72,'IP PITSS'!$B$9:Q135,16,0)</f>
        <v>0</v>
      </c>
      <c r="S72" s="19">
        <f>+VLOOKUP(C72,'EXTRAS Y FESTIVOS'!$B$9:J174,9,0)</f>
        <v>0</v>
      </c>
      <c r="T72" s="68">
        <f>VLOOKUP(C72,'IP PITSS'!$B$9:R135,17,0)</f>
        <v>0</v>
      </c>
      <c r="U72" s="69"/>
      <c r="V72" s="19">
        <f>+K72-O72-P72+Q72+R72+T72+S72+IFERROR(VLOOKUP('RESUMEN PITS'!C72,'IP PITSS'!$B$9:$M$93,10),0)+IFERROR(VLOOKUP('RESUMEN PITS'!C72,'IP PITSS'!$B$9:$M$93,11),0)+IFERROR(VLOOKUP('RESUMEN PITS'!C72,'IP PITSS'!$B$9:$M$93,12),0)+VLOOKUP("Comision",'IP PITSS'!$I$99:$J$110,2)/COUNT($F$9:$F$111)+IFERROR(VLOOKUP('RESUMEN PITS'!C72,'IP PITSS'!$B$9:$AD$93,15),0)+IFERROR(VLOOKUP('RESUMEN PITS'!C72,'IP PITSS'!$B$9:$AD$93,21),0)+IFERROR(VLOOKUP('RESUMEN PITS'!C72,'IP PITSS'!$B$9:$AD$93,22),0)+IFERROR(VLOOKUP('RESUMEN PITS'!C72,'IP PITSS'!$B$9:$AD$93,23),0)+IFERROR(VLOOKUP('RESUMEN PITS'!C72,'IP PITSS'!$B$9:$AD$93,24),0)+IFERROR(VLOOKUP('RESUMEN PITS'!C72,'IP PITSS'!$B$9:$AD$93,26),0)+IFERROR(VLOOKUP('RESUMEN PITS'!C72,'IP PITSS'!$B$9:$AD$93,28),0)+IFERROR(VLOOKUP('RESUMEN PITS'!C72,'IP PITSS'!$B$9:$AD$93,29),0)+IFERROR(VLOOKUP('RESUMEN PITS'!C72,'IP PITSS'!$B$9:$AD$93,9),0)*2%</f>
        <v>5784.9959242718442</v>
      </c>
      <c r="W72" s="10">
        <f t="shared" si="3"/>
        <v>-784.99592427184416</v>
      </c>
      <c r="X72" s="10"/>
      <c r="Y72" s="19" t="s">
        <v>312</v>
      </c>
    </row>
    <row r="73" spans="1:25" x14ac:dyDescent="0.2">
      <c r="A73" s="70" t="s">
        <v>362</v>
      </c>
      <c r="B73" s="11" t="s">
        <v>89</v>
      </c>
      <c r="C73" s="70" t="s">
        <v>129</v>
      </c>
      <c r="D73" s="5">
        <f>+VLOOKUP(C73,'IP PITSS'!$B$9:U140,20,0)</f>
        <v>3332.6</v>
      </c>
      <c r="E73" s="72"/>
      <c r="F73" s="67">
        <f>VLOOKUP(C73,'SIND PITS'!$C$9:$H$113,2,0)</f>
        <v>2667.4</v>
      </c>
      <c r="G73" s="67">
        <f>VLOOKUP(C73,'SIND PITS'!$C$9:$E$113,3,0)</f>
        <v>500</v>
      </c>
      <c r="H73" s="67">
        <f>VLOOKUP(C73,'SIND PITS'!$C$9:$F$113,4,0)</f>
        <v>0</v>
      </c>
      <c r="I73" s="67">
        <f>VLOOKUP(C73,'SIND PITS'!$C$9:$G$113,5,0)</f>
        <v>0</v>
      </c>
      <c r="J73" s="69"/>
      <c r="K73" s="19">
        <f t="shared" si="0"/>
        <v>6500</v>
      </c>
      <c r="L73" s="67">
        <v>12000</v>
      </c>
      <c r="M73" s="67">
        <f t="shared" ref="M73:M108" si="4">+L73/2</f>
        <v>6000</v>
      </c>
      <c r="N73" s="69"/>
      <c r="O73" s="19">
        <f>+VLOOKUP(C73,'IP PITSS'!$B$9:I140,8,0)</f>
        <v>0</v>
      </c>
      <c r="P73" s="19">
        <f t="shared" si="2"/>
        <v>500</v>
      </c>
      <c r="Q73" s="68">
        <f>+(VLOOKUP(C73,'IP PITSS'!$B$9:L140,11,0))+VLOOKUP('RESUMEN PITS'!C73,'IP PITSS'!$B$9:M140,12,0)+VLOOKUP(C73,'IP PITSS'!$B$9:K140,10,0)</f>
        <v>0</v>
      </c>
      <c r="R73" s="68">
        <f>VLOOKUP(C73,'IP PITSS'!$B$9:Q136,16,0)</f>
        <v>0</v>
      </c>
      <c r="S73" s="19">
        <f>+VLOOKUP(C73,'EXTRAS Y FESTIVOS'!$B$9:J175,9,0)</f>
        <v>0</v>
      </c>
      <c r="T73" s="68">
        <f>VLOOKUP(C73,'IP PITSS'!$B$9:R136,17,0)</f>
        <v>0</v>
      </c>
      <c r="U73" s="69"/>
      <c r="V73" s="19">
        <f>+K73-O73-P73+Q73+R73+T73+S73+IFERROR(VLOOKUP('RESUMEN PITS'!C73,'IP PITSS'!$B$9:$M$93,10),0)+IFERROR(VLOOKUP('RESUMEN PITS'!C73,'IP PITSS'!$B$9:$M$93,11),0)+IFERROR(VLOOKUP('RESUMEN PITS'!C73,'IP PITSS'!$B$9:$M$93,12),0)+VLOOKUP("Comision",'IP PITSS'!$I$99:$J$110,2)/COUNT($F$9:$F$111)+IFERROR(VLOOKUP('RESUMEN PITS'!C73,'IP PITSS'!$B$9:$AD$93,15),0)+IFERROR(VLOOKUP('RESUMEN PITS'!C73,'IP PITSS'!$B$9:$AD$93,21),0)+IFERROR(VLOOKUP('RESUMEN PITS'!C73,'IP PITSS'!$B$9:$AD$93,22),0)+IFERROR(VLOOKUP('RESUMEN PITS'!C73,'IP PITSS'!$B$9:$AD$93,23),0)+IFERROR(VLOOKUP('RESUMEN PITS'!C73,'IP PITSS'!$B$9:$AD$93,24),0)+IFERROR(VLOOKUP('RESUMEN PITS'!C73,'IP PITSS'!$B$9:$AD$93,26),0)+IFERROR(VLOOKUP('RESUMEN PITS'!C73,'IP PITSS'!$B$9:$AD$93,28),0)+IFERROR(VLOOKUP('RESUMEN PITS'!C73,'IP PITSS'!$B$9:$AD$93,29),0)+IFERROR(VLOOKUP('RESUMEN PITS'!C73,'IP PITSS'!$B$9:$AD$93,9),0)*2%</f>
        <v>7414.5349242718448</v>
      </c>
      <c r="W73" s="10">
        <f t="shared" si="3"/>
        <v>-1414.5349242718448</v>
      </c>
      <c r="X73" s="36"/>
      <c r="Y73" s="19" t="s">
        <v>130</v>
      </c>
    </row>
    <row r="74" spans="1:25" x14ac:dyDescent="0.2">
      <c r="A74" s="70" t="s">
        <v>223</v>
      </c>
      <c r="B74" s="11" t="s">
        <v>89</v>
      </c>
      <c r="C74" s="70" t="s">
        <v>149</v>
      </c>
      <c r="D74" s="5">
        <f>+VLOOKUP(C74,'IP PITSS'!$B$9:U141,20,0)</f>
        <v>2647.6</v>
      </c>
      <c r="E74" s="72"/>
      <c r="F74" s="67">
        <f>VLOOKUP(C74,'SIND PITS'!$C$9:$H$113,2,0)</f>
        <v>1667.4900000000002</v>
      </c>
      <c r="G74" s="67">
        <f>VLOOKUP(C74,'SIND PITS'!$C$9:$E$113,3,0)</f>
        <v>90</v>
      </c>
      <c r="H74" s="67">
        <f>VLOOKUP(C74,'SIND PITS'!$C$9:$F$113,4,0)</f>
        <v>0</v>
      </c>
      <c r="I74" s="67">
        <f>VLOOKUP(C74,'SIND PITS'!$C$9:$G$113,5,0)</f>
        <v>0</v>
      </c>
      <c r="J74" s="69"/>
      <c r="K74" s="19">
        <f t="shared" ref="K74:K111" si="5">SUM(D74:I74)</f>
        <v>4405.09</v>
      </c>
      <c r="L74" s="67">
        <v>10000</v>
      </c>
      <c r="M74" s="67">
        <f t="shared" si="4"/>
        <v>5000</v>
      </c>
      <c r="N74" s="69"/>
      <c r="O74" s="19">
        <f>+VLOOKUP(C74,'IP PITSS'!$B$9:I141,8,0)</f>
        <v>0</v>
      </c>
      <c r="P74" s="19">
        <f t="shared" ref="P74:P111" si="6">+G74+H74+I74</f>
        <v>90</v>
      </c>
      <c r="Q74" s="68">
        <f>+(VLOOKUP(C74,'IP PITSS'!$B$9:L141,11,0))+VLOOKUP('RESUMEN PITS'!C74,'IP PITSS'!$B$9:M141,12,0)+VLOOKUP(C74,'IP PITSS'!$B$9:K141,10,0)</f>
        <v>684.91</v>
      </c>
      <c r="R74" s="68">
        <f>VLOOKUP(C74,'IP PITSS'!$B$9:Q137,16,0)</f>
        <v>0</v>
      </c>
      <c r="S74" s="19">
        <f>+VLOOKUP(C74,'EXTRAS Y FESTIVOS'!$B$9:J176,9,0)</f>
        <v>0</v>
      </c>
      <c r="T74" s="68">
        <f>VLOOKUP(C74,'IP PITSS'!$B$9:R137,17,0)</f>
        <v>0</v>
      </c>
      <c r="U74" s="69"/>
      <c r="V74" s="19">
        <f>+K74-O74-P74+Q74+R74+T74+S74+IFERROR(VLOOKUP('RESUMEN PITS'!C74,'IP PITSS'!$B$9:$M$93,10),0)+IFERROR(VLOOKUP('RESUMEN PITS'!C74,'IP PITSS'!$B$9:$M$93,11),0)+IFERROR(VLOOKUP('RESUMEN PITS'!C74,'IP PITSS'!$B$9:$M$93,12),0)+VLOOKUP("Comision",'IP PITSS'!$I$99:$J$110,2)/COUNT($F$9:$F$111)+IFERROR(VLOOKUP('RESUMEN PITS'!C74,'IP PITSS'!$B$9:$AD$93,15),0)+IFERROR(VLOOKUP('RESUMEN PITS'!C74,'IP PITSS'!$B$9:$AD$93,21),0)+IFERROR(VLOOKUP('RESUMEN PITS'!C74,'IP PITSS'!$B$9:$AD$93,22),0)+IFERROR(VLOOKUP('RESUMEN PITS'!C74,'IP PITSS'!$B$9:$AD$93,23),0)+IFERROR(VLOOKUP('RESUMEN PITS'!C74,'IP PITSS'!$B$9:$AD$93,24),0)+IFERROR(VLOOKUP('RESUMEN PITS'!C74,'IP PITSS'!$B$9:$AD$93,26),0)+IFERROR(VLOOKUP('RESUMEN PITS'!C74,'IP PITSS'!$B$9:$AD$93,28),0)+IFERROR(VLOOKUP('RESUMEN PITS'!C74,'IP PITSS'!$B$9:$AD$93,29),0)+IFERROR(VLOOKUP('RESUMEN PITS'!C74,'IP PITSS'!$B$9:$AD$93,9),0)*2%</f>
        <v>6414.5349242718448</v>
      </c>
      <c r="W74" s="10">
        <f t="shared" ref="W74:W111" si="7">+M74-V74-S74</f>
        <v>-1414.5349242718448</v>
      </c>
      <c r="X74" s="10"/>
      <c r="Y74" s="19" t="s">
        <v>150</v>
      </c>
    </row>
    <row r="75" spans="1:25" x14ac:dyDescent="0.2">
      <c r="A75" s="70" t="s">
        <v>363</v>
      </c>
      <c r="B75" s="11" t="s">
        <v>89</v>
      </c>
      <c r="C75" s="70" t="s">
        <v>236</v>
      </c>
      <c r="D75" s="5">
        <f>+VLOOKUP(C75,'IP PITSS'!$B$9:U142,20,0)</f>
        <v>2547.6</v>
      </c>
      <c r="E75" s="72"/>
      <c r="F75" s="67">
        <f>VLOOKUP(C75,'SIND PITS'!$C$9:$H$113,2,0)</f>
        <v>2552.4</v>
      </c>
      <c r="G75" s="67">
        <f>VLOOKUP(C75,'SIND PITS'!$C$9:$E$113,3,0)</f>
        <v>250</v>
      </c>
      <c r="H75" s="67">
        <f>VLOOKUP(C75,'SIND PITS'!$C$9:$F$113,4,0)</f>
        <v>0</v>
      </c>
      <c r="I75" s="67">
        <f>VLOOKUP(C75,'SIND PITS'!$C$9:$G$113,5,0)</f>
        <v>99.999999999999972</v>
      </c>
      <c r="J75" s="69"/>
      <c r="K75" s="19">
        <f t="shared" si="5"/>
        <v>5450</v>
      </c>
      <c r="L75" s="67">
        <v>10000</v>
      </c>
      <c r="M75" s="67">
        <f t="shared" si="4"/>
        <v>5000</v>
      </c>
      <c r="N75" s="69"/>
      <c r="O75" s="19">
        <f>+VLOOKUP(C75,'IP PITSS'!$B$9:I142,8,0)</f>
        <v>100</v>
      </c>
      <c r="P75" s="19">
        <f t="shared" si="6"/>
        <v>350</v>
      </c>
      <c r="Q75" s="68">
        <f>+(VLOOKUP(C75,'IP PITSS'!$B$9:L142,11,0))+VLOOKUP('RESUMEN PITS'!C75,'IP PITSS'!$B$9:M142,12,0)+VLOOKUP(C75,'IP PITSS'!$B$9:K142,10,0)</f>
        <v>0</v>
      </c>
      <c r="R75" s="68">
        <f>VLOOKUP(C75,'IP PITSS'!$B$9:Q138,16,0)</f>
        <v>0</v>
      </c>
      <c r="S75" s="19">
        <f>+VLOOKUP(C75,'EXTRAS Y FESTIVOS'!$B$9:J177,9,0)</f>
        <v>0</v>
      </c>
      <c r="T75" s="68">
        <f>VLOOKUP(C75,'IP PITSS'!$B$9:R138,17,0)</f>
        <v>0</v>
      </c>
      <c r="U75" s="69"/>
      <c r="V75" s="19">
        <f>+K75-O75-P75+Q75+R75+T75+S75+IFERROR(VLOOKUP('RESUMEN PITS'!C75,'IP PITSS'!$B$9:$M$93,10),0)+IFERROR(VLOOKUP('RESUMEN PITS'!C75,'IP PITSS'!$B$9:$M$93,11),0)+IFERROR(VLOOKUP('RESUMEN PITS'!C75,'IP PITSS'!$B$9:$M$93,12),0)+VLOOKUP("Comision",'IP PITSS'!$I$99:$J$110,2)/COUNT($F$9:$F$111)+IFERROR(VLOOKUP('RESUMEN PITS'!C75,'IP PITSS'!$B$9:$AD$93,15),0)+IFERROR(VLOOKUP('RESUMEN PITS'!C75,'IP PITSS'!$B$9:$AD$93,21),0)+IFERROR(VLOOKUP('RESUMEN PITS'!C75,'IP PITSS'!$B$9:$AD$93,22),0)+IFERROR(VLOOKUP('RESUMEN PITS'!C75,'IP PITSS'!$B$9:$AD$93,23),0)+IFERROR(VLOOKUP('RESUMEN PITS'!C75,'IP PITSS'!$B$9:$AD$93,24),0)+IFERROR(VLOOKUP('RESUMEN PITS'!C75,'IP PITSS'!$B$9:$AD$93,26),0)+IFERROR(VLOOKUP('RESUMEN PITS'!C75,'IP PITSS'!$B$9:$AD$93,28),0)+IFERROR(VLOOKUP('RESUMEN PITS'!C75,'IP PITSS'!$B$9:$AD$93,29),0)+IFERROR(VLOOKUP('RESUMEN PITS'!C75,'IP PITSS'!$B$9:$AD$93,9),0)*2%</f>
        <v>6212.5669242718441</v>
      </c>
      <c r="W75" s="10">
        <f t="shared" si="7"/>
        <v>-1212.5669242718441</v>
      </c>
      <c r="X75" s="10"/>
      <c r="Y75" s="19" t="s">
        <v>237</v>
      </c>
    </row>
    <row r="76" spans="1:25" x14ac:dyDescent="0.2">
      <c r="A76" s="70" t="s">
        <v>92</v>
      </c>
      <c r="B76" s="11" t="s">
        <v>89</v>
      </c>
      <c r="C76" s="70" t="s">
        <v>227</v>
      </c>
      <c r="D76" s="5">
        <f>+VLOOKUP(C76,'IP PITSS'!$B$9:U143,20,0)</f>
        <v>1927.4</v>
      </c>
      <c r="E76" s="72"/>
      <c r="F76" s="67">
        <f>VLOOKUP(C76,'SIND PITS'!$C$9:$H$113,2,0)</f>
        <v>1694.2399999999998</v>
      </c>
      <c r="G76" s="67">
        <f>VLOOKUP(C76,'SIND PITS'!$C$9:$E$113,3,0)</f>
        <v>262.5</v>
      </c>
      <c r="H76" s="67">
        <f>VLOOKUP(C76,'SIND PITS'!$C$9:$F$113,4,0)</f>
        <v>0</v>
      </c>
      <c r="I76" s="67">
        <f>VLOOKUP(C76,'SIND PITS'!$C$9:$G$113,5,0)</f>
        <v>0</v>
      </c>
      <c r="J76" s="69"/>
      <c r="K76" s="19">
        <f t="shared" si="5"/>
        <v>3884.14</v>
      </c>
      <c r="L76" s="67">
        <v>9000</v>
      </c>
      <c r="M76" s="67">
        <f t="shared" si="4"/>
        <v>4500</v>
      </c>
      <c r="N76" s="69"/>
      <c r="O76" s="19">
        <f>+VLOOKUP(C76,'IP PITSS'!$B$9:I143,8,0)</f>
        <v>0</v>
      </c>
      <c r="P76" s="19">
        <f t="shared" si="6"/>
        <v>262.5</v>
      </c>
      <c r="Q76" s="68">
        <f>+(VLOOKUP(C76,'IP PITSS'!$B$9:L143,11,0))+VLOOKUP('RESUMEN PITS'!C76,'IP PITSS'!$B$9:M143,12,0)+VLOOKUP(C76,'IP PITSS'!$B$9:K143,10,0)</f>
        <v>878.36</v>
      </c>
      <c r="R76" s="68">
        <f>VLOOKUP(C76,'IP PITSS'!$B$9:Q139,16,0)</f>
        <v>0</v>
      </c>
      <c r="S76" s="19">
        <f>+VLOOKUP(C76,'EXTRAS Y FESTIVOS'!$B$9:J178,9,0)</f>
        <v>0</v>
      </c>
      <c r="T76" s="68">
        <f>VLOOKUP(C76,'IP PITSS'!$B$9:R139,17,0)</f>
        <v>0</v>
      </c>
      <c r="U76" s="69"/>
      <c r="V76" s="19">
        <f>+K76-O76-P76+Q76+R76+T76+S76+IFERROR(VLOOKUP('RESUMEN PITS'!C76,'IP PITSS'!$B$9:$M$93,10),0)+IFERROR(VLOOKUP('RESUMEN PITS'!C76,'IP PITSS'!$B$9:$M$93,11),0)+IFERROR(VLOOKUP('RESUMEN PITS'!C76,'IP PITSS'!$B$9:$M$93,12),0)+VLOOKUP("Comision",'IP PITSS'!$I$99:$J$110,2)/COUNT($F$9:$F$111)+IFERROR(VLOOKUP('RESUMEN PITS'!C76,'IP PITSS'!$B$9:$AD$93,15),0)+IFERROR(VLOOKUP('RESUMEN PITS'!C76,'IP PITSS'!$B$9:$AD$93,21),0)+IFERROR(VLOOKUP('RESUMEN PITS'!C76,'IP PITSS'!$B$9:$AD$93,22),0)+IFERROR(VLOOKUP('RESUMEN PITS'!C76,'IP PITSS'!$B$9:$AD$93,23),0)+IFERROR(VLOOKUP('RESUMEN PITS'!C76,'IP PITSS'!$B$9:$AD$93,24),0)+IFERROR(VLOOKUP('RESUMEN PITS'!C76,'IP PITSS'!$B$9:$AD$93,26),0)+IFERROR(VLOOKUP('RESUMEN PITS'!C76,'IP PITSS'!$B$9:$AD$93,28),0)+IFERROR(VLOOKUP('RESUMEN PITS'!C76,'IP PITSS'!$B$9:$AD$93,29),0)+IFERROR(VLOOKUP('RESUMEN PITS'!C76,'IP PITSS'!$B$9:$AD$93,9),0)*2%</f>
        <v>6675.4699242718434</v>
      </c>
      <c r="W76" s="10">
        <f t="shared" si="7"/>
        <v>-2175.4699242718434</v>
      </c>
      <c r="X76" s="10"/>
      <c r="Y76" s="19" t="s">
        <v>228</v>
      </c>
    </row>
    <row r="77" spans="1:25" x14ac:dyDescent="0.2">
      <c r="A77" s="70" t="s">
        <v>364</v>
      </c>
      <c r="B77" s="11" t="s">
        <v>89</v>
      </c>
      <c r="C77" s="70" t="s">
        <v>288</v>
      </c>
      <c r="D77" s="5">
        <f>+VLOOKUP(C77,'IP PITSS'!$B$9:U144,20,0)</f>
        <v>1470</v>
      </c>
      <c r="E77" s="72"/>
      <c r="F77" s="67">
        <f>VLOOKUP(C77,'SIND PITS'!$C$9:$H$113,2,0)</f>
        <v>2194.04</v>
      </c>
      <c r="G77" s="67">
        <f>VLOOKUP(C77,'SIND PITS'!$C$9:$E$113,3,0)</f>
        <v>110</v>
      </c>
      <c r="H77" s="67">
        <f>VLOOKUP(C77,'SIND PITS'!$C$9:$F$113,4,0)</f>
        <v>0</v>
      </c>
      <c r="I77" s="67">
        <f>VLOOKUP(C77,'SIND PITS'!$C$9:$G$113,5,0)</f>
        <v>0</v>
      </c>
      <c r="J77" s="69"/>
      <c r="K77" s="19">
        <f t="shared" si="5"/>
        <v>3774.04</v>
      </c>
      <c r="L77" s="67">
        <v>10000</v>
      </c>
      <c r="M77" s="67">
        <f t="shared" si="4"/>
        <v>5000</v>
      </c>
      <c r="N77" s="69"/>
      <c r="O77" s="19">
        <f>+VLOOKUP(C77,'IP PITSS'!$B$9:I144,8,0)</f>
        <v>0</v>
      </c>
      <c r="P77" s="19">
        <f t="shared" si="6"/>
        <v>110</v>
      </c>
      <c r="Q77" s="68">
        <f>+(VLOOKUP(C77,'IP PITSS'!$B$9:L144,11,0))+VLOOKUP('RESUMEN PITS'!C77,'IP PITSS'!$B$9:M144,12,0)+VLOOKUP(C77,'IP PITSS'!$B$9:K144,10,0)</f>
        <v>899.86</v>
      </c>
      <c r="R77" s="68">
        <f>VLOOKUP(C77,'IP PITSS'!$B$9:Q140,16,0)</f>
        <v>0</v>
      </c>
      <c r="S77" s="19">
        <f>+VLOOKUP(C77,'EXTRAS Y FESTIVOS'!$B$9:J179,9,0)</f>
        <v>0</v>
      </c>
      <c r="T77" s="68">
        <f>VLOOKUP(C77,'IP PITSS'!$B$9:R140,17,0)</f>
        <v>436.1</v>
      </c>
      <c r="U77" s="69"/>
      <c r="V77" s="19">
        <f>+K77-O77-P77+Q77+R77+T77+S77+IFERROR(VLOOKUP('RESUMEN PITS'!C77,'IP PITSS'!$B$9:$M$93,10),0)+IFERROR(VLOOKUP('RESUMEN PITS'!C77,'IP PITSS'!$B$9:$M$93,11),0)+IFERROR(VLOOKUP('RESUMEN PITS'!C77,'IP PITSS'!$B$9:$M$93,12),0)+VLOOKUP("Comision",'IP PITSS'!$I$99:$J$110,2)/COUNT($F$9:$F$111)+IFERROR(VLOOKUP('RESUMEN PITS'!C77,'IP PITSS'!$B$9:$AD$93,15),0)+IFERROR(VLOOKUP('RESUMEN PITS'!C77,'IP PITSS'!$B$9:$AD$93,21),0)+IFERROR(VLOOKUP('RESUMEN PITS'!C77,'IP PITSS'!$B$9:$AD$93,22),0)+IFERROR(VLOOKUP('RESUMEN PITS'!C77,'IP PITSS'!$B$9:$AD$93,23),0)+IFERROR(VLOOKUP('RESUMEN PITS'!C77,'IP PITSS'!$B$9:$AD$93,24),0)+IFERROR(VLOOKUP('RESUMEN PITS'!C77,'IP PITSS'!$B$9:$AD$93,26),0)+IFERROR(VLOOKUP('RESUMEN PITS'!C77,'IP PITSS'!$B$9:$AD$93,28),0)+IFERROR(VLOOKUP('RESUMEN PITS'!C77,'IP PITSS'!$B$9:$AD$93,29),0)+IFERROR(VLOOKUP('RESUMEN PITS'!C77,'IP PITSS'!$B$9:$AD$93,9),0)*2%</f>
        <v>6342.3659242718441</v>
      </c>
      <c r="W77" s="10">
        <f t="shared" si="7"/>
        <v>-1342.3659242718441</v>
      </c>
      <c r="X77" s="10"/>
      <c r="Y77" s="19" t="s">
        <v>289</v>
      </c>
    </row>
    <row r="78" spans="1:25" x14ac:dyDescent="0.2">
      <c r="A78" s="70" t="s">
        <v>70</v>
      </c>
      <c r="B78" s="11" t="s">
        <v>89</v>
      </c>
      <c r="C78" s="70" t="s">
        <v>126</v>
      </c>
      <c r="D78" s="5">
        <f>+VLOOKUP(C78,'IP PITSS'!$B$9:U145,20,0)</f>
        <v>2446.6</v>
      </c>
      <c r="E78" s="72"/>
      <c r="F78" s="67">
        <f>VLOOKUP(C78,'SIND PITS'!$C$9:$H$113,2,0)</f>
        <v>2553.4</v>
      </c>
      <c r="G78" s="67">
        <f>VLOOKUP(C78,'SIND PITS'!$C$9:$E$113,3,0)</f>
        <v>400</v>
      </c>
      <c r="H78" s="67">
        <f>VLOOKUP(C78,'SIND PITS'!$C$9:$F$113,4,0)</f>
        <v>0</v>
      </c>
      <c r="I78" s="67">
        <f>VLOOKUP(C78,'SIND PITS'!$C$9:$G$113,5,0)</f>
        <v>0</v>
      </c>
      <c r="J78" s="69"/>
      <c r="K78" s="19">
        <f t="shared" si="5"/>
        <v>5400</v>
      </c>
      <c r="L78" s="67">
        <v>10000</v>
      </c>
      <c r="M78" s="67">
        <f t="shared" si="4"/>
        <v>5000</v>
      </c>
      <c r="N78" s="69"/>
      <c r="O78" s="19">
        <f>+VLOOKUP(C78,'IP PITSS'!$B$9:I145,8,0)</f>
        <v>0</v>
      </c>
      <c r="P78" s="19">
        <f t="shared" si="6"/>
        <v>400</v>
      </c>
      <c r="Q78" s="68">
        <f>+(VLOOKUP(C78,'IP PITSS'!$B$9:L145,11,0))+VLOOKUP('RESUMEN PITS'!C78,'IP PITSS'!$B$9:M145,12,0)+VLOOKUP(C78,'IP PITSS'!$B$9:K145,10,0)</f>
        <v>0</v>
      </c>
      <c r="R78" s="68">
        <f>VLOOKUP(C78,'IP PITSS'!$B$9:Q141,16,0)</f>
        <v>0</v>
      </c>
      <c r="S78" s="19">
        <f>+VLOOKUP(C78,'EXTRAS Y FESTIVOS'!$B$9:J180,9,0)</f>
        <v>0</v>
      </c>
      <c r="T78" s="68">
        <f>VLOOKUP(C78,'IP PITSS'!$B$9:R141,17,0)</f>
        <v>0</v>
      </c>
      <c r="U78" s="69"/>
      <c r="V78" s="19">
        <f>+K78-O78-P78+Q78+R78+T78+S78+IFERROR(VLOOKUP('RESUMEN PITS'!C78,'IP PITSS'!$B$9:$M$93,10),0)+IFERROR(VLOOKUP('RESUMEN PITS'!C78,'IP PITSS'!$B$9:$M$93,11),0)+IFERROR(VLOOKUP('RESUMEN PITS'!C78,'IP PITSS'!$B$9:$M$93,12),0)+VLOOKUP("Comision",'IP PITSS'!$I$99:$J$110,2)/COUNT($F$9:$F$111)+IFERROR(VLOOKUP('RESUMEN PITS'!C78,'IP PITSS'!$B$9:$AD$93,15),0)+IFERROR(VLOOKUP('RESUMEN PITS'!C78,'IP PITSS'!$B$9:$AD$93,21),0)+IFERROR(VLOOKUP('RESUMEN PITS'!C78,'IP PITSS'!$B$9:$AD$93,22),0)+IFERROR(VLOOKUP('RESUMEN PITS'!C78,'IP PITSS'!$B$9:$AD$93,23),0)+IFERROR(VLOOKUP('RESUMEN PITS'!C78,'IP PITSS'!$B$9:$AD$93,24),0)+IFERROR(VLOOKUP('RESUMEN PITS'!C78,'IP PITSS'!$B$9:$AD$93,26),0)+IFERROR(VLOOKUP('RESUMEN PITS'!C78,'IP PITSS'!$B$9:$AD$93,28),0)+IFERROR(VLOOKUP('RESUMEN PITS'!C78,'IP PITSS'!$B$9:$AD$93,29),0)+IFERROR(VLOOKUP('RESUMEN PITS'!C78,'IP PITSS'!$B$9:$AD$93,9),0)*2%</f>
        <v>6414.5349242718448</v>
      </c>
      <c r="W78" s="10">
        <f t="shared" si="7"/>
        <v>-1414.5349242718448</v>
      </c>
      <c r="X78" s="10"/>
      <c r="Y78" s="19" t="s">
        <v>127</v>
      </c>
    </row>
    <row r="79" spans="1:25" x14ac:dyDescent="0.2">
      <c r="A79" s="70" t="s">
        <v>185</v>
      </c>
      <c r="B79" s="11" t="s">
        <v>89</v>
      </c>
      <c r="C79" s="77" t="s">
        <v>420</v>
      </c>
      <c r="D79" s="5">
        <f>+VLOOKUP(C79,'IP PITSS'!$B$9:U146,20,0)</f>
        <v>2612</v>
      </c>
      <c r="E79" s="72"/>
      <c r="F79" s="67">
        <f>VLOOKUP(C79,'SIND PITS'!$C$9:$H$113,2,0)</f>
        <v>284.23</v>
      </c>
      <c r="G79" s="67">
        <f>VLOOKUP(C79,'SIND PITS'!$C$9:$E$113,3,0)</f>
        <v>281.25</v>
      </c>
      <c r="H79" s="67">
        <f>VLOOKUP(C79,'SIND PITS'!$C$9:$F$113,4,0)</f>
        <v>0</v>
      </c>
      <c r="I79" s="67">
        <f>VLOOKUP(C79,'SIND PITS'!$C$9:$G$113,5,0)</f>
        <v>0</v>
      </c>
      <c r="J79" s="69"/>
      <c r="K79" s="19">
        <f t="shared" si="5"/>
        <v>3177.48</v>
      </c>
      <c r="L79" s="68">
        <v>6300</v>
      </c>
      <c r="M79" s="67">
        <f t="shared" si="4"/>
        <v>3150</v>
      </c>
      <c r="N79" s="69"/>
      <c r="O79" s="19">
        <f>+VLOOKUP(C79,'IP PITSS'!$B$9:I146,8,0)</f>
        <v>0</v>
      </c>
      <c r="P79" s="19">
        <f t="shared" si="6"/>
        <v>281.25</v>
      </c>
      <c r="Q79" s="68">
        <f>+(VLOOKUP(C79,'IP PITSS'!$B$9:L146,11,0))+VLOOKUP('RESUMEN PITS'!C79,'IP PITSS'!$B$9:M146,12,0)+VLOOKUP(C79,'IP PITSS'!$B$9:K146,10,0)</f>
        <v>0</v>
      </c>
      <c r="R79" s="68">
        <f>VLOOKUP(C79,'IP PITSS'!$B$9:Q142,16,0)</f>
        <v>0</v>
      </c>
      <c r="S79" s="19">
        <f>+VLOOKUP(C79,'EXTRAS Y FESTIVOS'!$B$9:J181,9,0)</f>
        <v>0</v>
      </c>
      <c r="T79" s="68">
        <f>VLOOKUP(C79,'IP PITSS'!$B$9:R142,17,0)</f>
        <v>253.77</v>
      </c>
      <c r="U79" s="69"/>
      <c r="V79" s="19">
        <f>+K79-O79-P79+Q79+R79+T79+S79+IFERROR(VLOOKUP('RESUMEN PITS'!C79,'IP PITSS'!$B$9:$M$93,10),0)+IFERROR(VLOOKUP('RESUMEN PITS'!C79,'IP PITSS'!$B$9:$M$93,11),0)+IFERROR(VLOOKUP('RESUMEN PITS'!C79,'IP PITSS'!$B$9:$M$93,12),0)+VLOOKUP("Comision",'IP PITSS'!$I$99:$J$110,2)/COUNT($F$9:$F$111)+IFERROR(VLOOKUP('RESUMEN PITS'!C79,'IP PITSS'!$B$9:$AD$93,15),0)+IFERROR(VLOOKUP('RESUMEN PITS'!C79,'IP PITSS'!$B$9:$AD$93,21),0)+IFERROR(VLOOKUP('RESUMEN PITS'!C79,'IP PITSS'!$B$9:$AD$93,22),0)+IFERROR(VLOOKUP('RESUMEN PITS'!C79,'IP PITSS'!$B$9:$AD$93,23),0)+IFERROR(VLOOKUP('RESUMEN PITS'!C79,'IP PITSS'!$B$9:$AD$93,24),0)+IFERROR(VLOOKUP('RESUMEN PITS'!C79,'IP PITSS'!$B$9:$AD$93,26),0)+IFERROR(VLOOKUP('RESUMEN PITS'!C79,'IP PITSS'!$B$9:$AD$93,28),0)+IFERROR(VLOOKUP('RESUMEN PITS'!C79,'IP PITSS'!$B$9:$AD$93,29),0)+IFERROR(VLOOKUP('RESUMEN PITS'!C79,'IP PITSS'!$B$9:$AD$93,9),0)*2%</f>
        <v>4564.5349242718439</v>
      </c>
      <c r="W79" s="10">
        <f t="shared" si="7"/>
        <v>-1414.5349242718439</v>
      </c>
      <c r="X79" s="10"/>
      <c r="Y79" s="19" t="s">
        <v>186</v>
      </c>
    </row>
    <row r="80" spans="1:25" x14ac:dyDescent="0.2">
      <c r="A80" s="70" t="s">
        <v>365</v>
      </c>
      <c r="B80" s="11" t="s">
        <v>89</v>
      </c>
      <c r="C80" s="77" t="s">
        <v>419</v>
      </c>
      <c r="D80" s="5">
        <f>+VLOOKUP(C80,'IP PITSS'!$B$9:U147,20,0)</f>
        <v>2446.8000000000002</v>
      </c>
      <c r="E80" s="72"/>
      <c r="F80" s="67">
        <f>VLOOKUP(C80,'SIND PITS'!$C$9:$H$113,2,0)</f>
        <v>3553.2</v>
      </c>
      <c r="G80" s="67">
        <f>VLOOKUP(C80,'SIND PITS'!$C$9:$E$113,3,0)</f>
        <v>187.5</v>
      </c>
      <c r="H80" s="67">
        <f>VLOOKUP(C80,'SIND PITS'!$C$9:$F$113,4,0)</f>
        <v>0</v>
      </c>
      <c r="I80" s="67">
        <f>VLOOKUP(C80,'SIND PITS'!$C$9:$G$113,5,0)</f>
        <v>0</v>
      </c>
      <c r="J80" s="69"/>
      <c r="K80" s="19">
        <f t="shared" si="5"/>
        <v>6187.5</v>
      </c>
      <c r="L80" s="67">
        <v>12000</v>
      </c>
      <c r="M80" s="67">
        <f t="shared" si="4"/>
        <v>6000</v>
      </c>
      <c r="N80" s="69"/>
      <c r="O80" s="19">
        <f>+VLOOKUP(C80,'IP PITSS'!$B$9:I147,8,0)</f>
        <v>0</v>
      </c>
      <c r="P80" s="19">
        <f t="shared" si="6"/>
        <v>187.5</v>
      </c>
      <c r="Q80" s="68">
        <f>+(VLOOKUP(C80,'IP PITSS'!$B$9:L147,11,0))+VLOOKUP('RESUMEN PITS'!C80,'IP PITSS'!$B$9:M147,12,0)+VLOOKUP(C80,'IP PITSS'!$B$9:K147,10,0)</f>
        <v>0</v>
      </c>
      <c r="R80" s="68">
        <f>VLOOKUP(C80,'IP PITSS'!$B$9:Q143,16,0)</f>
        <v>0</v>
      </c>
      <c r="S80" s="19">
        <f>+VLOOKUP(C80,'EXTRAS Y FESTIVOS'!$B$9:J182,9,0)</f>
        <v>0</v>
      </c>
      <c r="T80" s="68">
        <f>VLOOKUP(C80,'IP PITSS'!$B$9:R143,17,0)</f>
        <v>0</v>
      </c>
      <c r="U80" s="69"/>
      <c r="V80" s="19">
        <f>+K80-O80-P80+Q80+R80+T80+S80+IFERROR(VLOOKUP('RESUMEN PITS'!C80,'IP PITSS'!$B$9:$M$93,10),0)+IFERROR(VLOOKUP('RESUMEN PITS'!C80,'IP PITSS'!$B$9:$M$93,11),0)+IFERROR(VLOOKUP('RESUMEN PITS'!C80,'IP PITSS'!$B$9:$M$93,12),0)+VLOOKUP("Comision",'IP PITSS'!$I$99:$J$110,2)/COUNT($F$9:$F$111)+IFERROR(VLOOKUP('RESUMEN PITS'!C80,'IP PITSS'!$B$9:$AD$93,15),0)+IFERROR(VLOOKUP('RESUMEN PITS'!C80,'IP PITSS'!$B$9:$AD$93,21),0)+IFERROR(VLOOKUP('RESUMEN PITS'!C80,'IP PITSS'!$B$9:$AD$93,22),0)+IFERROR(VLOOKUP('RESUMEN PITS'!C80,'IP PITSS'!$B$9:$AD$93,23),0)+IFERROR(VLOOKUP('RESUMEN PITS'!C80,'IP PITSS'!$B$9:$AD$93,24),0)+IFERROR(VLOOKUP('RESUMEN PITS'!C80,'IP PITSS'!$B$9:$AD$93,26),0)+IFERROR(VLOOKUP('RESUMEN PITS'!C80,'IP PITSS'!$B$9:$AD$93,28),0)+IFERROR(VLOOKUP('RESUMEN PITS'!C80,'IP PITSS'!$B$9:$AD$93,29),0)+IFERROR(VLOOKUP('RESUMEN PITS'!C80,'IP PITSS'!$B$9:$AD$93,9),0)*2%</f>
        <v>7212.5669242718441</v>
      </c>
      <c r="W80" s="10">
        <f t="shared" si="7"/>
        <v>-1212.5669242718441</v>
      </c>
      <c r="X80" s="10"/>
      <c r="Y80" s="19" t="s">
        <v>245</v>
      </c>
    </row>
    <row r="81" spans="1:25" x14ac:dyDescent="0.2">
      <c r="A81" s="70" t="s">
        <v>204</v>
      </c>
      <c r="B81" s="11" t="s">
        <v>89</v>
      </c>
      <c r="C81" s="70" t="s">
        <v>205</v>
      </c>
      <c r="D81" s="5">
        <f>+VLOOKUP(C81,'IP PITSS'!$B$9:U148,20,0)</f>
        <v>2447</v>
      </c>
      <c r="E81" s="72"/>
      <c r="F81" s="67">
        <f>VLOOKUP(C81,'SIND PITS'!$C$9:$H$113,2,0)</f>
        <v>53</v>
      </c>
      <c r="G81" s="67">
        <f>VLOOKUP(C81,'SIND PITS'!$C$9:$E$113,3,0)</f>
        <v>160</v>
      </c>
      <c r="H81" s="67">
        <f>VLOOKUP(C81,'SIND PITS'!$C$9:$F$113,4,0)</f>
        <v>0</v>
      </c>
      <c r="I81" s="67">
        <f>VLOOKUP(C81,'SIND PITS'!$C$9:$G$113,5,0)</f>
        <v>0</v>
      </c>
      <c r="J81" s="69"/>
      <c r="K81" s="19">
        <f t="shared" si="5"/>
        <v>2660</v>
      </c>
      <c r="L81" s="67">
        <v>5000</v>
      </c>
      <c r="M81" s="67">
        <f t="shared" si="4"/>
        <v>2500</v>
      </c>
      <c r="N81" s="69"/>
      <c r="O81" s="19">
        <f>+VLOOKUP(C81,'IP PITSS'!$B$9:I148,8,0)</f>
        <v>0</v>
      </c>
      <c r="P81" s="19">
        <f t="shared" si="6"/>
        <v>160</v>
      </c>
      <c r="Q81" s="68">
        <f>+(VLOOKUP(C81,'IP PITSS'!$B$9:L148,11,0))+VLOOKUP('RESUMEN PITS'!C81,'IP PITSS'!$B$9:M148,12,0)+VLOOKUP(C81,'IP PITSS'!$B$9:K148,10,0)</f>
        <v>0</v>
      </c>
      <c r="R81" s="68">
        <f>VLOOKUP(C81,'IP PITSS'!$B$9:Q144,16,0)</f>
        <v>0</v>
      </c>
      <c r="S81" s="19">
        <f>+VLOOKUP(C81,'EXTRAS Y FESTIVOS'!$B$9:J183,9,0)</f>
        <v>0</v>
      </c>
      <c r="T81" s="68">
        <f>VLOOKUP(C81,'IP PITSS'!$B$9:R144,17,0)</f>
        <v>0</v>
      </c>
      <c r="U81" s="69"/>
      <c r="V81" s="19">
        <f>+K81-O81-P81+Q81+R81+T81+S81+IFERROR(VLOOKUP('RESUMEN PITS'!C81,'IP PITSS'!$B$9:$M$93,10),0)+IFERROR(VLOOKUP('RESUMEN PITS'!C81,'IP PITSS'!$B$9:$M$93,11),0)+IFERROR(VLOOKUP('RESUMEN PITS'!C81,'IP PITSS'!$B$9:$M$93,12),0)+VLOOKUP("Comision",'IP PITSS'!$I$99:$J$110,2)/COUNT($F$9:$F$111)+IFERROR(VLOOKUP('RESUMEN PITS'!C81,'IP PITSS'!$B$9:$AD$93,15),0)+IFERROR(VLOOKUP('RESUMEN PITS'!C81,'IP PITSS'!$B$9:$AD$93,21),0)+IFERROR(VLOOKUP('RESUMEN PITS'!C81,'IP PITSS'!$B$9:$AD$93,22),0)+IFERROR(VLOOKUP('RESUMEN PITS'!C81,'IP PITSS'!$B$9:$AD$93,23),0)+IFERROR(VLOOKUP('RESUMEN PITS'!C81,'IP PITSS'!$B$9:$AD$93,24),0)+IFERROR(VLOOKUP('RESUMEN PITS'!C81,'IP PITSS'!$B$9:$AD$93,26),0)+IFERROR(VLOOKUP('RESUMEN PITS'!C81,'IP PITSS'!$B$9:$AD$93,28),0)+IFERROR(VLOOKUP('RESUMEN PITS'!C81,'IP PITSS'!$B$9:$AD$93,29),0)+IFERROR(VLOOKUP('RESUMEN PITS'!C81,'IP PITSS'!$B$9:$AD$93,9),0)*2%</f>
        <v>3914.5349242718439</v>
      </c>
      <c r="W81" s="10">
        <f t="shared" si="7"/>
        <v>-1414.5349242718439</v>
      </c>
      <c r="X81" s="10"/>
      <c r="Y81" s="19" t="s">
        <v>206</v>
      </c>
    </row>
    <row r="82" spans="1:25" x14ac:dyDescent="0.2">
      <c r="A82" s="70" t="s">
        <v>246</v>
      </c>
      <c r="B82" s="11" t="s">
        <v>89</v>
      </c>
      <c r="C82" s="70" t="s">
        <v>247</v>
      </c>
      <c r="D82" s="5">
        <f>+VLOOKUP(C82,'IP PITSS'!$B$9:U149,20,0)</f>
        <v>2037.2</v>
      </c>
      <c r="E82" s="72"/>
      <c r="F82" s="67">
        <f>VLOOKUP(C82,'SIND PITS'!$C$9:$H$113,2,0)</f>
        <v>52.570000000000164</v>
      </c>
      <c r="G82" s="67">
        <f>VLOOKUP(C82,'SIND PITS'!$C$9:$E$113,3,0)</f>
        <v>250</v>
      </c>
      <c r="H82" s="67">
        <f>VLOOKUP(C82,'SIND PITS'!$C$9:$F$113,4,0)</f>
        <v>0</v>
      </c>
      <c r="I82" s="67">
        <f>VLOOKUP(C82,'SIND PITS'!$C$9:$G$113,5,0)</f>
        <v>0</v>
      </c>
      <c r="J82" s="69"/>
      <c r="K82" s="19">
        <f t="shared" si="5"/>
        <v>2339.7700000000004</v>
      </c>
      <c r="L82" s="75">
        <v>5000</v>
      </c>
      <c r="M82" s="67">
        <f t="shared" si="4"/>
        <v>2500</v>
      </c>
      <c r="N82" s="69"/>
      <c r="O82" s="19">
        <f>+VLOOKUP(C82,'IP PITSS'!$B$9:I149,8,0)</f>
        <v>0</v>
      </c>
      <c r="P82" s="19">
        <f t="shared" si="6"/>
        <v>250</v>
      </c>
      <c r="Q82" s="68">
        <f>+(VLOOKUP(C82,'IP PITSS'!$B$9:L149,11,0))+VLOOKUP('RESUMEN PITS'!C82,'IP PITSS'!$B$9:M149,12,0)+VLOOKUP(C82,'IP PITSS'!$B$9:K149,10,0)</f>
        <v>410.23</v>
      </c>
      <c r="R82" s="68">
        <f>VLOOKUP(C82,'IP PITSS'!$B$9:Q145,16,0)</f>
        <v>0</v>
      </c>
      <c r="S82" s="19">
        <f>+VLOOKUP(C82,'EXTRAS Y FESTIVOS'!$B$9:J184,9,0)</f>
        <v>0</v>
      </c>
      <c r="T82" s="68">
        <f>VLOOKUP(C82,'IP PITSS'!$B$9:R145,17,0)</f>
        <v>0</v>
      </c>
      <c r="U82" s="69"/>
      <c r="V82" s="19">
        <f>+K82-O82-P82+Q82+R82+T82+S82+IFERROR(VLOOKUP('RESUMEN PITS'!C82,'IP PITSS'!$B$9:$M$93,10),0)+IFERROR(VLOOKUP('RESUMEN PITS'!C82,'IP PITSS'!$B$9:$M$93,11),0)+IFERROR(VLOOKUP('RESUMEN PITS'!C82,'IP PITSS'!$B$9:$M$93,12),0)+VLOOKUP("Comision",'IP PITSS'!$I$99:$J$110,2)/COUNT($F$9:$F$111)+IFERROR(VLOOKUP('RESUMEN PITS'!C82,'IP PITSS'!$B$9:$AD$93,15),0)+IFERROR(VLOOKUP('RESUMEN PITS'!C82,'IP PITSS'!$B$9:$AD$93,21),0)+IFERROR(VLOOKUP('RESUMEN PITS'!C82,'IP PITSS'!$B$9:$AD$93,22),0)+IFERROR(VLOOKUP('RESUMEN PITS'!C82,'IP PITSS'!$B$9:$AD$93,23),0)+IFERROR(VLOOKUP('RESUMEN PITS'!C82,'IP PITSS'!$B$9:$AD$93,24),0)+IFERROR(VLOOKUP('RESUMEN PITS'!C82,'IP PITSS'!$B$9:$AD$93,26),0)+IFERROR(VLOOKUP('RESUMEN PITS'!C82,'IP PITSS'!$B$9:$AD$93,28),0)+IFERROR(VLOOKUP('RESUMEN PITS'!C82,'IP PITSS'!$B$9:$AD$93,29),0)+IFERROR(VLOOKUP('RESUMEN PITS'!C82,'IP PITSS'!$B$9:$AD$93,9),0)*2%</f>
        <v>4118.5039242718449</v>
      </c>
      <c r="W82" s="10">
        <f t="shared" si="7"/>
        <v>-1618.5039242718449</v>
      </c>
      <c r="X82" s="10"/>
      <c r="Y82" s="19" t="s">
        <v>248</v>
      </c>
    </row>
    <row r="83" spans="1:25" x14ac:dyDescent="0.2">
      <c r="A83" s="70" t="s">
        <v>213</v>
      </c>
      <c r="B83" s="11" t="s">
        <v>89</v>
      </c>
      <c r="C83" s="66" t="s">
        <v>214</v>
      </c>
      <c r="D83" s="5">
        <f>+VLOOKUP(C83,'IP PITSS'!$B$9:U150,20,0)</f>
        <v>3155.8</v>
      </c>
      <c r="E83" s="72"/>
      <c r="F83" s="67">
        <f>VLOOKUP(C83,'SIND PITS'!$C$9:$H$113,2,0)</f>
        <v>6520.6</v>
      </c>
      <c r="G83" s="67">
        <f>VLOOKUP(C83,'SIND PITS'!$C$9:$E$113,3,0)</f>
        <v>2223</v>
      </c>
      <c r="H83" s="67">
        <f>VLOOKUP(C83,'SIND PITS'!$C$9:$F$113,4,0)</f>
        <v>0</v>
      </c>
      <c r="I83" s="67">
        <f>VLOOKUP(C83,'SIND PITS'!$C$9:$G$113,5,0)</f>
        <v>0</v>
      </c>
      <c r="J83" s="69"/>
      <c r="K83" s="19">
        <f t="shared" si="5"/>
        <v>11899.400000000001</v>
      </c>
      <c r="L83" s="76">
        <v>19950</v>
      </c>
      <c r="M83" s="67">
        <f t="shared" si="4"/>
        <v>9975</v>
      </c>
      <c r="N83" s="69"/>
      <c r="O83" s="19">
        <f>+VLOOKUP(C83,'IP PITSS'!$B$9:I150,8,0)</f>
        <v>0</v>
      </c>
      <c r="P83" s="19">
        <f t="shared" si="6"/>
        <v>2223</v>
      </c>
      <c r="Q83" s="68">
        <f>+(VLOOKUP(C83,'IP PITSS'!$B$9:L150,11,0))+VLOOKUP('RESUMEN PITS'!C83,'IP PITSS'!$B$9:M150,12,0)+VLOOKUP(C83,'IP PITSS'!$B$9:K150,10,0)</f>
        <v>0</v>
      </c>
      <c r="R83" s="68">
        <f>VLOOKUP(C83,'IP PITSS'!$B$9:Q146,16,0)</f>
        <v>0</v>
      </c>
      <c r="S83" s="19">
        <f>+VLOOKUP(C83,'EXTRAS Y FESTIVOS'!$B$9:J185,9,0)</f>
        <v>0</v>
      </c>
      <c r="T83" s="68">
        <f>VLOOKUP(C83,'IP PITSS'!$B$9:R146,17,0)</f>
        <v>298.60000000000002</v>
      </c>
      <c r="U83" s="69"/>
      <c r="V83" s="19">
        <f>+K83-O83-P83+Q83+R83+T83+S83+IFERROR(VLOOKUP('RESUMEN PITS'!C83,'IP PITSS'!$B$9:$M$93,10),0)+IFERROR(VLOOKUP('RESUMEN PITS'!C83,'IP PITSS'!$B$9:$M$93,11),0)+IFERROR(VLOOKUP('RESUMEN PITS'!C83,'IP PITSS'!$B$9:$M$93,12),0)+VLOOKUP("Comision",'IP PITSS'!$I$99:$J$110,2)/COUNT($F$9:$F$111)+IFERROR(VLOOKUP('RESUMEN PITS'!C83,'IP PITSS'!$B$9:$AD$93,15),0)+IFERROR(VLOOKUP('RESUMEN PITS'!C83,'IP PITSS'!$B$9:$AD$93,21),0)+IFERROR(VLOOKUP('RESUMEN PITS'!C83,'IP PITSS'!$B$9:$AD$93,22),0)+IFERROR(VLOOKUP('RESUMEN PITS'!C83,'IP PITSS'!$B$9:$AD$93,23),0)+IFERROR(VLOOKUP('RESUMEN PITS'!C83,'IP PITSS'!$B$9:$AD$93,24),0)+IFERROR(VLOOKUP('RESUMEN PITS'!C83,'IP PITSS'!$B$9:$AD$93,26),0)+IFERROR(VLOOKUP('RESUMEN PITS'!C83,'IP PITSS'!$B$9:$AD$93,28),0)+IFERROR(VLOOKUP('RESUMEN PITS'!C83,'IP PITSS'!$B$9:$AD$93,29),0)+IFERROR(VLOOKUP('RESUMEN PITS'!C83,'IP PITSS'!$B$9:$AD$93,9),0)*2%</f>
        <v>11389.534924271844</v>
      </c>
      <c r="W83" s="10">
        <f t="shared" si="7"/>
        <v>-1414.5349242718439</v>
      </c>
      <c r="X83" s="10"/>
      <c r="Y83" s="19" t="s">
        <v>215</v>
      </c>
    </row>
    <row r="84" spans="1:25" x14ac:dyDescent="0.2">
      <c r="A84" s="78" t="s">
        <v>283</v>
      </c>
      <c r="B84" s="11" t="s">
        <v>89</v>
      </c>
      <c r="C84" s="78" t="s">
        <v>284</v>
      </c>
      <c r="D84" s="5">
        <f>+VLOOKUP(C84,'IP PITSS'!$B$9:U151,20,0)</f>
        <v>2447.6</v>
      </c>
      <c r="E84" s="72"/>
      <c r="F84" s="67">
        <f>VLOOKUP(C84,'SIND PITS'!$C$9:$H$113,2,0)</f>
        <v>52.400000000000091</v>
      </c>
      <c r="G84" s="67">
        <f>VLOOKUP(C84,'SIND PITS'!$C$9:$E$113,3,0)</f>
        <v>140</v>
      </c>
      <c r="H84" s="67">
        <f>VLOOKUP(C84,'SIND PITS'!$C$9:$F$113,4,0)</f>
        <v>0</v>
      </c>
      <c r="I84" s="67">
        <f>VLOOKUP(C84,'SIND PITS'!$C$9:$G$113,5,0)</f>
        <v>0</v>
      </c>
      <c r="J84" s="69"/>
      <c r="K84" s="19">
        <f t="shared" si="5"/>
        <v>2640</v>
      </c>
      <c r="L84" s="67">
        <v>5000</v>
      </c>
      <c r="M84" s="67">
        <f t="shared" si="4"/>
        <v>2500</v>
      </c>
      <c r="N84" s="69"/>
      <c r="O84" s="19">
        <f>+VLOOKUP(C84,'IP PITSS'!$B$9:I151,8,0)</f>
        <v>0</v>
      </c>
      <c r="P84" s="19">
        <f t="shared" si="6"/>
        <v>140</v>
      </c>
      <c r="Q84" s="68">
        <f>+(VLOOKUP(C84,'IP PITSS'!$B$9:L151,11,0))+VLOOKUP('RESUMEN PITS'!C84,'IP PITSS'!$B$9:M151,12,0)+VLOOKUP(C84,'IP PITSS'!$B$9:K151,10,0)</f>
        <v>0</v>
      </c>
      <c r="R84" s="68">
        <f>VLOOKUP(C84,'IP PITSS'!$B$9:Q147,16,0)</f>
        <v>0</v>
      </c>
      <c r="S84" s="19">
        <f>+VLOOKUP(C84,'EXTRAS Y FESTIVOS'!$B$9:J186,9,0)</f>
        <v>0</v>
      </c>
      <c r="T84" s="68">
        <f>VLOOKUP(C84,'IP PITSS'!$B$9:R147,17,0)</f>
        <v>0</v>
      </c>
      <c r="U84" s="69"/>
      <c r="V84" s="19">
        <f>+K84-O84-P84+Q84+R84+T84+S84+IFERROR(VLOOKUP('RESUMEN PITS'!C84,'IP PITSS'!$B$9:$M$93,10),0)+IFERROR(VLOOKUP('RESUMEN PITS'!C84,'IP PITSS'!$B$9:$M$93,11),0)+IFERROR(VLOOKUP('RESUMEN PITS'!C84,'IP PITSS'!$B$9:$M$93,12),0)+VLOOKUP("Comision",'IP PITSS'!$I$99:$J$110,2)/COUNT($F$9:$F$111)+IFERROR(VLOOKUP('RESUMEN PITS'!C84,'IP PITSS'!$B$9:$AD$93,15),0)+IFERROR(VLOOKUP('RESUMEN PITS'!C84,'IP PITSS'!$B$9:$AD$93,21),0)+IFERROR(VLOOKUP('RESUMEN PITS'!C84,'IP PITSS'!$B$9:$AD$93,22),0)+IFERROR(VLOOKUP('RESUMEN PITS'!C84,'IP PITSS'!$B$9:$AD$93,23),0)+IFERROR(VLOOKUP('RESUMEN PITS'!C84,'IP PITSS'!$B$9:$AD$93,24),0)+IFERROR(VLOOKUP('RESUMEN PITS'!C84,'IP PITSS'!$B$9:$AD$93,26),0)+IFERROR(VLOOKUP('RESUMEN PITS'!C84,'IP PITSS'!$B$9:$AD$93,28),0)+IFERROR(VLOOKUP('RESUMEN PITS'!C84,'IP PITSS'!$B$9:$AD$93,29),0)+IFERROR(VLOOKUP('RESUMEN PITS'!C84,'IP PITSS'!$B$9:$AD$93,9),0)*2%</f>
        <v>3842.3659242718441</v>
      </c>
      <c r="W84" s="10">
        <f t="shared" si="7"/>
        <v>-1342.3659242718441</v>
      </c>
      <c r="X84" s="10"/>
      <c r="Y84" s="19" t="s">
        <v>285</v>
      </c>
    </row>
    <row r="85" spans="1:25" x14ac:dyDescent="0.2">
      <c r="A85" s="78" t="s">
        <v>297</v>
      </c>
      <c r="B85" s="11" t="s">
        <v>89</v>
      </c>
      <c r="C85" s="78" t="s">
        <v>298</v>
      </c>
      <c r="D85" s="5">
        <f>+VLOOKUP(C85,'IP PITSS'!$B$9:U152,20,0)</f>
        <v>3278.8</v>
      </c>
      <c r="E85" s="72"/>
      <c r="F85" s="67">
        <f>VLOOKUP(C85,'SIND PITS'!$C$9:$H$113,2,0)</f>
        <v>221.19999999999982</v>
      </c>
      <c r="G85" s="67">
        <f>VLOOKUP(C85,'SIND PITS'!$C$9:$E$113,3,0)</f>
        <v>0</v>
      </c>
      <c r="H85" s="67">
        <f>VLOOKUP(C85,'SIND PITS'!$C$9:$F$113,4,0)</f>
        <v>0</v>
      </c>
      <c r="I85" s="67">
        <f>VLOOKUP(C85,'SIND PITS'!$C$9:$G$113,5,0)</f>
        <v>0</v>
      </c>
      <c r="J85" s="69"/>
      <c r="K85" s="19">
        <f t="shared" si="5"/>
        <v>3500</v>
      </c>
      <c r="L85" s="67">
        <v>7000</v>
      </c>
      <c r="M85" s="67">
        <f t="shared" si="4"/>
        <v>3500</v>
      </c>
      <c r="N85" s="69"/>
      <c r="O85" s="19">
        <f>+VLOOKUP(C85,'IP PITSS'!$B$9:I152,8,0)</f>
        <v>0</v>
      </c>
      <c r="P85" s="19">
        <f t="shared" si="6"/>
        <v>0</v>
      </c>
      <c r="Q85" s="68">
        <f>+(VLOOKUP(C85,'IP PITSS'!$B$9:L152,11,0))+VLOOKUP('RESUMEN PITS'!C85,'IP PITSS'!$B$9:M152,12,0)+VLOOKUP(C85,'IP PITSS'!$B$9:K152,10,0)</f>
        <v>0</v>
      </c>
      <c r="R85" s="68">
        <f>VLOOKUP(C85,'IP PITSS'!$B$9:Q148,16,0)</f>
        <v>0</v>
      </c>
      <c r="S85" s="19">
        <f>+VLOOKUP(C85,'EXTRAS Y FESTIVOS'!$B$9:J187,9,0)</f>
        <v>0</v>
      </c>
      <c r="T85" s="68">
        <f>VLOOKUP(C85,'IP PITSS'!$B$9:R148,17,0)</f>
        <v>0</v>
      </c>
      <c r="U85" s="69"/>
      <c r="V85" s="19">
        <f>+K85-O85-P85+Q85+R85+T85+S85+IFERROR(VLOOKUP('RESUMEN PITS'!C85,'IP PITSS'!$B$9:$M$93,10),0)+IFERROR(VLOOKUP('RESUMEN PITS'!C85,'IP PITSS'!$B$9:$M$93,11),0)+IFERROR(VLOOKUP('RESUMEN PITS'!C85,'IP PITSS'!$B$9:$M$93,12),0)+VLOOKUP("Comision",'IP PITSS'!$I$99:$J$110,2)/COUNT($F$9:$F$111)+IFERROR(VLOOKUP('RESUMEN PITS'!C85,'IP PITSS'!$B$9:$AD$93,15),0)+IFERROR(VLOOKUP('RESUMEN PITS'!C85,'IP PITSS'!$B$9:$AD$93,21),0)+IFERROR(VLOOKUP('RESUMEN PITS'!C85,'IP PITSS'!$B$9:$AD$93,22),0)+IFERROR(VLOOKUP('RESUMEN PITS'!C85,'IP PITSS'!$B$9:$AD$93,23),0)+IFERROR(VLOOKUP('RESUMEN PITS'!C85,'IP PITSS'!$B$9:$AD$93,24),0)+IFERROR(VLOOKUP('RESUMEN PITS'!C85,'IP PITSS'!$B$9:$AD$93,26),0)+IFERROR(VLOOKUP('RESUMEN PITS'!C85,'IP PITSS'!$B$9:$AD$93,28),0)+IFERROR(VLOOKUP('RESUMEN PITS'!C85,'IP PITSS'!$B$9:$AD$93,29),0)+IFERROR(VLOOKUP('RESUMEN PITS'!C85,'IP PITSS'!$B$9:$AD$93,9),0)*2%</f>
        <v>4842.3659242718441</v>
      </c>
      <c r="W85" s="10">
        <f t="shared" si="7"/>
        <v>-1342.3659242718441</v>
      </c>
      <c r="X85" s="10"/>
      <c r="Y85" s="19" t="s">
        <v>299</v>
      </c>
    </row>
    <row r="86" spans="1:25" x14ac:dyDescent="0.2">
      <c r="A86" s="78" t="s">
        <v>198</v>
      </c>
      <c r="B86" s="11" t="s">
        <v>89</v>
      </c>
      <c r="C86" s="78" t="s">
        <v>199</v>
      </c>
      <c r="D86" s="5">
        <f>+VLOOKUP(C86,'IP PITSS'!$B$9:U153,20,0)</f>
        <v>1844.6</v>
      </c>
      <c r="E86" s="72"/>
      <c r="F86" s="67">
        <f>VLOOKUP(C86,'SIND PITS'!$C$9:$H$113,2,0)</f>
        <v>222.73999999999978</v>
      </c>
      <c r="G86" s="67">
        <f>VLOOKUP(C86,'SIND PITS'!$C$9:$E$113,3,0)</f>
        <v>100</v>
      </c>
      <c r="H86" s="67">
        <f>VLOOKUP(C86,'SIND PITS'!$C$9:$F$113,4,0)</f>
        <v>0</v>
      </c>
      <c r="I86" s="67">
        <f>VLOOKUP(C86,'SIND PITS'!$C$9:$G$113,5,0)</f>
        <v>0</v>
      </c>
      <c r="J86" s="69"/>
      <c r="K86" s="19">
        <f t="shared" si="5"/>
        <v>2167.3399999999997</v>
      </c>
      <c r="L86" s="67">
        <v>7000</v>
      </c>
      <c r="M86" s="67">
        <f t="shared" si="4"/>
        <v>3500</v>
      </c>
      <c r="N86" s="69"/>
      <c r="O86" s="19">
        <f>+VLOOKUP(C86,'IP PITSS'!$B$9:I153,8,0)</f>
        <v>0</v>
      </c>
      <c r="P86" s="19">
        <f t="shared" si="6"/>
        <v>100</v>
      </c>
      <c r="Q86" s="68">
        <f>+(VLOOKUP(C86,'IP PITSS'!$B$9:L153,11,0))+VLOOKUP('RESUMEN PITS'!C86,'IP PITSS'!$B$9:M153,12,0)+VLOOKUP(C86,'IP PITSS'!$B$9:K153,10,0)</f>
        <v>1432.66</v>
      </c>
      <c r="R86" s="68">
        <f>VLOOKUP(C86,'IP PITSS'!$B$9:Q149,16,0)</f>
        <v>0</v>
      </c>
      <c r="S86" s="19">
        <f>+VLOOKUP(C86,'EXTRAS Y FESTIVOS'!$B$9:J188,9,0)</f>
        <v>0</v>
      </c>
      <c r="T86" s="68">
        <f>VLOOKUP(C86,'IP PITSS'!$B$9:R149,17,0)</f>
        <v>0</v>
      </c>
      <c r="U86" s="69"/>
      <c r="V86" s="19">
        <f>+K86-O86-P86+Q86+R86+T86+S86+IFERROR(VLOOKUP('RESUMEN PITS'!C86,'IP PITSS'!$B$9:$M$93,10),0)+IFERROR(VLOOKUP('RESUMEN PITS'!C86,'IP PITSS'!$B$9:$M$93,11),0)+IFERROR(VLOOKUP('RESUMEN PITS'!C86,'IP PITSS'!$B$9:$M$93,12),0)+VLOOKUP("Comision",'IP PITSS'!$I$99:$J$110,2)/COUNT($F$9:$F$111)+IFERROR(VLOOKUP('RESUMEN PITS'!C86,'IP PITSS'!$B$9:$AD$93,15),0)+IFERROR(VLOOKUP('RESUMEN PITS'!C86,'IP PITSS'!$B$9:$AD$93,21),0)+IFERROR(VLOOKUP('RESUMEN PITS'!C86,'IP PITSS'!$B$9:$AD$93,22),0)+IFERROR(VLOOKUP('RESUMEN PITS'!C86,'IP PITSS'!$B$9:$AD$93,23),0)+IFERROR(VLOOKUP('RESUMEN PITS'!C86,'IP PITSS'!$B$9:$AD$93,24),0)+IFERROR(VLOOKUP('RESUMEN PITS'!C86,'IP PITSS'!$B$9:$AD$93,26),0)+IFERROR(VLOOKUP('RESUMEN PITS'!C86,'IP PITSS'!$B$9:$AD$93,28),0)+IFERROR(VLOOKUP('RESUMEN PITS'!C86,'IP PITSS'!$B$9:$AD$93,29),0)+IFERROR(VLOOKUP('RESUMEN PITS'!C86,'IP PITSS'!$B$9:$AD$93,9),0)*2%</f>
        <v>4914.5349242718448</v>
      </c>
      <c r="W86" s="10">
        <f t="shared" si="7"/>
        <v>-1414.5349242718448</v>
      </c>
      <c r="X86" s="10"/>
      <c r="Y86" s="19" t="s">
        <v>200</v>
      </c>
    </row>
    <row r="87" spans="1:25" x14ac:dyDescent="0.2">
      <c r="A87" s="78" t="s">
        <v>277</v>
      </c>
      <c r="B87" s="11" t="s">
        <v>89</v>
      </c>
      <c r="C87" s="78" t="s">
        <v>278</v>
      </c>
      <c r="D87" s="5">
        <f>+VLOOKUP(C87,'IP PITSS'!$B$9:U154,20,0)</f>
        <v>2974.4</v>
      </c>
      <c r="E87" s="72"/>
      <c r="F87" s="67">
        <f>VLOOKUP(C87,'SIND PITS'!$C$9:$H$113,2,0)</f>
        <v>175.59999999999991</v>
      </c>
      <c r="G87" s="67">
        <f>VLOOKUP(C87,'SIND PITS'!$C$9:$E$113,3,0)</f>
        <v>900</v>
      </c>
      <c r="H87" s="67">
        <f>VLOOKUP(C87,'SIND PITS'!$C$9:$F$113,4,0)</f>
        <v>0</v>
      </c>
      <c r="I87" s="67">
        <f>VLOOKUP(C87,'SIND PITS'!$C$9:$G$113,5,0)</f>
        <v>0</v>
      </c>
      <c r="J87" s="69"/>
      <c r="K87" s="19">
        <f t="shared" si="5"/>
        <v>4050</v>
      </c>
      <c r="L87" s="67">
        <v>6300</v>
      </c>
      <c r="M87" s="67">
        <f t="shared" si="4"/>
        <v>3150</v>
      </c>
      <c r="N87" s="69"/>
      <c r="O87" s="19">
        <f>+VLOOKUP(C87,'IP PITSS'!$B$9:I154,8,0)</f>
        <v>0</v>
      </c>
      <c r="P87" s="19">
        <f t="shared" si="6"/>
        <v>900</v>
      </c>
      <c r="Q87" s="68">
        <f>+(VLOOKUP(C87,'IP PITSS'!$B$9:L154,11,0))+VLOOKUP('RESUMEN PITS'!C87,'IP PITSS'!$B$9:M154,12,0)+VLOOKUP(C87,'IP PITSS'!$B$9:K154,10,0)</f>
        <v>0</v>
      </c>
      <c r="R87" s="68">
        <f>VLOOKUP(C87,'IP PITSS'!$B$9:Q150,16,0)</f>
        <v>0</v>
      </c>
      <c r="S87" s="19">
        <f>+VLOOKUP(C87,'EXTRAS Y FESTIVOS'!$B$9:J189,9,0)</f>
        <v>0</v>
      </c>
      <c r="T87" s="68">
        <f>VLOOKUP(C87,'IP PITSS'!$B$9:R150,17,0)</f>
        <v>0</v>
      </c>
      <c r="U87" s="69"/>
      <c r="V87" s="19">
        <f>+K87-O87-P87+Q87+R87+T87+S87+IFERROR(VLOOKUP('RESUMEN PITS'!C87,'IP PITSS'!$B$9:$M$93,10),0)+IFERROR(VLOOKUP('RESUMEN PITS'!C87,'IP PITSS'!$B$9:$M$93,11),0)+IFERROR(VLOOKUP('RESUMEN PITS'!C87,'IP PITSS'!$B$9:$M$93,12),0)+VLOOKUP("Comision",'IP PITSS'!$I$99:$J$110,2)/COUNT($F$9:$F$111)+IFERROR(VLOOKUP('RESUMEN PITS'!C87,'IP PITSS'!$B$9:$AD$93,15),0)+IFERROR(VLOOKUP('RESUMEN PITS'!C87,'IP PITSS'!$B$9:$AD$93,21),0)+IFERROR(VLOOKUP('RESUMEN PITS'!C87,'IP PITSS'!$B$9:$AD$93,22),0)+IFERROR(VLOOKUP('RESUMEN PITS'!C87,'IP PITSS'!$B$9:$AD$93,23),0)+IFERROR(VLOOKUP('RESUMEN PITS'!C87,'IP PITSS'!$B$9:$AD$93,24),0)+IFERROR(VLOOKUP('RESUMEN PITS'!C87,'IP PITSS'!$B$9:$AD$93,26),0)+IFERROR(VLOOKUP('RESUMEN PITS'!C87,'IP PITSS'!$B$9:$AD$93,28),0)+IFERROR(VLOOKUP('RESUMEN PITS'!C87,'IP PITSS'!$B$9:$AD$93,29),0)+IFERROR(VLOOKUP('RESUMEN PITS'!C87,'IP PITSS'!$B$9:$AD$93,9),0)*2%</f>
        <v>4500.9859242718449</v>
      </c>
      <c r="W87" s="10">
        <f t="shared" si="7"/>
        <v>-1350.9859242718449</v>
      </c>
      <c r="X87" s="10"/>
      <c r="Y87" s="19" t="s">
        <v>279</v>
      </c>
    </row>
    <row r="88" spans="1:25" x14ac:dyDescent="0.2">
      <c r="A88" s="78" t="s">
        <v>207</v>
      </c>
      <c r="B88" s="11" t="s">
        <v>89</v>
      </c>
      <c r="C88" s="78" t="s">
        <v>208</v>
      </c>
      <c r="D88" s="5">
        <f>+VLOOKUP(C88,'IP PITSS'!$B$9:U155,20,0)</f>
        <v>2664</v>
      </c>
      <c r="E88" s="72"/>
      <c r="F88" s="67">
        <f>VLOOKUP(C88,'SIND PITS'!$C$9:$H$113,2,0)</f>
        <v>175.71000000000004</v>
      </c>
      <c r="G88" s="67">
        <f>VLOOKUP(C88,'SIND PITS'!$C$9:$E$113,3,0)</f>
        <v>0</v>
      </c>
      <c r="H88" s="67">
        <f>VLOOKUP(C88,'SIND PITS'!$C$9:$F$113,4,0)</f>
        <v>0</v>
      </c>
      <c r="I88" s="67">
        <f>VLOOKUP(C88,'SIND PITS'!$C$9:$G$113,5,0)</f>
        <v>0</v>
      </c>
      <c r="J88" s="69"/>
      <c r="K88" s="19">
        <f t="shared" si="5"/>
        <v>2839.71</v>
      </c>
      <c r="L88" s="67">
        <v>6300</v>
      </c>
      <c r="M88" s="67">
        <f t="shared" si="4"/>
        <v>3150</v>
      </c>
      <c r="N88" s="69"/>
      <c r="O88" s="19">
        <f>+VLOOKUP(C88,'IP PITSS'!$B$9:I155,8,0)</f>
        <v>0</v>
      </c>
      <c r="P88" s="19">
        <f t="shared" si="6"/>
        <v>0</v>
      </c>
      <c r="Q88" s="68">
        <f>+(VLOOKUP(C88,'IP PITSS'!$B$9:L155,11,0))+VLOOKUP('RESUMEN PITS'!C88,'IP PITSS'!$B$9:M155,12,0)+VLOOKUP(C88,'IP PITSS'!$B$9:K155,10,0)</f>
        <v>310.29000000000002</v>
      </c>
      <c r="R88" s="68">
        <f>VLOOKUP(C88,'IP PITSS'!$B$9:Q151,16,0)</f>
        <v>0</v>
      </c>
      <c r="S88" s="19">
        <f>+VLOOKUP(C88,'EXTRAS Y FESTIVOS'!$B$9:J190,9,0)</f>
        <v>0</v>
      </c>
      <c r="T88" s="68">
        <f>VLOOKUP(C88,'IP PITSS'!$B$9:R151,17,0)</f>
        <v>0</v>
      </c>
      <c r="U88" s="69"/>
      <c r="V88" s="19">
        <f>+K88-O88-P88+Q88+R88+T88+S88+IFERROR(VLOOKUP('RESUMEN PITS'!C88,'IP PITSS'!$B$9:$M$93,10),0)+IFERROR(VLOOKUP('RESUMEN PITS'!C88,'IP PITSS'!$B$9:$M$93,11),0)+IFERROR(VLOOKUP('RESUMEN PITS'!C88,'IP PITSS'!$B$9:$M$93,12),0)+VLOOKUP("Comision",'IP PITSS'!$I$99:$J$110,2)/COUNT($F$9:$F$111)+IFERROR(VLOOKUP('RESUMEN PITS'!C88,'IP PITSS'!$B$9:$AD$93,15),0)+IFERROR(VLOOKUP('RESUMEN PITS'!C88,'IP PITSS'!$B$9:$AD$93,21),0)+IFERROR(VLOOKUP('RESUMEN PITS'!C88,'IP PITSS'!$B$9:$AD$93,22),0)+IFERROR(VLOOKUP('RESUMEN PITS'!C88,'IP PITSS'!$B$9:$AD$93,23),0)+IFERROR(VLOOKUP('RESUMEN PITS'!C88,'IP PITSS'!$B$9:$AD$93,24),0)+IFERROR(VLOOKUP('RESUMEN PITS'!C88,'IP PITSS'!$B$9:$AD$93,26),0)+IFERROR(VLOOKUP('RESUMEN PITS'!C88,'IP PITSS'!$B$9:$AD$93,28),0)+IFERROR(VLOOKUP('RESUMEN PITS'!C88,'IP PITSS'!$B$9:$AD$93,29),0)+IFERROR(VLOOKUP('RESUMEN PITS'!C88,'IP PITSS'!$B$9:$AD$93,9),0)*2%</f>
        <v>4564.5349242718439</v>
      </c>
      <c r="W88" s="10">
        <f t="shared" si="7"/>
        <v>-1414.5349242718439</v>
      </c>
      <c r="X88" s="10"/>
      <c r="Y88" s="19" t="s">
        <v>209</v>
      </c>
    </row>
    <row r="89" spans="1:25" x14ac:dyDescent="0.2">
      <c r="A89" s="70" t="s">
        <v>93</v>
      </c>
      <c r="B89" s="11" t="s">
        <v>89</v>
      </c>
      <c r="C89" s="70" t="s">
        <v>94</v>
      </c>
      <c r="D89" s="5">
        <f>+VLOOKUP(C89,'IP PITSS'!$B$9:U156,20,0)</f>
        <v>2974.2</v>
      </c>
      <c r="E89" s="72"/>
      <c r="F89" s="67">
        <f>VLOOKUP(C89,'SIND PITS'!$C$9:$H$113,2,0)</f>
        <v>175.80000000000018</v>
      </c>
      <c r="G89" s="67">
        <f>VLOOKUP(C89,'SIND PITS'!$C$9:$E$113,3,0)</f>
        <v>900</v>
      </c>
      <c r="H89" s="67">
        <f>VLOOKUP(C89,'SIND PITS'!$C$9:$F$113,4,0)</f>
        <v>0</v>
      </c>
      <c r="I89" s="67">
        <f>VLOOKUP(C89,'SIND PITS'!$C$9:$G$113,5,0)</f>
        <v>0</v>
      </c>
      <c r="J89" s="69"/>
      <c r="K89" s="19">
        <f t="shared" si="5"/>
        <v>4050</v>
      </c>
      <c r="L89" s="67">
        <v>6300</v>
      </c>
      <c r="M89" s="67">
        <f t="shared" si="4"/>
        <v>3150</v>
      </c>
      <c r="N89" s="69"/>
      <c r="O89" s="19">
        <f>+VLOOKUP(C89,'IP PITSS'!$B$9:I156,8,0)</f>
        <v>0</v>
      </c>
      <c r="P89" s="19">
        <f t="shared" si="6"/>
        <v>900</v>
      </c>
      <c r="Q89" s="68">
        <f>+(VLOOKUP(C89,'IP PITSS'!$B$9:L156,11,0))+VLOOKUP('RESUMEN PITS'!C89,'IP PITSS'!$B$9:M156,12,0)+VLOOKUP(C89,'IP PITSS'!$B$9:K156,10,0)</f>
        <v>0</v>
      </c>
      <c r="R89" s="68">
        <f>VLOOKUP(C89,'IP PITSS'!$B$9:Q152,16,0)</f>
        <v>0</v>
      </c>
      <c r="S89" s="19">
        <f>+VLOOKUP(C89,'EXTRAS Y FESTIVOS'!$B$9:J191,9,0)</f>
        <v>0</v>
      </c>
      <c r="T89" s="68">
        <f>VLOOKUP(C89,'IP PITSS'!$B$9:R152,17,0)</f>
        <v>0</v>
      </c>
      <c r="U89" s="69"/>
      <c r="V89" s="19">
        <f>+K89-O89-P89+Q89+R89+T89+S89+IFERROR(VLOOKUP('RESUMEN PITS'!C89,'IP PITSS'!$B$9:$M$93,10),0)+IFERROR(VLOOKUP('RESUMEN PITS'!C89,'IP PITSS'!$B$9:$M$93,11),0)+IFERROR(VLOOKUP('RESUMEN PITS'!C89,'IP PITSS'!$B$9:$M$93,12),0)+VLOOKUP("Comision",'IP PITSS'!$I$99:$J$110,2)/COUNT($F$9:$F$111)+IFERROR(VLOOKUP('RESUMEN PITS'!C89,'IP PITSS'!$B$9:$AD$93,15),0)+IFERROR(VLOOKUP('RESUMEN PITS'!C89,'IP PITSS'!$B$9:$AD$93,21),0)+IFERROR(VLOOKUP('RESUMEN PITS'!C89,'IP PITSS'!$B$9:$AD$93,22),0)+IFERROR(VLOOKUP('RESUMEN PITS'!C89,'IP PITSS'!$B$9:$AD$93,23),0)+IFERROR(VLOOKUP('RESUMEN PITS'!C89,'IP PITSS'!$B$9:$AD$93,24),0)+IFERROR(VLOOKUP('RESUMEN PITS'!C89,'IP PITSS'!$B$9:$AD$93,26),0)+IFERROR(VLOOKUP('RESUMEN PITS'!C89,'IP PITSS'!$B$9:$AD$93,28),0)+IFERROR(VLOOKUP('RESUMEN PITS'!C89,'IP PITSS'!$B$9:$AD$93,29),0)+IFERROR(VLOOKUP('RESUMEN PITS'!C89,'IP PITSS'!$B$9:$AD$93,9),0)*2%</f>
        <v>3204.0559242718446</v>
      </c>
      <c r="W89" s="10">
        <f t="shared" si="7"/>
        <v>-54.05592427184456</v>
      </c>
      <c r="X89" s="32"/>
      <c r="Y89" s="19" t="s">
        <v>95</v>
      </c>
    </row>
    <row r="90" spans="1:25" x14ac:dyDescent="0.2">
      <c r="A90" s="70" t="s">
        <v>112</v>
      </c>
      <c r="B90" s="11" t="s">
        <v>89</v>
      </c>
      <c r="C90" s="70" t="s">
        <v>113</v>
      </c>
      <c r="D90" s="5">
        <f>+VLOOKUP(C90,'IP PITSS'!$B$9:U157,20,0)</f>
        <v>2011.2</v>
      </c>
      <c r="E90" s="72"/>
      <c r="F90" s="67">
        <f>VLOOKUP(C90,'SIND PITS'!$C$9:$H$113,2,0)</f>
        <v>175.52000000000044</v>
      </c>
      <c r="G90" s="67">
        <f>VLOOKUP(C90,'SIND PITS'!$C$9:$E$113,3,0)</f>
        <v>1350</v>
      </c>
      <c r="H90" s="67">
        <f>VLOOKUP(C90,'SIND PITS'!$C$9:$F$113,4,0)</f>
        <v>0</v>
      </c>
      <c r="I90" s="67">
        <f>VLOOKUP(C90,'SIND PITS'!$C$9:$G$113,5,0)</f>
        <v>0</v>
      </c>
      <c r="J90" s="69"/>
      <c r="K90" s="19">
        <f t="shared" si="5"/>
        <v>3536.7200000000003</v>
      </c>
      <c r="L90" s="67">
        <v>6300</v>
      </c>
      <c r="M90" s="67">
        <f t="shared" si="4"/>
        <v>3150</v>
      </c>
      <c r="N90" s="69"/>
      <c r="O90" s="19">
        <f>+VLOOKUP(C90,'IP PITSS'!$B$9:I157,8,0)</f>
        <v>0</v>
      </c>
      <c r="P90" s="19">
        <f t="shared" si="6"/>
        <v>1350</v>
      </c>
      <c r="Q90" s="68">
        <f>+(VLOOKUP(C90,'IP PITSS'!$B$9:L157,11,0))+VLOOKUP('RESUMEN PITS'!C90,'IP PITSS'!$B$9:M157,12,0)+VLOOKUP(C90,'IP PITSS'!$B$9:K157,10,0)</f>
        <v>963.28</v>
      </c>
      <c r="R90" s="68">
        <f>VLOOKUP(C90,'IP PITSS'!$B$9:Q153,16,0)</f>
        <v>0</v>
      </c>
      <c r="S90" s="19">
        <f>+VLOOKUP(C90,'EXTRAS Y FESTIVOS'!$B$9:J192,9,0)</f>
        <v>0</v>
      </c>
      <c r="T90" s="68">
        <f>VLOOKUP(C90,'IP PITSS'!$B$9:R153,17,0)</f>
        <v>0</v>
      </c>
      <c r="U90" s="69"/>
      <c r="V90" s="19">
        <f>+K90-O90-P90+Q90+R90+T90+S90+IFERROR(VLOOKUP('RESUMEN PITS'!C90,'IP PITSS'!$B$9:$M$93,10),0)+IFERROR(VLOOKUP('RESUMEN PITS'!C90,'IP PITSS'!$B$9:$M$93,11),0)+IFERROR(VLOOKUP('RESUMEN PITS'!C90,'IP PITSS'!$B$9:$M$93,12),0)+VLOOKUP("Comision",'IP PITSS'!$I$99:$J$110,2)/COUNT($F$9:$F$111)+IFERROR(VLOOKUP('RESUMEN PITS'!C90,'IP PITSS'!$B$9:$AD$93,15),0)+IFERROR(VLOOKUP('RESUMEN PITS'!C90,'IP PITSS'!$B$9:$AD$93,21),0)+IFERROR(VLOOKUP('RESUMEN PITS'!C90,'IP PITSS'!$B$9:$AD$93,22),0)+IFERROR(VLOOKUP('RESUMEN PITS'!C90,'IP PITSS'!$B$9:$AD$93,23),0)+IFERROR(VLOOKUP('RESUMEN PITS'!C90,'IP PITSS'!$B$9:$AD$93,24),0)+IFERROR(VLOOKUP('RESUMEN PITS'!C90,'IP PITSS'!$B$9:$AD$93,26),0)+IFERROR(VLOOKUP('RESUMEN PITS'!C90,'IP PITSS'!$B$9:$AD$93,28),0)+IFERROR(VLOOKUP('RESUMEN PITS'!C90,'IP PITSS'!$B$9:$AD$93,29),0)+IFERROR(VLOOKUP('RESUMEN PITS'!C90,'IP PITSS'!$B$9:$AD$93,9),0)*2%</f>
        <v>3204.0559242718446</v>
      </c>
      <c r="W90" s="10">
        <f t="shared" si="7"/>
        <v>-54.05592427184456</v>
      </c>
      <c r="X90" s="32"/>
      <c r="Y90" s="19" t="s">
        <v>114</v>
      </c>
    </row>
    <row r="91" spans="1:25" x14ac:dyDescent="0.2">
      <c r="A91" s="70" t="s">
        <v>155</v>
      </c>
      <c r="B91" s="11" t="s">
        <v>89</v>
      </c>
      <c r="C91" s="70" t="s">
        <v>156</v>
      </c>
      <c r="D91" s="5">
        <f>+VLOOKUP(C91,'IP PITSS'!$B$9:U158,20,0)</f>
        <v>1255.2</v>
      </c>
      <c r="E91" s="72"/>
      <c r="F91" s="67">
        <f>VLOOKUP(C91,'SIND PITS'!$C$9:$H$113,2,0)</f>
        <v>134.19999999999982</v>
      </c>
      <c r="G91" s="67">
        <f>VLOOKUP(C91,'SIND PITS'!$C$9:$E$113,3,0)</f>
        <v>363.75</v>
      </c>
      <c r="H91" s="67">
        <f>VLOOKUP(C91,'SIND PITS'!$C$9:$F$113,4,0)</f>
        <v>0</v>
      </c>
      <c r="I91" s="67">
        <f>VLOOKUP(C91,'SIND PITS'!$C$9:$G$113,5,0)</f>
        <v>0</v>
      </c>
      <c r="J91" s="69"/>
      <c r="K91" s="19">
        <f t="shared" si="5"/>
        <v>1753.1499999999999</v>
      </c>
      <c r="L91" s="67">
        <v>6000</v>
      </c>
      <c r="M91" s="67">
        <f t="shared" si="4"/>
        <v>3000</v>
      </c>
      <c r="N91" s="69"/>
      <c r="O91" s="19">
        <f>+VLOOKUP(C91,'IP PITSS'!$B$9:I158,8,0)</f>
        <v>0</v>
      </c>
      <c r="P91" s="19">
        <f t="shared" si="6"/>
        <v>363.75</v>
      </c>
      <c r="Q91" s="68">
        <f>+(VLOOKUP(C91,'IP PITSS'!$B$9:L158,11,0))+VLOOKUP('RESUMEN PITS'!C91,'IP PITSS'!$B$9:M158,12,0)+VLOOKUP(C91,'IP PITSS'!$B$9:K158,10,0)</f>
        <v>1610.6</v>
      </c>
      <c r="R91" s="68">
        <f>VLOOKUP(C91,'IP PITSS'!$B$9:Q154,16,0)</f>
        <v>0</v>
      </c>
      <c r="S91" s="19">
        <f>+VLOOKUP(C91,'EXTRAS Y FESTIVOS'!$B$9:J193,9,0)</f>
        <v>0</v>
      </c>
      <c r="T91" s="68">
        <f>VLOOKUP(C91,'IP PITSS'!$B$9:R154,17,0)</f>
        <v>0</v>
      </c>
      <c r="U91" s="69"/>
      <c r="V91" s="19">
        <f>+K91-O91-P91+Q91+R91+T91+S91+IFERROR(VLOOKUP('RESUMEN PITS'!C91,'IP PITSS'!$B$9:$M$93,10),0)+IFERROR(VLOOKUP('RESUMEN PITS'!C91,'IP PITSS'!$B$9:$M$93,11),0)+IFERROR(VLOOKUP('RESUMEN PITS'!C91,'IP PITSS'!$B$9:$M$93,12),0)+VLOOKUP("Comision",'IP PITSS'!$I$99:$J$110,2)/COUNT($F$9:$F$111)+IFERROR(VLOOKUP('RESUMEN PITS'!C91,'IP PITSS'!$B$9:$AD$93,15),0)+IFERROR(VLOOKUP('RESUMEN PITS'!C91,'IP PITSS'!$B$9:$AD$93,21),0)+IFERROR(VLOOKUP('RESUMEN PITS'!C91,'IP PITSS'!$B$9:$AD$93,22),0)+IFERROR(VLOOKUP('RESUMEN PITS'!C91,'IP PITSS'!$B$9:$AD$93,23),0)+IFERROR(VLOOKUP('RESUMEN PITS'!C91,'IP PITSS'!$B$9:$AD$93,24),0)+IFERROR(VLOOKUP('RESUMEN PITS'!C91,'IP PITSS'!$B$9:$AD$93,26),0)+IFERROR(VLOOKUP('RESUMEN PITS'!C91,'IP PITSS'!$B$9:$AD$93,28),0)+IFERROR(VLOOKUP('RESUMEN PITS'!C91,'IP PITSS'!$B$9:$AD$93,29),0)+IFERROR(VLOOKUP('RESUMEN PITS'!C91,'IP PITSS'!$B$9:$AD$93,9),0)*2%</f>
        <v>4414.5349242718439</v>
      </c>
      <c r="W91" s="10">
        <f t="shared" si="7"/>
        <v>-1414.5349242718439</v>
      </c>
      <c r="X91" s="32"/>
      <c r="Y91" s="19" t="s">
        <v>157</v>
      </c>
    </row>
    <row r="92" spans="1:25" x14ac:dyDescent="0.2">
      <c r="A92" s="70" t="s">
        <v>176</v>
      </c>
      <c r="B92" s="11" t="s">
        <v>89</v>
      </c>
      <c r="C92" s="70" t="s">
        <v>177</v>
      </c>
      <c r="D92" s="5">
        <f>+VLOOKUP(C92,'IP PITSS'!$B$9:U159,20,0)</f>
        <v>2393.4</v>
      </c>
      <c r="E92" s="72"/>
      <c r="F92" s="67">
        <f>VLOOKUP(C92,'SIND PITS'!$C$9:$H$113,2,0)</f>
        <v>134.09999999999991</v>
      </c>
      <c r="G92" s="67">
        <f>VLOOKUP(C92,'SIND PITS'!$C$9:$E$113,3,0)</f>
        <v>292.5</v>
      </c>
      <c r="H92" s="67">
        <f>VLOOKUP(C92,'SIND PITS'!$C$9:$F$113,4,0)</f>
        <v>0</v>
      </c>
      <c r="I92" s="67">
        <f>VLOOKUP(C92,'SIND PITS'!$C$9:$G$113,5,0)</f>
        <v>0</v>
      </c>
      <c r="J92" s="69"/>
      <c r="K92" s="19">
        <f t="shared" si="5"/>
        <v>2820</v>
      </c>
      <c r="L92" s="67">
        <v>6000</v>
      </c>
      <c r="M92" s="67">
        <f t="shared" si="4"/>
        <v>3000</v>
      </c>
      <c r="N92" s="69"/>
      <c r="O92" s="19">
        <f>+VLOOKUP(C92,'IP PITSS'!$B$9:I159,8,0)</f>
        <v>0</v>
      </c>
      <c r="P92" s="19">
        <f t="shared" si="6"/>
        <v>292.5</v>
      </c>
      <c r="Q92" s="68">
        <f>+(VLOOKUP(C92,'IP PITSS'!$B$9:L159,11,0))+VLOOKUP('RESUMEN PITS'!C92,'IP PITSS'!$B$9:M159,12,0)+VLOOKUP(C92,'IP PITSS'!$B$9:K159,10,0)</f>
        <v>0</v>
      </c>
      <c r="R92" s="68">
        <f>VLOOKUP(C92,'IP PITSS'!$B$9:Q155,16,0)</f>
        <v>0</v>
      </c>
      <c r="S92" s="19">
        <f>+VLOOKUP(C92,'EXTRAS Y FESTIVOS'!$B$9:J194,9,0)</f>
        <v>0</v>
      </c>
      <c r="T92" s="68">
        <f>VLOOKUP(C92,'IP PITSS'!$B$9:R155,17,0)</f>
        <v>472.5</v>
      </c>
      <c r="U92" s="69"/>
      <c r="V92" s="19">
        <f>+K92-O92-P92+Q92+R92+T92+S92+IFERROR(VLOOKUP('RESUMEN PITS'!C92,'IP PITSS'!$B$9:$M$93,10),0)+IFERROR(VLOOKUP('RESUMEN PITS'!C92,'IP PITSS'!$B$9:$M$93,11),0)+IFERROR(VLOOKUP('RESUMEN PITS'!C92,'IP PITSS'!$B$9:$M$93,12),0)+VLOOKUP("Comision",'IP PITSS'!$I$99:$J$110,2)/COUNT($F$9:$F$111)+IFERROR(VLOOKUP('RESUMEN PITS'!C92,'IP PITSS'!$B$9:$AD$93,15),0)+IFERROR(VLOOKUP('RESUMEN PITS'!C92,'IP PITSS'!$B$9:$AD$93,21),0)+IFERROR(VLOOKUP('RESUMEN PITS'!C92,'IP PITSS'!$B$9:$AD$93,22),0)+IFERROR(VLOOKUP('RESUMEN PITS'!C92,'IP PITSS'!$B$9:$AD$93,23),0)+IFERROR(VLOOKUP('RESUMEN PITS'!C92,'IP PITSS'!$B$9:$AD$93,24),0)+IFERROR(VLOOKUP('RESUMEN PITS'!C92,'IP PITSS'!$B$9:$AD$93,26),0)+IFERROR(VLOOKUP('RESUMEN PITS'!C92,'IP PITSS'!$B$9:$AD$93,28),0)+IFERROR(VLOOKUP('RESUMEN PITS'!C92,'IP PITSS'!$B$9:$AD$93,29),0)+IFERROR(VLOOKUP('RESUMEN PITS'!C92,'IP PITSS'!$B$9:$AD$93,9),0)*2%</f>
        <v>4414.5349242718439</v>
      </c>
      <c r="W92" s="10">
        <f t="shared" si="7"/>
        <v>-1414.5349242718439</v>
      </c>
      <c r="X92" s="32"/>
      <c r="Y92" s="19" t="s">
        <v>178</v>
      </c>
    </row>
    <row r="93" spans="1:25" x14ac:dyDescent="0.2">
      <c r="A93" s="70" t="s">
        <v>172</v>
      </c>
      <c r="B93" s="11" t="s">
        <v>89</v>
      </c>
      <c r="C93" s="70" t="s">
        <v>173</v>
      </c>
      <c r="D93" s="5">
        <f>+VLOOKUP(C93,'IP PITSS'!$B$9:U160,20,0)</f>
        <v>2479.8000000000002</v>
      </c>
      <c r="E93" s="72"/>
      <c r="F93" s="67">
        <f>VLOOKUP(C93,'SIND PITS'!$C$9:$H$113,2,0)</f>
        <v>3135.2</v>
      </c>
      <c r="G93" s="67">
        <f>VLOOKUP(C93,'SIND PITS'!$C$9:$E$113,3,0)</f>
        <v>0</v>
      </c>
      <c r="H93" s="67">
        <f>VLOOKUP(C93,'SIND PITS'!$C$9:$F$113,4,0)</f>
        <v>0</v>
      </c>
      <c r="I93" s="67">
        <f>VLOOKUP(C93,'SIND PITS'!$C$9:$G$113,5,0)</f>
        <v>0</v>
      </c>
      <c r="J93" s="69"/>
      <c r="K93" s="19">
        <f t="shared" si="5"/>
        <v>5615</v>
      </c>
      <c r="L93" s="67">
        <v>12000</v>
      </c>
      <c r="M93" s="67">
        <f t="shared" si="4"/>
        <v>6000</v>
      </c>
      <c r="N93" s="69"/>
      <c r="O93" s="19">
        <f>+VLOOKUP(C93,'IP PITSS'!$B$9:I160,8,0)</f>
        <v>0</v>
      </c>
      <c r="P93" s="19">
        <f t="shared" si="6"/>
        <v>0</v>
      </c>
      <c r="Q93" s="68">
        <f>+(VLOOKUP(C93,'IP PITSS'!$B$9:L160,11,0))+VLOOKUP('RESUMEN PITS'!C93,'IP PITSS'!$B$9:M160,12,0)+VLOOKUP(C93,'IP PITSS'!$B$9:K160,10,0)</f>
        <v>0</v>
      </c>
      <c r="R93" s="68">
        <f>VLOOKUP(C93,'IP PITSS'!$B$9:Q156,16,0)</f>
        <v>0</v>
      </c>
      <c r="S93" s="19">
        <f>+VLOOKUP(C93,'EXTRAS Y FESTIVOS'!$B$9:J195,9,0)</f>
        <v>0</v>
      </c>
      <c r="T93" s="68">
        <f>VLOOKUP(C93,'IP PITSS'!$B$9:R156,17,0)</f>
        <v>385</v>
      </c>
      <c r="U93" s="69"/>
      <c r="V93" s="19">
        <f>+K93-O93-P93+Q93+R93+T93+S93+IFERROR(VLOOKUP('RESUMEN PITS'!C93,'IP PITSS'!$B$9:$M$93,10),0)+IFERROR(VLOOKUP('RESUMEN PITS'!C93,'IP PITSS'!$B$9:$M$93,11),0)+IFERROR(VLOOKUP('RESUMEN PITS'!C93,'IP PITSS'!$B$9:$M$93,12),0)+VLOOKUP("Comision",'IP PITSS'!$I$99:$J$110,2)/COUNT($F$9:$F$111)+IFERROR(VLOOKUP('RESUMEN PITS'!C93,'IP PITSS'!$B$9:$AD$93,15),0)+IFERROR(VLOOKUP('RESUMEN PITS'!C93,'IP PITSS'!$B$9:$AD$93,21),0)+IFERROR(VLOOKUP('RESUMEN PITS'!C93,'IP PITSS'!$B$9:$AD$93,22),0)+IFERROR(VLOOKUP('RESUMEN PITS'!C93,'IP PITSS'!$B$9:$AD$93,23),0)+IFERROR(VLOOKUP('RESUMEN PITS'!C93,'IP PITSS'!$B$9:$AD$93,24),0)+IFERROR(VLOOKUP('RESUMEN PITS'!C93,'IP PITSS'!$B$9:$AD$93,26),0)+IFERROR(VLOOKUP('RESUMEN PITS'!C93,'IP PITSS'!$B$9:$AD$93,28),0)+IFERROR(VLOOKUP('RESUMEN PITS'!C93,'IP PITSS'!$B$9:$AD$93,29),0)+IFERROR(VLOOKUP('RESUMEN PITS'!C93,'IP PITSS'!$B$9:$AD$93,9),0)*2%</f>
        <v>7414.5349242718448</v>
      </c>
      <c r="W93" s="10">
        <f t="shared" si="7"/>
        <v>-1414.5349242718448</v>
      </c>
      <c r="X93" s="32"/>
      <c r="Y93" s="19" t="s">
        <v>174</v>
      </c>
    </row>
    <row r="94" spans="1:25" x14ac:dyDescent="0.2">
      <c r="A94" s="70" t="s">
        <v>96</v>
      </c>
      <c r="B94" s="11" t="s">
        <v>89</v>
      </c>
      <c r="C94" s="70" t="s">
        <v>97</v>
      </c>
      <c r="D94" s="5">
        <f>+VLOOKUP(C94,'IP PITSS'!$B$9:U161,20,0)</f>
        <v>2388</v>
      </c>
      <c r="E94" s="72"/>
      <c r="F94" s="67">
        <f>VLOOKUP(C94,'SIND PITS'!$C$9:$H$113,2,0)</f>
        <v>3135.25</v>
      </c>
      <c r="G94" s="67">
        <f>VLOOKUP(C94,'SIND PITS'!$C$9:$E$113,3,0)</f>
        <v>750</v>
      </c>
      <c r="H94" s="67">
        <f>VLOOKUP(C94,'SIND PITS'!$C$9:$F$113,4,0)</f>
        <v>0</v>
      </c>
      <c r="I94" s="67">
        <f>VLOOKUP(C94,'SIND PITS'!$C$9:$G$113,5,0)</f>
        <v>0</v>
      </c>
      <c r="J94" s="69"/>
      <c r="K94" s="19">
        <f t="shared" si="5"/>
        <v>6273.25</v>
      </c>
      <c r="L94" s="67">
        <v>12000</v>
      </c>
      <c r="M94" s="67">
        <f t="shared" si="4"/>
        <v>6000</v>
      </c>
      <c r="N94" s="69"/>
      <c r="O94" s="19">
        <f>+VLOOKUP(C94,'IP PITSS'!$B$9:I161,8,0)</f>
        <v>0</v>
      </c>
      <c r="P94" s="19">
        <f t="shared" si="6"/>
        <v>750</v>
      </c>
      <c r="Q94" s="68">
        <f>+(VLOOKUP(C94,'IP PITSS'!$B$9:L161,11,0))+VLOOKUP('RESUMEN PITS'!C94,'IP PITSS'!$B$9:M161,12,0)+VLOOKUP(C94,'IP PITSS'!$B$9:K161,10,0)</f>
        <v>476.75</v>
      </c>
      <c r="R94" s="68">
        <f>VLOOKUP(C94,'IP PITSS'!$B$9:Q157,16,0)</f>
        <v>0</v>
      </c>
      <c r="S94" s="19">
        <f>+VLOOKUP(C94,'EXTRAS Y FESTIVOS'!$B$9:J196,9,0)</f>
        <v>0</v>
      </c>
      <c r="T94" s="68">
        <f>VLOOKUP(C94,'IP PITSS'!$B$9:R157,17,0)</f>
        <v>0</v>
      </c>
      <c r="U94" s="69"/>
      <c r="V94" s="19">
        <f>+K94-O94-P94+Q94+R94+T94+S94+IFERROR(VLOOKUP('RESUMEN PITS'!C94,'IP PITSS'!$B$9:$M$93,10),0)+IFERROR(VLOOKUP('RESUMEN PITS'!C94,'IP PITSS'!$B$9:$M$93,11),0)+IFERROR(VLOOKUP('RESUMEN PITS'!C94,'IP PITSS'!$B$9:$M$93,12),0)+VLOOKUP("Comision",'IP PITSS'!$I$99:$J$110,2)/COUNT($F$9:$F$111)+IFERROR(VLOOKUP('RESUMEN PITS'!C94,'IP PITSS'!$B$9:$AD$93,15),0)+IFERROR(VLOOKUP('RESUMEN PITS'!C94,'IP PITSS'!$B$9:$AD$93,21),0)+IFERROR(VLOOKUP('RESUMEN PITS'!C94,'IP PITSS'!$B$9:$AD$93,22),0)+IFERROR(VLOOKUP('RESUMEN PITS'!C94,'IP PITSS'!$B$9:$AD$93,23),0)+IFERROR(VLOOKUP('RESUMEN PITS'!C94,'IP PITSS'!$B$9:$AD$93,24),0)+IFERROR(VLOOKUP('RESUMEN PITS'!C94,'IP PITSS'!$B$9:$AD$93,26),0)+IFERROR(VLOOKUP('RESUMEN PITS'!C94,'IP PITSS'!$B$9:$AD$93,28),0)+IFERROR(VLOOKUP('RESUMEN PITS'!C94,'IP PITSS'!$B$9:$AD$93,29),0)+IFERROR(VLOOKUP('RESUMEN PITS'!C94,'IP PITSS'!$B$9:$AD$93,9),0)*2%</f>
        <v>6054.0559242718446</v>
      </c>
      <c r="W94" s="10">
        <f t="shared" si="7"/>
        <v>-54.05592427184456</v>
      </c>
      <c r="X94" s="32"/>
      <c r="Y94" s="19" t="s">
        <v>98</v>
      </c>
    </row>
    <row r="95" spans="1:25" x14ac:dyDescent="0.2">
      <c r="A95" s="70" t="s">
        <v>195</v>
      </c>
      <c r="B95" s="11" t="s">
        <v>89</v>
      </c>
      <c r="C95" s="70" t="s">
        <v>196</v>
      </c>
      <c r="D95" s="5">
        <f>+VLOOKUP(C95,'IP PITSS'!$B$9:U162,20,0)</f>
        <v>940.4</v>
      </c>
      <c r="E95" s="72"/>
      <c r="F95" s="67">
        <f>VLOOKUP(C95,'SIND PITS'!$C$9:$H$113,2,0)</f>
        <v>1704.51</v>
      </c>
      <c r="G95" s="67">
        <f>VLOOKUP(C95,'SIND PITS'!$C$9:$E$113,3,0)</f>
        <v>0</v>
      </c>
      <c r="H95" s="67">
        <f>VLOOKUP(C95,'SIND PITS'!$C$9:$F$113,4,0)</f>
        <v>0</v>
      </c>
      <c r="I95" s="67">
        <f>VLOOKUP(C95,'SIND PITS'!$C$9:$G$113,5,0)</f>
        <v>0</v>
      </c>
      <c r="J95" s="69"/>
      <c r="K95" s="19">
        <f t="shared" si="5"/>
        <v>2644.91</v>
      </c>
      <c r="L95" s="67">
        <v>7000</v>
      </c>
      <c r="M95" s="67">
        <f t="shared" si="4"/>
        <v>3500</v>
      </c>
      <c r="N95" s="69"/>
      <c r="O95" s="19">
        <f>+VLOOKUP(C95,'IP PITSS'!$B$9:I162,8,0)</f>
        <v>0</v>
      </c>
      <c r="P95" s="19">
        <f t="shared" si="6"/>
        <v>0</v>
      </c>
      <c r="Q95" s="68">
        <f>+(VLOOKUP(C95,'IP PITSS'!$B$9:L162,11,0))+VLOOKUP('RESUMEN PITS'!C95,'IP PITSS'!$B$9:M162,12,0)+VLOOKUP(C95,'IP PITSS'!$B$9:K162,10,0)</f>
        <v>855.09</v>
      </c>
      <c r="R95" s="68">
        <f>VLOOKUP(C95,'IP PITSS'!$B$9:Q158,16,0)</f>
        <v>0</v>
      </c>
      <c r="S95" s="19">
        <f>+VLOOKUP(C95,'EXTRAS Y FESTIVOS'!$B$9:J197,9,0)</f>
        <v>0</v>
      </c>
      <c r="T95" s="68">
        <f>VLOOKUP(C95,'IP PITSS'!$B$9:R158,17,0)</f>
        <v>0</v>
      </c>
      <c r="U95" s="69"/>
      <c r="V95" s="19">
        <f>+K95-O95-P95+Q95+R95+T95+S95+IFERROR(VLOOKUP('RESUMEN PITS'!C95,'IP PITSS'!$B$9:$M$93,10),0)+IFERROR(VLOOKUP('RESUMEN PITS'!C95,'IP PITSS'!$B$9:$M$93,11),0)+IFERROR(VLOOKUP('RESUMEN PITS'!C95,'IP PITSS'!$B$9:$M$93,12),0)+VLOOKUP("Comision",'IP PITSS'!$I$99:$J$110,2)/COUNT($F$9:$F$111)+IFERROR(VLOOKUP('RESUMEN PITS'!C95,'IP PITSS'!$B$9:$AD$93,15),0)+IFERROR(VLOOKUP('RESUMEN PITS'!C95,'IP PITSS'!$B$9:$AD$93,21),0)+IFERROR(VLOOKUP('RESUMEN PITS'!C95,'IP PITSS'!$B$9:$AD$93,22),0)+IFERROR(VLOOKUP('RESUMEN PITS'!C95,'IP PITSS'!$B$9:$AD$93,23),0)+IFERROR(VLOOKUP('RESUMEN PITS'!C95,'IP PITSS'!$B$9:$AD$93,24),0)+IFERROR(VLOOKUP('RESUMEN PITS'!C95,'IP PITSS'!$B$9:$AD$93,26),0)+IFERROR(VLOOKUP('RESUMEN PITS'!C95,'IP PITSS'!$B$9:$AD$93,28),0)+IFERROR(VLOOKUP('RESUMEN PITS'!C95,'IP PITSS'!$B$9:$AD$93,29),0)+IFERROR(VLOOKUP('RESUMEN PITS'!C95,'IP PITSS'!$B$9:$AD$93,9),0)*2%</f>
        <v>4914.5349242718448</v>
      </c>
      <c r="W95" s="10">
        <f t="shared" si="7"/>
        <v>-1414.5349242718448</v>
      </c>
      <c r="X95" s="32"/>
      <c r="Y95" s="19" t="s">
        <v>197</v>
      </c>
    </row>
    <row r="96" spans="1:25" x14ac:dyDescent="0.2">
      <c r="A96" s="70" t="s">
        <v>306</v>
      </c>
      <c r="B96" s="11" t="s">
        <v>89</v>
      </c>
      <c r="C96" s="70" t="s">
        <v>307</v>
      </c>
      <c r="D96" s="5">
        <f>+VLOOKUP(C96,'IP PITSS'!$B$9:U163,20,0)</f>
        <v>640.4</v>
      </c>
      <c r="E96" s="72"/>
      <c r="F96" s="67">
        <f>VLOOKUP(C96,'SIND PITS'!$C$9:$H$113,2,0)</f>
        <v>1704.5900000000001</v>
      </c>
      <c r="G96" s="67">
        <f>VLOOKUP(C96,'SIND PITS'!$C$9:$E$113,3,0)</f>
        <v>437.5</v>
      </c>
      <c r="H96" s="67">
        <f>VLOOKUP(C96,'SIND PITS'!$C$9:$F$113,4,0)</f>
        <v>0</v>
      </c>
      <c r="I96" s="67">
        <f>VLOOKUP(C96,'SIND PITS'!$C$9:$G$113,5,0)</f>
        <v>0</v>
      </c>
      <c r="J96" s="69"/>
      <c r="K96" s="19">
        <f t="shared" si="5"/>
        <v>2782.4900000000002</v>
      </c>
      <c r="L96" s="67">
        <v>7000</v>
      </c>
      <c r="M96" s="67">
        <f t="shared" si="4"/>
        <v>3500</v>
      </c>
      <c r="N96" s="69"/>
      <c r="O96" s="19">
        <f>+VLOOKUP(C96,'IP PITSS'!$B$9:I163,8,0)</f>
        <v>0</v>
      </c>
      <c r="P96" s="19">
        <f t="shared" si="6"/>
        <v>437.5</v>
      </c>
      <c r="Q96" s="68">
        <f>+(VLOOKUP(C96,'IP PITSS'!$B$9:L163,11,0))+VLOOKUP('RESUMEN PITS'!C96,'IP PITSS'!$B$9:M163,12,0)+VLOOKUP(C96,'IP PITSS'!$B$9:K163,10,0)</f>
        <v>911.41</v>
      </c>
      <c r="R96" s="68">
        <f>VLOOKUP(C96,'IP PITSS'!$B$9:Q159,16,0)</f>
        <v>0</v>
      </c>
      <c r="S96" s="19">
        <f>+VLOOKUP(C96,'EXTRAS Y FESTIVOS'!$B$9:J198,9,0)</f>
        <v>0</v>
      </c>
      <c r="T96" s="68">
        <f>VLOOKUP(C96,'IP PITSS'!$B$9:R159,17,0)</f>
        <v>243.6</v>
      </c>
      <c r="U96" s="69"/>
      <c r="V96" s="19">
        <f>+K96-O96-P96+Q96+R96+T96+S96+IFERROR(VLOOKUP('RESUMEN PITS'!C96,'IP PITSS'!$B$9:$M$93,10),0)+IFERROR(VLOOKUP('RESUMEN PITS'!C96,'IP PITSS'!$B$9:$M$93,11),0)+IFERROR(VLOOKUP('RESUMEN PITS'!C96,'IP PITSS'!$B$9:$M$93,12),0)+VLOOKUP("Comision",'IP PITSS'!$I$99:$J$110,2)/COUNT($F$9:$F$111)+IFERROR(VLOOKUP('RESUMEN PITS'!C96,'IP PITSS'!$B$9:$AD$93,15),0)+IFERROR(VLOOKUP('RESUMEN PITS'!C96,'IP PITSS'!$B$9:$AD$93,21),0)+IFERROR(VLOOKUP('RESUMEN PITS'!C96,'IP PITSS'!$B$9:$AD$93,22),0)+IFERROR(VLOOKUP('RESUMEN PITS'!C96,'IP PITSS'!$B$9:$AD$93,23),0)+IFERROR(VLOOKUP('RESUMEN PITS'!C96,'IP PITSS'!$B$9:$AD$93,24),0)+IFERROR(VLOOKUP('RESUMEN PITS'!C96,'IP PITSS'!$B$9:$AD$93,26),0)+IFERROR(VLOOKUP('RESUMEN PITS'!C96,'IP PITSS'!$B$9:$AD$93,28),0)+IFERROR(VLOOKUP('RESUMEN PITS'!C96,'IP PITSS'!$B$9:$AD$93,29),0)+IFERROR(VLOOKUP('RESUMEN PITS'!C96,'IP PITSS'!$B$9:$AD$93,9),0)*2%</f>
        <v>4284.9959242718442</v>
      </c>
      <c r="W96" s="10">
        <f t="shared" si="7"/>
        <v>-784.99592427184416</v>
      </c>
      <c r="X96" s="32"/>
      <c r="Y96" s="19" t="s">
        <v>308</v>
      </c>
    </row>
    <row r="97" spans="1:25" s="203" customFormat="1" x14ac:dyDescent="0.2">
      <c r="A97" s="198" t="s">
        <v>142</v>
      </c>
      <c r="B97" s="199" t="s">
        <v>89</v>
      </c>
      <c r="C97" s="198" t="s">
        <v>143</v>
      </c>
      <c r="D97" s="199">
        <f>+VLOOKUP(C97,'IP PITSS'!$B$9:U164,20,0)</f>
        <v>1740.8</v>
      </c>
      <c r="E97" s="200"/>
      <c r="F97" s="201">
        <f>VLOOKUP(C97,'SIND PITS'!$C$9:$H$113,2,0)</f>
        <v>134.19999999999982</v>
      </c>
      <c r="G97" s="201">
        <f>VLOOKUP(C97,'SIND PITS'!$C$9:$E$113,3,0)</f>
        <v>337.5</v>
      </c>
      <c r="H97" s="201">
        <f>VLOOKUP(C97,'SIND PITS'!$C$9:$F$113,4,0)</f>
        <v>0</v>
      </c>
      <c r="I97" s="201">
        <f>VLOOKUP(C97,'SIND PITS'!$C$9:$G$113,5,0)</f>
        <v>0</v>
      </c>
      <c r="J97" s="202"/>
      <c r="K97" s="203">
        <f t="shared" si="5"/>
        <v>2212.5</v>
      </c>
      <c r="L97" s="201">
        <v>6000</v>
      </c>
      <c r="M97" s="201">
        <f t="shared" si="4"/>
        <v>3000</v>
      </c>
      <c r="N97" s="202"/>
      <c r="O97" s="203">
        <f>+VLOOKUP(C97,'IP PITSS'!$B$9:I164,8,0)</f>
        <v>0</v>
      </c>
      <c r="P97" s="203">
        <f t="shared" si="6"/>
        <v>337.5</v>
      </c>
      <c r="Q97" s="201">
        <f>+(VLOOKUP(C97,'IP PITSS'!$B$9:L164,11,0))+VLOOKUP('RESUMEN PITS'!C97,'IP PITSS'!$B$9:M164,12,0)+VLOOKUP(C97,'IP PITSS'!$B$9:K164,10,0)</f>
        <v>0</v>
      </c>
      <c r="R97" s="201">
        <f>VLOOKUP(C97,'IP PITSS'!$B$9:Q160,16,0)</f>
        <v>0</v>
      </c>
      <c r="S97" s="203">
        <f>+VLOOKUP(C97,'EXTRAS Y FESTIVOS'!$B$9:J199,9,0)</f>
        <v>0</v>
      </c>
      <c r="T97" s="201">
        <f>VLOOKUP(C97,'IP PITSS'!$B$9:R160,17,0)</f>
        <v>1125</v>
      </c>
      <c r="U97" s="202"/>
      <c r="V97" s="19">
        <f>+K97-O97-P97+Q97+R97+T97+S97+IFERROR(VLOOKUP('RESUMEN PITS'!C97,'IP PITSS'!$B$9:$M$93,10),0)+IFERROR(VLOOKUP('RESUMEN PITS'!C97,'IP PITSS'!$B$9:$M$93,11),0)+IFERROR(VLOOKUP('RESUMEN PITS'!C97,'IP PITSS'!$B$9:$M$93,12),0)+VLOOKUP("Comision",'IP PITSS'!$I$99:$J$110,2)/COUNT($F$9:$F$111)+IFERROR(VLOOKUP('RESUMEN PITS'!C97,'IP PITSS'!$B$9:$AD$93,15),0)+IFERROR(VLOOKUP('RESUMEN PITS'!C97,'IP PITSS'!$B$9:$AD$93,21),0)+IFERROR(VLOOKUP('RESUMEN PITS'!C97,'IP PITSS'!$B$9:$AD$93,22),0)+IFERROR(VLOOKUP('RESUMEN PITS'!C97,'IP PITSS'!$B$9:$AD$93,23),0)+IFERROR(VLOOKUP('RESUMEN PITS'!C97,'IP PITSS'!$B$9:$AD$93,24),0)+IFERROR(VLOOKUP('RESUMEN PITS'!C97,'IP PITSS'!$B$9:$AD$93,26),0)+IFERROR(VLOOKUP('RESUMEN PITS'!C97,'IP PITSS'!$B$9:$AD$93,28),0)+IFERROR(VLOOKUP('RESUMEN PITS'!C97,'IP PITSS'!$B$9:$AD$93,29),0)+IFERROR(VLOOKUP('RESUMEN PITS'!C97,'IP PITSS'!$B$9:$AD$93,9),0)*2%</f>
        <v>4414.5349242718439</v>
      </c>
      <c r="W97" s="203">
        <f t="shared" si="7"/>
        <v>-1414.5349242718439</v>
      </c>
      <c r="X97" s="204"/>
      <c r="Y97" s="203" t="s">
        <v>144</v>
      </c>
    </row>
    <row r="98" spans="1:25" x14ac:dyDescent="0.2">
      <c r="A98" s="70" t="s">
        <v>261</v>
      </c>
      <c r="B98" s="11" t="s">
        <v>89</v>
      </c>
      <c r="C98" s="70" t="s">
        <v>262</v>
      </c>
      <c r="D98" s="5">
        <f>+VLOOKUP(C98,'IP PITSS'!$B$9:U165,20,0)</f>
        <v>2974.4</v>
      </c>
      <c r="E98" s="72"/>
      <c r="F98" s="67">
        <f>VLOOKUP(C98,'SIND PITS'!$C$9:$H$113,2,0)</f>
        <v>175.59999999999991</v>
      </c>
      <c r="G98" s="67">
        <f>VLOOKUP(C98,'SIND PITS'!$C$9:$E$113,3,0)</f>
        <v>843.75</v>
      </c>
      <c r="H98" s="67">
        <f>VLOOKUP(C98,'SIND PITS'!$C$9:$F$113,4,0)</f>
        <v>0</v>
      </c>
      <c r="I98" s="67">
        <f>VLOOKUP(C98,'SIND PITS'!$C$9:$G$113,5,0)</f>
        <v>0</v>
      </c>
      <c r="J98" s="69"/>
      <c r="K98" s="19">
        <f t="shared" si="5"/>
        <v>3993.75</v>
      </c>
      <c r="L98" s="67">
        <v>6300</v>
      </c>
      <c r="M98" s="67">
        <f t="shared" si="4"/>
        <v>3150</v>
      </c>
      <c r="N98" s="69"/>
      <c r="O98" s="19">
        <f>+VLOOKUP(C98,'IP PITSS'!$B$9:I165,8,0)</f>
        <v>0</v>
      </c>
      <c r="P98" s="19">
        <f t="shared" si="6"/>
        <v>843.75</v>
      </c>
      <c r="Q98" s="68">
        <f>+(VLOOKUP(C98,'IP PITSS'!$B$9:L165,11,0))+VLOOKUP('RESUMEN PITS'!C98,'IP PITSS'!$B$9:M165,12,0)+VLOOKUP(C98,'IP PITSS'!$B$9:K165,10,0)</f>
        <v>0</v>
      </c>
      <c r="R98" s="68">
        <f>VLOOKUP(C98,'IP PITSS'!$B$9:Q161,16,0)</f>
        <v>0</v>
      </c>
      <c r="S98" s="19">
        <f>+VLOOKUP(C98,'EXTRAS Y FESTIVOS'!$B$9:J200,9,0)</f>
        <v>0</v>
      </c>
      <c r="T98" s="68">
        <f>VLOOKUP(C98,'IP PITSS'!$B$9:R161,17,0)</f>
        <v>0</v>
      </c>
      <c r="U98" s="69"/>
      <c r="V98" s="19">
        <f>+K98-O98-P98+Q98+R98+T98+S98+IFERROR(VLOOKUP('RESUMEN PITS'!C98,'IP PITSS'!$B$9:$M$93,10),0)+IFERROR(VLOOKUP('RESUMEN PITS'!C98,'IP PITSS'!$B$9:$M$93,11),0)+IFERROR(VLOOKUP('RESUMEN PITS'!C98,'IP PITSS'!$B$9:$M$93,12),0)+VLOOKUP("Comision",'IP PITSS'!$I$99:$J$110,2)/COUNT($F$9:$F$111)+IFERROR(VLOOKUP('RESUMEN PITS'!C98,'IP PITSS'!$B$9:$AD$93,15),0)+IFERROR(VLOOKUP('RESUMEN PITS'!C98,'IP PITSS'!$B$9:$AD$93,21),0)+IFERROR(VLOOKUP('RESUMEN PITS'!C98,'IP PITSS'!$B$9:$AD$93,22),0)+IFERROR(VLOOKUP('RESUMEN PITS'!C98,'IP PITSS'!$B$9:$AD$93,23),0)+IFERROR(VLOOKUP('RESUMEN PITS'!C98,'IP PITSS'!$B$9:$AD$93,24),0)+IFERROR(VLOOKUP('RESUMEN PITS'!C98,'IP PITSS'!$B$9:$AD$93,26),0)+IFERROR(VLOOKUP('RESUMEN PITS'!C98,'IP PITSS'!$B$9:$AD$93,28),0)+IFERROR(VLOOKUP('RESUMEN PITS'!C98,'IP PITSS'!$B$9:$AD$93,29),0)+IFERROR(VLOOKUP('RESUMEN PITS'!C98,'IP PITSS'!$B$9:$AD$93,9),0)*2%</f>
        <v>4651.4969242718444</v>
      </c>
      <c r="W98" s="10">
        <f t="shared" si="7"/>
        <v>-1501.4969242718444</v>
      </c>
      <c r="X98" s="32"/>
      <c r="Y98" s="19" t="s">
        <v>263</v>
      </c>
    </row>
    <row r="99" spans="1:25" x14ac:dyDescent="0.2">
      <c r="A99" s="70" t="s">
        <v>131</v>
      </c>
      <c r="B99" s="11" t="s">
        <v>89</v>
      </c>
      <c r="C99" s="70" t="s">
        <v>132</v>
      </c>
      <c r="D99" s="5">
        <f>+VLOOKUP(C99,'IP PITSS'!$B$9:U166,20,0)</f>
        <v>3277.4</v>
      </c>
      <c r="E99" s="72"/>
      <c r="F99" s="67">
        <f>VLOOKUP(C99,'SIND PITS'!$C$9:$H$113,2,0)</f>
        <v>222.59999999999991</v>
      </c>
      <c r="G99" s="67">
        <f>VLOOKUP(C99,'SIND PITS'!$C$9:$E$113,3,0)</f>
        <v>187.5</v>
      </c>
      <c r="H99" s="67">
        <f>VLOOKUP(C99,'SIND PITS'!$C$9:$F$113,4,0)</f>
        <v>0</v>
      </c>
      <c r="I99" s="67">
        <f>VLOOKUP(C99,'SIND PITS'!$C$9:$G$113,5,0)</f>
        <v>0</v>
      </c>
      <c r="J99" s="69"/>
      <c r="K99" s="19">
        <f t="shared" si="5"/>
        <v>3687.5</v>
      </c>
      <c r="L99" s="67">
        <v>7000</v>
      </c>
      <c r="M99" s="67">
        <f t="shared" si="4"/>
        <v>3500</v>
      </c>
      <c r="N99" s="69"/>
      <c r="O99" s="19">
        <f>+VLOOKUP(C99,'IP PITSS'!$B$9:I166,8,0)</f>
        <v>0</v>
      </c>
      <c r="P99" s="19">
        <f t="shared" si="6"/>
        <v>187.5</v>
      </c>
      <c r="Q99" s="68">
        <f>+(VLOOKUP(C99,'IP PITSS'!$B$9:L166,11,0))+VLOOKUP('RESUMEN PITS'!C99,'IP PITSS'!$B$9:M166,12,0)+VLOOKUP(C99,'IP PITSS'!$B$9:K166,10,0)</f>
        <v>0</v>
      </c>
      <c r="R99" s="68">
        <f>VLOOKUP(C99,'IP PITSS'!$B$9:Q162,16,0)</f>
        <v>0</v>
      </c>
      <c r="S99" s="19">
        <f>+VLOOKUP(C99,'EXTRAS Y FESTIVOS'!$B$9:J201,9,0)</f>
        <v>0</v>
      </c>
      <c r="T99" s="68">
        <f>VLOOKUP(C99,'IP PITSS'!$B$9:R162,17,0)</f>
        <v>0</v>
      </c>
      <c r="U99" s="69"/>
      <c r="V99" s="19">
        <f>+K99-O99-P99+Q99+R99+T99+S99+IFERROR(VLOOKUP('RESUMEN PITS'!C99,'IP PITSS'!$B$9:$M$93,10),0)+IFERROR(VLOOKUP('RESUMEN PITS'!C99,'IP PITSS'!$B$9:$M$93,11),0)+IFERROR(VLOOKUP('RESUMEN PITS'!C99,'IP PITSS'!$B$9:$M$93,12),0)+VLOOKUP("Comision",'IP PITSS'!$I$99:$J$110,2)/COUNT($F$9:$F$111)+IFERROR(VLOOKUP('RESUMEN PITS'!C99,'IP PITSS'!$B$9:$AD$93,15),0)+IFERROR(VLOOKUP('RESUMEN PITS'!C99,'IP PITSS'!$B$9:$AD$93,21),0)+IFERROR(VLOOKUP('RESUMEN PITS'!C99,'IP PITSS'!$B$9:$AD$93,22),0)+IFERROR(VLOOKUP('RESUMEN PITS'!C99,'IP PITSS'!$B$9:$AD$93,23),0)+IFERROR(VLOOKUP('RESUMEN PITS'!C99,'IP PITSS'!$B$9:$AD$93,24),0)+IFERROR(VLOOKUP('RESUMEN PITS'!C99,'IP PITSS'!$B$9:$AD$93,26),0)+IFERROR(VLOOKUP('RESUMEN PITS'!C99,'IP PITSS'!$B$9:$AD$93,28),0)+IFERROR(VLOOKUP('RESUMEN PITS'!C99,'IP PITSS'!$B$9:$AD$93,29),0)+IFERROR(VLOOKUP('RESUMEN PITS'!C99,'IP PITSS'!$B$9:$AD$93,9),0)*2%</f>
        <v>4914.5349242718448</v>
      </c>
      <c r="W99" s="10">
        <f t="shared" si="7"/>
        <v>-1414.5349242718448</v>
      </c>
      <c r="X99" s="32"/>
      <c r="Y99" s="19" t="s">
        <v>133</v>
      </c>
    </row>
    <row r="100" spans="1:25" x14ac:dyDescent="0.2">
      <c r="A100" s="70" t="s">
        <v>158</v>
      </c>
      <c r="B100" s="11" t="s">
        <v>89</v>
      </c>
      <c r="C100" s="70" t="s">
        <v>159</v>
      </c>
      <c r="D100" s="5">
        <f>+VLOOKUP(C100,'IP PITSS'!$B$9:U167,20,0)</f>
        <v>1792.2</v>
      </c>
      <c r="E100" s="72"/>
      <c r="F100" s="67">
        <f>VLOOKUP(C100,'SIND PITS'!$C$9:$H$113,2,0)</f>
        <v>174.53999999999996</v>
      </c>
      <c r="G100" s="67">
        <f>VLOOKUP(C100,'SIND PITS'!$C$9:$E$113,3,0)</f>
        <v>56.25</v>
      </c>
      <c r="H100" s="67">
        <f>VLOOKUP(C100,'SIND PITS'!$C$9:$F$113,4,0)</f>
        <v>0</v>
      </c>
      <c r="I100" s="67">
        <f>VLOOKUP(C100,'SIND PITS'!$C$9:$G$113,5,0)</f>
        <v>0</v>
      </c>
      <c r="J100" s="69"/>
      <c r="K100" s="19">
        <f t="shared" si="5"/>
        <v>2022.99</v>
      </c>
      <c r="L100" s="67">
        <v>6300</v>
      </c>
      <c r="M100" s="67">
        <f t="shared" si="4"/>
        <v>3150</v>
      </c>
      <c r="N100" s="69"/>
      <c r="O100" s="19">
        <f>+VLOOKUP(C100,'IP PITSS'!$B$9:I167,8,0)</f>
        <v>0</v>
      </c>
      <c r="P100" s="19">
        <f t="shared" si="6"/>
        <v>56.25</v>
      </c>
      <c r="Q100" s="68">
        <f>+(VLOOKUP(C100,'IP PITSS'!$B$9:L167,11,0))+VLOOKUP('RESUMEN PITS'!C100,'IP PITSS'!$B$9:M167,12,0)+VLOOKUP(C100,'IP PITSS'!$B$9:K167,10,0)</f>
        <v>1183.26</v>
      </c>
      <c r="R100" s="68">
        <f>VLOOKUP(C100,'IP PITSS'!$B$9:Q163,16,0)</f>
        <v>0</v>
      </c>
      <c r="S100" s="19">
        <f>+VLOOKUP(C100,'EXTRAS Y FESTIVOS'!$B$9:J202,9,0)</f>
        <v>0</v>
      </c>
      <c r="T100" s="68">
        <f>VLOOKUP(C100,'IP PITSS'!$B$9:R163,17,0)</f>
        <v>0</v>
      </c>
      <c r="U100" s="69"/>
      <c r="V100" s="19">
        <f>+K100-O100-P100+Q100+R100+T100+S100+IFERROR(VLOOKUP('RESUMEN PITS'!C100,'IP PITSS'!$B$9:$M$93,10),0)+IFERROR(VLOOKUP('RESUMEN PITS'!C100,'IP PITSS'!$B$9:$M$93,11),0)+IFERROR(VLOOKUP('RESUMEN PITS'!C100,'IP PITSS'!$B$9:$M$93,12),0)+VLOOKUP("Comision",'IP PITSS'!$I$99:$J$110,2)/COUNT($F$9:$F$111)+IFERROR(VLOOKUP('RESUMEN PITS'!C100,'IP PITSS'!$B$9:$AD$93,15),0)+IFERROR(VLOOKUP('RESUMEN PITS'!C100,'IP PITSS'!$B$9:$AD$93,21),0)+IFERROR(VLOOKUP('RESUMEN PITS'!C100,'IP PITSS'!$B$9:$AD$93,22),0)+IFERROR(VLOOKUP('RESUMEN PITS'!C100,'IP PITSS'!$B$9:$AD$93,23),0)+IFERROR(VLOOKUP('RESUMEN PITS'!C100,'IP PITSS'!$B$9:$AD$93,24),0)+IFERROR(VLOOKUP('RESUMEN PITS'!C100,'IP PITSS'!$B$9:$AD$93,26),0)+IFERROR(VLOOKUP('RESUMEN PITS'!C100,'IP PITSS'!$B$9:$AD$93,28),0)+IFERROR(VLOOKUP('RESUMEN PITS'!C100,'IP PITSS'!$B$9:$AD$93,29),0)+IFERROR(VLOOKUP('RESUMEN PITS'!C100,'IP PITSS'!$B$9:$AD$93,9),0)*2%</f>
        <v>4564.5349242718439</v>
      </c>
      <c r="W100" s="10">
        <f t="shared" si="7"/>
        <v>-1414.5349242718439</v>
      </c>
      <c r="X100" s="32"/>
      <c r="Y100" s="19" t="s">
        <v>160</v>
      </c>
    </row>
    <row r="101" spans="1:25" x14ac:dyDescent="0.2">
      <c r="A101" s="70" t="s">
        <v>88</v>
      </c>
      <c r="B101" s="11" t="s">
        <v>89</v>
      </c>
      <c r="C101" s="70" t="s">
        <v>90</v>
      </c>
      <c r="D101" s="5">
        <f>+VLOOKUP(C101,'IP PITSS'!$B$9:U168,20,0)</f>
        <v>2864.8</v>
      </c>
      <c r="E101" s="72"/>
      <c r="F101" s="67">
        <f>VLOOKUP(C101,'SIND PITS'!$C$9:$H$113,2,0)</f>
        <v>135.19999999999982</v>
      </c>
      <c r="G101" s="67">
        <f>VLOOKUP(C101,'SIND PITS'!$C$9:$E$113,3,0)</f>
        <v>0</v>
      </c>
      <c r="H101" s="67">
        <f>VLOOKUP(C101,'SIND PITS'!$C$9:$F$113,4,0)</f>
        <v>0</v>
      </c>
      <c r="I101" s="67">
        <f>VLOOKUP(C101,'SIND PITS'!$C$9:$G$113,5,0)</f>
        <v>0</v>
      </c>
      <c r="J101" s="69"/>
      <c r="K101" s="19">
        <f t="shared" si="5"/>
        <v>3000</v>
      </c>
      <c r="L101" s="67">
        <v>6000</v>
      </c>
      <c r="M101" s="67">
        <f t="shared" si="4"/>
        <v>3000</v>
      </c>
      <c r="N101" s="69"/>
      <c r="O101" s="19">
        <f>+VLOOKUP(C101,'IP PITSS'!$B$9:I168,8,0)</f>
        <v>0</v>
      </c>
      <c r="P101" s="19">
        <f t="shared" si="6"/>
        <v>0</v>
      </c>
      <c r="Q101" s="68">
        <f>+(VLOOKUP(C101,'IP PITSS'!$B$9:L168,11,0))+VLOOKUP('RESUMEN PITS'!C101,'IP PITSS'!$B$9:M168,12,0)+VLOOKUP(C101,'IP PITSS'!$B$9:K168,10,0)</f>
        <v>0</v>
      </c>
      <c r="R101" s="68">
        <f>VLOOKUP(C101,'IP PITSS'!$B$9:Q164,16,0)</f>
        <v>0</v>
      </c>
      <c r="S101" s="19">
        <f>+VLOOKUP(C101,'EXTRAS Y FESTIVOS'!$B$9:J203,9,0)</f>
        <v>0</v>
      </c>
      <c r="T101" s="68">
        <f>VLOOKUP(C101,'IP PITSS'!$B$9:R164,17,0)</f>
        <v>0</v>
      </c>
      <c r="U101" s="69"/>
      <c r="V101" s="19">
        <f>+K101-O101-P101+Q101+R101+T101+S101+IFERROR(VLOOKUP('RESUMEN PITS'!C101,'IP PITSS'!$B$9:$M$93,10),0)+IFERROR(VLOOKUP('RESUMEN PITS'!C101,'IP PITSS'!$B$9:$M$93,11),0)+IFERROR(VLOOKUP('RESUMEN PITS'!C101,'IP PITSS'!$B$9:$M$93,12),0)+VLOOKUP("Comision",'IP PITSS'!$I$99:$J$110,2)/COUNT($F$9:$F$111)+IFERROR(VLOOKUP('RESUMEN PITS'!C101,'IP PITSS'!$B$9:$AD$93,15),0)+IFERROR(VLOOKUP('RESUMEN PITS'!C101,'IP PITSS'!$B$9:$AD$93,21),0)+IFERROR(VLOOKUP('RESUMEN PITS'!C101,'IP PITSS'!$B$9:$AD$93,22),0)+IFERROR(VLOOKUP('RESUMEN PITS'!C101,'IP PITSS'!$B$9:$AD$93,23),0)+IFERROR(VLOOKUP('RESUMEN PITS'!C101,'IP PITSS'!$B$9:$AD$93,24),0)+IFERROR(VLOOKUP('RESUMEN PITS'!C101,'IP PITSS'!$B$9:$AD$93,26),0)+IFERROR(VLOOKUP('RESUMEN PITS'!C101,'IP PITSS'!$B$9:$AD$93,28),0)+IFERROR(VLOOKUP('RESUMEN PITS'!C101,'IP PITSS'!$B$9:$AD$93,29),0)+IFERROR(VLOOKUP('RESUMEN PITS'!C101,'IP PITSS'!$B$9:$AD$93,9),0)*2%</f>
        <v>3054.0559242718446</v>
      </c>
      <c r="W101" s="10">
        <f t="shared" si="7"/>
        <v>-54.05592427184456</v>
      </c>
      <c r="X101" s="37"/>
      <c r="Y101" s="19" t="s">
        <v>91</v>
      </c>
    </row>
    <row r="102" spans="1:25" x14ac:dyDescent="0.2">
      <c r="A102" s="70" t="s">
        <v>327</v>
      </c>
      <c r="B102" s="11" t="s">
        <v>89</v>
      </c>
      <c r="C102" s="70" t="s">
        <v>328</v>
      </c>
      <c r="D102" s="5">
        <f>+VLOOKUP(C102,'IP PITSS'!$B$9:U169,20,0)</f>
        <v>1576</v>
      </c>
      <c r="E102" s="72"/>
      <c r="F102" s="67">
        <f>VLOOKUP(C102,'SIND PITS'!$C$9:$H$113,2,0)</f>
        <v>135.22000000000025</v>
      </c>
      <c r="G102" s="67">
        <f>VLOOKUP(C102,'SIND PITS'!$C$9:$E$113,3,0)</f>
        <v>390</v>
      </c>
      <c r="H102" s="67">
        <f>VLOOKUP(C102,'SIND PITS'!$C$9:$F$113,4,0)</f>
        <v>0</v>
      </c>
      <c r="I102" s="67">
        <f>VLOOKUP(C102,'SIND PITS'!$C$9:$G$113,5,0)</f>
        <v>0</v>
      </c>
      <c r="J102" s="69"/>
      <c r="K102" s="19">
        <f t="shared" si="5"/>
        <v>2101.2200000000003</v>
      </c>
      <c r="L102" s="67">
        <v>6000</v>
      </c>
      <c r="M102" s="67">
        <f t="shared" si="4"/>
        <v>3000</v>
      </c>
      <c r="N102" s="69"/>
      <c r="O102" s="19">
        <f>+VLOOKUP(C102,'IP PITSS'!$B$9:I169,8,0)</f>
        <v>0</v>
      </c>
      <c r="P102" s="19">
        <f t="shared" si="6"/>
        <v>390</v>
      </c>
      <c r="Q102" s="68">
        <f>+(VLOOKUP(C102,'IP PITSS'!$B$9:L169,11,0))+VLOOKUP('RESUMEN PITS'!C102,'IP PITSS'!$B$9:M169,12,0)+VLOOKUP(C102,'IP PITSS'!$B$9:K169,10,0)</f>
        <v>652.17999999999995</v>
      </c>
      <c r="R102" s="68">
        <f>VLOOKUP(C102,'IP PITSS'!$B$9:Q165,16,0)</f>
        <v>636.6</v>
      </c>
      <c r="S102" s="19">
        <f>+VLOOKUP(C102,'EXTRAS Y FESTIVOS'!$B$9:J204,9,0)</f>
        <v>0</v>
      </c>
      <c r="T102" s="68">
        <f>VLOOKUP(C102,'IP PITSS'!$B$9:R165,17,0)</f>
        <v>0</v>
      </c>
      <c r="U102" s="69"/>
      <c r="V102" s="19">
        <f>+K102-O102-P102+Q102+R102+T102+S102+IFERROR(VLOOKUP('RESUMEN PITS'!C102,'IP PITSS'!$B$9:$M$93,10),0)+IFERROR(VLOOKUP('RESUMEN PITS'!C102,'IP PITSS'!$B$9:$M$93,11),0)+IFERROR(VLOOKUP('RESUMEN PITS'!C102,'IP PITSS'!$B$9:$M$93,12),0)+VLOOKUP("Comision",'IP PITSS'!$I$99:$J$110,2)/COUNT($F$9:$F$111)+IFERROR(VLOOKUP('RESUMEN PITS'!C102,'IP PITSS'!$B$9:$AD$93,15),0)+IFERROR(VLOOKUP('RESUMEN PITS'!C102,'IP PITSS'!$B$9:$AD$93,21),0)+IFERROR(VLOOKUP('RESUMEN PITS'!C102,'IP PITSS'!$B$9:$AD$93,22),0)+IFERROR(VLOOKUP('RESUMEN PITS'!C102,'IP PITSS'!$B$9:$AD$93,23),0)+IFERROR(VLOOKUP('RESUMEN PITS'!C102,'IP PITSS'!$B$9:$AD$93,24),0)+IFERROR(VLOOKUP('RESUMEN PITS'!C102,'IP PITSS'!$B$9:$AD$93,26),0)+IFERROR(VLOOKUP('RESUMEN PITS'!C102,'IP PITSS'!$B$9:$AD$93,28),0)+IFERROR(VLOOKUP('RESUMEN PITS'!C102,'IP PITSS'!$B$9:$AD$93,29),0)+IFERROR(VLOOKUP('RESUMEN PITS'!C102,'IP PITSS'!$B$9:$AD$93,9),0)*2%</f>
        <v>3784.9959242718442</v>
      </c>
      <c r="W102" s="10">
        <f t="shared" si="7"/>
        <v>-784.99592427184416</v>
      </c>
      <c r="X102" s="37"/>
      <c r="Y102" s="19" t="s">
        <v>329</v>
      </c>
    </row>
    <row r="103" spans="1:25" x14ac:dyDescent="0.2">
      <c r="A103" s="70" t="s">
        <v>366</v>
      </c>
      <c r="B103" s="11" t="s">
        <v>89</v>
      </c>
      <c r="C103" s="11" t="s">
        <v>334</v>
      </c>
      <c r="D103" s="5">
        <f>+VLOOKUP(C103,'IP PITSS'!$B$9:U170,20,0)</f>
        <v>2446.8000000000002</v>
      </c>
      <c r="E103" s="72"/>
      <c r="F103" s="67">
        <f>VLOOKUP(C103,'SIND PITS'!$C$9:$H$113,2,0)</f>
        <v>53.199999999999818</v>
      </c>
      <c r="G103" s="67">
        <f>VLOOKUP(C103,'SIND PITS'!$C$9:$E$113,3,0)</f>
        <v>0</v>
      </c>
      <c r="H103" s="67">
        <f>VLOOKUP(C103,'SIND PITS'!$C$9:$F$113,4,0)</f>
        <v>0</v>
      </c>
      <c r="I103" s="67">
        <f>VLOOKUP(C103,'SIND PITS'!$C$9:$G$113,5,0)</f>
        <v>0</v>
      </c>
      <c r="J103" s="69"/>
      <c r="K103" s="19">
        <f t="shared" si="5"/>
        <v>2500</v>
      </c>
      <c r="L103" s="67">
        <v>5000</v>
      </c>
      <c r="M103" s="67">
        <f t="shared" si="4"/>
        <v>2500</v>
      </c>
      <c r="N103" s="69"/>
      <c r="O103" s="19">
        <f>+VLOOKUP(C103,'IP PITSS'!$B$9:I170,8,0)</f>
        <v>0</v>
      </c>
      <c r="P103" s="19">
        <f t="shared" si="6"/>
        <v>0</v>
      </c>
      <c r="Q103" s="68">
        <f>+(VLOOKUP(C103,'IP PITSS'!$B$9:L170,11,0))+VLOOKUP('RESUMEN PITS'!C103,'IP PITSS'!$B$9:M170,12,0)+VLOOKUP(C103,'IP PITSS'!$B$9:K170,10,0)</f>
        <v>0</v>
      </c>
      <c r="R103" s="68">
        <f>VLOOKUP(C103,'IP PITSS'!$B$9:Q166,16,0)</f>
        <v>0</v>
      </c>
      <c r="S103" s="19">
        <f>+VLOOKUP(C103,'EXTRAS Y FESTIVOS'!$B$9:J205,9,0)</f>
        <v>0</v>
      </c>
      <c r="T103" s="68">
        <f>VLOOKUP(C103,'IP PITSS'!$B$9:R166,17,0)</f>
        <v>0</v>
      </c>
      <c r="U103" s="69"/>
      <c r="V103" s="19">
        <f>+K103-O103-P103+Q103+R103+T103+S103+IFERROR(VLOOKUP('RESUMEN PITS'!C103,'IP PITSS'!$B$9:$M$93,10),0)+IFERROR(VLOOKUP('RESUMEN PITS'!C103,'IP PITSS'!$B$9:$M$93,11),0)+IFERROR(VLOOKUP('RESUMEN PITS'!C103,'IP PITSS'!$B$9:$M$93,12),0)+VLOOKUP("Comision",'IP PITSS'!$I$99:$J$110,2)/COUNT($F$9:$F$111)+IFERROR(VLOOKUP('RESUMEN PITS'!C103,'IP PITSS'!$B$9:$AD$93,15),0)+IFERROR(VLOOKUP('RESUMEN PITS'!C103,'IP PITSS'!$B$9:$AD$93,21),0)+IFERROR(VLOOKUP('RESUMEN PITS'!C103,'IP PITSS'!$B$9:$AD$93,22),0)+IFERROR(VLOOKUP('RESUMEN PITS'!C103,'IP PITSS'!$B$9:$AD$93,23),0)+IFERROR(VLOOKUP('RESUMEN PITS'!C103,'IP PITSS'!$B$9:$AD$93,24),0)+IFERROR(VLOOKUP('RESUMEN PITS'!C103,'IP PITSS'!$B$9:$AD$93,26),0)+IFERROR(VLOOKUP('RESUMEN PITS'!C103,'IP PITSS'!$B$9:$AD$93,28),0)+IFERROR(VLOOKUP('RESUMEN PITS'!C103,'IP PITSS'!$B$9:$AD$93,29),0)+IFERROR(VLOOKUP('RESUMEN PITS'!C103,'IP PITSS'!$B$9:$AD$93,9),0)*2%</f>
        <v>2554.0559242718446</v>
      </c>
      <c r="W103" s="10">
        <f t="shared" si="7"/>
        <v>-54.05592427184456</v>
      </c>
      <c r="X103" s="37"/>
    </row>
    <row r="104" spans="1:25" ht="15" x14ac:dyDescent="0.25">
      <c r="A104" s="79" t="s">
        <v>367</v>
      </c>
      <c r="B104" s="11" t="s">
        <v>89</v>
      </c>
      <c r="C104" s="79" t="s">
        <v>336</v>
      </c>
      <c r="D104" s="5">
        <f>+VLOOKUP(C104,'IP PITSS'!$B$9:U171,20,0)</f>
        <v>2865.8</v>
      </c>
      <c r="E104" s="72"/>
      <c r="F104" s="67">
        <f>VLOOKUP(C104,'SIND PITS'!$C$9:$H$113,2,0)</f>
        <v>134.19999999999982</v>
      </c>
      <c r="G104" s="67">
        <f>VLOOKUP(C104,'SIND PITS'!$C$9:$E$113,3,0)</f>
        <v>487.5</v>
      </c>
      <c r="H104" s="67">
        <f>VLOOKUP(C104,'SIND PITS'!$C$9:$F$113,4,0)</f>
        <v>0</v>
      </c>
      <c r="I104" s="67">
        <f>VLOOKUP(C104,'SIND PITS'!$C$9:$G$113,5,0)</f>
        <v>0</v>
      </c>
      <c r="J104" s="69"/>
      <c r="K104" s="19">
        <f t="shared" si="5"/>
        <v>3487.5</v>
      </c>
      <c r="L104" s="67">
        <v>6000</v>
      </c>
      <c r="M104" s="67">
        <f t="shared" si="4"/>
        <v>3000</v>
      </c>
      <c r="N104" s="69"/>
      <c r="O104" s="19">
        <f>+VLOOKUP(C104,'IP PITSS'!$B$9:I171,8,0)</f>
        <v>0</v>
      </c>
      <c r="P104" s="19">
        <f t="shared" si="6"/>
        <v>487.5</v>
      </c>
      <c r="Q104" s="68">
        <f>+(VLOOKUP(C104,'IP PITSS'!$B$9:L171,11,0))+VLOOKUP('RESUMEN PITS'!C104,'IP PITSS'!$B$9:M171,12,0)+VLOOKUP(C104,'IP PITSS'!$B$9:K171,10,0)</f>
        <v>0</v>
      </c>
      <c r="R104" s="68">
        <f>VLOOKUP(C104,'IP PITSS'!$B$9:Q167,16,0)</f>
        <v>0</v>
      </c>
      <c r="S104" s="19">
        <f>+VLOOKUP(C104,'EXTRAS Y FESTIVOS'!$B$9:J206,9,0)</f>
        <v>0</v>
      </c>
      <c r="T104" s="68">
        <f>VLOOKUP(C104,'IP PITSS'!$B$9:R167,17,0)</f>
        <v>0</v>
      </c>
      <c r="U104" s="69"/>
      <c r="V104" s="19">
        <f>+K104-O104-P104+Q104+R104+T104+S104+IFERROR(VLOOKUP('RESUMEN PITS'!C104,'IP PITSS'!$B$9:$M$93,10),0)+IFERROR(VLOOKUP('RESUMEN PITS'!C104,'IP PITSS'!$B$9:$M$93,11),0)+IFERROR(VLOOKUP('RESUMEN PITS'!C104,'IP PITSS'!$B$9:$M$93,12),0)+VLOOKUP("Comision",'IP PITSS'!$I$99:$J$110,2)/COUNT($F$9:$F$111)+IFERROR(VLOOKUP('RESUMEN PITS'!C104,'IP PITSS'!$B$9:$AD$93,15),0)+IFERROR(VLOOKUP('RESUMEN PITS'!C104,'IP PITSS'!$B$9:$AD$93,21),0)+IFERROR(VLOOKUP('RESUMEN PITS'!C104,'IP PITSS'!$B$9:$AD$93,22),0)+IFERROR(VLOOKUP('RESUMEN PITS'!C104,'IP PITSS'!$B$9:$AD$93,23),0)+IFERROR(VLOOKUP('RESUMEN PITS'!C104,'IP PITSS'!$B$9:$AD$93,24),0)+IFERROR(VLOOKUP('RESUMEN PITS'!C104,'IP PITSS'!$B$9:$AD$93,26),0)+IFERROR(VLOOKUP('RESUMEN PITS'!C104,'IP PITSS'!$B$9:$AD$93,28),0)+IFERROR(VLOOKUP('RESUMEN PITS'!C104,'IP PITSS'!$B$9:$AD$93,29),0)+IFERROR(VLOOKUP('RESUMEN PITS'!C104,'IP PITSS'!$B$9:$AD$93,9),0)*2%</f>
        <v>4414.5349242718439</v>
      </c>
      <c r="W104" s="10">
        <f t="shared" si="7"/>
        <v>-1414.5349242718439</v>
      </c>
      <c r="X104" s="37"/>
    </row>
    <row r="105" spans="1:25" ht="14.25" customHeight="1" x14ac:dyDescent="0.25">
      <c r="A105" s="79" t="s">
        <v>418</v>
      </c>
      <c r="B105" s="11" t="s">
        <v>89</v>
      </c>
      <c r="C105" s="79" t="s">
        <v>274</v>
      </c>
      <c r="D105" s="5">
        <f>+VLOOKUP(C105,'IP PITSS'!$B$9:U172,20,0)</f>
        <v>1314.8</v>
      </c>
      <c r="E105" s="72"/>
      <c r="F105" s="67">
        <f>VLOOKUP(C105,'SIND PITS'!$C$9:$H$113,2,0)</f>
        <v>207.62999999999965</v>
      </c>
      <c r="G105" s="67">
        <f>VLOOKUP(C105,'SIND PITS'!$C$9:$E$113,3,0)</f>
        <v>3503.7</v>
      </c>
      <c r="H105" s="67">
        <f>VLOOKUP(C105,'SIND PITS'!$C$9:$F$113,4,0)</f>
        <v>0</v>
      </c>
      <c r="I105" s="67">
        <f>VLOOKUP(C105,'SIND PITS'!$C$9:$G$113,5,0)</f>
        <v>0</v>
      </c>
      <c r="J105" s="69"/>
      <c r="K105" s="19">
        <f t="shared" si="5"/>
        <v>5026.1299999999992</v>
      </c>
      <c r="L105" s="67">
        <v>5000</v>
      </c>
      <c r="M105" s="67">
        <f t="shared" si="4"/>
        <v>2500</v>
      </c>
      <c r="N105" s="69"/>
      <c r="O105" s="19">
        <f>+VLOOKUP(C105,'IP PITSS'!$B$9:I172,8,0)</f>
        <v>0</v>
      </c>
      <c r="P105" s="19">
        <f t="shared" si="6"/>
        <v>3503.7</v>
      </c>
      <c r="Q105" s="68">
        <f>+(VLOOKUP(C105,'IP PITSS'!$B$9:L172,11,0))+VLOOKUP('RESUMEN PITS'!C105,'IP PITSS'!$B$9:M172,12,0)+VLOOKUP(C105,'IP PITSS'!$B$9:K172,10,0)</f>
        <v>977.57</v>
      </c>
      <c r="R105" s="68">
        <f>VLOOKUP(C105,'IP PITSS'!$B$9:Q168,16,0)</f>
        <v>0</v>
      </c>
      <c r="S105" s="19">
        <f>+VLOOKUP(C105,'EXTRAS Y FESTIVOS'!$B$9:J207,9,0)</f>
        <v>0</v>
      </c>
      <c r="T105" s="68">
        <f>VLOOKUP(C105,'IP PITSS'!$B$9:R168,17,0)</f>
        <v>0</v>
      </c>
      <c r="U105" s="69"/>
      <c r="V105" s="19">
        <f>+K105-O105-P105+Q105+R105+T105+S105+IFERROR(VLOOKUP('RESUMEN PITS'!C105,'IP PITSS'!$B$9:$M$93,10),0)+IFERROR(VLOOKUP('RESUMEN PITS'!C105,'IP PITSS'!$B$9:$M$93,11),0)+IFERROR(VLOOKUP('RESUMEN PITS'!C105,'IP PITSS'!$B$9:$M$93,12),0)+VLOOKUP("Comision",'IP PITSS'!$I$99:$J$110,2)/COUNT($F$9:$F$111)+IFERROR(VLOOKUP('RESUMEN PITS'!C105,'IP PITSS'!$B$9:$AD$93,15),0)+IFERROR(VLOOKUP('RESUMEN PITS'!C105,'IP PITSS'!$B$9:$AD$93,21),0)+IFERROR(VLOOKUP('RESUMEN PITS'!C105,'IP PITSS'!$B$9:$AD$93,22),0)+IFERROR(VLOOKUP('RESUMEN PITS'!C105,'IP PITSS'!$B$9:$AD$93,23),0)+IFERROR(VLOOKUP('RESUMEN PITS'!C105,'IP PITSS'!$B$9:$AD$93,24),0)+IFERROR(VLOOKUP('RESUMEN PITS'!C105,'IP PITSS'!$B$9:$AD$93,26),0)+IFERROR(VLOOKUP('RESUMEN PITS'!C105,'IP PITSS'!$B$9:$AD$93,28),0)+IFERROR(VLOOKUP('RESUMEN PITS'!C105,'IP PITSS'!$B$9:$AD$93,29),0)+IFERROR(VLOOKUP('RESUMEN PITS'!C105,'IP PITSS'!$B$9:$AD$93,9),0)*2%</f>
        <v>4001.4969242718439</v>
      </c>
      <c r="W105" s="10">
        <f t="shared" si="7"/>
        <v>-1501.4969242718439</v>
      </c>
      <c r="X105" s="37"/>
    </row>
    <row r="106" spans="1:25" ht="14.25" customHeight="1" x14ac:dyDescent="0.25">
      <c r="A106" s="79" t="s">
        <v>421</v>
      </c>
      <c r="B106" s="11" t="s">
        <v>89</v>
      </c>
      <c r="C106" s="79" t="s">
        <v>422</v>
      </c>
      <c r="D106" s="5">
        <f>+VLOOKUP(C106,'IP PITSS'!$B$9:U173,20,0)</f>
        <v>2975.4</v>
      </c>
      <c r="E106" s="72"/>
      <c r="F106" s="67">
        <f>VLOOKUP(C106,'SIND PITS'!$C$9:$H$113,2,0)</f>
        <v>174.59999999999991</v>
      </c>
      <c r="G106" s="67">
        <f>VLOOKUP(C106,'SIND PITS'!$C$9:$E$113,3,0)</f>
        <v>0</v>
      </c>
      <c r="H106" s="67">
        <f>VLOOKUP(C106,'SIND PITS'!$C$9:$F$113,4,0)</f>
        <v>0</v>
      </c>
      <c r="I106" s="67">
        <f>VLOOKUP(C106,'SIND PITS'!$C$9:$G$113,5,0)</f>
        <v>0</v>
      </c>
      <c r="J106" s="69"/>
      <c r="K106" s="19">
        <f t="shared" si="5"/>
        <v>3150</v>
      </c>
      <c r="L106" s="67">
        <v>6300</v>
      </c>
      <c r="M106" s="67">
        <f t="shared" si="4"/>
        <v>3150</v>
      </c>
      <c r="N106" s="69"/>
      <c r="O106" s="19">
        <f>+VLOOKUP(C106,'IP PITSS'!$B$9:I173,8,0)</f>
        <v>0</v>
      </c>
      <c r="P106" s="19">
        <f t="shared" si="6"/>
        <v>0</v>
      </c>
      <c r="Q106" s="68">
        <f>+(VLOOKUP(C106,'IP PITSS'!$B$9:L173,11,0))+VLOOKUP('RESUMEN PITS'!C106,'IP PITSS'!$B$9:M173,12,0)+VLOOKUP(C106,'IP PITSS'!$B$9:K173,10,0)</f>
        <v>0</v>
      </c>
      <c r="R106" s="68">
        <f>VLOOKUP(C106,'IP PITSS'!$B$9:Q169,16,0)</f>
        <v>0</v>
      </c>
      <c r="S106" s="19">
        <f>+VLOOKUP(C106,'EXTRAS Y FESTIVOS'!$B$9:J208,9,0)</f>
        <v>0</v>
      </c>
      <c r="T106" s="68">
        <f>VLOOKUP(C106,'IP PITSS'!$B$9:R169,17,0)</f>
        <v>0</v>
      </c>
      <c r="U106" s="69"/>
      <c r="V106" s="19">
        <f>+K106-O106-P106+Q106+R106+T106+S106+IFERROR(VLOOKUP('RESUMEN PITS'!C106,'IP PITSS'!$B$9:$M$93,10),0)+IFERROR(VLOOKUP('RESUMEN PITS'!C106,'IP PITSS'!$B$9:$M$93,11),0)+IFERROR(VLOOKUP('RESUMEN PITS'!C106,'IP PITSS'!$B$9:$M$93,12),0)+VLOOKUP("Comision",'IP PITSS'!$I$99:$J$110,2)/COUNT($F$9:$F$111)+IFERROR(VLOOKUP('RESUMEN PITS'!C106,'IP PITSS'!$B$9:$AD$93,15),0)+IFERROR(VLOOKUP('RESUMEN PITS'!C106,'IP PITSS'!$B$9:$AD$93,21),0)+IFERROR(VLOOKUP('RESUMEN PITS'!C106,'IP PITSS'!$B$9:$AD$93,22),0)+IFERROR(VLOOKUP('RESUMEN PITS'!C106,'IP PITSS'!$B$9:$AD$93,23),0)+IFERROR(VLOOKUP('RESUMEN PITS'!C106,'IP PITSS'!$B$9:$AD$93,24),0)+IFERROR(VLOOKUP('RESUMEN PITS'!C106,'IP PITSS'!$B$9:$AD$93,26),0)+IFERROR(VLOOKUP('RESUMEN PITS'!C106,'IP PITSS'!$B$9:$AD$93,28),0)+IFERROR(VLOOKUP('RESUMEN PITS'!C106,'IP PITSS'!$B$9:$AD$93,29),0)+IFERROR(VLOOKUP('RESUMEN PITS'!C106,'IP PITSS'!$B$9:$AD$93,9),0)*2%</f>
        <v>4564.5349242718439</v>
      </c>
      <c r="W106" s="10">
        <f t="shared" si="7"/>
        <v>-1414.5349242718439</v>
      </c>
      <c r="X106" s="37"/>
    </row>
    <row r="107" spans="1:25" ht="14.25" customHeight="1" x14ac:dyDescent="0.25">
      <c r="A107" s="79" t="s">
        <v>423</v>
      </c>
      <c r="B107" s="11" t="s">
        <v>89</v>
      </c>
      <c r="C107" s="79" t="s">
        <v>424</v>
      </c>
      <c r="D107" s="5">
        <f>+VLOOKUP(C107,'IP PITSS'!$B$9:U174,20,0)</f>
        <v>2975.6</v>
      </c>
      <c r="E107" s="72"/>
      <c r="F107" s="67">
        <f>VLOOKUP(C107,'SIND PITS'!$C$9:$H$113,2,0)</f>
        <v>174.40000000000009</v>
      </c>
      <c r="G107" s="67">
        <f>VLOOKUP(C107,'SIND PITS'!$C$9:$E$113,3,0)</f>
        <v>0</v>
      </c>
      <c r="H107" s="67">
        <f>VLOOKUP(C107,'SIND PITS'!$C$9:$F$113,4,0)</f>
        <v>0</v>
      </c>
      <c r="I107" s="67">
        <f>VLOOKUP(C107,'SIND PITS'!$C$9:$G$113,5,0)</f>
        <v>0</v>
      </c>
      <c r="J107" s="69"/>
      <c r="K107" s="19">
        <f t="shared" si="5"/>
        <v>3150</v>
      </c>
      <c r="L107" s="67">
        <v>6300</v>
      </c>
      <c r="M107" s="67">
        <f t="shared" si="4"/>
        <v>3150</v>
      </c>
      <c r="N107" s="69"/>
      <c r="O107" s="19">
        <f>+VLOOKUP(C107,'IP PITSS'!$B$9:I174,8,0)</f>
        <v>0</v>
      </c>
      <c r="P107" s="19">
        <f t="shared" si="6"/>
        <v>0</v>
      </c>
      <c r="Q107" s="68">
        <f>+(VLOOKUP(C107,'IP PITSS'!$B$9:L174,11,0))+VLOOKUP('RESUMEN PITS'!C107,'IP PITSS'!$B$9:M174,12,0)+VLOOKUP(C107,'IP PITSS'!$B$9:K174,10,0)</f>
        <v>0</v>
      </c>
      <c r="R107" s="68">
        <f>VLOOKUP(C107,'IP PITSS'!$B$9:Q170,16,0)</f>
        <v>0</v>
      </c>
      <c r="S107" s="19">
        <f>+VLOOKUP(C107,'EXTRAS Y FESTIVOS'!$B$9:J209,9,0)</f>
        <v>0</v>
      </c>
      <c r="T107" s="68">
        <f>VLOOKUP(C107,'IP PITSS'!$B$9:R170,17,0)</f>
        <v>0</v>
      </c>
      <c r="U107" s="69"/>
      <c r="V107" s="19">
        <f>+K107-O107-P107+Q107+R107+T107+S107+IFERROR(VLOOKUP('RESUMEN PITS'!C107,'IP PITSS'!$B$9:$M$93,10),0)+IFERROR(VLOOKUP('RESUMEN PITS'!C107,'IP PITSS'!$B$9:$M$93,11),0)+IFERROR(VLOOKUP('RESUMEN PITS'!C107,'IP PITSS'!$B$9:$M$93,12),0)+VLOOKUP("Comision",'IP PITSS'!$I$99:$J$110,2)/COUNT($F$9:$F$111)+IFERROR(VLOOKUP('RESUMEN PITS'!C107,'IP PITSS'!$B$9:$AD$93,15),0)+IFERROR(VLOOKUP('RESUMEN PITS'!C107,'IP PITSS'!$B$9:$AD$93,21),0)+IFERROR(VLOOKUP('RESUMEN PITS'!C107,'IP PITSS'!$B$9:$AD$93,22),0)+IFERROR(VLOOKUP('RESUMEN PITS'!C107,'IP PITSS'!$B$9:$AD$93,23),0)+IFERROR(VLOOKUP('RESUMEN PITS'!C107,'IP PITSS'!$B$9:$AD$93,24),0)+IFERROR(VLOOKUP('RESUMEN PITS'!C107,'IP PITSS'!$B$9:$AD$93,26),0)+IFERROR(VLOOKUP('RESUMEN PITS'!C107,'IP PITSS'!$B$9:$AD$93,28),0)+IFERROR(VLOOKUP('RESUMEN PITS'!C107,'IP PITSS'!$B$9:$AD$93,29),0)+IFERROR(VLOOKUP('RESUMEN PITS'!C107,'IP PITSS'!$B$9:$AD$93,9),0)*2%</f>
        <v>4564.5349242718439</v>
      </c>
      <c r="W107" s="10">
        <f t="shared" si="7"/>
        <v>-1414.5349242718439</v>
      </c>
      <c r="X107" s="37"/>
    </row>
    <row r="108" spans="1:25" ht="14.25" customHeight="1" x14ac:dyDescent="0.25">
      <c r="A108" s="79" t="s">
        <v>425</v>
      </c>
      <c r="B108" s="11" t="s">
        <v>89</v>
      </c>
      <c r="C108" s="79" t="s">
        <v>426</v>
      </c>
      <c r="D108" s="5">
        <f>+VLOOKUP(C108,'IP PITSS'!$B$9:U175,20,0)</f>
        <v>2475.8000000000002</v>
      </c>
      <c r="E108" s="72"/>
      <c r="F108" s="67">
        <f>VLOOKUP(C108,'SIND PITS'!$C$9:$H$113,2,0)</f>
        <v>134.19999999999982</v>
      </c>
      <c r="G108" s="67">
        <f>VLOOKUP(C108,'SIND PITS'!$C$9:$E$113,3,0)</f>
        <v>0</v>
      </c>
      <c r="H108" s="67">
        <f>VLOOKUP(C108,'SIND PITS'!$C$9:$F$113,4,0)</f>
        <v>0</v>
      </c>
      <c r="I108" s="67">
        <f>VLOOKUP(C108,'SIND PITS'!$C$9:$G$113,5,0)</f>
        <v>0</v>
      </c>
      <c r="J108" s="69"/>
      <c r="K108" s="19">
        <f t="shared" si="5"/>
        <v>2610</v>
      </c>
      <c r="L108" s="67">
        <v>6000</v>
      </c>
      <c r="M108" s="67">
        <f t="shared" si="4"/>
        <v>3000</v>
      </c>
      <c r="N108" s="69"/>
      <c r="O108" s="19">
        <f>+VLOOKUP(C108,'IP PITSS'!$B$9:I175,8,0)</f>
        <v>0</v>
      </c>
      <c r="P108" s="19">
        <f t="shared" si="6"/>
        <v>0</v>
      </c>
      <c r="Q108" s="68">
        <f>+(VLOOKUP(C108,'IP PITSS'!$B$9:L175,11,0))+VLOOKUP('RESUMEN PITS'!C108,'IP PITSS'!$B$9:M175,12,0)+VLOOKUP(C108,'IP PITSS'!$B$9:K175,10,0)</f>
        <v>0</v>
      </c>
      <c r="R108" s="68">
        <f>VLOOKUP(C108,'IP PITSS'!$B$9:Q171,16,0)</f>
        <v>0</v>
      </c>
      <c r="S108" s="19">
        <f>+VLOOKUP(C108,'EXTRAS Y FESTIVOS'!$B$9:J210,9,0)</f>
        <v>0</v>
      </c>
      <c r="T108" s="68">
        <f>VLOOKUP(C108,'IP PITSS'!$B$9:R171,17,0)</f>
        <v>390</v>
      </c>
      <c r="U108" s="69"/>
      <c r="V108" s="19">
        <f>+K108-O108-P108+Q108+R108+T108+S108+IFERROR(VLOOKUP('RESUMEN PITS'!C108,'IP PITSS'!$B$9:$M$93,10),0)+IFERROR(VLOOKUP('RESUMEN PITS'!C108,'IP PITSS'!$B$9:$M$93,11),0)+IFERROR(VLOOKUP('RESUMEN PITS'!C108,'IP PITSS'!$B$9:$M$93,12),0)+VLOOKUP("Comision",'IP PITSS'!$I$99:$J$110,2)/COUNT($F$9:$F$111)+IFERROR(VLOOKUP('RESUMEN PITS'!C108,'IP PITSS'!$B$9:$AD$93,15),0)+IFERROR(VLOOKUP('RESUMEN PITS'!C108,'IP PITSS'!$B$9:$AD$93,21),0)+IFERROR(VLOOKUP('RESUMEN PITS'!C108,'IP PITSS'!$B$9:$AD$93,22),0)+IFERROR(VLOOKUP('RESUMEN PITS'!C108,'IP PITSS'!$B$9:$AD$93,23),0)+IFERROR(VLOOKUP('RESUMEN PITS'!C108,'IP PITSS'!$B$9:$AD$93,24),0)+IFERROR(VLOOKUP('RESUMEN PITS'!C108,'IP PITSS'!$B$9:$AD$93,26),0)+IFERROR(VLOOKUP('RESUMEN PITS'!C108,'IP PITSS'!$B$9:$AD$93,28),0)+IFERROR(VLOOKUP('RESUMEN PITS'!C108,'IP PITSS'!$B$9:$AD$93,29),0)+IFERROR(VLOOKUP('RESUMEN PITS'!C108,'IP PITSS'!$B$9:$AD$93,9),0)*2%</f>
        <v>3784.9959242718442</v>
      </c>
      <c r="W108" s="10">
        <f t="shared" si="7"/>
        <v>-784.99592427184416</v>
      </c>
      <c r="X108" s="37"/>
    </row>
    <row r="109" spans="1:25" ht="14.25" customHeight="1" x14ac:dyDescent="0.25">
      <c r="A109" s="79" t="s">
        <v>454</v>
      </c>
      <c r="B109" s="11" t="s">
        <v>89</v>
      </c>
      <c r="C109" s="79" t="s">
        <v>455</v>
      </c>
      <c r="D109" s="5">
        <f>+VLOOKUP(C109,'IP PITSS'!$B$9:U176,20,0)</f>
        <v>2692.6</v>
      </c>
      <c r="E109" s="72"/>
      <c r="F109" s="67">
        <f>VLOOKUP(C109,'SIND PITS'!$C$9:$H$113,2,0)</f>
        <v>107.39999999999998</v>
      </c>
      <c r="G109" s="67">
        <f>VLOOKUP(C109,'SIND PITS'!$C$9:$E$113,3,0)</f>
        <v>0</v>
      </c>
      <c r="H109" s="67">
        <f>VLOOKUP(C109,'SIND PITS'!$C$9:$F$113,4,0)</f>
        <v>0</v>
      </c>
      <c r="I109" s="67">
        <f>VLOOKUP(C109,'SIND PITS'!$C$9:$G$113,5,0)</f>
        <v>0</v>
      </c>
      <c r="J109" s="69"/>
      <c r="K109" s="19">
        <f t="shared" si="5"/>
        <v>2800</v>
      </c>
      <c r="L109" s="67">
        <v>6000</v>
      </c>
      <c r="M109" s="67">
        <f t="shared" ref="M109:M111" si="8">+L109/2</f>
        <v>3000</v>
      </c>
      <c r="N109" s="69"/>
      <c r="O109" s="19">
        <f>+VLOOKUP(C109,'IP PITSS'!$B$9:I176,8,0)</f>
        <v>0</v>
      </c>
      <c r="P109" s="19">
        <f t="shared" si="6"/>
        <v>0</v>
      </c>
      <c r="Q109" s="68">
        <f>+(VLOOKUP(C109,'IP PITSS'!$B$9:L176,11,0))+VLOOKUP('RESUMEN PITS'!C109,'IP PITSS'!$B$9:M176,12,0)+VLOOKUP(C109,'IP PITSS'!$B$9:K176,10,0)</f>
        <v>0</v>
      </c>
      <c r="R109" s="68">
        <f>VLOOKUP(C109,'IP PITSS'!$B$9:Q172,16,0)</f>
        <v>0</v>
      </c>
      <c r="S109" s="19">
        <f>+VLOOKUP(C109,'EXTRAS Y FESTIVOS'!$B$9:J211,9,0)</f>
        <v>200</v>
      </c>
      <c r="T109" s="68">
        <f>VLOOKUP(C109,'IP PITSS'!$B$9:R172,17,0)</f>
        <v>0</v>
      </c>
      <c r="U109" s="69"/>
      <c r="V109" s="19">
        <f>+K109-O109-P109+Q109+R109+T109+S109+IFERROR(VLOOKUP('RESUMEN PITS'!C109,'IP PITSS'!$B$9:$M$93,10),0)+IFERROR(VLOOKUP('RESUMEN PITS'!C109,'IP PITSS'!$B$9:$M$93,11),0)+IFERROR(VLOOKUP('RESUMEN PITS'!C109,'IP PITSS'!$B$9:$M$93,12),0)+VLOOKUP("Comision",'IP PITSS'!$I$99:$J$110,2)/COUNT($F$9:$F$111)+IFERROR(VLOOKUP('RESUMEN PITS'!C109,'IP PITSS'!$B$9:$AD$93,15),0)+IFERROR(VLOOKUP('RESUMEN PITS'!C109,'IP PITSS'!$B$9:$AD$93,21),0)+IFERROR(VLOOKUP('RESUMEN PITS'!C109,'IP PITSS'!$B$9:$AD$93,22),0)+IFERROR(VLOOKUP('RESUMEN PITS'!C109,'IP PITSS'!$B$9:$AD$93,23),0)+IFERROR(VLOOKUP('RESUMEN PITS'!C109,'IP PITSS'!$B$9:$AD$93,24),0)+IFERROR(VLOOKUP('RESUMEN PITS'!C109,'IP PITSS'!$B$9:$AD$93,26),0)+IFERROR(VLOOKUP('RESUMEN PITS'!C109,'IP PITSS'!$B$9:$AD$93,28),0)+IFERROR(VLOOKUP('RESUMEN PITS'!C109,'IP PITSS'!$B$9:$AD$93,29),0)+IFERROR(VLOOKUP('RESUMEN PITS'!C109,'IP PITSS'!$B$9:$AD$93,9),0)*2%</f>
        <v>4252.9259242718445</v>
      </c>
      <c r="W109" s="10">
        <f t="shared" si="7"/>
        <v>-1452.9259242718445</v>
      </c>
      <c r="X109" s="37" t="s">
        <v>464</v>
      </c>
    </row>
    <row r="110" spans="1:25" ht="14.25" customHeight="1" x14ac:dyDescent="0.25">
      <c r="A110" s="79" t="s">
        <v>456</v>
      </c>
      <c r="B110" s="11" t="s">
        <v>89</v>
      </c>
      <c r="C110" s="79" t="s">
        <v>457</v>
      </c>
      <c r="D110" s="5">
        <f>+VLOOKUP(C110,'IP PITSS'!$B$9:U177,20,0)</f>
        <v>2632</v>
      </c>
      <c r="E110" s="72"/>
      <c r="F110" s="67">
        <f>VLOOKUP(C110,'SIND PITS'!$C$9:$H$113,2,0)</f>
        <v>98</v>
      </c>
      <c r="G110" s="67">
        <f>VLOOKUP(C110,'SIND PITS'!$C$9:$E$113,3,0)</f>
        <v>0</v>
      </c>
      <c r="H110" s="67">
        <f>VLOOKUP(C110,'SIND PITS'!$C$9:$F$113,4,0)</f>
        <v>0</v>
      </c>
      <c r="I110" s="67">
        <f>VLOOKUP(C110,'SIND PITS'!$C$9:$G$113,5,0)</f>
        <v>0</v>
      </c>
      <c r="J110" s="69"/>
      <c r="K110" s="19">
        <f t="shared" si="5"/>
        <v>2730</v>
      </c>
      <c r="L110" s="67">
        <v>6300</v>
      </c>
      <c r="M110" s="67">
        <f t="shared" si="8"/>
        <v>3150</v>
      </c>
      <c r="N110" s="69"/>
      <c r="O110" s="19">
        <f>+VLOOKUP(C110,'IP PITSS'!$B$9:I177,8,0)</f>
        <v>0</v>
      </c>
      <c r="P110" s="19">
        <f t="shared" si="6"/>
        <v>0</v>
      </c>
      <c r="Q110" s="68">
        <f>+(VLOOKUP(C110,'IP PITSS'!$B$9:L177,11,0))+VLOOKUP('RESUMEN PITS'!C110,'IP PITSS'!$B$9:M177,12,0)+VLOOKUP(C110,'IP PITSS'!$B$9:K177,10,0)</f>
        <v>0</v>
      </c>
      <c r="R110" s="68">
        <f>VLOOKUP(C110,'IP PITSS'!$B$9:Q173,16,0)</f>
        <v>0</v>
      </c>
      <c r="S110" s="19">
        <f>+VLOOKUP(C110,'EXTRAS Y FESTIVOS'!$B$9:J212,9,0)</f>
        <v>420</v>
      </c>
      <c r="T110" s="68">
        <f>VLOOKUP(C110,'IP PITSS'!$B$9:R173,17,0)</f>
        <v>0</v>
      </c>
      <c r="U110" s="69"/>
      <c r="V110" s="19">
        <f>+K110-O110-P110+Q110+R110+T110+S110+IFERROR(VLOOKUP('RESUMEN PITS'!C110,'IP PITSS'!$B$9:$M$93,10),0)+IFERROR(VLOOKUP('RESUMEN PITS'!C110,'IP PITSS'!$B$9:$M$93,11),0)+IFERROR(VLOOKUP('RESUMEN PITS'!C110,'IP PITSS'!$B$9:$M$93,12),0)+VLOOKUP("Comision",'IP PITSS'!$I$99:$J$110,2)/COUNT($F$9:$F$111)+IFERROR(VLOOKUP('RESUMEN PITS'!C110,'IP PITSS'!$B$9:$AD$93,15),0)+IFERROR(VLOOKUP('RESUMEN PITS'!C110,'IP PITSS'!$B$9:$AD$93,21),0)+IFERROR(VLOOKUP('RESUMEN PITS'!C110,'IP PITSS'!$B$9:$AD$93,22),0)+IFERROR(VLOOKUP('RESUMEN PITS'!C110,'IP PITSS'!$B$9:$AD$93,23),0)+IFERROR(VLOOKUP('RESUMEN PITS'!C110,'IP PITSS'!$B$9:$AD$93,24),0)+IFERROR(VLOOKUP('RESUMEN PITS'!C110,'IP PITSS'!$B$9:$AD$93,26),0)+IFERROR(VLOOKUP('RESUMEN PITS'!C110,'IP PITSS'!$B$9:$AD$93,28),0)+IFERROR(VLOOKUP('RESUMEN PITS'!C110,'IP PITSS'!$B$9:$AD$93,29),0)+IFERROR(VLOOKUP('RESUMEN PITS'!C110,'IP PITSS'!$B$9:$AD$93,9),0)*2%</f>
        <v>4651.4969242718444</v>
      </c>
      <c r="W110" s="10">
        <f t="shared" si="7"/>
        <v>-1921.4969242718444</v>
      </c>
      <c r="X110" s="37" t="s">
        <v>465</v>
      </c>
    </row>
    <row r="111" spans="1:25" ht="14.25" customHeight="1" x14ac:dyDescent="0.25">
      <c r="A111" s="79" t="s">
        <v>458</v>
      </c>
      <c r="B111" s="11" t="s">
        <v>89</v>
      </c>
      <c r="C111" s="79" t="s">
        <v>459</v>
      </c>
      <c r="D111" s="5">
        <f>+VLOOKUP(C111,'IP PITSS'!$B$9:U178,20,0)</f>
        <v>1307</v>
      </c>
      <c r="E111" s="72"/>
      <c r="F111" s="67">
        <f>VLOOKUP(C111,'SIND PITS'!$C$9:$H$113,2,0)</f>
        <v>0</v>
      </c>
      <c r="G111" s="67">
        <f>VLOOKUP(C111,'SIND PITS'!$C$9:$E$113,3,0)</f>
        <v>0</v>
      </c>
      <c r="H111" s="67">
        <f>VLOOKUP(C111,'SIND PITS'!$C$9:$F$113,4,0)</f>
        <v>0</v>
      </c>
      <c r="I111" s="67">
        <f>VLOOKUP(C111,'SIND PITS'!$C$9:$G$113,5,0)</f>
        <v>0</v>
      </c>
      <c r="J111" s="69"/>
      <c r="K111" s="19">
        <f t="shared" si="5"/>
        <v>1307</v>
      </c>
      <c r="L111" s="67">
        <v>6000</v>
      </c>
      <c r="M111" s="67">
        <f t="shared" si="8"/>
        <v>3000</v>
      </c>
      <c r="N111" s="69"/>
      <c r="O111" s="19">
        <f>+VLOOKUP(C111,'IP PITSS'!$B$9:I178,8,0)</f>
        <v>0</v>
      </c>
      <c r="P111" s="19">
        <f t="shared" si="6"/>
        <v>0</v>
      </c>
      <c r="Q111" s="68">
        <f>+(VLOOKUP(C111,'IP PITSS'!$B$9:L178,11,0))+VLOOKUP('RESUMEN PITS'!C111,'IP PITSS'!$B$9:M178,12,0)+VLOOKUP(C111,'IP PITSS'!$B$9:K178,10,0)</f>
        <v>0</v>
      </c>
      <c r="R111" s="68">
        <f>VLOOKUP(C111,'IP PITSS'!$B$9:Q174,16,0)</f>
        <v>0</v>
      </c>
      <c r="S111" s="19">
        <f>+VLOOKUP(C111,'EXTRAS Y FESTIVOS'!$B$9:J213,9,0)</f>
        <v>1800</v>
      </c>
      <c r="T111" s="68">
        <f>VLOOKUP(C111,'IP PITSS'!$B$9:R174,17,0)</f>
        <v>0</v>
      </c>
      <c r="U111" s="69"/>
      <c r="V111" s="19">
        <f>+K111-O111-P111+Q111+R111+T111+S111+IFERROR(VLOOKUP('RESUMEN PITS'!C111,'IP PITSS'!$B$9:$M$93,10),0)+IFERROR(VLOOKUP('RESUMEN PITS'!C111,'IP PITSS'!$B$9:$M$93,11),0)+IFERROR(VLOOKUP('RESUMEN PITS'!C111,'IP PITSS'!$B$9:$M$93,12),0)+VLOOKUP("Comision",'IP PITSS'!$I$99:$J$110,2)/COUNT($F$9:$F$111)+IFERROR(VLOOKUP('RESUMEN PITS'!C111,'IP PITSS'!$B$9:$AD$93,15),0)+IFERROR(VLOOKUP('RESUMEN PITS'!C111,'IP PITSS'!$B$9:$AD$93,21),0)+IFERROR(VLOOKUP('RESUMEN PITS'!C111,'IP PITSS'!$B$9:$AD$93,22),0)+IFERROR(VLOOKUP('RESUMEN PITS'!C111,'IP PITSS'!$B$9:$AD$93,23),0)+IFERROR(VLOOKUP('RESUMEN PITS'!C111,'IP PITSS'!$B$9:$AD$93,24),0)+IFERROR(VLOOKUP('RESUMEN PITS'!C111,'IP PITSS'!$B$9:$AD$93,26),0)+IFERROR(VLOOKUP('RESUMEN PITS'!C111,'IP PITSS'!$B$9:$AD$93,28),0)+IFERROR(VLOOKUP('RESUMEN PITS'!C111,'IP PITSS'!$B$9:$AD$93,29),0)+IFERROR(VLOOKUP('RESUMEN PITS'!C111,'IP PITSS'!$B$9:$AD$93,9),0)*2%</f>
        <v>4608.4969242718444</v>
      </c>
      <c r="W111" s="10">
        <f t="shared" si="7"/>
        <v>-3408.4969242718444</v>
      </c>
      <c r="X111" s="37" t="s">
        <v>466</v>
      </c>
    </row>
    <row r="112" spans="1:25" ht="14.25" customHeight="1" x14ac:dyDescent="0.25">
      <c r="A112" s="79"/>
      <c r="B112" s="11"/>
      <c r="C112" s="79"/>
      <c r="D112" s="144" t="s">
        <v>74</v>
      </c>
      <c r="E112" s="144" t="s">
        <v>74</v>
      </c>
      <c r="F112" s="144" t="s">
        <v>74</v>
      </c>
      <c r="G112" s="144" t="s">
        <v>74</v>
      </c>
      <c r="H112" s="144" t="s">
        <v>74</v>
      </c>
      <c r="I112" s="144" t="s">
        <v>74</v>
      </c>
      <c r="J112" s="144" t="s">
        <v>74</v>
      </c>
      <c r="K112" s="144" t="s">
        <v>74</v>
      </c>
      <c r="L112" s="144" t="s">
        <v>74</v>
      </c>
      <c r="M112" s="144" t="s">
        <v>74</v>
      </c>
      <c r="N112" s="144" t="s">
        <v>74</v>
      </c>
      <c r="O112" s="144" t="s">
        <v>74</v>
      </c>
      <c r="P112" s="144" t="s">
        <v>74</v>
      </c>
      <c r="Q112" s="144" t="s">
        <v>74</v>
      </c>
      <c r="R112" s="144" t="s">
        <v>74</v>
      </c>
      <c r="S112" s="144" t="s">
        <v>74</v>
      </c>
      <c r="T112" s="144" t="s">
        <v>74</v>
      </c>
      <c r="U112" s="144" t="s">
        <v>74</v>
      </c>
      <c r="V112" s="19" t="e">
        <f>+K112-O112-P112+Q112+R112+T112+S112+IFERROR(VLOOKUP('RESUMEN PITS'!C112,'IP PITSS'!$B$9:$M$93,10),0)+IFERROR(VLOOKUP('RESUMEN PITS'!C112,'IP PITSS'!$B$9:$M$93,11),0)+IFERROR(VLOOKUP('RESUMEN PITS'!C112,'IP PITSS'!$B$9:$M$93,12),0)+VLOOKUP("Comision",'IP PITSS'!$I$99:$J$110,2)/COUNT($F$9:$F$111)+IFERROR(VLOOKUP('RESUMEN PITS'!C112,'IP PITSS'!$B$9:$AD$93,15),0)+IFERROR(VLOOKUP('RESUMEN PITS'!C112,'IP PITSS'!$B$9:$AD$93,21),0)+IFERROR(VLOOKUP('RESUMEN PITS'!C112,'IP PITSS'!$B$9:$AD$93,22),0)+IFERROR(VLOOKUP('RESUMEN PITS'!C112,'IP PITSS'!$B$9:$AD$93,23),0)+IFERROR(VLOOKUP('RESUMEN PITS'!C112,'IP PITSS'!$B$9:$AD$93,24),0)+IFERROR(VLOOKUP('RESUMEN PITS'!C112,'IP PITSS'!$B$9:$AD$93,26),0)+IFERROR(VLOOKUP('RESUMEN PITS'!C112,'IP PITSS'!$B$9:$AD$93,28),0)+IFERROR(VLOOKUP('RESUMEN PITS'!C112,'IP PITSS'!$B$9:$AD$93,29),0)+IFERROR(VLOOKUP('RESUMEN PITS'!C112,'IP PITSS'!$B$9:$AD$93,9),0)*2%</f>
        <v>#VALUE!</v>
      </c>
      <c r="W112" s="144" t="s">
        <v>74</v>
      </c>
      <c r="X112" s="144" t="s">
        <v>74</v>
      </c>
      <c r="Y112" s="144" t="s">
        <v>74</v>
      </c>
    </row>
    <row r="113" spans="1:25" s="142" customFormat="1" ht="24.75" customHeight="1" x14ac:dyDescent="0.2">
      <c r="A113" s="38"/>
      <c r="B113" s="38"/>
      <c r="C113" s="38" t="s">
        <v>368</v>
      </c>
      <c r="D113" s="38">
        <f>SUBTOTAL(9,D9:D112)</f>
        <v>314031.00000000012</v>
      </c>
      <c r="E113" s="38">
        <f t="shared" ref="E113:Y113" si="9">SUBTOTAL(9,E9:E112)</f>
        <v>0</v>
      </c>
      <c r="F113" s="38">
        <f t="shared" si="9"/>
        <v>148780.35500000001</v>
      </c>
      <c r="G113" s="38">
        <f t="shared" si="9"/>
        <v>37014.199999999997</v>
      </c>
      <c r="H113" s="38">
        <f t="shared" si="9"/>
        <v>0</v>
      </c>
      <c r="I113" s="38">
        <f t="shared" si="9"/>
        <v>1543.1399000000001</v>
      </c>
      <c r="J113" s="38">
        <f t="shared" si="9"/>
        <v>0</v>
      </c>
      <c r="K113" s="38">
        <f t="shared" si="9"/>
        <v>501368.6949</v>
      </c>
      <c r="L113" s="38">
        <f t="shared" si="9"/>
        <v>1028731.01</v>
      </c>
      <c r="M113" s="38">
        <f t="shared" si="9"/>
        <v>514365.505</v>
      </c>
      <c r="N113" s="38">
        <f t="shared" si="9"/>
        <v>0</v>
      </c>
      <c r="O113" s="38">
        <f t="shared" si="9"/>
        <v>2011.92</v>
      </c>
      <c r="P113" s="38">
        <f t="shared" si="9"/>
        <v>38557.339899999992</v>
      </c>
      <c r="Q113" s="38">
        <f t="shared" si="9"/>
        <v>41923.020000000004</v>
      </c>
      <c r="R113" s="38">
        <f t="shared" si="9"/>
        <v>1236.5999999999999</v>
      </c>
      <c r="S113" s="38">
        <f t="shared" ref="S113" si="10">SUBTOTAL(9,S9:S112)</f>
        <v>2753.333333333333</v>
      </c>
      <c r="T113" s="38">
        <f t="shared" si="9"/>
        <v>7760.1200000000017</v>
      </c>
      <c r="U113" s="38">
        <f t="shared" si="9"/>
        <v>0</v>
      </c>
      <c r="V113" s="19">
        <f>+K113-O113-P113+Q113+R113+T113+S113+IFERROR(VLOOKUP('RESUMEN PITS'!C113,'IP PITSS'!$B$9:$M$93,10),0)+IFERROR(VLOOKUP('RESUMEN PITS'!C113,'IP PITSS'!$B$9:$M$93,11),0)+IFERROR(VLOOKUP('RESUMEN PITS'!C113,'IP PITSS'!$B$9:$M$93,12),0)+VLOOKUP("Comision",'IP PITSS'!$I$99:$J$110,2)/COUNT($F$9:$F$111)+IFERROR(VLOOKUP('RESUMEN PITS'!C113,'IP PITSS'!$B$9:$AD$93,15),0)+IFERROR(VLOOKUP('RESUMEN PITS'!C113,'IP PITSS'!$B$9:$AD$93,21),0)+IFERROR(VLOOKUP('RESUMEN PITS'!C113,'IP PITSS'!$B$9:$AD$93,22),0)+IFERROR(VLOOKUP('RESUMEN PITS'!C113,'IP PITSS'!$B$9:$AD$93,23),0)+IFERROR(VLOOKUP('RESUMEN PITS'!C113,'IP PITSS'!$B$9:$AD$93,24),0)+IFERROR(VLOOKUP('RESUMEN PITS'!C113,'IP PITSS'!$B$9:$AD$93,26),0)+IFERROR(VLOOKUP('RESUMEN PITS'!C113,'IP PITSS'!$B$9:$AD$93,28),0)+IFERROR(VLOOKUP('RESUMEN PITS'!C113,'IP PITSS'!$B$9:$AD$93,29),0)+IFERROR(VLOOKUP('RESUMEN PITS'!C113,'IP PITSS'!$B$9:$AD$93,9),0)*2%</f>
        <v>515257.50425760524</v>
      </c>
      <c r="W113" s="38">
        <f t="shared" si="9"/>
        <v>-119417.79486666666</v>
      </c>
      <c r="X113" s="38">
        <f t="shared" si="9"/>
        <v>0</v>
      </c>
      <c r="Y113" s="38">
        <f t="shared" si="9"/>
        <v>0</v>
      </c>
    </row>
    <row r="114" spans="1:25" s="36" customFormat="1" x14ac:dyDescent="0.2">
      <c r="A114" s="39"/>
      <c r="B114" s="39"/>
      <c r="C114" s="40"/>
      <c r="D114" s="39"/>
      <c r="E114" s="30"/>
      <c r="F114" s="39"/>
      <c r="G114" s="39"/>
      <c r="H114" s="39"/>
      <c r="I114" s="39"/>
      <c r="J114" s="16"/>
      <c r="K114" s="39"/>
      <c r="L114" s="39"/>
      <c r="M114" s="39"/>
      <c r="N114" s="16"/>
      <c r="O114" s="39"/>
      <c r="P114" s="39"/>
      <c r="Q114" s="39">
        <f>+Q113-'IP PITSS'!K95-'IP PITSS'!L95-'IP PITSS'!M95-'CPD PITSS'!N28-'CPD PITSS'!O28</f>
        <v>0</v>
      </c>
      <c r="R114" s="39">
        <f>+R113-'IP PITSS'!Q95</f>
        <v>0</v>
      </c>
      <c r="S114" s="39"/>
      <c r="T114" s="39">
        <f>+T113-'CPD PITSS'!S28-'IP PITSS'!R95</f>
        <v>0</v>
      </c>
      <c r="U114" s="16"/>
      <c r="V114" s="39"/>
      <c r="Y114" s="31"/>
    </row>
    <row r="115" spans="1:25" s="36" customFormat="1" x14ac:dyDescent="0.2">
      <c r="A115" s="39"/>
      <c r="B115" s="39"/>
      <c r="C115" s="40"/>
      <c r="D115" s="39"/>
      <c r="E115" s="30"/>
      <c r="F115" s="39"/>
      <c r="G115" s="39"/>
      <c r="H115" s="39"/>
      <c r="I115" s="39"/>
      <c r="J115" s="16"/>
      <c r="K115" s="39"/>
      <c r="L115" s="39"/>
      <c r="M115" s="39"/>
      <c r="N115" s="16"/>
      <c r="O115" s="39"/>
      <c r="P115" s="39"/>
      <c r="Q115" s="39"/>
      <c r="R115" s="39"/>
      <c r="S115" s="39"/>
      <c r="T115" s="39"/>
      <c r="U115" s="16"/>
      <c r="V115" s="39"/>
      <c r="Y115" s="31"/>
    </row>
    <row r="116" spans="1:25" x14ac:dyDescent="0.2">
      <c r="F116" s="9">
        <f>+F104+D104+H116</f>
        <v>3000</v>
      </c>
    </row>
  </sheetData>
  <autoFilter ref="A8:X115" xr:uid="{00000000-0009-0000-0000-000004000000}"/>
  <mergeCells count="3">
    <mergeCell ref="A7:D7"/>
    <mergeCell ref="F7:I7"/>
    <mergeCell ref="K7:M7"/>
  </mergeCells>
  <pageMargins left="0.70866141732283472" right="0.70866141732283472" top="0.74803149606299213" bottom="0.74803149606299213" header="0.31496062992125984" footer="0.31496062992125984"/>
  <pageSetup scale="1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8:K31"/>
  <sheetViews>
    <sheetView showGridLines="0" topLeftCell="A10" zoomScale="90" zoomScaleNormal="90" workbookViewId="0">
      <selection activeCell="K29" sqref="K29"/>
    </sheetView>
  </sheetViews>
  <sheetFormatPr baseColWidth="10" defaultColWidth="11.42578125" defaultRowHeight="15.75" x14ac:dyDescent="0.25"/>
  <cols>
    <col min="1" max="3" width="11.42578125" style="42"/>
    <col min="4" max="4" width="19.5703125" style="42" bestFit="1" customWidth="1"/>
    <col min="5" max="5" width="16.28515625" style="42" customWidth="1"/>
    <col min="6" max="6" width="16.5703125" style="42" bestFit="1" customWidth="1"/>
    <col min="7" max="7" width="12.140625" style="42" bestFit="1" customWidth="1"/>
    <col min="8" max="8" width="18.7109375" style="42" customWidth="1"/>
    <col min="9" max="9" width="23.28515625" style="42" customWidth="1"/>
    <col min="10" max="10" width="11.42578125" style="42"/>
    <col min="11" max="11" width="12.7109375" style="42" bestFit="1" customWidth="1"/>
    <col min="12" max="16384" width="11.42578125" style="42"/>
  </cols>
  <sheetData>
    <row r="8" spans="4:9" ht="28.5" customHeight="1" x14ac:dyDescent="0.25">
      <c r="D8" s="209" t="s">
        <v>369</v>
      </c>
      <c r="E8" s="209"/>
      <c r="H8" s="210" t="s">
        <v>370</v>
      </c>
      <c r="I8" s="210"/>
    </row>
    <row r="9" spans="4:9" x14ac:dyDescent="0.25">
      <c r="D9" s="43" t="s">
        <v>371</v>
      </c>
      <c r="E9" s="44">
        <f>+'CPD PITSS'!M41</f>
        <v>112676.68240000003</v>
      </c>
      <c r="F9" s="44"/>
      <c r="G9" s="44"/>
      <c r="H9" s="43" t="s">
        <v>371</v>
      </c>
      <c r="I9" s="44">
        <f>+'CPD PITSS'!M53</f>
        <v>6065.6935853685263</v>
      </c>
    </row>
    <row r="10" spans="4:9" x14ac:dyDescent="0.25">
      <c r="D10" s="43" t="s">
        <v>372</v>
      </c>
      <c r="E10" s="44">
        <f>+'IP PITSS'!J108</f>
        <v>401402.81479999993</v>
      </c>
      <c r="F10" s="44"/>
      <c r="G10" s="44"/>
      <c r="H10" s="43" t="s">
        <v>372</v>
      </c>
      <c r="I10" s="44">
        <f>+'IP PITSS'!J120</f>
        <v>20145.80651407293</v>
      </c>
    </row>
    <row r="11" spans="4:9" x14ac:dyDescent="0.25">
      <c r="D11" s="43" t="s">
        <v>373</v>
      </c>
      <c r="E11" s="44">
        <f>+'SIND PITS'!H122</f>
        <v>193000.41679799999</v>
      </c>
      <c r="F11" s="44"/>
      <c r="G11" s="44"/>
      <c r="H11" s="43"/>
      <c r="I11" s="45"/>
    </row>
    <row r="12" spans="4:9" x14ac:dyDescent="0.25">
      <c r="D12" s="44"/>
      <c r="E12" s="46">
        <f>+E9+E10+E11</f>
        <v>707079.91399799997</v>
      </c>
      <c r="F12" s="46"/>
      <c r="G12" s="44"/>
      <c r="H12" s="44"/>
      <c r="I12" s="46">
        <f>+I9+I10+I11</f>
        <v>26211.500099441459</v>
      </c>
    </row>
    <row r="13" spans="4:9" x14ac:dyDescent="0.25">
      <c r="F13" s="44"/>
      <c r="G13" s="44"/>
    </row>
    <row r="14" spans="4:9" x14ac:dyDescent="0.25">
      <c r="D14" s="209" t="s">
        <v>374</v>
      </c>
      <c r="E14" s="209"/>
      <c r="F14" s="61"/>
      <c r="G14" s="44"/>
      <c r="H14" s="209" t="s">
        <v>374</v>
      </c>
      <c r="I14" s="209"/>
    </row>
    <row r="15" spans="4:9" x14ac:dyDescent="0.25">
      <c r="D15" s="43" t="s">
        <v>375</v>
      </c>
      <c r="E15" s="194">
        <f>+E12*4%</f>
        <v>28283.196559920001</v>
      </c>
      <c r="F15" s="44"/>
      <c r="G15" s="44"/>
      <c r="H15" s="43" t="s">
        <v>375</v>
      </c>
      <c r="I15" s="44">
        <f>+I12*4%</f>
        <v>1048.4600039776583</v>
      </c>
    </row>
    <row r="16" spans="4:9" x14ac:dyDescent="0.25">
      <c r="D16" s="43" t="s">
        <v>376</v>
      </c>
      <c r="E16" s="194">
        <f>+E12*12%</f>
        <v>84849.58967976</v>
      </c>
      <c r="F16" s="44"/>
      <c r="G16" s="44"/>
      <c r="H16" s="43" t="s">
        <v>376</v>
      </c>
      <c r="I16" s="44">
        <f>+I12*12%</f>
        <v>3145.3800119329749</v>
      </c>
    </row>
    <row r="17" spans="4:11" x14ac:dyDescent="0.25">
      <c r="D17" s="43" t="s">
        <v>377</v>
      </c>
      <c r="E17" s="194">
        <f>+E12*11%</f>
        <v>77778.790539779991</v>
      </c>
      <c r="F17" s="44"/>
      <c r="G17" s="44"/>
      <c r="H17" s="43" t="s">
        <v>377</v>
      </c>
      <c r="I17" s="44">
        <f>+I12*11%</f>
        <v>2883.2650109385604</v>
      </c>
    </row>
    <row r="18" spans="4:11" x14ac:dyDescent="0.25">
      <c r="D18" s="43" t="s">
        <v>378</v>
      </c>
      <c r="E18" s="194">
        <f>+E12*73%</f>
        <v>516168.33721853996</v>
      </c>
      <c r="F18" s="44"/>
      <c r="H18" s="43" t="s">
        <v>378</v>
      </c>
      <c r="I18" s="44">
        <f>+I12*73%</f>
        <v>19134.395072592266</v>
      </c>
    </row>
    <row r="19" spans="4:11" x14ac:dyDescent="0.25">
      <c r="E19" s="47">
        <f>SUM(E15:E18)</f>
        <v>707079.91399799997</v>
      </c>
      <c r="F19" s="44"/>
      <c r="I19" s="47">
        <f>SUM(I15:I18)</f>
        <v>26211.500099441459</v>
      </c>
    </row>
    <row r="20" spans="4:11" x14ac:dyDescent="0.25">
      <c r="E20" s="44"/>
      <c r="F20" s="44"/>
    </row>
    <row r="23" spans="4:11" ht="16.5" thickBot="1" x14ac:dyDescent="0.3">
      <c r="F23" s="131"/>
      <c r="G23" s="168">
        <v>0.73</v>
      </c>
      <c r="H23" s="168">
        <v>0.11</v>
      </c>
      <c r="I23" s="168">
        <v>0.12</v>
      </c>
      <c r="J23" s="168">
        <v>0.04</v>
      </c>
    </row>
    <row r="24" spans="4:11" x14ac:dyDescent="0.25">
      <c r="F24" s="169"/>
      <c r="G24" s="170" t="s">
        <v>474</v>
      </c>
      <c r="H24" s="170" t="s">
        <v>473</v>
      </c>
      <c r="I24" s="170" t="s">
        <v>472</v>
      </c>
      <c r="J24" s="171" t="s">
        <v>471</v>
      </c>
    </row>
    <row r="25" spans="4:11" x14ac:dyDescent="0.25">
      <c r="F25" s="172" t="s">
        <v>468</v>
      </c>
      <c r="G25" s="173">
        <f>'CPD PITSS'!O47+'SIND PITS'!P117</f>
        <v>56607.914823999992</v>
      </c>
      <c r="H25" s="197">
        <f>'CPD PITSS'!P47+'SIND PITS'!Q117</f>
        <v>8529.9597679999988</v>
      </c>
      <c r="I25" s="197">
        <f>'CPD PITSS'!Q47+'SIND PITS'!R117</f>
        <v>9305.410656</v>
      </c>
      <c r="J25" s="196">
        <f>'CPD PITSS'!R47+'SIND PITS'!S117</f>
        <v>3101.8035519999999</v>
      </c>
    </row>
    <row r="26" spans="4:11" x14ac:dyDescent="0.25">
      <c r="F26" s="174" t="s">
        <v>469</v>
      </c>
      <c r="G26" s="197">
        <f>'CPD PITSS'!O48+'SIND PITS'!P118+'IP PITSS'!L116</f>
        <v>446279.82680499996</v>
      </c>
      <c r="H26" s="197">
        <f>'CPD PITSS'!P48+'IP PITSS'!M116+'SIND PITS'!Q118</f>
        <v>67247.645134999999</v>
      </c>
      <c r="I26" s="197">
        <f>'CPD PITSS'!Q48+'IP PITSS'!N116+'SIND PITS'!R118</f>
        <v>73361.067419999992</v>
      </c>
      <c r="J26" s="196">
        <f>'CPD PITSS'!R48+'IP PITSS'!O116+'SIND PITS'!S118</f>
        <v>24453.689139999999</v>
      </c>
    </row>
    <row r="27" spans="4:11" x14ac:dyDescent="0.25">
      <c r="F27" s="175" t="s">
        <v>467</v>
      </c>
      <c r="G27" s="197">
        <f>'IP PITSS'!L117+'SIND PITS'!P119</f>
        <v>5196.6582999999991</v>
      </c>
      <c r="H27" s="197">
        <f>'IP PITSS'!M117+'SIND PITS'!Q119</f>
        <v>783.05809999999997</v>
      </c>
      <c r="I27" s="197">
        <f>'IP PITSS'!N117+'SIND PITS'!R119</f>
        <v>854.24519999999984</v>
      </c>
      <c r="J27" s="196">
        <f>'IP PITSS'!O117+'SIND PITS'!S119</f>
        <v>284.74839999999995</v>
      </c>
    </row>
    <row r="28" spans="4:11" x14ac:dyDescent="0.25">
      <c r="F28" s="176" t="s">
        <v>470</v>
      </c>
      <c r="G28" s="173">
        <f>'CPD PITSS'!O50+'IP PITSS'!L118+'SIND PITS'!P120</f>
        <v>8083.9372895399993</v>
      </c>
      <c r="H28" s="197">
        <f>'CPD PITSS'!P50+'IP PITSS'!M118+'SIND PITS'!Q120</f>
        <v>1218.1275367799999</v>
      </c>
      <c r="I28" s="197">
        <f>'CPD PITSS'!Q50+'IP PITSS'!N118+'SIND PITS'!R120</f>
        <v>1328.8664037599999</v>
      </c>
      <c r="J28" s="196">
        <f>'CPD PITSS'!R50+'IP PITSS'!O118+'SIND PITS'!S120</f>
        <v>442.95546791999999</v>
      </c>
    </row>
    <row r="29" spans="4:11" x14ac:dyDescent="0.25">
      <c r="F29" s="177" t="s">
        <v>388</v>
      </c>
      <c r="G29" s="193">
        <f>SUM(G25:G28)</f>
        <v>516168.33721853996</v>
      </c>
      <c r="H29" s="193">
        <f t="shared" ref="H29:J29" si="0">SUM(H25:H28)</f>
        <v>77778.790539779991</v>
      </c>
      <c r="I29" s="193">
        <f t="shared" si="0"/>
        <v>84849.58967976</v>
      </c>
      <c r="J29" s="195">
        <f t="shared" si="0"/>
        <v>28283.196559920001</v>
      </c>
      <c r="K29" s="42">
        <f>SUM(G29:J29)</f>
        <v>707079.91399799997</v>
      </c>
    </row>
    <row r="30" spans="4:11" x14ac:dyDescent="0.25">
      <c r="F30" s="177" t="s">
        <v>30</v>
      </c>
      <c r="G30" s="178">
        <f>G29*16%</f>
        <v>82586.9339549664</v>
      </c>
      <c r="H30" s="178">
        <f t="shared" ref="H30:J30" si="1">H29*16%</f>
        <v>12444.606486364799</v>
      </c>
      <c r="I30" s="178">
        <f t="shared" si="1"/>
        <v>13575.934348761601</v>
      </c>
      <c r="J30" s="179">
        <f t="shared" si="1"/>
        <v>4525.3114495872005</v>
      </c>
      <c r="K30" s="42">
        <f t="shared" ref="K30:K31" si="2">SUM(G30:J30)</f>
        <v>113132.78623967999</v>
      </c>
    </row>
    <row r="31" spans="4:11" ht="16.5" thickBot="1" x14ac:dyDescent="0.3">
      <c r="F31" s="180" t="s">
        <v>87</v>
      </c>
      <c r="G31" s="181">
        <f>SUM(G29:G30)</f>
        <v>598755.27117350639</v>
      </c>
      <c r="H31" s="181">
        <f t="shared" ref="H31:J31" si="3">SUM(H29:H30)</f>
        <v>90223.397026144783</v>
      </c>
      <c r="I31" s="181">
        <f t="shared" si="3"/>
        <v>98425.524028521599</v>
      </c>
      <c r="J31" s="182">
        <f t="shared" si="3"/>
        <v>32808.508009507204</v>
      </c>
      <c r="K31" s="42">
        <f t="shared" si="2"/>
        <v>820212.70023767999</v>
      </c>
    </row>
  </sheetData>
  <mergeCells count="4">
    <mergeCell ref="D8:E8"/>
    <mergeCell ref="H8:I8"/>
    <mergeCell ref="D14:E14"/>
    <mergeCell ref="H14:I1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showGridLines="0" zoomScale="90" zoomScaleNormal="90" workbookViewId="0">
      <selection activeCell="I20" sqref="I20"/>
    </sheetView>
  </sheetViews>
  <sheetFormatPr baseColWidth="10" defaultRowHeight="15" x14ac:dyDescent="0.25"/>
  <cols>
    <col min="1" max="1" width="39.5703125" customWidth="1"/>
    <col min="2" max="2" width="16.85546875" customWidth="1"/>
    <col min="3" max="3" width="11.140625" customWidth="1"/>
    <col min="6" max="6" width="12.28515625" bestFit="1" customWidth="1"/>
    <col min="8" max="8" width="12.28515625" bestFit="1" customWidth="1"/>
    <col min="9" max="9" width="20.28515625" bestFit="1" customWidth="1"/>
  </cols>
  <sheetData>
    <row r="1" spans="1:9" x14ac:dyDescent="0.25">
      <c r="A1" s="48" t="s">
        <v>379</v>
      </c>
      <c r="B1" s="48"/>
      <c r="C1" s="48"/>
    </row>
    <row r="2" spans="1:9" x14ac:dyDescent="0.25">
      <c r="A2" s="48" t="s">
        <v>380</v>
      </c>
      <c r="B2" s="48"/>
      <c r="C2" s="48"/>
    </row>
    <row r="6" spans="1:9" ht="15.75" thickBot="1" x14ac:dyDescent="0.3">
      <c r="D6" s="49" t="s">
        <v>381</v>
      </c>
      <c r="E6" s="211" t="s">
        <v>382</v>
      </c>
      <c r="F6" s="212"/>
      <c r="G6" s="212"/>
      <c r="H6" s="212"/>
    </row>
    <row r="7" spans="1:9" ht="29.25" customHeight="1" x14ac:dyDescent="0.25">
      <c r="A7" s="50" t="s">
        <v>383</v>
      </c>
      <c r="B7" s="50" t="s">
        <v>384</v>
      </c>
      <c r="C7" s="50" t="s">
        <v>385</v>
      </c>
      <c r="D7" s="50" t="s">
        <v>386</v>
      </c>
      <c r="E7" s="50" t="s">
        <v>387</v>
      </c>
      <c r="F7" s="50" t="s">
        <v>388</v>
      </c>
      <c r="G7" s="50" t="s">
        <v>30</v>
      </c>
      <c r="H7" s="50" t="s">
        <v>87</v>
      </c>
    </row>
    <row r="8" spans="1:9" x14ac:dyDescent="0.25">
      <c r="A8" s="51" t="s">
        <v>389</v>
      </c>
      <c r="B8" s="52">
        <v>70000</v>
      </c>
      <c r="C8" s="52">
        <v>2865.8</v>
      </c>
      <c r="D8" s="53">
        <f>(B8/2)-C8</f>
        <v>32134.2</v>
      </c>
      <c r="E8" s="52">
        <f>+D8*0.02</f>
        <v>642.68400000000008</v>
      </c>
      <c r="F8" s="52">
        <f>+D8+E8</f>
        <v>32776.883999999998</v>
      </c>
      <c r="G8" s="52">
        <f>F8*0.16</f>
        <v>5244.3014400000002</v>
      </c>
      <c r="H8" s="52">
        <f>+F8+G8</f>
        <v>38021.185440000001</v>
      </c>
      <c r="I8" t="s">
        <v>390</v>
      </c>
    </row>
    <row r="9" spans="1:9" ht="24" customHeight="1" x14ac:dyDescent="0.25">
      <c r="A9" s="51"/>
      <c r="B9" s="52"/>
      <c r="C9" s="52"/>
      <c r="D9" s="54"/>
      <c r="E9" s="52"/>
      <c r="F9" s="52"/>
      <c r="G9" s="52"/>
      <c r="H9" s="52"/>
    </row>
    <row r="10" spans="1:9" s="48" customFormat="1" x14ac:dyDescent="0.25">
      <c r="A10" s="55" t="s">
        <v>391</v>
      </c>
      <c r="B10" s="56">
        <f t="shared" ref="B10:H10" si="0">SUM(B8:B8)</f>
        <v>70000</v>
      </c>
      <c r="C10" s="56">
        <f t="shared" si="0"/>
        <v>2865.8</v>
      </c>
      <c r="D10" s="57">
        <f t="shared" si="0"/>
        <v>32134.2</v>
      </c>
      <c r="E10" s="56">
        <f t="shared" si="0"/>
        <v>642.68400000000008</v>
      </c>
      <c r="F10" s="56">
        <f t="shared" si="0"/>
        <v>32776.883999999998</v>
      </c>
      <c r="G10" s="56">
        <f t="shared" si="0"/>
        <v>5244.3014400000002</v>
      </c>
      <c r="H10" s="56">
        <f t="shared" si="0"/>
        <v>38021.185440000001</v>
      </c>
    </row>
    <row r="11" spans="1:9" x14ac:dyDescent="0.25">
      <c r="A11" s="51"/>
      <c r="B11" s="51"/>
      <c r="C11" s="51"/>
      <c r="D11" s="51"/>
      <c r="E11" s="51"/>
      <c r="F11" s="51"/>
      <c r="G11" s="51"/>
      <c r="H11" s="51"/>
    </row>
    <row r="12" spans="1:9" x14ac:dyDescent="0.25">
      <c r="D12" s="58"/>
    </row>
    <row r="13" spans="1:9" x14ac:dyDescent="0.25">
      <c r="D13" s="59"/>
      <c r="E13" s="59"/>
      <c r="F13" s="58"/>
      <c r="G13" s="58"/>
      <c r="H13" s="58"/>
    </row>
    <row r="14" spans="1:9" x14ac:dyDescent="0.25">
      <c r="G14" s="60"/>
    </row>
  </sheetData>
  <mergeCells count="1">
    <mergeCell ref="E6:H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CPD PITSS</vt:lpstr>
      <vt:lpstr>IP PITSS</vt:lpstr>
      <vt:lpstr>SIND PITS</vt:lpstr>
      <vt:lpstr>EXTRAS Y FESTIVOS</vt:lpstr>
      <vt:lpstr>RESUMEN PITS</vt:lpstr>
      <vt:lpstr>FACTURACION</vt:lpstr>
      <vt:lpstr>ASIMILADOS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HG-LAP-03</dc:creator>
  <cp:lastModifiedBy>Alfonso Aguilar Aguirre</cp:lastModifiedBy>
  <dcterms:created xsi:type="dcterms:W3CDTF">2019-05-15T00:59:26Z</dcterms:created>
  <dcterms:modified xsi:type="dcterms:W3CDTF">2019-08-28T16:49:17Z</dcterms:modified>
</cp:coreProperties>
</file>