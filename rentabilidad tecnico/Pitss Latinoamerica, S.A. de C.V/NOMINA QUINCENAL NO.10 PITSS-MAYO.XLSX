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Pitss Latinoamerica, S.A. de C.V\"/>
    </mc:Choice>
  </mc:AlternateContent>
  <xr:revisionPtr revIDLastSave="0" documentId="13_ncr:1_{170BF86C-5E6C-48E2-B414-590B627010BB}" xr6:coauthVersionLast="41" xr6:coauthVersionMax="41" xr10:uidLastSave="{00000000-0000-0000-0000-000000000000}"/>
  <bookViews>
    <workbookView xWindow="-120" yWindow="-120" windowWidth="20730" windowHeight="11160" activeTab="3" xr2:uid="{00000000-000D-0000-FFFF-FFFF00000000}"/>
  </bookViews>
  <sheets>
    <sheet name="CPD PITSS" sheetId="1" r:id="rId1"/>
    <sheet name="IP PITSS" sheetId="6" r:id="rId2"/>
    <sheet name="SIND PITS" sheetId="2" r:id="rId3"/>
    <sheet name="RESUMEN PITS" sheetId="3" r:id="rId4"/>
    <sheet name="FACTURACION" sheetId="4" r:id="rId5"/>
    <sheet name="ASIMILADOS" sheetId="5" state="hidden" r:id="rId6"/>
  </sheets>
  <definedNames>
    <definedName name="_xlnm._FilterDatabase" localSheetId="3" hidden="1">'RESUMEN PITS'!$A$2:$W$106</definedName>
    <definedName name="_xlnm._FilterDatabase" localSheetId="2" hidden="1">'SIND PITS'!$A$2:$N$110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" i="3" l="1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2" i="3"/>
  <c r="Y74" i="3"/>
  <c r="Y75" i="3"/>
  <c r="Y96" i="3"/>
  <c r="Y100" i="3"/>
  <c r="Y3" i="3"/>
  <c r="R21" i="2"/>
  <c r="S21" i="2" s="1"/>
  <c r="T21" i="2" s="1"/>
  <c r="R75" i="2"/>
  <c r="S75" i="2"/>
  <c r="T75" i="2"/>
  <c r="R80" i="2"/>
  <c r="S80" i="2"/>
  <c r="T80" i="2"/>
  <c r="AH10" i="1"/>
  <c r="AI10" i="1" s="1"/>
  <c r="AL10" i="1"/>
  <c r="AM10" i="1" s="1"/>
  <c r="AH11" i="1"/>
  <c r="AI11" i="1" s="1"/>
  <c r="AL11" i="1"/>
  <c r="AM11" i="1" s="1"/>
  <c r="AH12" i="1"/>
  <c r="AI12" i="1" s="1"/>
  <c r="AL12" i="1"/>
  <c r="AM12" i="1" s="1"/>
  <c r="AH13" i="1"/>
  <c r="AI13" i="1" s="1"/>
  <c r="AL13" i="1"/>
  <c r="AM13" i="1" s="1"/>
  <c r="AH14" i="1"/>
  <c r="AI14" i="1" s="1"/>
  <c r="AL14" i="1"/>
  <c r="AM14" i="1" s="1"/>
  <c r="AH15" i="1"/>
  <c r="AI15" i="1" s="1"/>
  <c r="AL15" i="1"/>
  <c r="AM15" i="1" s="1"/>
  <c r="AH16" i="1"/>
  <c r="AI16" i="1" s="1"/>
  <c r="AL16" i="1"/>
  <c r="AM16" i="1" s="1"/>
  <c r="AH17" i="1"/>
  <c r="AI17" i="1" s="1"/>
  <c r="AL17" i="1"/>
  <c r="AM17" i="1" s="1"/>
  <c r="AH18" i="1"/>
  <c r="AI18" i="1" s="1"/>
  <c r="AL18" i="1"/>
  <c r="AM18" i="1" s="1"/>
  <c r="AH19" i="1"/>
  <c r="AI19" i="1" s="1"/>
  <c r="AL19" i="1"/>
  <c r="AM19" i="1" s="1"/>
  <c r="AH20" i="1"/>
  <c r="AI20" i="1" s="1"/>
  <c r="AL20" i="1"/>
  <c r="AM20" i="1" s="1"/>
  <c r="AH21" i="1"/>
  <c r="AI21" i="1" s="1"/>
  <c r="AL21" i="1"/>
  <c r="AM21" i="1" s="1"/>
  <c r="AH22" i="1"/>
  <c r="AI22" i="1" s="1"/>
  <c r="AL22" i="1"/>
  <c r="AM22" i="1" s="1"/>
  <c r="AH23" i="1"/>
  <c r="AI23" i="1" s="1"/>
  <c r="AL23" i="1"/>
  <c r="AM23" i="1" s="1"/>
  <c r="AH24" i="1"/>
  <c r="AI24" i="1" s="1"/>
  <c r="AL24" i="1"/>
  <c r="AM24" i="1" s="1"/>
  <c r="AH25" i="1"/>
  <c r="AI25" i="1" s="1"/>
  <c r="AL25" i="1"/>
  <c r="AM25" i="1" s="1"/>
  <c r="AH26" i="1"/>
  <c r="AI26" i="1" s="1"/>
  <c r="AL26" i="1"/>
  <c r="AM26" i="1" s="1"/>
  <c r="AL9" i="1"/>
  <c r="AM9" i="1" s="1"/>
  <c r="AH9" i="1"/>
  <c r="AI9" i="1" s="1"/>
  <c r="AG10" i="6"/>
  <c r="AH10" i="6" s="1"/>
  <c r="AJ10" i="6"/>
  <c r="AK10" i="6"/>
  <c r="AG11" i="6"/>
  <c r="AH11" i="6" s="1"/>
  <c r="AJ11" i="6"/>
  <c r="AK11" i="6"/>
  <c r="AG12" i="6"/>
  <c r="AH12" i="6" s="1"/>
  <c r="AJ12" i="6"/>
  <c r="AK12" i="6"/>
  <c r="AG13" i="6"/>
  <c r="AH13" i="6" s="1"/>
  <c r="AJ13" i="6"/>
  <c r="AK13" i="6"/>
  <c r="AG14" i="6"/>
  <c r="AH14" i="6" s="1"/>
  <c r="AJ14" i="6"/>
  <c r="AK14" i="6"/>
  <c r="AG15" i="6"/>
  <c r="AH15" i="6" s="1"/>
  <c r="AJ15" i="6"/>
  <c r="AK15" i="6"/>
  <c r="AG16" i="6"/>
  <c r="AH16" i="6" s="1"/>
  <c r="AJ16" i="6"/>
  <c r="AK16" i="6"/>
  <c r="AG17" i="6"/>
  <c r="AH17" i="6" s="1"/>
  <c r="AJ17" i="6"/>
  <c r="AK17" i="6"/>
  <c r="AG18" i="6"/>
  <c r="AH18" i="6" s="1"/>
  <c r="AJ18" i="6"/>
  <c r="AK18" i="6"/>
  <c r="AG19" i="6"/>
  <c r="AH19" i="6" s="1"/>
  <c r="AJ19" i="6"/>
  <c r="AK19" i="6"/>
  <c r="AG20" i="6"/>
  <c r="AH20" i="6" s="1"/>
  <c r="AJ20" i="6"/>
  <c r="AK20" i="6"/>
  <c r="AG21" i="6"/>
  <c r="AH21" i="6" s="1"/>
  <c r="AJ21" i="6"/>
  <c r="AK21" i="6"/>
  <c r="AG22" i="6"/>
  <c r="AH22" i="6" s="1"/>
  <c r="AJ22" i="6"/>
  <c r="AK22" i="6"/>
  <c r="AG23" i="6"/>
  <c r="AH23" i="6" s="1"/>
  <c r="AJ23" i="6"/>
  <c r="AK23" i="6"/>
  <c r="AG24" i="6"/>
  <c r="AH24" i="6" s="1"/>
  <c r="AJ24" i="6"/>
  <c r="AK24" i="6"/>
  <c r="AG25" i="6"/>
  <c r="AH25" i="6" s="1"/>
  <c r="AJ25" i="6"/>
  <c r="AK25" i="6"/>
  <c r="AG26" i="6"/>
  <c r="AH26" i="6" s="1"/>
  <c r="AJ26" i="6"/>
  <c r="AK26" i="6"/>
  <c r="AG27" i="6"/>
  <c r="AH27" i="6" s="1"/>
  <c r="AJ27" i="6"/>
  <c r="AK27" i="6"/>
  <c r="AG28" i="6"/>
  <c r="AH28" i="6" s="1"/>
  <c r="AJ28" i="6"/>
  <c r="AK28" i="6"/>
  <c r="AG29" i="6"/>
  <c r="AH29" i="6" s="1"/>
  <c r="AJ29" i="6"/>
  <c r="AK29" i="6"/>
  <c r="AG30" i="6"/>
  <c r="AH30" i="6" s="1"/>
  <c r="AJ30" i="6"/>
  <c r="AK30" i="6"/>
  <c r="AG31" i="6"/>
  <c r="AH31" i="6" s="1"/>
  <c r="AJ31" i="6"/>
  <c r="AK31" i="6"/>
  <c r="AG32" i="6"/>
  <c r="AJ32" i="6"/>
  <c r="AK32" i="6"/>
  <c r="AG33" i="6"/>
  <c r="AJ33" i="6"/>
  <c r="AK33" i="6"/>
  <c r="AG34" i="6"/>
  <c r="AJ34" i="6"/>
  <c r="AK34" i="6"/>
  <c r="AG35" i="6"/>
  <c r="AJ35" i="6"/>
  <c r="AK35" i="6"/>
  <c r="AG36" i="6"/>
  <c r="AJ36" i="6"/>
  <c r="AK36" i="6"/>
  <c r="AG37" i="6"/>
  <c r="AJ37" i="6"/>
  <c r="AK37" i="6"/>
  <c r="AG38" i="6"/>
  <c r="AJ38" i="6"/>
  <c r="AK38" i="6"/>
  <c r="AG39" i="6"/>
  <c r="AJ39" i="6"/>
  <c r="AK39" i="6"/>
  <c r="AG40" i="6"/>
  <c r="AJ40" i="6"/>
  <c r="AK40" i="6"/>
  <c r="AG41" i="6"/>
  <c r="AJ41" i="6"/>
  <c r="AK41" i="6"/>
  <c r="AG42" i="6"/>
  <c r="AJ42" i="6"/>
  <c r="AK42" i="6"/>
  <c r="AG43" i="6"/>
  <c r="AJ43" i="6"/>
  <c r="AK43" i="6"/>
  <c r="AG44" i="6"/>
  <c r="AJ44" i="6"/>
  <c r="AK44" i="6"/>
  <c r="AG45" i="6"/>
  <c r="AJ45" i="6"/>
  <c r="AK45" i="6"/>
  <c r="AG46" i="6"/>
  <c r="AJ46" i="6"/>
  <c r="AK46" i="6"/>
  <c r="AG47" i="6"/>
  <c r="AJ47" i="6"/>
  <c r="AK47" i="6"/>
  <c r="AG48" i="6"/>
  <c r="AJ48" i="6"/>
  <c r="AK48" i="6"/>
  <c r="AG49" i="6"/>
  <c r="AJ49" i="6"/>
  <c r="AK49" i="6"/>
  <c r="AG50" i="6"/>
  <c r="AJ50" i="6"/>
  <c r="AK50" i="6"/>
  <c r="AG51" i="6"/>
  <c r="AJ51" i="6"/>
  <c r="AK51" i="6"/>
  <c r="AG52" i="6"/>
  <c r="AH52" i="6" s="1"/>
  <c r="AI52" i="6"/>
  <c r="AL52" i="6" s="1"/>
  <c r="AJ52" i="6"/>
  <c r="AK52" i="6"/>
  <c r="AG53" i="6"/>
  <c r="AH53" i="6"/>
  <c r="AI53" i="6" s="1"/>
  <c r="AL53" i="6" s="1"/>
  <c r="AJ53" i="6"/>
  <c r="AK53" i="6"/>
  <c r="AG54" i="6"/>
  <c r="AH54" i="6" s="1"/>
  <c r="AJ54" i="6"/>
  <c r="AK54" i="6"/>
  <c r="AG55" i="6"/>
  <c r="AH55" i="6" s="1"/>
  <c r="AJ55" i="6"/>
  <c r="AK55" i="6"/>
  <c r="AG56" i="6"/>
  <c r="AH56" i="6" s="1"/>
  <c r="AJ56" i="6"/>
  <c r="AK56" i="6"/>
  <c r="AG57" i="6"/>
  <c r="AH57" i="6"/>
  <c r="AI57" i="6"/>
  <c r="AJ57" i="6"/>
  <c r="AK57" i="6"/>
  <c r="AG58" i="6"/>
  <c r="AH58" i="6"/>
  <c r="AI58" i="6"/>
  <c r="AL58" i="6" s="1"/>
  <c r="AJ58" i="6"/>
  <c r="AK58" i="6"/>
  <c r="AG59" i="6"/>
  <c r="AH59" i="6"/>
  <c r="AJ59" i="6"/>
  <c r="AK59" i="6"/>
  <c r="AG60" i="6"/>
  <c r="AH60" i="6" s="1"/>
  <c r="AI60" i="6"/>
  <c r="AL60" i="6" s="1"/>
  <c r="AJ60" i="6"/>
  <c r="AK60" i="6"/>
  <c r="AG61" i="6"/>
  <c r="AH61" i="6"/>
  <c r="AI61" i="6" s="1"/>
  <c r="AL61" i="6" s="1"/>
  <c r="AJ61" i="6"/>
  <c r="AK61" i="6"/>
  <c r="AG62" i="6"/>
  <c r="AH62" i="6" s="1"/>
  <c r="AJ62" i="6"/>
  <c r="AK62" i="6"/>
  <c r="AG63" i="6"/>
  <c r="AH63" i="6" s="1"/>
  <c r="AJ63" i="6"/>
  <c r="AK63" i="6"/>
  <c r="AG64" i="6"/>
  <c r="AH64" i="6" s="1"/>
  <c r="AJ64" i="6"/>
  <c r="AK64" i="6"/>
  <c r="AG65" i="6"/>
  <c r="AH65" i="6" s="1"/>
  <c r="AI65" i="6" s="1"/>
  <c r="AJ65" i="6"/>
  <c r="AK65" i="6"/>
  <c r="AG66" i="6"/>
  <c r="AH66" i="6" s="1"/>
  <c r="AI66" i="6" s="1"/>
  <c r="AL66" i="6" s="1"/>
  <c r="AJ66" i="6"/>
  <c r="AK66" i="6"/>
  <c r="AG67" i="6"/>
  <c r="AH67" i="6" s="1"/>
  <c r="AI67" i="6" s="1"/>
  <c r="AJ67" i="6"/>
  <c r="AK67" i="6"/>
  <c r="AG68" i="6"/>
  <c r="AH68" i="6" s="1"/>
  <c r="AI68" i="6" s="1"/>
  <c r="AJ68" i="6"/>
  <c r="AK68" i="6"/>
  <c r="AG69" i="6"/>
  <c r="AH69" i="6" s="1"/>
  <c r="AI69" i="6" s="1"/>
  <c r="AJ69" i="6"/>
  <c r="AK69" i="6"/>
  <c r="AG70" i="6"/>
  <c r="AH70" i="6" s="1"/>
  <c r="AI70" i="6" s="1"/>
  <c r="AL70" i="6" s="1"/>
  <c r="AJ70" i="6"/>
  <c r="AK70" i="6"/>
  <c r="AG71" i="6"/>
  <c r="AH71" i="6" s="1"/>
  <c r="AI71" i="6" s="1"/>
  <c r="AJ71" i="6"/>
  <c r="AK71" i="6"/>
  <c r="AG72" i="6"/>
  <c r="AH72" i="6" s="1"/>
  <c r="AI72" i="6"/>
  <c r="AJ72" i="6"/>
  <c r="AK72" i="6"/>
  <c r="AG73" i="6"/>
  <c r="AH73" i="6" s="1"/>
  <c r="AI73" i="6"/>
  <c r="AJ73" i="6"/>
  <c r="AK73" i="6"/>
  <c r="AG74" i="6"/>
  <c r="AH74" i="6" s="1"/>
  <c r="AI74" i="6" s="1"/>
  <c r="AJ74" i="6"/>
  <c r="AK74" i="6"/>
  <c r="AG75" i="6"/>
  <c r="AH75" i="6" s="1"/>
  <c r="AI75" i="6" s="1"/>
  <c r="AJ75" i="6"/>
  <c r="AK75" i="6"/>
  <c r="AG76" i="6"/>
  <c r="AJ76" i="6"/>
  <c r="AK76" i="6"/>
  <c r="AG77" i="6"/>
  <c r="AJ77" i="6"/>
  <c r="AK77" i="6"/>
  <c r="AG78" i="6"/>
  <c r="AH78" i="6" s="1"/>
  <c r="AI78" i="6" s="1"/>
  <c r="AJ78" i="6"/>
  <c r="AK78" i="6"/>
  <c r="AG79" i="6"/>
  <c r="AH79" i="6" s="1"/>
  <c r="AI79" i="6" s="1"/>
  <c r="AL79" i="6" s="1"/>
  <c r="AJ79" i="6"/>
  <c r="AK79" i="6"/>
  <c r="AG80" i="6"/>
  <c r="AH80" i="6" s="1"/>
  <c r="AJ80" i="6"/>
  <c r="AK80" i="6"/>
  <c r="AG81" i="6"/>
  <c r="AH81" i="6" s="1"/>
  <c r="AI81" i="6" s="1"/>
  <c r="AL81" i="6" s="1"/>
  <c r="AJ81" i="6"/>
  <c r="AK81" i="6"/>
  <c r="AG82" i="6"/>
  <c r="AH82" i="6" s="1"/>
  <c r="AI82" i="6" s="1"/>
  <c r="AJ82" i="6"/>
  <c r="AK82" i="6"/>
  <c r="AG83" i="6"/>
  <c r="AH83" i="6" s="1"/>
  <c r="AI83" i="6" s="1"/>
  <c r="AJ83" i="6"/>
  <c r="AK83" i="6"/>
  <c r="AG84" i="6"/>
  <c r="AH84" i="6" s="1"/>
  <c r="AJ84" i="6"/>
  <c r="AK84" i="6"/>
  <c r="AG85" i="6"/>
  <c r="AH85" i="6" s="1"/>
  <c r="AI85" i="6" s="1"/>
  <c r="AL85" i="6" s="1"/>
  <c r="AJ85" i="6"/>
  <c r="AK85" i="6"/>
  <c r="AG86" i="6"/>
  <c r="AH86" i="6" s="1"/>
  <c r="AI86" i="6" s="1"/>
  <c r="AL86" i="6" s="1"/>
  <c r="AJ86" i="6"/>
  <c r="AK86" i="6"/>
  <c r="AG87" i="6"/>
  <c r="AH87" i="6" s="1"/>
  <c r="AI87" i="6" s="1"/>
  <c r="AJ87" i="6"/>
  <c r="AK87" i="6"/>
  <c r="AG88" i="6"/>
  <c r="AJ88" i="6"/>
  <c r="AK88" i="6"/>
  <c r="AG89" i="6"/>
  <c r="AH89" i="6" s="1"/>
  <c r="AI89" i="6" s="1"/>
  <c r="AL89" i="6" s="1"/>
  <c r="AJ89" i="6"/>
  <c r="AK89" i="6"/>
  <c r="AG90" i="6"/>
  <c r="AH90" i="6" s="1"/>
  <c r="AI90" i="6" s="1"/>
  <c r="AL90" i="6" s="1"/>
  <c r="AJ90" i="6"/>
  <c r="AK90" i="6"/>
  <c r="AG91" i="6"/>
  <c r="AH91" i="6" s="1"/>
  <c r="AJ91" i="6"/>
  <c r="AK91" i="6"/>
  <c r="AK9" i="6"/>
  <c r="AJ9" i="6"/>
  <c r="AG9" i="6"/>
  <c r="AL73" i="6" l="1"/>
  <c r="AL72" i="6"/>
  <c r="AL67" i="6"/>
  <c r="AN67" i="6" s="1"/>
  <c r="AI59" i="6"/>
  <c r="AL59" i="6" s="1"/>
  <c r="AM59" i="6" s="1"/>
  <c r="AN59" i="6" s="1"/>
  <c r="AH77" i="6"/>
  <c r="AI77" i="6"/>
  <c r="AL77" i="6" s="1"/>
  <c r="AL71" i="6"/>
  <c r="AL57" i="6"/>
  <c r="AN57" i="6" s="1"/>
  <c r="AH88" i="6"/>
  <c r="AI88" i="6"/>
  <c r="AL88" i="6" s="1"/>
  <c r="AI84" i="6"/>
  <c r="AL84" i="6" s="1"/>
  <c r="AN84" i="6" s="1"/>
  <c r="AL83" i="6"/>
  <c r="AL78" i="6"/>
  <c r="AL74" i="6"/>
  <c r="AL68" i="6"/>
  <c r="AM68" i="6" s="1"/>
  <c r="AN68" i="6" s="1"/>
  <c r="AI64" i="6"/>
  <c r="AL64" i="6" s="1"/>
  <c r="AI62" i="6"/>
  <c r="AL62" i="6" s="1"/>
  <c r="AI56" i="6"/>
  <c r="AL56" i="6" s="1"/>
  <c r="AI54" i="6"/>
  <c r="AL54" i="6" s="1"/>
  <c r="AN54" i="6" s="1"/>
  <c r="AH76" i="6"/>
  <c r="AI76" i="6" s="1"/>
  <c r="AL76" i="6" s="1"/>
  <c r="AM76" i="6" s="1"/>
  <c r="AN76" i="6" s="1"/>
  <c r="AI80" i="6"/>
  <c r="AL80" i="6" s="1"/>
  <c r="AI63" i="6"/>
  <c r="AL63" i="6" s="1"/>
  <c r="AM63" i="6" s="1"/>
  <c r="AN63" i="6" s="1"/>
  <c r="AI55" i="6"/>
  <c r="AL55" i="6" s="1"/>
  <c r="AM55" i="6" s="1"/>
  <c r="AN55" i="6" s="1"/>
  <c r="AL87" i="6"/>
  <c r="AL82" i="6"/>
  <c r="AL75" i="6"/>
  <c r="AM75" i="6" s="1"/>
  <c r="AN75" i="6" s="1"/>
  <c r="AL69" i="6"/>
  <c r="AM69" i="6" s="1"/>
  <c r="AN69" i="6" s="1"/>
  <c r="AL65" i="6"/>
  <c r="AJ25" i="1"/>
  <c r="AK25" i="1"/>
  <c r="AN25" i="1" s="1"/>
  <c r="AO25" i="1" s="1"/>
  <c r="AJ23" i="1"/>
  <c r="AK23" i="1"/>
  <c r="AN23" i="1" s="1"/>
  <c r="AO23" i="1" s="1"/>
  <c r="AJ21" i="1"/>
  <c r="AK21" i="1"/>
  <c r="AN21" i="1" s="1"/>
  <c r="AO21" i="1" s="1"/>
  <c r="AJ19" i="1"/>
  <c r="AK19" i="1"/>
  <c r="AN19" i="1" s="1"/>
  <c r="AO19" i="1" s="1"/>
  <c r="AJ17" i="1"/>
  <c r="AK17" i="1"/>
  <c r="AN17" i="1" s="1"/>
  <c r="AO17" i="1" s="1"/>
  <c r="AJ15" i="1"/>
  <c r="AK15" i="1"/>
  <c r="AN15" i="1" s="1"/>
  <c r="AO15" i="1" s="1"/>
  <c r="AJ13" i="1"/>
  <c r="AK13" i="1"/>
  <c r="AN13" i="1" s="1"/>
  <c r="AO13" i="1" s="1"/>
  <c r="AJ11" i="1"/>
  <c r="AK11" i="1"/>
  <c r="AN11" i="1" s="1"/>
  <c r="AO11" i="1" s="1"/>
  <c r="AJ26" i="1"/>
  <c r="AK26" i="1"/>
  <c r="AN26" i="1" s="1"/>
  <c r="AO26" i="1" s="1"/>
  <c r="AJ24" i="1"/>
  <c r="AK24" i="1"/>
  <c r="AN24" i="1" s="1"/>
  <c r="AO24" i="1" s="1"/>
  <c r="AJ22" i="1"/>
  <c r="AK22" i="1"/>
  <c r="AN22" i="1" s="1"/>
  <c r="AO22" i="1" s="1"/>
  <c r="AJ20" i="1"/>
  <c r="AK20" i="1"/>
  <c r="AN20" i="1" s="1"/>
  <c r="AO20" i="1" s="1"/>
  <c r="AJ18" i="1"/>
  <c r="AK18" i="1"/>
  <c r="AN18" i="1" s="1"/>
  <c r="AO18" i="1" s="1"/>
  <c r="AJ16" i="1"/>
  <c r="AK16" i="1"/>
  <c r="AN16" i="1" s="1"/>
  <c r="AO16" i="1" s="1"/>
  <c r="AJ14" i="1"/>
  <c r="AK14" i="1"/>
  <c r="AN14" i="1" s="1"/>
  <c r="AO14" i="1" s="1"/>
  <c r="AJ12" i="1"/>
  <c r="AK12" i="1"/>
  <c r="AN12" i="1" s="1"/>
  <c r="AO12" i="1" s="1"/>
  <c r="AJ10" i="1"/>
  <c r="AK10" i="1"/>
  <c r="AN10" i="1" s="1"/>
  <c r="AO10" i="1" s="1"/>
  <c r="AJ9" i="1"/>
  <c r="AK9" i="1" s="1"/>
  <c r="AN9" i="1" s="1"/>
  <c r="AN74" i="6"/>
  <c r="AM74" i="6"/>
  <c r="AM87" i="6"/>
  <c r="AN87" i="6" s="1"/>
  <c r="AM82" i="6"/>
  <c r="AN82" i="6" s="1"/>
  <c r="AM81" i="6"/>
  <c r="AN81" i="6" s="1"/>
  <c r="AM89" i="6"/>
  <c r="AN89" i="6" s="1"/>
  <c r="AM78" i="6"/>
  <c r="AN78" i="6" s="1"/>
  <c r="AN70" i="6"/>
  <c r="AM70" i="6"/>
  <c r="AM86" i="6"/>
  <c r="AN86" i="6" s="1"/>
  <c r="AM90" i="6"/>
  <c r="AN90" i="6" s="1"/>
  <c r="AM85" i="6"/>
  <c r="AN85" i="6" s="1"/>
  <c r="AM79" i="6"/>
  <c r="AN79" i="6" s="1"/>
  <c r="AM71" i="6"/>
  <c r="AN71" i="6" s="1"/>
  <c r="AM60" i="6"/>
  <c r="AN60" i="6" s="1"/>
  <c r="AM56" i="6"/>
  <c r="AN56" i="6"/>
  <c r="AM52" i="6"/>
  <c r="AN52" i="6" s="1"/>
  <c r="AM65" i="6"/>
  <c r="AN65" i="6" s="1"/>
  <c r="AM77" i="6"/>
  <c r="AN77" i="6" s="1"/>
  <c r="AM73" i="6"/>
  <c r="AN73" i="6" s="1"/>
  <c r="AM66" i="6"/>
  <c r="AN66" i="6"/>
  <c r="AM62" i="6"/>
  <c r="AN62" i="6" s="1"/>
  <c r="AM58" i="6"/>
  <c r="AN58" i="6"/>
  <c r="AM54" i="6"/>
  <c r="AI91" i="6"/>
  <c r="AL91" i="6" s="1"/>
  <c r="AM88" i="6"/>
  <c r="AN88" i="6" s="1"/>
  <c r="AM84" i="6"/>
  <c r="AM80" i="6"/>
  <c r="AN80" i="6" s="1"/>
  <c r="AM72" i="6"/>
  <c r="AN72" i="6" s="1"/>
  <c r="AM67" i="6"/>
  <c r="AM61" i="6"/>
  <c r="AN61" i="6"/>
  <c r="AM57" i="6"/>
  <c r="AM53" i="6"/>
  <c r="AN53" i="6"/>
  <c r="AH51" i="6"/>
  <c r="AI51" i="6" s="1"/>
  <c r="AL51" i="6" s="1"/>
  <c r="AH50" i="6"/>
  <c r="AI50" i="6"/>
  <c r="AL50" i="6" s="1"/>
  <c r="AH49" i="6"/>
  <c r="AI49" i="6" s="1"/>
  <c r="AL49" i="6" s="1"/>
  <c r="AH48" i="6"/>
  <c r="AI48" i="6"/>
  <c r="AL48" i="6" s="1"/>
  <c r="AH47" i="6"/>
  <c r="AI47" i="6" s="1"/>
  <c r="AL47" i="6" s="1"/>
  <c r="AH46" i="6"/>
  <c r="AI46" i="6"/>
  <c r="AL46" i="6" s="1"/>
  <c r="AH45" i="6"/>
  <c r="AI45" i="6" s="1"/>
  <c r="AL45" i="6" s="1"/>
  <c r="AH44" i="6"/>
  <c r="AI44" i="6"/>
  <c r="AL44" i="6" s="1"/>
  <c r="AH43" i="6"/>
  <c r="AI43" i="6" s="1"/>
  <c r="AL43" i="6" s="1"/>
  <c r="AH42" i="6"/>
  <c r="AI42" i="6"/>
  <c r="AL42" i="6" s="1"/>
  <c r="AH41" i="6"/>
  <c r="AI41" i="6" s="1"/>
  <c r="AL41" i="6" s="1"/>
  <c r="AH40" i="6"/>
  <c r="AI40" i="6"/>
  <c r="AL40" i="6" s="1"/>
  <c r="AH39" i="6"/>
  <c r="AI39" i="6" s="1"/>
  <c r="AL39" i="6" s="1"/>
  <c r="AH38" i="6"/>
  <c r="AI38" i="6"/>
  <c r="AL38" i="6" s="1"/>
  <c r="AH37" i="6"/>
  <c r="AI37" i="6" s="1"/>
  <c r="AL37" i="6" s="1"/>
  <c r="AH36" i="6"/>
  <c r="AI36" i="6"/>
  <c r="AL36" i="6" s="1"/>
  <c r="AH35" i="6"/>
  <c r="AI35" i="6" s="1"/>
  <c r="AL35" i="6" s="1"/>
  <c r="AH34" i="6"/>
  <c r="AI34" i="6"/>
  <c r="AL34" i="6" s="1"/>
  <c r="AH33" i="6"/>
  <c r="AI33" i="6" s="1"/>
  <c r="AL33" i="6" s="1"/>
  <c r="AH32" i="6"/>
  <c r="AI32" i="6"/>
  <c r="AL32" i="6" s="1"/>
  <c r="AI31" i="6"/>
  <c r="AL31" i="6" s="1"/>
  <c r="AI30" i="6"/>
  <c r="AL30" i="6" s="1"/>
  <c r="AI29" i="6"/>
  <c r="AL29" i="6" s="1"/>
  <c r="AI28" i="6"/>
  <c r="AL28" i="6" s="1"/>
  <c r="AI27" i="6"/>
  <c r="AL27" i="6" s="1"/>
  <c r="AI26" i="6"/>
  <c r="AL26" i="6" s="1"/>
  <c r="AI25" i="6"/>
  <c r="AL25" i="6" s="1"/>
  <c r="AI24" i="6"/>
  <c r="AL24" i="6" s="1"/>
  <c r="AI23" i="6"/>
  <c r="AL23" i="6" s="1"/>
  <c r="AI22" i="6"/>
  <c r="AL22" i="6" s="1"/>
  <c r="AI21" i="6"/>
  <c r="AL21" i="6" s="1"/>
  <c r="AI20" i="6"/>
  <c r="AL20" i="6" s="1"/>
  <c r="AI19" i="6"/>
  <c r="AL19" i="6" s="1"/>
  <c r="AI18" i="6"/>
  <c r="AL18" i="6" s="1"/>
  <c r="AI17" i="6"/>
  <c r="AL17" i="6" s="1"/>
  <c r="AI16" i="6"/>
  <c r="AL16" i="6" s="1"/>
  <c r="AI15" i="6"/>
  <c r="AL15" i="6" s="1"/>
  <c r="AI14" i="6"/>
  <c r="AL14" i="6" s="1"/>
  <c r="AI13" i="6"/>
  <c r="AL13" i="6" s="1"/>
  <c r="AI12" i="6"/>
  <c r="AL12" i="6" s="1"/>
  <c r="AI11" i="6"/>
  <c r="AL11" i="6" s="1"/>
  <c r="AI10" i="6"/>
  <c r="AL10" i="6" s="1"/>
  <c r="AH9" i="6"/>
  <c r="AI9" i="6" s="1"/>
  <c r="AL9" i="6" s="1"/>
  <c r="AM64" i="6" l="1"/>
  <c r="AN64" i="6" s="1"/>
  <c r="AM83" i="6"/>
  <c r="AN83" i="6" s="1"/>
  <c r="AO9" i="1"/>
  <c r="AM12" i="6"/>
  <c r="AN12" i="6"/>
  <c r="AM20" i="6"/>
  <c r="AN20" i="6"/>
  <c r="AM32" i="6"/>
  <c r="AN32" i="6"/>
  <c r="AM38" i="6"/>
  <c r="AN38" i="6"/>
  <c r="AM44" i="6"/>
  <c r="AN44" i="6"/>
  <c r="AM50" i="6"/>
  <c r="AN50" i="6"/>
  <c r="AM13" i="6"/>
  <c r="AN13" i="6"/>
  <c r="AM17" i="6"/>
  <c r="AN17" i="6"/>
  <c r="AM21" i="6"/>
  <c r="AN21" i="6"/>
  <c r="AM25" i="6"/>
  <c r="AN25" i="6"/>
  <c r="AM29" i="6"/>
  <c r="AN29" i="6"/>
  <c r="AM91" i="6"/>
  <c r="AN91" i="6" s="1"/>
  <c r="AM24" i="6"/>
  <c r="AN24" i="6" s="1"/>
  <c r="AM34" i="6"/>
  <c r="AN34" i="6"/>
  <c r="AM40" i="6"/>
  <c r="AN40" i="6" s="1"/>
  <c r="AM46" i="6"/>
  <c r="AN46" i="6"/>
  <c r="AM14" i="6"/>
  <c r="AN14" i="6" s="1"/>
  <c r="AM22" i="6"/>
  <c r="AN22" i="6"/>
  <c r="AM30" i="6"/>
  <c r="AN30" i="6" s="1"/>
  <c r="AM33" i="6"/>
  <c r="AN33" i="6" s="1"/>
  <c r="AM35" i="6"/>
  <c r="AN35" i="6" s="1"/>
  <c r="AM37" i="6"/>
  <c r="AN37" i="6"/>
  <c r="AM39" i="6"/>
  <c r="AN39" i="6" s="1"/>
  <c r="AM41" i="6"/>
  <c r="AN41" i="6"/>
  <c r="AM43" i="6"/>
  <c r="AN43" i="6" s="1"/>
  <c r="AM45" i="6"/>
  <c r="AN45" i="6"/>
  <c r="AM47" i="6"/>
  <c r="AN47" i="6" s="1"/>
  <c r="AM49" i="6"/>
  <c r="AN49" i="6" s="1"/>
  <c r="AM51" i="6"/>
  <c r="AN51" i="6" s="1"/>
  <c r="AM16" i="6"/>
  <c r="AN16" i="6" s="1"/>
  <c r="AM28" i="6"/>
  <c r="AN28" i="6" s="1"/>
  <c r="AM36" i="6"/>
  <c r="AN36" i="6" s="1"/>
  <c r="AM42" i="6"/>
  <c r="AN42" i="6"/>
  <c r="AM48" i="6"/>
  <c r="AN48" i="6" s="1"/>
  <c r="AM10" i="6"/>
  <c r="AN10" i="6"/>
  <c r="AM18" i="6"/>
  <c r="AN18" i="6" s="1"/>
  <c r="AM26" i="6"/>
  <c r="AN26" i="6"/>
  <c r="AM11" i="6"/>
  <c r="AN11" i="6" s="1"/>
  <c r="AM15" i="6"/>
  <c r="AN15" i="6" s="1"/>
  <c r="AM19" i="6"/>
  <c r="AN19" i="6" s="1"/>
  <c r="AM23" i="6"/>
  <c r="AN23" i="6"/>
  <c r="AM27" i="6"/>
  <c r="AN27" i="6" s="1"/>
  <c r="AM31" i="6"/>
  <c r="AN31" i="6"/>
  <c r="AM9" i="6"/>
  <c r="AN9" i="6" s="1"/>
  <c r="R93" i="6"/>
  <c r="J98" i="6" s="1"/>
  <c r="J74" i="2" l="1"/>
  <c r="D16" i="2" l="1"/>
  <c r="D6" i="2"/>
  <c r="D15" i="2"/>
  <c r="S20" i="3" l="1"/>
  <c r="S18" i="3"/>
  <c r="S19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3" i="3"/>
  <c r="A33" i="1" l="1"/>
  <c r="A98" i="6" l="1"/>
  <c r="E104" i="3" l="1"/>
  <c r="J104" i="3"/>
  <c r="L104" i="3"/>
  <c r="N104" i="3"/>
  <c r="T104" i="3"/>
  <c r="D43" i="2"/>
  <c r="D100" i="2"/>
  <c r="O22" i="3" l="1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21" i="3"/>
  <c r="I22" i="3"/>
  <c r="I96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3" i="3"/>
  <c r="M103" i="3"/>
  <c r="M102" i="3"/>
  <c r="D102" i="3"/>
  <c r="D103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21" i="3"/>
  <c r="E104" i="2"/>
  <c r="F104" i="2"/>
  <c r="I104" i="2"/>
  <c r="K104" i="2"/>
  <c r="O104" i="2"/>
  <c r="D104" i="2"/>
  <c r="M101" i="2"/>
  <c r="M102" i="2"/>
  <c r="M103" i="2"/>
  <c r="J102" i="2"/>
  <c r="L102" i="2" s="1"/>
  <c r="J103" i="2"/>
  <c r="L103" i="2" s="1"/>
  <c r="AF14" i="6"/>
  <c r="N103" i="2" l="1"/>
  <c r="G103" i="2" s="1"/>
  <c r="I103" i="3" s="1"/>
  <c r="K103" i="3" s="1"/>
  <c r="U103" i="3" s="1"/>
  <c r="V103" i="3" s="1"/>
  <c r="P103" i="2" s="1"/>
  <c r="Q103" i="2" s="1"/>
  <c r="N102" i="2"/>
  <c r="G102" i="2" s="1"/>
  <c r="F104" i="3"/>
  <c r="H104" i="3"/>
  <c r="S104" i="3"/>
  <c r="R104" i="3"/>
  <c r="G104" i="3"/>
  <c r="H102" i="2" l="1"/>
  <c r="I102" i="3"/>
  <c r="K102" i="3" s="1"/>
  <c r="U102" i="3" s="1"/>
  <c r="V102" i="3" s="1"/>
  <c r="P102" i="2" s="1"/>
  <c r="Q102" i="2" s="1"/>
  <c r="H103" i="2"/>
  <c r="AF89" i="6"/>
  <c r="AF90" i="6"/>
  <c r="AF91" i="6"/>
  <c r="R103" i="2" l="1"/>
  <c r="S103" i="2" s="1"/>
  <c r="R102" i="2"/>
  <c r="S102" i="2" s="1"/>
  <c r="H21" i="2"/>
  <c r="T102" i="2" l="1"/>
  <c r="Y102" i="3"/>
  <c r="T103" i="2"/>
  <c r="Y103" i="3"/>
  <c r="U93" i="6"/>
  <c r="J97" i="6" s="1"/>
  <c r="M100" i="2" l="1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101" i="3"/>
  <c r="J70" i="2"/>
  <c r="J51" i="2"/>
  <c r="J101" i="2"/>
  <c r="L101" i="2" s="1"/>
  <c r="N101" i="2" s="1"/>
  <c r="G101" i="2" s="1"/>
  <c r="J100" i="2"/>
  <c r="L100" i="2" s="1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7" i="2"/>
  <c r="J76" i="2"/>
  <c r="J75" i="2"/>
  <c r="J73" i="2"/>
  <c r="J72" i="2"/>
  <c r="J71" i="2"/>
  <c r="J69" i="2"/>
  <c r="J68" i="2"/>
  <c r="J67" i="2"/>
  <c r="J65" i="2"/>
  <c r="J64" i="2"/>
  <c r="J63" i="2"/>
  <c r="J62" i="2"/>
  <c r="J60" i="2"/>
  <c r="J59" i="2"/>
  <c r="J58" i="2"/>
  <c r="J57" i="2"/>
  <c r="J56" i="2"/>
  <c r="J55" i="2"/>
  <c r="J54" i="2"/>
  <c r="J53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AF88" i="6"/>
  <c r="AF87" i="6"/>
  <c r="AF86" i="6"/>
  <c r="AF85" i="6"/>
  <c r="AF84" i="6"/>
  <c r="AF83" i="6"/>
  <c r="AF82" i="6"/>
  <c r="AF81" i="6"/>
  <c r="AF80" i="6"/>
  <c r="AF79" i="6"/>
  <c r="AF78" i="6"/>
  <c r="AF77" i="6"/>
  <c r="AF76" i="6"/>
  <c r="AF75" i="6"/>
  <c r="AF74" i="6"/>
  <c r="AF73" i="6"/>
  <c r="AF72" i="6"/>
  <c r="AF71" i="6"/>
  <c r="AF70" i="6"/>
  <c r="AF69" i="6"/>
  <c r="AF68" i="6"/>
  <c r="AF67" i="6"/>
  <c r="AF66" i="6"/>
  <c r="AF65" i="6"/>
  <c r="AF64" i="6"/>
  <c r="AF63" i="6"/>
  <c r="AF62" i="6"/>
  <c r="AF61" i="6"/>
  <c r="AF60" i="6"/>
  <c r="AF59" i="6"/>
  <c r="AF58" i="6"/>
  <c r="AF57" i="6"/>
  <c r="AF56" i="6"/>
  <c r="AF55" i="6"/>
  <c r="AF54" i="6"/>
  <c r="AF53" i="6"/>
  <c r="AF52" i="6"/>
  <c r="AF51" i="6"/>
  <c r="AF50" i="6"/>
  <c r="AF49" i="6"/>
  <c r="AF48" i="6"/>
  <c r="AF47" i="6"/>
  <c r="AF46" i="6"/>
  <c r="AF45" i="6"/>
  <c r="AF44" i="6"/>
  <c r="AF43" i="6"/>
  <c r="AF42" i="6"/>
  <c r="AF41" i="6"/>
  <c r="AF40" i="6"/>
  <c r="AF39" i="6"/>
  <c r="AF38" i="6"/>
  <c r="AF37" i="6"/>
  <c r="AF36" i="6"/>
  <c r="AF35" i="6"/>
  <c r="AF34" i="6"/>
  <c r="AF33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3" i="6"/>
  <c r="AF12" i="6"/>
  <c r="AF11" i="6"/>
  <c r="AF10" i="6"/>
  <c r="AF9" i="6"/>
  <c r="AC93" i="6"/>
  <c r="AE93" i="6"/>
  <c r="AD93" i="6"/>
  <c r="AB93" i="6"/>
  <c r="AA93" i="6"/>
  <c r="Z93" i="6"/>
  <c r="Y93" i="6"/>
  <c r="X93" i="6"/>
  <c r="W93" i="6"/>
  <c r="V93" i="6"/>
  <c r="T93" i="6"/>
  <c r="S93" i="6"/>
  <c r="K98" i="6"/>
  <c r="Q93" i="6"/>
  <c r="P93" i="6"/>
  <c r="O93" i="6"/>
  <c r="N93" i="6"/>
  <c r="M93" i="6"/>
  <c r="L93" i="6"/>
  <c r="K93" i="6"/>
  <c r="J93" i="6"/>
  <c r="J105" i="6" s="1"/>
  <c r="I93" i="6"/>
  <c r="H93" i="6"/>
  <c r="G93" i="6"/>
  <c r="F93" i="6"/>
  <c r="E93" i="6"/>
  <c r="D93" i="6"/>
  <c r="C93" i="6"/>
  <c r="I101" i="3" l="1"/>
  <c r="K101" i="3" s="1"/>
  <c r="U101" i="3" s="1"/>
  <c r="V101" i="3" s="1"/>
  <c r="P101" i="2" s="1"/>
  <c r="Q101" i="2" s="1"/>
  <c r="H101" i="2"/>
  <c r="R101" i="2" s="1"/>
  <c r="S101" i="2" s="1"/>
  <c r="J99" i="6"/>
  <c r="J101" i="6" s="1"/>
  <c r="J102" i="6" s="1"/>
  <c r="J103" i="6" s="1"/>
  <c r="N100" i="2"/>
  <c r="G100" i="2" s="1"/>
  <c r="I99" i="3" s="1"/>
  <c r="J104" i="6"/>
  <c r="AF93" i="6"/>
  <c r="J112" i="6" s="1"/>
  <c r="J115" i="6" s="1"/>
  <c r="W104" i="3"/>
  <c r="Q20" i="3"/>
  <c r="O20" i="3"/>
  <c r="Q19" i="3"/>
  <c r="O19" i="3"/>
  <c r="Q18" i="3"/>
  <c r="O18" i="3"/>
  <c r="Q17" i="3"/>
  <c r="O17" i="3"/>
  <c r="Q16" i="3"/>
  <c r="O16" i="3"/>
  <c r="Q15" i="3"/>
  <c r="O15" i="3"/>
  <c r="Q14" i="3"/>
  <c r="O14" i="3"/>
  <c r="Q13" i="3"/>
  <c r="O13" i="3"/>
  <c r="Q12" i="3"/>
  <c r="O12" i="3"/>
  <c r="Q11" i="3"/>
  <c r="O11" i="3"/>
  <c r="Q10" i="3"/>
  <c r="O10" i="3"/>
  <c r="Q9" i="3"/>
  <c r="O9" i="3"/>
  <c r="Q8" i="3"/>
  <c r="O8" i="3"/>
  <c r="Q7" i="3"/>
  <c r="O7" i="3"/>
  <c r="Q6" i="3"/>
  <c r="O6" i="3"/>
  <c r="Q5" i="3"/>
  <c r="O5" i="3"/>
  <c r="Q4" i="3"/>
  <c r="O4" i="3"/>
  <c r="Q3" i="3"/>
  <c r="O3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J3" i="2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L11" i="2"/>
  <c r="J10" i="2"/>
  <c r="L10" i="2" s="1"/>
  <c r="J9" i="2"/>
  <c r="L9" i="2" s="1"/>
  <c r="J8" i="2"/>
  <c r="L8" i="2" s="1"/>
  <c r="J7" i="2"/>
  <c r="L7" i="2" s="1"/>
  <c r="J6" i="2"/>
  <c r="L6" i="2" s="1"/>
  <c r="J5" i="2"/>
  <c r="L5" i="2" s="1"/>
  <c r="C7" i="1"/>
  <c r="D7" i="1" s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C10" i="5"/>
  <c r="B10" i="5"/>
  <c r="D8" i="5"/>
  <c r="E8" i="5" s="1"/>
  <c r="AF104" i="3"/>
  <c r="AE104" i="3"/>
  <c r="AD104" i="3"/>
  <c r="AC104" i="3"/>
  <c r="AB104" i="3"/>
  <c r="AA104" i="3"/>
  <c r="Z104" i="3"/>
  <c r="M100" i="3"/>
  <c r="M99" i="3"/>
  <c r="F107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G80" i="2"/>
  <c r="I100" i="3" s="1"/>
  <c r="L79" i="2"/>
  <c r="L78" i="2"/>
  <c r="L77" i="2"/>
  <c r="L76" i="2"/>
  <c r="L75" i="2"/>
  <c r="H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N61" i="2" s="1"/>
  <c r="G61" i="2" s="1"/>
  <c r="I25" i="3" s="1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N45" i="2" s="1"/>
  <c r="G45" i="2" s="1"/>
  <c r="I39" i="3" s="1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4" i="2"/>
  <c r="L24" i="2"/>
  <c r="L23" i="2"/>
  <c r="L22" i="2"/>
  <c r="T101" i="2" l="1"/>
  <c r="Y101" i="3"/>
  <c r="M104" i="2"/>
  <c r="J104" i="2"/>
  <c r="M104" i="3"/>
  <c r="D10" i="5"/>
  <c r="O104" i="3"/>
  <c r="Q104" i="3"/>
  <c r="J106" i="6"/>
  <c r="J107" i="6" s="1"/>
  <c r="J108" i="6" s="1"/>
  <c r="E10" i="4" s="1"/>
  <c r="D104" i="3"/>
  <c r="J113" i="6"/>
  <c r="J114" i="6" s="1"/>
  <c r="J116" i="6" s="1"/>
  <c r="J117" i="6" s="1"/>
  <c r="J118" i="6" s="1"/>
  <c r="I10" i="4" s="1"/>
  <c r="N86" i="2"/>
  <c r="G86" i="2" s="1"/>
  <c r="N8" i="2"/>
  <c r="G8" i="2" s="1"/>
  <c r="N15" i="2"/>
  <c r="G15" i="2" s="1"/>
  <c r="N7" i="2"/>
  <c r="G7" i="2" s="1"/>
  <c r="L3" i="2"/>
  <c r="P99" i="3"/>
  <c r="N36" i="2"/>
  <c r="G36" i="2" s="1"/>
  <c r="H36" i="2" s="1"/>
  <c r="N46" i="2"/>
  <c r="G46" i="2" s="1"/>
  <c r="N75" i="2"/>
  <c r="N28" i="2"/>
  <c r="G28" i="2" s="1"/>
  <c r="N32" i="2"/>
  <c r="G32" i="2" s="1"/>
  <c r="N34" i="2"/>
  <c r="G34" i="2" s="1"/>
  <c r="N64" i="2"/>
  <c r="G64" i="2" s="1"/>
  <c r="N72" i="2"/>
  <c r="G72" i="2" s="1"/>
  <c r="N26" i="2"/>
  <c r="G26" i="2" s="1"/>
  <c r="N27" i="2"/>
  <c r="G27" i="2" s="1"/>
  <c r="N41" i="2"/>
  <c r="G41" i="2" s="1"/>
  <c r="N57" i="2"/>
  <c r="G57" i="2" s="1"/>
  <c r="N16" i="2"/>
  <c r="G16" i="2" s="1"/>
  <c r="I15" i="3" s="1"/>
  <c r="N82" i="2"/>
  <c r="G82" i="2" s="1"/>
  <c r="N85" i="2"/>
  <c r="G85" i="2" s="1"/>
  <c r="N18" i="2"/>
  <c r="G18" i="2" s="1"/>
  <c r="I16" i="3" s="1"/>
  <c r="N88" i="2"/>
  <c r="G88" i="2" s="1"/>
  <c r="N91" i="2"/>
  <c r="G91" i="2" s="1"/>
  <c r="N93" i="2"/>
  <c r="G93" i="2" s="1"/>
  <c r="N95" i="2"/>
  <c r="G95" i="2" s="1"/>
  <c r="N97" i="2"/>
  <c r="G97" i="2" s="1"/>
  <c r="N98" i="2"/>
  <c r="G98" i="2" s="1"/>
  <c r="N39" i="2"/>
  <c r="G39" i="2" s="1"/>
  <c r="N50" i="2"/>
  <c r="G50" i="2" s="1"/>
  <c r="N11" i="2"/>
  <c r="G11" i="2" s="1"/>
  <c r="I3" i="3" s="1"/>
  <c r="N53" i="2"/>
  <c r="G53" i="2" s="1"/>
  <c r="N56" i="2"/>
  <c r="G56" i="2" s="1"/>
  <c r="N58" i="2"/>
  <c r="G58" i="2" s="1"/>
  <c r="N14" i="2"/>
  <c r="G14" i="2" s="1"/>
  <c r="I5" i="3" s="1"/>
  <c r="N77" i="2"/>
  <c r="G77" i="2" s="1"/>
  <c r="N78" i="2"/>
  <c r="G78" i="2" s="1"/>
  <c r="N83" i="2"/>
  <c r="G83" i="2" s="1"/>
  <c r="N87" i="2"/>
  <c r="G87" i="2" s="1"/>
  <c r="N89" i="2"/>
  <c r="G89" i="2" s="1"/>
  <c r="N92" i="2"/>
  <c r="G92" i="2" s="1"/>
  <c r="N94" i="2"/>
  <c r="G94" i="2" s="1"/>
  <c r="N96" i="2"/>
  <c r="G96" i="2" s="1"/>
  <c r="N20" i="2"/>
  <c r="G20" i="2" s="1"/>
  <c r="I6" i="3" s="1"/>
  <c r="P22" i="3"/>
  <c r="N25" i="2"/>
  <c r="G25" i="2" s="1"/>
  <c r="N22" i="2"/>
  <c r="G22" i="2" s="1"/>
  <c r="N24" i="2"/>
  <c r="G24" i="2" s="1"/>
  <c r="I29" i="3" s="1"/>
  <c r="N29" i="2"/>
  <c r="G29" i="2" s="1"/>
  <c r="N33" i="2"/>
  <c r="G33" i="2" s="1"/>
  <c r="N35" i="2"/>
  <c r="G35" i="2" s="1"/>
  <c r="N40" i="2"/>
  <c r="G40" i="2" s="1"/>
  <c r="N42" i="2"/>
  <c r="G42" i="2" s="1"/>
  <c r="N47" i="2"/>
  <c r="G47" i="2" s="1"/>
  <c r="N49" i="2"/>
  <c r="G49" i="2" s="1"/>
  <c r="N51" i="2"/>
  <c r="G51" i="2" s="1"/>
  <c r="N52" i="2"/>
  <c r="G52" i="2" s="1"/>
  <c r="N55" i="2"/>
  <c r="G55" i="2" s="1"/>
  <c r="N60" i="2"/>
  <c r="G60" i="2" s="1"/>
  <c r="N63" i="2"/>
  <c r="G63" i="2" s="1"/>
  <c r="N67" i="2"/>
  <c r="G67" i="2" s="1"/>
  <c r="N69" i="2"/>
  <c r="G69" i="2" s="1"/>
  <c r="N71" i="2"/>
  <c r="G71" i="2" s="1"/>
  <c r="N73" i="2"/>
  <c r="G73" i="2" s="1"/>
  <c r="N99" i="2"/>
  <c r="G99" i="2" s="1"/>
  <c r="N23" i="2"/>
  <c r="G23" i="2" s="1"/>
  <c r="N48" i="2"/>
  <c r="G48" i="2" s="1"/>
  <c r="N59" i="2"/>
  <c r="G59" i="2" s="1"/>
  <c r="P96" i="3"/>
  <c r="N76" i="2"/>
  <c r="G76" i="2" s="1"/>
  <c r="N66" i="2"/>
  <c r="G66" i="2" s="1"/>
  <c r="I63" i="3" s="1"/>
  <c r="N84" i="2"/>
  <c r="G84" i="2" s="1"/>
  <c r="N6" i="2"/>
  <c r="G6" i="2" s="1"/>
  <c r="N31" i="2"/>
  <c r="G31" i="2" s="1"/>
  <c r="N38" i="2"/>
  <c r="G38" i="2" s="1"/>
  <c r="I69" i="3" s="1"/>
  <c r="N12" i="2"/>
  <c r="G12" i="2" s="1"/>
  <c r="I14" i="3" s="1"/>
  <c r="N54" i="2"/>
  <c r="G54" i="2" s="1"/>
  <c r="N62" i="2"/>
  <c r="G62" i="2" s="1"/>
  <c r="I38" i="3" s="1"/>
  <c r="N68" i="2"/>
  <c r="G68" i="2" s="1"/>
  <c r="N74" i="2"/>
  <c r="G74" i="2" s="1"/>
  <c r="H80" i="2"/>
  <c r="N17" i="2"/>
  <c r="G17" i="2" s="1"/>
  <c r="I4" i="3" s="1"/>
  <c r="N19" i="2"/>
  <c r="G19" i="2" s="1"/>
  <c r="H61" i="2"/>
  <c r="R61" i="2" s="1"/>
  <c r="S61" i="2" s="1"/>
  <c r="P25" i="3"/>
  <c r="K39" i="3"/>
  <c r="H45" i="2"/>
  <c r="R45" i="2" s="1"/>
  <c r="S45" i="2" s="1"/>
  <c r="L21" i="2"/>
  <c r="N4" i="2"/>
  <c r="G4" i="2" s="1"/>
  <c r="N44" i="2"/>
  <c r="G44" i="2" s="1"/>
  <c r="I61" i="3" s="1"/>
  <c r="N13" i="2"/>
  <c r="G13" i="2" s="1"/>
  <c r="N5" i="2"/>
  <c r="G5" i="2" s="1"/>
  <c r="N30" i="2"/>
  <c r="G30" i="2" s="1"/>
  <c r="I73" i="3" s="1"/>
  <c r="N37" i="2"/>
  <c r="G37" i="2" s="1"/>
  <c r="I31" i="3" s="1"/>
  <c r="N9" i="2"/>
  <c r="G9" i="2" s="1"/>
  <c r="N43" i="2"/>
  <c r="G43" i="2" s="1"/>
  <c r="I53" i="3" s="1"/>
  <c r="N10" i="2"/>
  <c r="G10" i="2" s="1"/>
  <c r="N65" i="2"/>
  <c r="G65" i="2" s="1"/>
  <c r="I50" i="3" s="1"/>
  <c r="N70" i="2"/>
  <c r="G70" i="2" s="1"/>
  <c r="I75" i="3" s="1"/>
  <c r="N79" i="2"/>
  <c r="G79" i="2" s="1"/>
  <c r="I27" i="3" s="1"/>
  <c r="N81" i="2"/>
  <c r="G81" i="2" s="1"/>
  <c r="I82" i="3" s="1"/>
  <c r="N90" i="2"/>
  <c r="G90" i="2" s="1"/>
  <c r="I91" i="3" s="1"/>
  <c r="K22" i="3"/>
  <c r="K100" i="3"/>
  <c r="H100" i="2"/>
  <c r="K99" i="3"/>
  <c r="P100" i="3"/>
  <c r="K96" i="3"/>
  <c r="F8" i="5"/>
  <c r="E10" i="5"/>
  <c r="T61" i="2" l="1"/>
  <c r="Y25" i="3"/>
  <c r="T45" i="2"/>
  <c r="Y39" i="3"/>
  <c r="R36" i="2"/>
  <c r="S36" i="2" s="1"/>
  <c r="R100" i="2"/>
  <c r="S100" i="2" s="1"/>
  <c r="L104" i="2"/>
  <c r="I9" i="3"/>
  <c r="P9" i="3" s="1"/>
  <c r="I10" i="3"/>
  <c r="P10" i="3" s="1"/>
  <c r="I19" i="3"/>
  <c r="P19" i="3" s="1"/>
  <c r="H51" i="2"/>
  <c r="I74" i="3"/>
  <c r="I18" i="3"/>
  <c r="P18" i="3" s="1"/>
  <c r="I17" i="3"/>
  <c r="P17" i="3" s="1"/>
  <c r="I20" i="3"/>
  <c r="P20" i="3" s="1"/>
  <c r="I7" i="3"/>
  <c r="P7" i="3" s="1"/>
  <c r="I12" i="3"/>
  <c r="P12" i="3" s="1"/>
  <c r="I11" i="3"/>
  <c r="K11" i="3" s="1"/>
  <c r="F10" i="4"/>
  <c r="I13" i="3"/>
  <c r="P13" i="3" s="1"/>
  <c r="I90" i="3"/>
  <c r="K90" i="3" s="1"/>
  <c r="I98" i="3"/>
  <c r="P98" i="3" s="1"/>
  <c r="I70" i="3"/>
  <c r="P70" i="3" s="1"/>
  <c r="H52" i="2"/>
  <c r="I60" i="3"/>
  <c r="K60" i="3" s="1"/>
  <c r="H42" i="2"/>
  <c r="I30" i="3"/>
  <c r="P30" i="3" s="1"/>
  <c r="I62" i="3"/>
  <c r="K62" i="3" s="1"/>
  <c r="H92" i="2"/>
  <c r="I65" i="3"/>
  <c r="P65" i="3" s="1"/>
  <c r="H78" i="2"/>
  <c r="I23" i="3"/>
  <c r="P23" i="3" s="1"/>
  <c r="I47" i="3"/>
  <c r="P47" i="3" s="1"/>
  <c r="I57" i="3"/>
  <c r="K57" i="3" s="1"/>
  <c r="H93" i="2"/>
  <c r="R93" i="2" s="1"/>
  <c r="S93" i="2" s="1"/>
  <c r="I21" i="3"/>
  <c r="P21" i="3" s="1"/>
  <c r="H85" i="2"/>
  <c r="R85" i="2" s="1"/>
  <c r="S85" i="2" s="1"/>
  <c r="I40" i="3"/>
  <c r="K40" i="3" s="1"/>
  <c r="I95" i="3"/>
  <c r="P95" i="3" s="1"/>
  <c r="I71" i="3"/>
  <c r="P71" i="3" s="1"/>
  <c r="I59" i="3"/>
  <c r="K59" i="3" s="1"/>
  <c r="I72" i="3"/>
  <c r="P72" i="3" s="1"/>
  <c r="I35" i="3"/>
  <c r="K35" i="3" s="1"/>
  <c r="I32" i="3"/>
  <c r="P32" i="3" s="1"/>
  <c r="H63" i="2"/>
  <c r="I34" i="3"/>
  <c r="P34" i="3" s="1"/>
  <c r="I86" i="3"/>
  <c r="K86" i="3" s="1"/>
  <c r="I56" i="3"/>
  <c r="P56" i="3" s="1"/>
  <c r="I54" i="3"/>
  <c r="P54" i="3" s="1"/>
  <c r="H53" i="2"/>
  <c r="R53" i="2" s="1"/>
  <c r="S53" i="2" s="1"/>
  <c r="I55" i="3"/>
  <c r="K55" i="3" s="1"/>
  <c r="H98" i="2"/>
  <c r="I26" i="3"/>
  <c r="K26" i="3" s="1"/>
  <c r="I67" i="3"/>
  <c r="P67" i="3" s="1"/>
  <c r="H82" i="2"/>
  <c r="I33" i="3"/>
  <c r="P33" i="3" s="1"/>
  <c r="I44" i="3"/>
  <c r="P44" i="3" s="1"/>
  <c r="I46" i="3"/>
  <c r="P46" i="3" s="1"/>
  <c r="I45" i="3"/>
  <c r="K45" i="3" s="1"/>
  <c r="H48" i="2"/>
  <c r="I87" i="3"/>
  <c r="K87" i="3" s="1"/>
  <c r="H71" i="2"/>
  <c r="I77" i="3"/>
  <c r="K77" i="3" s="1"/>
  <c r="I78" i="3"/>
  <c r="K78" i="3" s="1"/>
  <c r="I24" i="3"/>
  <c r="P24" i="3" s="1"/>
  <c r="I41" i="3"/>
  <c r="K41" i="3" s="1"/>
  <c r="I84" i="3"/>
  <c r="K84" i="3" s="1"/>
  <c r="H96" i="2"/>
  <c r="I49" i="3"/>
  <c r="K49" i="3" s="1"/>
  <c r="I80" i="3"/>
  <c r="P80" i="3" s="1"/>
  <c r="H97" i="2"/>
  <c r="R97" i="2" s="1"/>
  <c r="S97" i="2" s="1"/>
  <c r="I97" i="3"/>
  <c r="P97" i="3" s="1"/>
  <c r="H88" i="2"/>
  <c r="I48" i="3"/>
  <c r="K48" i="3" s="1"/>
  <c r="H26" i="2"/>
  <c r="I85" i="3"/>
  <c r="K85" i="3" s="1"/>
  <c r="H32" i="2"/>
  <c r="I94" i="3"/>
  <c r="K94" i="3" s="1"/>
  <c r="I92" i="3"/>
  <c r="P92" i="3" s="1"/>
  <c r="I28" i="3"/>
  <c r="P28" i="3" s="1"/>
  <c r="H68" i="2"/>
  <c r="I43" i="3"/>
  <c r="K43" i="3" s="1"/>
  <c r="H31" i="2"/>
  <c r="I68" i="3"/>
  <c r="P68" i="3" s="1"/>
  <c r="H76" i="2"/>
  <c r="I93" i="3"/>
  <c r="P93" i="3" s="1"/>
  <c r="H23" i="2"/>
  <c r="I89" i="3"/>
  <c r="P89" i="3" s="1"/>
  <c r="H69" i="2"/>
  <c r="R69" i="2" s="1"/>
  <c r="S69" i="2" s="1"/>
  <c r="I64" i="3"/>
  <c r="P64" i="3" s="1"/>
  <c r="H55" i="2"/>
  <c r="I81" i="3"/>
  <c r="K81" i="3" s="1"/>
  <c r="I88" i="3"/>
  <c r="K88" i="3" s="1"/>
  <c r="H33" i="2"/>
  <c r="R33" i="2" s="1"/>
  <c r="S33" i="2" s="1"/>
  <c r="I36" i="3"/>
  <c r="K36" i="3" s="1"/>
  <c r="I51" i="3"/>
  <c r="K51" i="3" s="1"/>
  <c r="H94" i="2"/>
  <c r="I52" i="3"/>
  <c r="K52" i="3" s="1"/>
  <c r="H83" i="2"/>
  <c r="I79" i="3"/>
  <c r="K79" i="3" s="1"/>
  <c r="H58" i="2"/>
  <c r="I83" i="3"/>
  <c r="K83" i="3" s="1"/>
  <c r="I42" i="3"/>
  <c r="P42" i="3" s="1"/>
  <c r="I66" i="3"/>
  <c r="P66" i="3" s="1"/>
  <c r="H57" i="2"/>
  <c r="R57" i="2" s="1"/>
  <c r="S57" i="2" s="1"/>
  <c r="I76" i="3"/>
  <c r="P76" i="3" s="1"/>
  <c r="H72" i="2"/>
  <c r="I58" i="3"/>
  <c r="K58" i="3" s="1"/>
  <c r="I37" i="3"/>
  <c r="P37" i="3" s="1"/>
  <c r="H50" i="2"/>
  <c r="H40" i="2"/>
  <c r="H89" i="2"/>
  <c r="R89" i="2" s="1"/>
  <c r="S89" i="2" s="1"/>
  <c r="H47" i="2"/>
  <c r="H95" i="2"/>
  <c r="H41" i="2"/>
  <c r="R41" i="2" s="1"/>
  <c r="S41" i="2" s="1"/>
  <c r="H39" i="2"/>
  <c r="H73" i="2"/>
  <c r="R73" i="2" s="1"/>
  <c r="S73" i="2" s="1"/>
  <c r="H67" i="2"/>
  <c r="H99" i="2"/>
  <c r="H27" i="2"/>
  <c r="H54" i="2"/>
  <c r="H91" i="2"/>
  <c r="H28" i="2"/>
  <c r="H86" i="2"/>
  <c r="H56" i="2"/>
  <c r="H29" i="2"/>
  <c r="R29" i="2" s="1"/>
  <c r="S29" i="2" s="1"/>
  <c r="H74" i="2"/>
  <c r="H77" i="2"/>
  <c r="R77" i="2" s="1"/>
  <c r="S77" i="2" s="1"/>
  <c r="H64" i="2"/>
  <c r="K18" i="3"/>
  <c r="H15" i="2"/>
  <c r="H49" i="2"/>
  <c r="R49" i="2" s="1"/>
  <c r="S49" i="2" s="1"/>
  <c r="H8" i="2"/>
  <c r="U99" i="3"/>
  <c r="K74" i="3"/>
  <c r="H60" i="2"/>
  <c r="H46" i="2"/>
  <c r="H34" i="2"/>
  <c r="H38" i="2"/>
  <c r="H35" i="2"/>
  <c r="H22" i="2"/>
  <c r="H7" i="2"/>
  <c r="H6" i="2"/>
  <c r="U22" i="3"/>
  <c r="V22" i="3" s="1"/>
  <c r="P75" i="2" s="1"/>
  <c r="Q75" i="2" s="1"/>
  <c r="H14" i="2"/>
  <c r="P5" i="3"/>
  <c r="P15" i="3"/>
  <c r="H17" i="2"/>
  <c r="R17" i="2" s="1"/>
  <c r="S17" i="2" s="1"/>
  <c r="T17" i="2" s="1"/>
  <c r="P4" i="3"/>
  <c r="H18" i="2"/>
  <c r="P16" i="3"/>
  <c r="H16" i="2"/>
  <c r="N3" i="2"/>
  <c r="H11" i="2"/>
  <c r="H12" i="2"/>
  <c r="P14" i="3"/>
  <c r="H20" i="2"/>
  <c r="U96" i="3"/>
  <c r="V96" i="3" s="1"/>
  <c r="P21" i="2" s="1"/>
  <c r="Q21" i="2" s="1"/>
  <c r="H87" i="2"/>
  <c r="K54" i="3"/>
  <c r="H25" i="2"/>
  <c r="R25" i="2" s="1"/>
  <c r="S25" i="2" s="1"/>
  <c r="P29" i="3"/>
  <c r="K29" i="3"/>
  <c r="H59" i="2"/>
  <c r="H24" i="2"/>
  <c r="K10" i="3"/>
  <c r="H84" i="2"/>
  <c r="K69" i="3"/>
  <c r="P69" i="3"/>
  <c r="H62" i="2"/>
  <c r="H66" i="2"/>
  <c r="H19" i="2"/>
  <c r="P39" i="3"/>
  <c r="U39" i="3" s="1"/>
  <c r="V39" i="3" s="1"/>
  <c r="P45" i="2" s="1"/>
  <c r="Q45" i="2" s="1"/>
  <c r="H81" i="2"/>
  <c r="R81" i="2" s="1"/>
  <c r="S81" i="2" s="1"/>
  <c r="F10" i="5"/>
  <c r="G8" i="5"/>
  <c r="G10" i="5" s="1"/>
  <c r="U100" i="3"/>
  <c r="H79" i="2"/>
  <c r="H37" i="2"/>
  <c r="R37" i="2" s="1"/>
  <c r="S37" i="2" s="1"/>
  <c r="H13" i="2"/>
  <c r="R13" i="2" s="1"/>
  <c r="S13" i="2" s="1"/>
  <c r="T13" i="2" s="1"/>
  <c r="H65" i="2"/>
  <c r="R65" i="2" s="1"/>
  <c r="S65" i="2" s="1"/>
  <c r="H9" i="2"/>
  <c r="R9" i="2" s="1"/>
  <c r="S9" i="2" s="1"/>
  <c r="T9" i="2" s="1"/>
  <c r="N21" i="2"/>
  <c r="P3" i="3"/>
  <c r="K3" i="3"/>
  <c r="H90" i="2"/>
  <c r="H10" i="2"/>
  <c r="H30" i="2"/>
  <c r="H44" i="2"/>
  <c r="K25" i="3"/>
  <c r="U25" i="3" s="1"/>
  <c r="V25" i="3" s="1"/>
  <c r="P61" i="2" s="1"/>
  <c r="Q61" i="2" s="1"/>
  <c r="H70" i="2"/>
  <c r="H43" i="2"/>
  <c r="H5" i="2"/>
  <c r="R5" i="2" s="1"/>
  <c r="S5" i="2" s="1"/>
  <c r="T5" i="2" s="1"/>
  <c r="H4" i="2"/>
  <c r="T81" i="2" l="1"/>
  <c r="Y82" i="3"/>
  <c r="T89" i="2"/>
  <c r="Y56" i="3"/>
  <c r="T65" i="2"/>
  <c r="Y50" i="3"/>
  <c r="K7" i="3"/>
  <c r="U7" i="3" s="1"/>
  <c r="V7" i="3" s="1"/>
  <c r="P15" i="2" s="1"/>
  <c r="Q15" i="2" s="1"/>
  <c r="T29" i="2"/>
  <c r="Y62" i="3"/>
  <c r="T41" i="2"/>
  <c r="Y95" i="3"/>
  <c r="T97" i="2"/>
  <c r="Y97" i="3"/>
  <c r="T93" i="2"/>
  <c r="Y21" i="3"/>
  <c r="T33" i="2"/>
  <c r="Y36" i="3"/>
  <c r="T53" i="2"/>
  <c r="Y55" i="3"/>
  <c r="T100" i="2"/>
  <c r="Y99" i="3"/>
  <c r="T25" i="2"/>
  <c r="Y51" i="3"/>
  <c r="T37" i="2"/>
  <c r="Y31" i="3"/>
  <c r="T49" i="2"/>
  <c r="Y24" i="3"/>
  <c r="T77" i="2"/>
  <c r="Y54" i="3"/>
  <c r="T73" i="2"/>
  <c r="Y32" i="3"/>
  <c r="T57" i="2"/>
  <c r="Y76" i="3"/>
  <c r="T69" i="2"/>
  <c r="Y64" i="3"/>
  <c r="T85" i="2"/>
  <c r="Y40" i="3"/>
  <c r="T36" i="2"/>
  <c r="Y92" i="3"/>
  <c r="R43" i="2"/>
  <c r="S43" i="2" s="1"/>
  <c r="R59" i="2"/>
  <c r="S59" i="2" s="1"/>
  <c r="R46" i="2"/>
  <c r="S46" i="2"/>
  <c r="R64" i="2"/>
  <c r="S64" i="2" s="1"/>
  <c r="R91" i="2"/>
  <c r="S91" i="2" s="1"/>
  <c r="R67" i="2"/>
  <c r="S67" i="2" s="1"/>
  <c r="R95" i="2"/>
  <c r="S95" i="2" s="1"/>
  <c r="R50" i="2"/>
  <c r="S50" i="2" s="1"/>
  <c r="R71" i="2"/>
  <c r="S71" i="2" s="1"/>
  <c r="R42" i="2"/>
  <c r="S42" i="2"/>
  <c r="R70" i="2"/>
  <c r="S70" i="2" s="1"/>
  <c r="T70" i="2" s="1"/>
  <c r="R66" i="2"/>
  <c r="S66" i="2" s="1"/>
  <c r="R84" i="2"/>
  <c r="S84" i="2" s="1"/>
  <c r="R35" i="2"/>
  <c r="S35" i="2" s="1"/>
  <c r="R60" i="2"/>
  <c r="S60" i="2"/>
  <c r="R56" i="2"/>
  <c r="S56" i="2" s="1"/>
  <c r="R54" i="2"/>
  <c r="S54" i="2" s="1"/>
  <c r="R47" i="2"/>
  <c r="S47" i="2" s="1"/>
  <c r="R58" i="2"/>
  <c r="S58" i="2" s="1"/>
  <c r="R94" i="2"/>
  <c r="S94" i="2"/>
  <c r="R76" i="2"/>
  <c r="S76" i="2" s="1"/>
  <c r="R68" i="2"/>
  <c r="S68" i="2" s="1"/>
  <c r="R88" i="2"/>
  <c r="S88" i="2"/>
  <c r="R63" i="2"/>
  <c r="S63" i="2" s="1"/>
  <c r="R92" i="2"/>
  <c r="S92" i="2" s="1"/>
  <c r="R90" i="2"/>
  <c r="S90" i="2" s="1"/>
  <c r="R79" i="2"/>
  <c r="S79" i="2" s="1"/>
  <c r="R62" i="2"/>
  <c r="S62" i="2" s="1"/>
  <c r="R87" i="2"/>
  <c r="S87" i="2" s="1"/>
  <c r="R38" i="2"/>
  <c r="S38" i="2" s="1"/>
  <c r="R74" i="2"/>
  <c r="S74" i="2" s="1"/>
  <c r="R86" i="2"/>
  <c r="S86" i="2" s="1"/>
  <c r="R39" i="2"/>
  <c r="S39" i="2" s="1"/>
  <c r="R48" i="2"/>
  <c r="S48" i="2" s="1"/>
  <c r="R98" i="2"/>
  <c r="S98" i="2" s="1"/>
  <c r="R52" i="2"/>
  <c r="S52" i="2" s="1"/>
  <c r="R96" i="2"/>
  <c r="S96" i="2" s="1"/>
  <c r="R44" i="2"/>
  <c r="S44" i="2" s="1"/>
  <c r="R34" i="2"/>
  <c r="S34" i="2" s="1"/>
  <c r="R99" i="2"/>
  <c r="S99" i="2" s="1"/>
  <c r="R40" i="2"/>
  <c r="S40" i="2" s="1"/>
  <c r="R72" i="2"/>
  <c r="S72" i="2" s="1"/>
  <c r="R83" i="2"/>
  <c r="S83" i="2"/>
  <c r="R55" i="2"/>
  <c r="S55" i="2" s="1"/>
  <c r="R82" i="2"/>
  <c r="S82" i="2" s="1"/>
  <c r="R78" i="2"/>
  <c r="S78" i="2" s="1"/>
  <c r="R51" i="2"/>
  <c r="S51" i="2"/>
  <c r="T51" i="2" s="1"/>
  <c r="R10" i="2"/>
  <c r="S10" i="2"/>
  <c r="T10" i="2" s="1"/>
  <c r="R32" i="2"/>
  <c r="S32" i="2" s="1"/>
  <c r="R4" i="2"/>
  <c r="S4" i="2" s="1"/>
  <c r="T4" i="2" s="1"/>
  <c r="R24" i="2"/>
  <c r="S24" i="2" s="1"/>
  <c r="R18" i="2"/>
  <c r="S18" i="2"/>
  <c r="T18" i="2" s="1"/>
  <c r="R16" i="2"/>
  <c r="S16" i="2"/>
  <c r="T16" i="2" s="1"/>
  <c r="R12" i="2"/>
  <c r="S12" i="2" s="1"/>
  <c r="T12" i="2" s="1"/>
  <c r="R6" i="2"/>
  <c r="S6" i="2" s="1"/>
  <c r="T6" i="2" s="1"/>
  <c r="R15" i="2"/>
  <c r="S15" i="2" s="1"/>
  <c r="T15" i="2" s="1"/>
  <c r="R11" i="2"/>
  <c r="S11" i="2"/>
  <c r="T11" i="2" s="1"/>
  <c r="R7" i="2"/>
  <c r="S7" i="2" s="1"/>
  <c r="T7" i="2" s="1"/>
  <c r="R27" i="2"/>
  <c r="S27" i="2" s="1"/>
  <c r="R30" i="2"/>
  <c r="S30" i="2" s="1"/>
  <c r="R19" i="2"/>
  <c r="S19" i="2"/>
  <c r="T19" i="2" s="1"/>
  <c r="R20" i="2"/>
  <c r="S20" i="2" s="1"/>
  <c r="T20" i="2" s="1"/>
  <c r="R14" i="2"/>
  <c r="S14" i="2" s="1"/>
  <c r="T14" i="2" s="1"/>
  <c r="R22" i="2"/>
  <c r="S22" i="2" s="1"/>
  <c r="R8" i="2"/>
  <c r="S8" i="2"/>
  <c r="T8" i="2" s="1"/>
  <c r="R28" i="2"/>
  <c r="S28" i="2" s="1"/>
  <c r="R23" i="2"/>
  <c r="S23" i="2" s="1"/>
  <c r="R31" i="2"/>
  <c r="S31" i="2" s="1"/>
  <c r="R26" i="2"/>
  <c r="S26" i="2" s="1"/>
  <c r="P11" i="3"/>
  <c r="U11" i="3" s="1"/>
  <c r="V11" i="3" s="1"/>
  <c r="P8" i="2" s="1"/>
  <c r="Q8" i="2" s="1"/>
  <c r="K95" i="3"/>
  <c r="U10" i="3"/>
  <c r="V10" i="3" s="1"/>
  <c r="P6" i="2" s="1"/>
  <c r="Q6" i="2" s="1"/>
  <c r="N104" i="2"/>
  <c r="U18" i="3"/>
  <c r="V18" i="3" s="1"/>
  <c r="P7" i="2" s="1"/>
  <c r="Q7" i="2" s="1"/>
  <c r="K42" i="3"/>
  <c r="U42" i="3" s="1"/>
  <c r="V42" i="3" s="1"/>
  <c r="P50" i="2" s="1"/>
  <c r="Q50" i="2" s="1"/>
  <c r="K28" i="3"/>
  <c r="U28" i="3" s="1"/>
  <c r="V28" i="3" s="1"/>
  <c r="P86" i="2" s="1"/>
  <c r="Q86" i="2" s="1"/>
  <c r="P88" i="3"/>
  <c r="U88" i="3" s="1"/>
  <c r="V88" i="3" s="1"/>
  <c r="P47" i="2" s="1"/>
  <c r="Q47" i="2" s="1"/>
  <c r="K66" i="3"/>
  <c r="U66" i="3" s="1"/>
  <c r="V66" i="3" s="1"/>
  <c r="P95" i="2" s="1"/>
  <c r="Q95" i="2" s="1"/>
  <c r="P35" i="3"/>
  <c r="U35" i="3" s="1"/>
  <c r="V35" i="3" s="1"/>
  <c r="P59" i="2" s="1"/>
  <c r="Q59" i="2" s="1"/>
  <c r="P84" i="3"/>
  <c r="K70" i="3"/>
  <c r="U70" i="3" s="1"/>
  <c r="V70" i="3" s="1"/>
  <c r="P67" i="2" s="1"/>
  <c r="Q67" i="2" s="1"/>
  <c r="P45" i="3"/>
  <c r="U45" i="3" s="1"/>
  <c r="V45" i="3" s="1"/>
  <c r="P46" i="2" s="1"/>
  <c r="Q46" i="2" s="1"/>
  <c r="K67" i="3"/>
  <c r="U67" i="3" s="1"/>
  <c r="V67" i="3" s="1"/>
  <c r="P91" i="2" s="1"/>
  <c r="Q91" i="2" s="1"/>
  <c r="K37" i="3"/>
  <c r="U37" i="3" s="1"/>
  <c r="V37" i="3" s="1"/>
  <c r="P28" i="2" s="1"/>
  <c r="Q28" i="2" s="1"/>
  <c r="P51" i="3"/>
  <c r="U51" i="3" s="1"/>
  <c r="V51" i="3" s="1"/>
  <c r="P25" i="2" s="1"/>
  <c r="Q25" i="2" s="1"/>
  <c r="K92" i="3"/>
  <c r="U92" i="3" s="1"/>
  <c r="V92" i="3" s="1"/>
  <c r="P36" i="2" s="1"/>
  <c r="Q36" i="2" s="1"/>
  <c r="K24" i="3"/>
  <c r="U24" i="3" s="1"/>
  <c r="V24" i="3" s="1"/>
  <c r="P49" i="2" s="1"/>
  <c r="Q49" i="2" s="1"/>
  <c r="P59" i="3"/>
  <c r="U59" i="3" s="1"/>
  <c r="V59" i="3" s="1"/>
  <c r="P74" i="2" s="1"/>
  <c r="Q74" i="2" s="1"/>
  <c r="P90" i="3"/>
  <c r="U90" i="3" s="1"/>
  <c r="V90" i="3" s="1"/>
  <c r="P54" i="2" s="1"/>
  <c r="Q54" i="2" s="1"/>
  <c r="P41" i="3"/>
  <c r="U41" i="3" s="1"/>
  <c r="V41" i="3" s="1"/>
  <c r="P35" i="2" s="1"/>
  <c r="Q35" i="2" s="1"/>
  <c r="K47" i="3"/>
  <c r="U47" i="3" s="1"/>
  <c r="V47" i="3" s="1"/>
  <c r="P56" i="2" s="1"/>
  <c r="Q56" i="2" s="1"/>
  <c r="K56" i="3"/>
  <c r="K80" i="3"/>
  <c r="U80" i="3" s="1"/>
  <c r="V80" i="3" s="1"/>
  <c r="P87" i="2" s="1"/>
  <c r="Q87" i="2" s="1"/>
  <c r="U95" i="3"/>
  <c r="V95" i="3" s="1"/>
  <c r="P41" i="2" s="1"/>
  <c r="Q41" i="2" s="1"/>
  <c r="U54" i="3"/>
  <c r="V54" i="3" s="1"/>
  <c r="P77" i="2" s="1"/>
  <c r="Q77" i="2" s="1"/>
  <c r="U84" i="3"/>
  <c r="V84" i="3" s="1"/>
  <c r="P22" i="2" s="1"/>
  <c r="Q22" i="2" s="1"/>
  <c r="K98" i="3"/>
  <c r="U98" i="3" s="1"/>
  <c r="K46" i="3"/>
  <c r="U46" i="3" s="1"/>
  <c r="V46" i="3" s="1"/>
  <c r="P34" i="2" s="1"/>
  <c r="Q34" i="2" s="1"/>
  <c r="K44" i="3"/>
  <c r="U44" i="3" s="1"/>
  <c r="V44" i="3" s="1"/>
  <c r="P27" i="2" s="1"/>
  <c r="Q27" i="2" s="1"/>
  <c r="P78" i="3"/>
  <c r="U78" i="3" s="1"/>
  <c r="V78" i="3" s="1"/>
  <c r="P60" i="2" s="1"/>
  <c r="Q60" i="2" s="1"/>
  <c r="P86" i="3"/>
  <c r="U86" i="3" s="1"/>
  <c r="V86" i="3" s="1"/>
  <c r="P40" i="2" s="1"/>
  <c r="Q40" i="2" s="1"/>
  <c r="K32" i="3"/>
  <c r="U32" i="3" s="1"/>
  <c r="V32" i="3" s="1"/>
  <c r="P73" i="2" s="1"/>
  <c r="Q73" i="2" s="1"/>
  <c r="K72" i="3"/>
  <c r="U72" i="3" s="1"/>
  <c r="V72" i="3" s="1"/>
  <c r="P84" i="2" s="1"/>
  <c r="Q84" i="2" s="1"/>
  <c r="K71" i="3"/>
  <c r="U71" i="3" s="1"/>
  <c r="V71" i="3" s="1"/>
  <c r="P64" i="2" s="1"/>
  <c r="Q64" i="2" s="1"/>
  <c r="P57" i="3"/>
  <c r="U57" i="3" s="1"/>
  <c r="V57" i="3" s="1"/>
  <c r="P39" i="2" s="1"/>
  <c r="Q39" i="2" s="1"/>
  <c r="P62" i="3"/>
  <c r="U62" i="3" s="1"/>
  <c r="V62" i="3" s="1"/>
  <c r="P29" i="2" s="1"/>
  <c r="Q29" i="2" s="1"/>
  <c r="U56" i="3"/>
  <c r="V56" i="3" s="1"/>
  <c r="P89" i="2" s="1"/>
  <c r="Q89" i="2" s="1"/>
  <c r="V100" i="3"/>
  <c r="P94" i="3"/>
  <c r="U94" i="3" s="1"/>
  <c r="V94" i="3" s="1"/>
  <c r="P32" i="2" s="1"/>
  <c r="Q32" i="2" s="1"/>
  <c r="P58" i="3"/>
  <c r="U58" i="3" s="1"/>
  <c r="V58" i="3" s="1"/>
  <c r="P72" i="2" s="1"/>
  <c r="Q72" i="2" s="1"/>
  <c r="K33" i="3"/>
  <c r="U33" i="3" s="1"/>
  <c r="V33" i="3" s="1"/>
  <c r="P82" i="2" s="1"/>
  <c r="Q82" i="2" s="1"/>
  <c r="K76" i="3"/>
  <c r="U76" i="3" s="1"/>
  <c r="V76" i="3" s="1"/>
  <c r="P57" i="2" s="1"/>
  <c r="Q57" i="2" s="1"/>
  <c r="P26" i="3"/>
  <c r="U26" i="3" s="1"/>
  <c r="V26" i="3" s="1"/>
  <c r="P98" i="2" s="1"/>
  <c r="Q98" i="2" s="1"/>
  <c r="P40" i="3"/>
  <c r="U40" i="3" s="1"/>
  <c r="V40" i="3" s="1"/>
  <c r="P85" i="2" s="1"/>
  <c r="Q85" i="2" s="1"/>
  <c r="V99" i="3"/>
  <c r="P100" i="2" s="1"/>
  <c r="Q100" i="2" s="1"/>
  <c r="X104" i="3"/>
  <c r="K93" i="3"/>
  <c r="U93" i="3" s="1"/>
  <c r="V93" i="3" s="1"/>
  <c r="P76" i="2" s="1"/>
  <c r="Q76" i="2" s="1"/>
  <c r="P79" i="3"/>
  <c r="U79" i="3" s="1"/>
  <c r="V79" i="3" s="1"/>
  <c r="P83" i="2" s="1"/>
  <c r="Q83" i="2" s="1"/>
  <c r="P60" i="3"/>
  <c r="U60" i="3" s="1"/>
  <c r="V60" i="3" s="1"/>
  <c r="P52" i="2" s="1"/>
  <c r="Q52" i="2" s="1"/>
  <c r="P55" i="3"/>
  <c r="U55" i="3" s="1"/>
  <c r="V55" i="3" s="1"/>
  <c r="P53" i="2" s="1"/>
  <c r="Q53" i="2" s="1"/>
  <c r="K30" i="3"/>
  <c r="U30" i="3" s="1"/>
  <c r="V30" i="3" s="1"/>
  <c r="P42" i="2" s="1"/>
  <c r="Q42" i="2" s="1"/>
  <c r="K64" i="3"/>
  <c r="U64" i="3" s="1"/>
  <c r="V64" i="3" s="1"/>
  <c r="P69" i="2" s="1"/>
  <c r="Q69" i="2" s="1"/>
  <c r="K65" i="3"/>
  <c r="U65" i="3" s="1"/>
  <c r="V65" i="3" s="1"/>
  <c r="P92" i="2" s="1"/>
  <c r="Q92" i="2" s="1"/>
  <c r="K89" i="3"/>
  <c r="U89" i="3" s="1"/>
  <c r="V89" i="3" s="1"/>
  <c r="P23" i="2" s="1"/>
  <c r="Q23" i="2" s="1"/>
  <c r="K23" i="3"/>
  <c r="U23" i="3" s="1"/>
  <c r="V23" i="3" s="1"/>
  <c r="P78" i="2" s="1"/>
  <c r="Q78" i="2" s="1"/>
  <c r="P36" i="3"/>
  <c r="U36" i="3" s="1"/>
  <c r="V36" i="3" s="1"/>
  <c r="P33" i="2" s="1"/>
  <c r="Q33" i="2" s="1"/>
  <c r="K21" i="3"/>
  <c r="U21" i="3" s="1"/>
  <c r="V21" i="3" s="1"/>
  <c r="P93" i="2" s="1"/>
  <c r="Q93" i="2" s="1"/>
  <c r="K97" i="3"/>
  <c r="U97" i="3" s="1"/>
  <c r="V97" i="3" s="1"/>
  <c r="P97" i="2" s="1"/>
  <c r="Q97" i="2" s="1"/>
  <c r="P74" i="3"/>
  <c r="U74" i="3" s="1"/>
  <c r="V74" i="3" s="1"/>
  <c r="P51" i="2" s="1"/>
  <c r="Q51" i="2" s="1"/>
  <c r="P52" i="3"/>
  <c r="U52" i="3" s="1"/>
  <c r="V52" i="3" s="1"/>
  <c r="P94" i="2" s="1"/>
  <c r="Q94" i="2" s="1"/>
  <c r="P83" i="3"/>
  <c r="U83" i="3" s="1"/>
  <c r="V83" i="3" s="1"/>
  <c r="P58" i="2" s="1"/>
  <c r="Q58" i="2" s="1"/>
  <c r="P81" i="3"/>
  <c r="U81" i="3" s="1"/>
  <c r="V81" i="3" s="1"/>
  <c r="P55" i="2" s="1"/>
  <c r="Q55" i="2" s="1"/>
  <c r="P87" i="3"/>
  <c r="U87" i="3" s="1"/>
  <c r="V87" i="3" s="1"/>
  <c r="P48" i="2" s="1"/>
  <c r="Q48" i="2" s="1"/>
  <c r="P77" i="3"/>
  <c r="U77" i="3" s="1"/>
  <c r="V77" i="3" s="1"/>
  <c r="P71" i="2" s="1"/>
  <c r="Q71" i="2" s="1"/>
  <c r="P48" i="3"/>
  <c r="U48" i="3" s="1"/>
  <c r="V48" i="3" s="1"/>
  <c r="P88" i="2" s="1"/>
  <c r="Q88" i="2" s="1"/>
  <c r="P85" i="3"/>
  <c r="U85" i="3" s="1"/>
  <c r="V85" i="3" s="1"/>
  <c r="P26" i="2" s="1"/>
  <c r="Q26" i="2" s="1"/>
  <c r="P49" i="3"/>
  <c r="U49" i="3" s="1"/>
  <c r="V49" i="3" s="1"/>
  <c r="P96" i="2" s="1"/>
  <c r="Q96" i="2" s="1"/>
  <c r="P43" i="3"/>
  <c r="U43" i="3" s="1"/>
  <c r="V43" i="3" s="1"/>
  <c r="P68" i="2" s="1"/>
  <c r="Q68" i="2" s="1"/>
  <c r="K14" i="3"/>
  <c r="U14" i="3" s="1"/>
  <c r="V14" i="3" s="1"/>
  <c r="P12" i="2" s="1"/>
  <c r="Q12" i="2" s="1"/>
  <c r="K15" i="3"/>
  <c r="U15" i="3" s="1"/>
  <c r="V15" i="3" s="1"/>
  <c r="P16" i="2" s="1"/>
  <c r="Q16" i="2" s="1"/>
  <c r="G3" i="2"/>
  <c r="P6" i="3"/>
  <c r="K6" i="3"/>
  <c r="K4" i="3"/>
  <c r="U4" i="3" s="1"/>
  <c r="V4" i="3" s="1"/>
  <c r="P17" i="2" s="1"/>
  <c r="Q17" i="2" s="1"/>
  <c r="K34" i="3"/>
  <c r="U34" i="3" s="1"/>
  <c r="V34" i="3" s="1"/>
  <c r="P63" i="2" s="1"/>
  <c r="Q63" i="2" s="1"/>
  <c r="K5" i="3"/>
  <c r="U69" i="3"/>
  <c r="V69" i="3" s="1"/>
  <c r="P38" i="2" s="1"/>
  <c r="Q38" i="2" s="1"/>
  <c r="K68" i="3"/>
  <c r="U68" i="3" s="1"/>
  <c r="V68" i="3" s="1"/>
  <c r="P31" i="2" s="1"/>
  <c r="Q31" i="2" s="1"/>
  <c r="U29" i="3"/>
  <c r="V29" i="3" s="1"/>
  <c r="P24" i="2" s="1"/>
  <c r="Q24" i="2" s="1"/>
  <c r="K16" i="3"/>
  <c r="K63" i="3"/>
  <c r="P63" i="3"/>
  <c r="K20" i="3"/>
  <c r="P38" i="3"/>
  <c r="K38" i="3"/>
  <c r="P27" i="3"/>
  <c r="K27" i="3"/>
  <c r="K19" i="3"/>
  <c r="K73" i="3"/>
  <c r="P73" i="3"/>
  <c r="P91" i="3"/>
  <c r="K91" i="3"/>
  <c r="H8" i="5"/>
  <c r="H10" i="5" s="1"/>
  <c r="K82" i="3"/>
  <c r="P82" i="3"/>
  <c r="P50" i="3"/>
  <c r="K50" i="3"/>
  <c r="K12" i="3"/>
  <c r="K75" i="3"/>
  <c r="P75" i="3"/>
  <c r="K17" i="3"/>
  <c r="K13" i="3"/>
  <c r="K53" i="3"/>
  <c r="P53" i="3"/>
  <c r="K61" i="3"/>
  <c r="P61" i="3"/>
  <c r="K9" i="3"/>
  <c r="U3" i="3"/>
  <c r="P31" i="3"/>
  <c r="K31" i="3"/>
  <c r="T55" i="2" l="1"/>
  <c r="Y81" i="3"/>
  <c r="T56" i="2"/>
  <c r="Y47" i="3"/>
  <c r="T64" i="2"/>
  <c r="Y71" i="3"/>
  <c r="T22" i="2"/>
  <c r="Y84" i="3"/>
  <c r="T74" i="2"/>
  <c r="Y59" i="3"/>
  <c r="T58" i="2"/>
  <c r="Y83" i="3"/>
  <c r="T71" i="2"/>
  <c r="Y77" i="3"/>
  <c r="T67" i="2"/>
  <c r="Y70" i="3"/>
  <c r="T28" i="2"/>
  <c r="Y37" i="3"/>
  <c r="T30" i="2"/>
  <c r="Y73" i="3"/>
  <c r="T78" i="2"/>
  <c r="Y23" i="3"/>
  <c r="T99" i="2"/>
  <c r="Y98" i="3"/>
  <c r="T96" i="2"/>
  <c r="Y49" i="3"/>
  <c r="T76" i="2"/>
  <c r="Y93" i="3"/>
  <c r="T72" i="2"/>
  <c r="Y58" i="3"/>
  <c r="T87" i="2"/>
  <c r="Y80" i="3"/>
  <c r="T90" i="2"/>
  <c r="Y91" i="3"/>
  <c r="T35" i="2"/>
  <c r="Y41" i="3"/>
  <c r="T26" i="2"/>
  <c r="Y85" i="3"/>
  <c r="T27" i="2"/>
  <c r="Y44" i="3"/>
  <c r="T83" i="2"/>
  <c r="Y79" i="3"/>
  <c r="T40" i="2"/>
  <c r="Y86" i="3"/>
  <c r="T34" i="2"/>
  <c r="Y46" i="3"/>
  <c r="T39" i="2"/>
  <c r="Y57" i="3"/>
  <c r="T62" i="2"/>
  <c r="Y38" i="3"/>
  <c r="T88" i="2"/>
  <c r="Y48" i="3"/>
  <c r="T42" i="2"/>
  <c r="Y30" i="3"/>
  <c r="T50" i="2"/>
  <c r="Y42" i="3"/>
  <c r="T43" i="2"/>
  <c r="Y53" i="3"/>
  <c r="T32" i="2"/>
  <c r="Y94" i="3"/>
  <c r="T82" i="2"/>
  <c r="Y33" i="3"/>
  <c r="T44" i="2"/>
  <c r="Y61" i="3"/>
  <c r="T52" i="2"/>
  <c r="Y60" i="3"/>
  <c r="T38" i="2"/>
  <c r="Y69" i="3"/>
  <c r="T92" i="2"/>
  <c r="Y65" i="3"/>
  <c r="T94" i="2"/>
  <c r="Y52" i="3"/>
  <c r="T47" i="2"/>
  <c r="Y88" i="3"/>
  <c r="T60" i="2"/>
  <c r="Y78" i="3"/>
  <c r="T84" i="2"/>
  <c r="Y72" i="3"/>
  <c r="T91" i="2"/>
  <c r="Y67" i="3"/>
  <c r="T46" i="2"/>
  <c r="Y45" i="3"/>
  <c r="T31" i="2"/>
  <c r="Y68" i="3"/>
  <c r="T98" i="2"/>
  <c r="Y26" i="3"/>
  <c r="T86" i="2"/>
  <c r="Y28" i="3"/>
  <c r="T79" i="2"/>
  <c r="Y27" i="3"/>
  <c r="T68" i="2"/>
  <c r="Y43" i="3"/>
  <c r="T54" i="2"/>
  <c r="Y90" i="3"/>
  <c r="T66" i="2"/>
  <c r="Y63" i="3"/>
  <c r="T95" i="2"/>
  <c r="Y66" i="3"/>
  <c r="T23" i="2"/>
  <c r="Y89" i="3"/>
  <c r="T24" i="2"/>
  <c r="Y29" i="3"/>
  <c r="T48" i="2"/>
  <c r="Y87" i="3"/>
  <c r="T63" i="2"/>
  <c r="Y34" i="3"/>
  <c r="T59" i="2"/>
  <c r="Y35" i="3"/>
  <c r="I8" i="3"/>
  <c r="I104" i="3" s="1"/>
  <c r="G104" i="2"/>
  <c r="P80" i="2"/>
  <c r="Q80" i="2" s="1"/>
  <c r="V98" i="3"/>
  <c r="P99" i="2" s="1"/>
  <c r="Q99" i="2" s="1"/>
  <c r="U6" i="3"/>
  <c r="V6" i="3" s="1"/>
  <c r="P20" i="2" s="1"/>
  <c r="Q20" i="2" s="1"/>
  <c r="H3" i="2"/>
  <c r="U5" i="3"/>
  <c r="V5" i="3" s="1"/>
  <c r="P14" i="2" s="1"/>
  <c r="Q14" i="2" s="1"/>
  <c r="U16" i="3"/>
  <c r="V16" i="3" s="1"/>
  <c r="P18" i="2" s="1"/>
  <c r="Q18" i="2" s="1"/>
  <c r="U20" i="3"/>
  <c r="V20" i="3" s="1"/>
  <c r="P19" i="2" s="1"/>
  <c r="Q19" i="2" s="1"/>
  <c r="U27" i="3"/>
  <c r="V27" i="3" s="1"/>
  <c r="P79" i="2" s="1"/>
  <c r="Q79" i="2" s="1"/>
  <c r="U38" i="3"/>
  <c r="V38" i="3" s="1"/>
  <c r="P62" i="2" s="1"/>
  <c r="Q62" i="2" s="1"/>
  <c r="U13" i="3"/>
  <c r="V13" i="3" s="1"/>
  <c r="P4" i="2" s="1"/>
  <c r="Q4" i="2" s="1"/>
  <c r="U50" i="3"/>
  <c r="V50" i="3" s="1"/>
  <c r="P65" i="2" s="1"/>
  <c r="Q65" i="2" s="1"/>
  <c r="U63" i="3"/>
  <c r="V63" i="3" s="1"/>
  <c r="P66" i="2" s="1"/>
  <c r="Q66" i="2" s="1"/>
  <c r="U91" i="3"/>
  <c r="V91" i="3" s="1"/>
  <c r="P90" i="2" s="1"/>
  <c r="Q90" i="2" s="1"/>
  <c r="U31" i="3"/>
  <c r="V31" i="3" s="1"/>
  <c r="P37" i="2" s="1"/>
  <c r="Q37" i="2" s="1"/>
  <c r="U9" i="3"/>
  <c r="U17" i="3"/>
  <c r="V17" i="3" s="1"/>
  <c r="P9" i="2" s="1"/>
  <c r="Q9" i="2" s="1"/>
  <c r="U12" i="3"/>
  <c r="V12" i="3" s="1"/>
  <c r="P13" i="2" s="1"/>
  <c r="Q13" i="2" s="1"/>
  <c r="V3" i="3"/>
  <c r="P11" i="2" s="1"/>
  <c r="Q11" i="2" s="1"/>
  <c r="U61" i="3"/>
  <c r="V61" i="3" s="1"/>
  <c r="P44" i="2" s="1"/>
  <c r="Q44" i="2" s="1"/>
  <c r="U73" i="3"/>
  <c r="V73" i="3" s="1"/>
  <c r="P30" i="2" s="1"/>
  <c r="Q30" i="2" s="1"/>
  <c r="U75" i="3"/>
  <c r="V75" i="3" s="1"/>
  <c r="P70" i="2" s="1"/>
  <c r="Q70" i="2" s="1"/>
  <c r="U53" i="3"/>
  <c r="V53" i="3" s="1"/>
  <c r="P43" i="2" s="1"/>
  <c r="Q43" i="2" s="1"/>
  <c r="U82" i="3"/>
  <c r="V82" i="3" s="1"/>
  <c r="P81" i="2" s="1"/>
  <c r="Q81" i="2" s="1"/>
  <c r="U19" i="3"/>
  <c r="V19" i="3" s="1"/>
  <c r="P5" i="2" s="1"/>
  <c r="Q5" i="2" s="1"/>
  <c r="Y104" i="3" l="1"/>
  <c r="R3" i="2"/>
  <c r="S3" i="2" s="1"/>
  <c r="T3" i="2" s="1"/>
  <c r="H104" i="2"/>
  <c r="H106" i="2" s="1"/>
  <c r="H108" i="2" s="1"/>
  <c r="H109" i="2" s="1"/>
  <c r="H110" i="2" s="1"/>
  <c r="H113" i="2" s="1"/>
  <c r="P8" i="3"/>
  <c r="P104" i="3" s="1"/>
  <c r="K8" i="3"/>
  <c r="K104" i="3" s="1"/>
  <c r="V9" i="3"/>
  <c r="P10" i="2" s="1"/>
  <c r="Q10" i="2" s="1"/>
  <c r="H114" i="2" l="1"/>
  <c r="H115" i="2" s="1"/>
  <c r="E11" i="4" s="1"/>
  <c r="F11" i="4"/>
  <c r="U8" i="3"/>
  <c r="U104" i="3" s="1"/>
  <c r="V8" i="3" l="1"/>
  <c r="V104" i="3" s="1"/>
  <c r="P3" i="2" l="1"/>
  <c r="Q3" i="2" s="1"/>
  <c r="AF28" i="1"/>
  <c r="AE28" i="1"/>
  <c r="AD28" i="1"/>
  <c r="AC28" i="1"/>
  <c r="AB28" i="1"/>
  <c r="AA28" i="1"/>
  <c r="Z28" i="1"/>
  <c r="Y28" i="1"/>
  <c r="X28" i="1"/>
  <c r="W28" i="1"/>
  <c r="V28" i="1"/>
  <c r="M32" i="1" s="1"/>
  <c r="U28" i="1"/>
  <c r="T28" i="1"/>
  <c r="S28" i="1"/>
  <c r="M33" i="1" s="1"/>
  <c r="R28" i="1"/>
  <c r="Q28" i="1"/>
  <c r="P28" i="1"/>
  <c r="O28" i="1"/>
  <c r="N28" i="1"/>
  <c r="M28" i="1"/>
  <c r="M40" i="1" s="1"/>
  <c r="L28" i="1"/>
  <c r="K28" i="1"/>
  <c r="J28" i="1"/>
  <c r="I28" i="1"/>
  <c r="H28" i="1"/>
  <c r="G28" i="1"/>
  <c r="F28" i="1"/>
  <c r="E28" i="1"/>
  <c r="D28" i="1"/>
  <c r="C28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M34" i="1" l="1"/>
  <c r="M39" i="1"/>
  <c r="M36" i="1"/>
  <c r="AG28" i="1"/>
  <c r="M47" i="1" s="1"/>
  <c r="M48" i="1" s="1"/>
  <c r="M49" i="1" s="1"/>
  <c r="M50" i="1" l="1"/>
  <c r="M51" i="1" s="1"/>
  <c r="M52" i="1" s="1"/>
  <c r="M53" i="1" s="1"/>
  <c r="I9" i="4" s="1"/>
  <c r="I12" i="4" s="1"/>
  <c r="M37" i="1"/>
  <c r="M38" i="1"/>
  <c r="M41" i="1" s="1"/>
  <c r="F9" i="4" s="1"/>
  <c r="F12" i="4" s="1"/>
  <c r="I16" i="4" l="1"/>
  <c r="I17" i="4"/>
  <c r="I15" i="4"/>
  <c r="I18" i="4"/>
  <c r="F16" i="4"/>
  <c r="F18" i="4"/>
  <c r="F15" i="4"/>
  <c r="F17" i="4"/>
  <c r="M42" i="1"/>
  <c r="M43" i="1" s="1"/>
  <c r="E9" i="4" s="1"/>
  <c r="E12" i="4" s="1"/>
  <c r="I19" i="4" l="1"/>
  <c r="E17" i="4"/>
  <c r="E18" i="4"/>
  <c r="E15" i="4"/>
  <c r="E16" i="4"/>
  <c r="E19" i="4" l="1"/>
</calcChain>
</file>

<file path=xl/sharedStrings.xml><?xml version="1.0" encoding="utf-8"?>
<sst xmlns="http://schemas.openxmlformats.org/spreadsheetml/2006/main" count="1334" uniqueCount="454">
  <si>
    <t>CONSULTORIA EN PROYECTOS DINAMICOS S DE RL DE CV</t>
  </si>
  <si>
    <t>Lista de Raya (forma tabular)</t>
  </si>
  <si>
    <t>Reg Pat IMSS: Z2940859106</t>
  </si>
  <si>
    <t xml:space="preserve">RFC: CPD -150911-FA3 </t>
  </si>
  <si>
    <t>Código</t>
  </si>
  <si>
    <t>Empleado</t>
  </si>
  <si>
    <t>Sueldo</t>
  </si>
  <si>
    <t>Vacaciones a tiempo</t>
  </si>
  <si>
    <t>Prima de vacaciones a tiempo</t>
  </si>
  <si>
    <t>Ayuda de Transporte</t>
  </si>
  <si>
    <t>Ayuda Alimentaria</t>
  </si>
  <si>
    <t>Ayuda de Renta</t>
  </si>
  <si>
    <t>*TOTAL* *PERCEPCIONES*</t>
  </si>
  <si>
    <t>Seguro de vivienda Infonavit</t>
  </si>
  <si>
    <t>Préstamo Infonavit (vsm)</t>
  </si>
  <si>
    <t>Subsidio al Empleo (sp)</t>
  </si>
  <si>
    <t>I.S.R. (sp)</t>
  </si>
  <si>
    <t>I.M.S.S.</t>
  </si>
  <si>
    <t>Ajuste al neto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</si>
  <si>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</si>
  <si>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</si>
  <si>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</si>
  <si>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</si>
  <si>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</si>
  <si>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</si>
  <si>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2% Impuesto estatal</t>
  </si>
  <si>
    <t>Riesgo de trabajo (9)</t>
  </si>
  <si>
    <t>I.M.S.S. empresa</t>
  </si>
  <si>
    <t>Infonavit empresa</t>
  </si>
  <si>
    <t>Guarderia I.M.S.S. (7)</t>
  </si>
  <si>
    <t>IVA</t>
  </si>
  <si>
    <t>Dias Laborados</t>
  </si>
  <si>
    <t>Dias Vacaciones</t>
  </si>
  <si>
    <t>Salario Diario</t>
  </si>
  <si>
    <t>Salario Diario Integrado</t>
  </si>
  <si>
    <t>Banco</t>
  </si>
  <si>
    <t>SEI0010</t>
  </si>
  <si>
    <t>SEI0449</t>
  </si>
  <si>
    <t>SEI0009</t>
  </si>
  <si>
    <t>Gutierrez Gutierrez Luis Arturo</t>
  </si>
  <si>
    <t>SEI0026</t>
  </si>
  <si>
    <t>Patricio Aguilar Jhonattan Cristian</t>
  </si>
  <si>
    <t>SEI0040</t>
  </si>
  <si>
    <t>Mora Ramirez Acal Aldo Isidro</t>
  </si>
  <si>
    <t>SEI0041</t>
  </si>
  <si>
    <t>Vazquez Perez Miguel Angel</t>
  </si>
  <si>
    <t>SEI0088</t>
  </si>
  <si>
    <t>Morgado Fernandez Martin</t>
  </si>
  <si>
    <t>SEI0097</t>
  </si>
  <si>
    <t>Arreola Jimenez Jose Nieves</t>
  </si>
  <si>
    <t>SEI0099</t>
  </si>
  <si>
    <t>Garcia Villicaña Ricardo Pascual</t>
  </si>
  <si>
    <t>SEI0108</t>
  </si>
  <si>
    <t>Caballero Diaz Francisco Javier</t>
  </si>
  <si>
    <t>SEI0116</t>
  </si>
  <si>
    <t>Casillas Cardona Cesar Alejandro</t>
  </si>
  <si>
    <t>SEI0117</t>
  </si>
  <si>
    <t>Mariscal Romero Luis Adrian</t>
  </si>
  <si>
    <t>SEI0118</t>
  </si>
  <si>
    <t>Arroyo Ramirez Hector Hugo</t>
  </si>
  <si>
    <t>SEI0127</t>
  </si>
  <si>
    <t>Hernandez Ochoa Eduardo</t>
  </si>
  <si>
    <t>SEI0173</t>
  </si>
  <si>
    <t>Nieto Ortiz Jose Luis</t>
  </si>
  <si>
    <t>SEI0221</t>
  </si>
  <si>
    <t>Rogel Teran Marco Antonio</t>
  </si>
  <si>
    <t>SEI0401</t>
  </si>
  <si>
    <t>De La Torre Zambara Francisco Ernesto</t>
  </si>
  <si>
    <t>SEI0425</t>
  </si>
  <si>
    <t>Carbajal Cabuto Jose Luis</t>
  </si>
  <si>
    <t>SEI0435</t>
  </si>
  <si>
    <t>Benavides Herrera Alejandra</t>
  </si>
  <si>
    <t>SEI0442</t>
  </si>
  <si>
    <t>Sierra Escamilla Daniela</t>
  </si>
  <si>
    <t xml:space="preserve">  =============</t>
  </si>
  <si>
    <t>Total Gral.</t>
  </si>
  <si>
    <t xml:space="preserve"> </t>
  </si>
  <si>
    <t>Aguinaldo</t>
  </si>
  <si>
    <t>SINDICATO</t>
  </si>
  <si>
    <t>PRIMA VACACIONAL</t>
  </si>
  <si>
    <t>CLAVE</t>
  </si>
  <si>
    <t>EMPRESA</t>
  </si>
  <si>
    <t>NOMBRE</t>
  </si>
  <si>
    <t xml:space="preserve">SUELDO SINDICATO </t>
  </si>
  <si>
    <t>BONO</t>
  </si>
  <si>
    <t>COMISION</t>
  </si>
  <si>
    <t>prima vacaciones</t>
  </si>
  <si>
    <t>TOTAL</t>
  </si>
  <si>
    <t>DIAS DE VACACIONES</t>
  </si>
  <si>
    <t>SUELDO NETO MENSUAL</t>
  </si>
  <si>
    <t>MONTO PRIMA TOTAL</t>
  </si>
  <si>
    <t>MENOS PRIMA IMSS</t>
  </si>
  <si>
    <t>PRIMA A PAGAR SINDICATO</t>
  </si>
  <si>
    <t>SEI0544</t>
  </si>
  <si>
    <t>IP INNOVACION</t>
  </si>
  <si>
    <t>Aguilar Aguirre Alfonso</t>
  </si>
  <si>
    <t xml:space="preserve"> SEI0652</t>
  </si>
  <si>
    <t>SEI0431</t>
  </si>
  <si>
    <t>SEI0527</t>
  </si>
  <si>
    <t>Alejandro Peña Deivi</t>
  </si>
  <si>
    <t xml:space="preserve"> SEI0628</t>
  </si>
  <si>
    <t>SEI0535</t>
  </si>
  <si>
    <t>Alejandro Vazquez Erasmo Miguel</t>
  </si>
  <si>
    <t xml:space="preserve"> SEI0638</t>
  </si>
  <si>
    <t>SEI0029</t>
  </si>
  <si>
    <t>Arceo Garcia Manuel Federico</t>
  </si>
  <si>
    <t xml:space="preserve"> SEI0029</t>
  </si>
  <si>
    <t>CONSULTORIA</t>
  </si>
  <si>
    <t xml:space="preserve"> SEI0097</t>
  </si>
  <si>
    <t xml:space="preserve"> SEI0118</t>
  </si>
  <si>
    <t>SEI0472</t>
  </si>
  <si>
    <t>Arzate Gil Juan Sebastian</t>
  </si>
  <si>
    <t xml:space="preserve"> SEI0550</t>
  </si>
  <si>
    <t>SEI0377</t>
  </si>
  <si>
    <t xml:space="preserve"> SEI0377</t>
  </si>
  <si>
    <t xml:space="preserve"> SEI0108</t>
  </si>
  <si>
    <t xml:space="preserve"> SEI0453</t>
  </si>
  <si>
    <t>SEI0528</t>
  </si>
  <si>
    <t>Casas Chavarria Rafael</t>
  </si>
  <si>
    <t xml:space="preserve"> SEI0629</t>
  </si>
  <si>
    <t xml:space="preserve"> SEI0116</t>
  </si>
  <si>
    <t>SEI0460</t>
  </si>
  <si>
    <t>Castellon Ramos Rene</t>
  </si>
  <si>
    <t xml:space="preserve"> SEI0499</t>
  </si>
  <si>
    <t>SEI0443</t>
  </si>
  <si>
    <t>Castillo Nungaray Nestor Roman</t>
  </si>
  <si>
    <t xml:space="preserve"> SEI0468</t>
  </si>
  <si>
    <t>SEI0490</t>
  </si>
  <si>
    <t>Castillo Ramirez Hector Ivan</t>
  </si>
  <si>
    <t xml:space="preserve"> SEI0448</t>
  </si>
  <si>
    <t>SEI0508</t>
  </si>
  <si>
    <t>Cerro Garcia Elvis</t>
  </si>
  <si>
    <t xml:space="preserve"> SEI0513</t>
  </si>
  <si>
    <t>SEI0499</t>
  </si>
  <si>
    <t>Chavez Dominguez Salvador</t>
  </si>
  <si>
    <t xml:space="preserve"> SEI0483</t>
  </si>
  <si>
    <t>SEI0541</t>
  </si>
  <si>
    <t>Chavez Govea Edgar Aram</t>
  </si>
  <si>
    <t xml:space="preserve"> SEI0644</t>
  </si>
  <si>
    <t>Chavez Pedraza Samuel</t>
  </si>
  <si>
    <t xml:space="preserve"> SEI0467</t>
  </si>
  <si>
    <t>SEI0462</t>
  </si>
  <si>
    <t>Chavez Saucedo Jorge Arturo</t>
  </si>
  <si>
    <t xml:space="preserve"> SEI0516</t>
  </si>
  <si>
    <t>SEI0456</t>
  </si>
  <si>
    <t>Chavira Garcia David Fernando</t>
  </si>
  <si>
    <t xml:space="preserve"> SEI0495</t>
  </si>
  <si>
    <t>SEI0015</t>
  </si>
  <si>
    <t>Cota Jaramillo Miguel Angel</t>
  </si>
  <si>
    <t xml:space="preserve"> SEI0015</t>
  </si>
  <si>
    <t>SEI0413</t>
  </si>
  <si>
    <t>Courtenay Gutierrez Barry Vladimir</t>
  </si>
  <si>
    <t xml:space="preserve"> SEI0436</t>
  </si>
  <si>
    <t>SEI0501</t>
  </si>
  <si>
    <t>Cruz Herrera Roberto</t>
  </si>
  <si>
    <t xml:space="preserve"> SEI0485</t>
  </si>
  <si>
    <t>SEI479</t>
  </si>
  <si>
    <t>Cruz Perez Alejandro Nezahualcoyotl</t>
  </si>
  <si>
    <t xml:space="preserve"> SEI0606</t>
  </si>
  <si>
    <t xml:space="preserve"> SEI0401</t>
  </si>
  <si>
    <t>SEI0530</t>
  </si>
  <si>
    <t>Del Pilar Mendez Lucio</t>
  </si>
  <si>
    <t xml:space="preserve"> SEI0630</t>
  </si>
  <si>
    <t>SEI0543</t>
  </si>
  <si>
    <t>Diaz Ortiz Hiram Guillermo</t>
  </si>
  <si>
    <t xml:space="preserve"> SEI0646</t>
  </si>
  <si>
    <t>SEI0364</t>
  </si>
  <si>
    <t>Dominguez Lopez Mayeli Del Pilar</t>
  </si>
  <si>
    <t xml:space="preserve"> SEI0364</t>
  </si>
  <si>
    <t>SEI0474</t>
  </si>
  <si>
    <t>Enriquez Zamora Jessica Del Rocio</t>
  </si>
  <si>
    <t xml:space="preserve"> SEI0600</t>
  </si>
  <si>
    <t>SEI0489</t>
  </si>
  <si>
    <t>Escobedo Olivares Juan Guadalupe</t>
  </si>
  <si>
    <t xml:space="preserve"> SEI0447</t>
  </si>
  <si>
    <t>Flores Cerrillos Jorge Humberto</t>
  </si>
  <si>
    <t xml:space="preserve"> SEI0474</t>
  </si>
  <si>
    <t>SEI0461</t>
  </si>
  <si>
    <t>Flores Franco Marco</t>
  </si>
  <si>
    <t xml:space="preserve"> SEI0500</t>
  </si>
  <si>
    <t>SEI0500</t>
  </si>
  <si>
    <t>Garcia Gutierrez Jose Juan</t>
  </si>
  <si>
    <t xml:space="preserve"> SEI0484</t>
  </si>
  <si>
    <t xml:space="preserve"> SEI0099</t>
  </si>
  <si>
    <t>SEI0534</t>
  </si>
  <si>
    <t>Gonzalez Ramirez Paul</t>
  </si>
  <si>
    <t>0SEI0635</t>
  </si>
  <si>
    <t>SEI0019</t>
  </si>
  <si>
    <t>Gonzalez Rasgado Miguel Isaias</t>
  </si>
  <si>
    <t xml:space="preserve"> SEI0019</t>
  </si>
  <si>
    <t>SEI0457</t>
  </si>
  <si>
    <t>Guerrero Lara Cesar Adrian</t>
  </si>
  <si>
    <t xml:space="preserve"> SEI0496</t>
  </si>
  <si>
    <t>SEI0509</t>
  </si>
  <si>
    <t xml:space="preserve"> SEI0610</t>
  </si>
  <si>
    <t xml:space="preserve"> SEI0009</t>
  </si>
  <si>
    <t>SEI0483</t>
  </si>
  <si>
    <t>Gutierrez Muñoz Carlos Alejandro</t>
  </si>
  <si>
    <t xml:space="preserve"> SEI0095</t>
  </si>
  <si>
    <t>SEI0476</t>
  </si>
  <si>
    <t>Hernandez Garcia Manuel Alejandro</t>
  </si>
  <si>
    <t xml:space="preserve"> SEI0602</t>
  </si>
  <si>
    <t xml:space="preserve"> SEI0127</t>
  </si>
  <si>
    <t>SEI0536</t>
  </si>
  <si>
    <t>Hernandez Ojeda Julio Cesar</t>
  </si>
  <si>
    <t xml:space="preserve"> SEI0640</t>
  </si>
  <si>
    <t>SEI0523</t>
  </si>
  <si>
    <t>Hernandez Rodriguez Jorge</t>
  </si>
  <si>
    <t xml:space="preserve"> SEI0624</t>
  </si>
  <si>
    <t>SEI0464</t>
  </si>
  <si>
    <t>Hueramo Hueramo Jesus Daniel</t>
  </si>
  <si>
    <t xml:space="preserve"> SEI 502</t>
  </si>
  <si>
    <t>SEI0511</t>
  </si>
  <si>
    <t>Lizaran Maceda Jose Guadalupe</t>
  </si>
  <si>
    <t xml:space="preserve"> SEI0517</t>
  </si>
  <si>
    <t>SEI0525</t>
  </si>
  <si>
    <t>Lizaran Maceda Jesus</t>
  </si>
  <si>
    <t xml:space="preserve"> SEI0626</t>
  </si>
  <si>
    <t>SEI0438</t>
  </si>
  <si>
    <t>Lopez Terron Roberto Porfirio</t>
  </si>
  <si>
    <t xml:space="preserve"> SEI0463</t>
  </si>
  <si>
    <t>SEI0517</t>
  </si>
  <si>
    <t>Macias Torres Enrique</t>
  </si>
  <si>
    <t xml:space="preserve"> SEI0120</t>
  </si>
  <si>
    <t>SEI0020</t>
  </si>
  <si>
    <t>Mar Marquez Cesar Eduardo</t>
  </si>
  <si>
    <t xml:space="preserve"> SEI0020</t>
  </si>
  <si>
    <t xml:space="preserve"> SEI0117</t>
  </si>
  <si>
    <t>SEI0444</t>
  </si>
  <si>
    <t>Marquez Hernandez Rogelio</t>
  </si>
  <si>
    <t xml:space="preserve"> SEI0469</t>
  </si>
  <si>
    <t>SEI0428</t>
  </si>
  <si>
    <t>Martinez Hernandez J. Antonio</t>
  </si>
  <si>
    <t xml:space="preserve"> SEI0452</t>
  </si>
  <si>
    <t>SEI0504</t>
  </si>
  <si>
    <t>Martinez Malo Cesar</t>
  </si>
  <si>
    <t xml:space="preserve"> SEI0488</t>
  </si>
  <si>
    <t>SEI0469</t>
  </si>
  <si>
    <t>Martinez Morales Jose Martin</t>
  </si>
  <si>
    <t xml:space="preserve"> SEI0511</t>
  </si>
  <si>
    <t>SEI0493</t>
  </si>
  <si>
    <t>Martinez Morales Tomas</t>
  </si>
  <si>
    <t xml:space="preserve"> SEI0477</t>
  </si>
  <si>
    <t>SEI0503</t>
  </si>
  <si>
    <t>Martinez Rodriguez Paulo Cesar</t>
  </si>
  <si>
    <t xml:space="preserve"> SEI0487</t>
  </si>
  <si>
    <t>SEI0458</t>
  </si>
  <si>
    <t>Martinez Zamora Gerardo Mario</t>
  </si>
  <si>
    <t xml:space="preserve"> SEI0497</t>
  </si>
  <si>
    <t>SEI0494</t>
  </si>
  <si>
    <t>Medellin Colunga Ruben Dario</t>
  </si>
  <si>
    <t xml:space="preserve"> SEI0478</t>
  </si>
  <si>
    <t>SEI0506</t>
  </si>
  <si>
    <t xml:space="preserve"> SEI0506</t>
  </si>
  <si>
    <t>SEI0513</t>
  </si>
  <si>
    <t>Mendez Rivera Ivan Israel</t>
  </si>
  <si>
    <t xml:space="preserve"> SEI0612</t>
  </si>
  <si>
    <t>SEI0488</t>
  </si>
  <si>
    <t>Mireles Casillas Brenda Cristina</t>
  </si>
  <si>
    <t xml:space="preserve"> SEI0446</t>
  </si>
  <si>
    <t>Marin Avila Hector</t>
  </si>
  <si>
    <t xml:space="preserve"> SEI0445</t>
  </si>
  <si>
    <t>SEI0485</t>
  </si>
  <si>
    <t>Molina Ramirez Gerardo Daniel</t>
  </si>
  <si>
    <t xml:space="preserve"> SEI0033</t>
  </si>
  <si>
    <t xml:space="preserve"> SEI0014 </t>
  </si>
  <si>
    <t>Montoya Portillo Carlos Alberto</t>
  </si>
  <si>
    <t xml:space="preserve"> SEI0014</t>
  </si>
  <si>
    <t xml:space="preserve"> SEI0040</t>
  </si>
  <si>
    <t>SEI0540</t>
  </si>
  <si>
    <t>Morales Martinez Eduardo</t>
  </si>
  <si>
    <t xml:space="preserve"> SEI0648</t>
  </si>
  <si>
    <t>SEI0475</t>
  </si>
  <si>
    <t>Moreno Quiroga Ana Sarahi</t>
  </si>
  <si>
    <t xml:space="preserve"> SEI0601</t>
  </si>
  <si>
    <t xml:space="preserve"> SEI0088</t>
  </si>
  <si>
    <t>SEI0017</t>
  </si>
  <si>
    <t>Muñoz Reyes Luis Eduardo</t>
  </si>
  <si>
    <t xml:space="preserve"> SEI0017</t>
  </si>
  <si>
    <t>SEI0022</t>
  </si>
  <si>
    <t>Najera Lopez Raul</t>
  </si>
  <si>
    <t xml:space="preserve"> SEI0022</t>
  </si>
  <si>
    <t>Negrete Bejar Aide Sarai</t>
  </si>
  <si>
    <t xml:space="preserve"> SEI0016</t>
  </si>
  <si>
    <t xml:space="preserve"> SEI0173</t>
  </si>
  <si>
    <t>SEI0524</t>
  </si>
  <si>
    <t>Orea Gonzalez Concepcion Esteban</t>
  </si>
  <si>
    <t xml:space="preserve"> SEI0625</t>
  </si>
  <si>
    <t>SEI0424</t>
  </si>
  <si>
    <t>Palacios Ramos Jesus</t>
  </si>
  <si>
    <t xml:space="preserve"> SEI0424</t>
  </si>
  <si>
    <t>SEI0519</t>
  </si>
  <si>
    <t>Palacios Vega Luis Rosendo</t>
  </si>
  <si>
    <t xml:space="preserve"> SEI0519</t>
  </si>
  <si>
    <t xml:space="preserve"> SEI0026</t>
  </si>
  <si>
    <t>SEI0505</t>
  </si>
  <si>
    <t>Perez Balboa Cesar</t>
  </si>
  <si>
    <t xml:space="preserve"> SEI0489</t>
  </si>
  <si>
    <t>SEI0455</t>
  </si>
  <si>
    <t>Perez Garcia Andres Alvaro</t>
  </si>
  <si>
    <t xml:space="preserve"> SEI0494</t>
  </si>
  <si>
    <t>SEI0023</t>
  </si>
  <si>
    <t>Puente Murguia Luis Felipe</t>
  </si>
  <si>
    <t xml:space="preserve"> SEI0023</t>
  </si>
  <si>
    <t xml:space="preserve"> SEI0221</t>
  </si>
  <si>
    <t>SEI0521</t>
  </si>
  <si>
    <t>Rondero Savin Jacinto</t>
  </si>
  <si>
    <t xml:space="preserve"> SEI0622</t>
  </si>
  <si>
    <t>SEI0465</t>
  </si>
  <si>
    <t>Sandoval Garcia Luis</t>
  </si>
  <si>
    <t xml:space="preserve"> SEI0503</t>
  </si>
  <si>
    <t>SEI0477</t>
  </si>
  <si>
    <t>Sandoval Medina Demetrio</t>
  </si>
  <si>
    <t xml:space="preserve"> SEI0603</t>
  </si>
  <si>
    <t>SEI0537</t>
  </si>
  <si>
    <t>Serrano Esquivel Armando</t>
  </si>
  <si>
    <t xml:space="preserve"> SEI0641</t>
  </si>
  <si>
    <t xml:space="preserve"> SEI0618</t>
  </si>
  <si>
    <t>SEI0498</t>
  </si>
  <si>
    <t>Tenorio Alvarez Alberto Antonio</t>
  </si>
  <si>
    <t xml:space="preserve"> SEI0482</t>
  </si>
  <si>
    <t>SEI0495</t>
  </si>
  <si>
    <t>Torres Perez Carlos Alberto</t>
  </si>
  <si>
    <t xml:space="preserve"> SEI0479</t>
  </si>
  <si>
    <t>Torres Ricardez Alfredo</t>
  </si>
  <si>
    <t xml:space="preserve"> SEI0010</t>
  </si>
  <si>
    <t>SEI0473</t>
  </si>
  <si>
    <t>Torres Velazquez Juan Antonio</t>
  </si>
  <si>
    <t xml:space="preserve"> SEI0604</t>
  </si>
  <si>
    <t>SEI0497</t>
  </si>
  <si>
    <t>Treviño Alvarez Jorge Alberto</t>
  </si>
  <si>
    <t xml:space="preserve"> SEI0481</t>
  </si>
  <si>
    <t>SEI0467</t>
  </si>
  <si>
    <t>Vaca Valdez Guillermo</t>
  </si>
  <si>
    <t xml:space="preserve"> SEI0505</t>
  </si>
  <si>
    <t>SEI0545</t>
  </si>
  <si>
    <t>Vallarta Fonseca Mayra Karina</t>
  </si>
  <si>
    <t xml:space="preserve"> SEI0653</t>
  </si>
  <si>
    <t xml:space="preserve"> SEI0041</t>
  </si>
  <si>
    <t>SEI0021</t>
  </si>
  <si>
    <t>Velez Rodriguez Jaime</t>
  </si>
  <si>
    <t xml:space="preserve"> SEI0021</t>
  </si>
  <si>
    <t>Aguilar Garcia Rosa Paola</t>
  </si>
  <si>
    <t xml:space="preserve"> SEI0654</t>
  </si>
  <si>
    <t>Jauregui Madera Jorge Silvestre</t>
  </si>
  <si>
    <t xml:space="preserve"> SEI0656</t>
  </si>
  <si>
    <t>SUELDO SINDICATO</t>
  </si>
  <si>
    <t>PRIMA VACACIONAL SINDICATO</t>
  </si>
  <si>
    <t>B</t>
  </si>
  <si>
    <t>NETO A PAGAR</t>
  </si>
  <si>
    <t>NETO MENSUAL</t>
  </si>
  <si>
    <t>NETO QUINCENAL SEITON</t>
  </si>
  <si>
    <t>C</t>
  </si>
  <si>
    <t>prima vacacional</t>
  </si>
  <si>
    <t>COMISION Y PRIMA VACACIONAL</t>
  </si>
  <si>
    <t>INFONAVIT</t>
  </si>
  <si>
    <t>FONACOT</t>
  </si>
  <si>
    <t>DESCUENTOS</t>
  </si>
  <si>
    <t>D</t>
  </si>
  <si>
    <t>TOTAL GENERAL</t>
  </si>
  <si>
    <t>DIFERENCIAS</t>
  </si>
  <si>
    <t>OBSERVACIONES</t>
  </si>
  <si>
    <t>SEI0421</t>
  </si>
  <si>
    <t>SEI0415</t>
  </si>
  <si>
    <t>SEI0033</t>
  </si>
  <si>
    <t>SEI0095</t>
  </si>
  <si>
    <t>SEI0416</t>
  </si>
  <si>
    <t>SEI0417</t>
  </si>
  <si>
    <t>SEI0420</t>
  </si>
  <si>
    <t>SEI0422</t>
  </si>
  <si>
    <t>SEI0426</t>
  </si>
  <si>
    <t>SEI0430</t>
  </si>
  <si>
    <t>SEI0432</t>
  </si>
  <si>
    <t>SEI0433</t>
  </si>
  <si>
    <t>SEI0547</t>
  </si>
  <si>
    <t>SEI0548</t>
  </si>
  <si>
    <t xml:space="preserve">TOTAL GENERAL </t>
  </si>
  <si>
    <t>TOTAL FACTURACION NOMINA</t>
  </si>
  <si>
    <t>TOTAL PROV AGUINALDOS</t>
  </si>
  <si>
    <t>TOTAL CPD</t>
  </si>
  <si>
    <t>TOTAL IP</t>
  </si>
  <si>
    <t>TOTAL SINDICATO</t>
  </si>
  <si>
    <t>PORCENTAJES POR EMPRESA</t>
  </si>
  <si>
    <t>EM 4%</t>
  </si>
  <si>
    <t>CPD 12%</t>
  </si>
  <si>
    <t>IP 11%</t>
  </si>
  <si>
    <t>ITA 73%</t>
  </si>
  <si>
    <t>CONSULTORIA EN PROYECTOS DINAMICOS</t>
  </si>
  <si>
    <t>CALCULO DE PAGO POR ASIMILADOS Y/O COMISIONES</t>
  </si>
  <si>
    <t>QUINCENAL</t>
  </si>
  <si>
    <t>FACTURACION</t>
  </si>
  <si>
    <t>Nombre</t>
  </si>
  <si>
    <t>SUELDO MENSUAL</t>
  </si>
  <si>
    <t>IMSS</t>
  </si>
  <si>
    <t>Asimilados</t>
  </si>
  <si>
    <t>Comision 2%</t>
  </si>
  <si>
    <t>SUBTOTAL</t>
  </si>
  <si>
    <t>PABLO BENAVIDES HERRERA</t>
  </si>
  <si>
    <t>SE FACTURA A PITSS</t>
  </si>
  <si>
    <t>TOTALES</t>
  </si>
  <si>
    <t>Devengado Salario</t>
  </si>
  <si>
    <t>RETORNOS</t>
  </si>
  <si>
    <t>Infonavit</t>
  </si>
  <si>
    <t>Prestamo Prospera</t>
  </si>
  <si>
    <t>Subtotal 1</t>
  </si>
  <si>
    <t>Comision</t>
  </si>
  <si>
    <t>Subtotal 2</t>
  </si>
  <si>
    <t>Costo Patronal Imss</t>
  </si>
  <si>
    <t xml:space="preserve">2% Sobre Nomina </t>
  </si>
  <si>
    <t>Importe de Factura</t>
  </si>
  <si>
    <t>PROVISION AGUINALDO</t>
  </si>
  <si>
    <t>FACTURACION PITS</t>
  </si>
  <si>
    <t>QNA PASADA</t>
  </si>
  <si>
    <t>SUBTOTAL 2</t>
  </si>
  <si>
    <t>SUBTOTAL 3</t>
  </si>
  <si>
    <t>TOTA</t>
  </si>
  <si>
    <t xml:space="preserve">Devengado Salario </t>
  </si>
  <si>
    <t>Deduccion General</t>
  </si>
  <si>
    <t>IP INNOVACION EN PROYECTOS S DE RL DE CV</t>
  </si>
  <si>
    <t>Reg Pat IMSS: R1363592103</t>
  </si>
  <si>
    <t xml:space="preserve">RFC: IIP -150923-DT7 </t>
  </si>
  <si>
    <t>Préstamo Infonavit (cf)</t>
  </si>
  <si>
    <t>Préstamo FONACOT</t>
  </si>
  <si>
    <t>Deduccion general</t>
  </si>
  <si>
    <t xml:space="preserve">Aguinaldo </t>
  </si>
  <si>
    <t>SEI0014</t>
  </si>
  <si>
    <t>SEI0016</t>
  </si>
  <si>
    <t>Mejia  Duarte Jose Luis</t>
  </si>
  <si>
    <t xml:space="preserve">Gutierrez  Castillo  Jose De Jesus </t>
  </si>
  <si>
    <t>SEI0549</t>
  </si>
  <si>
    <t>Hinojosa  Guerrero  Alejandro</t>
  </si>
  <si>
    <t>SEI0550</t>
  </si>
  <si>
    <t>Lopez Blanco Luis Eduardo</t>
  </si>
  <si>
    <t>SEI0551</t>
  </si>
  <si>
    <t>Vallarta Fonseca Maria Esmeralda</t>
  </si>
  <si>
    <t>1- PERMISO</t>
  </si>
  <si>
    <t>NETO IMSS</t>
  </si>
  <si>
    <t>SIN IVA</t>
  </si>
  <si>
    <t xml:space="preserve">  Nomina </t>
  </si>
  <si>
    <t xml:space="preserve">  Altas    </t>
  </si>
  <si>
    <t xml:space="preserve">  Bajas  </t>
  </si>
  <si>
    <t xml:space="preserve">  Total Nomina </t>
  </si>
  <si>
    <t>solo retornar este monto</t>
  </si>
  <si>
    <t>subtotal 1</t>
  </si>
  <si>
    <t>comision</t>
  </si>
  <si>
    <t>subtotal 2</t>
  </si>
  <si>
    <t>costo patronal imss</t>
  </si>
  <si>
    <t>2% sobre nomina</t>
  </si>
  <si>
    <t>importe de factura</t>
  </si>
  <si>
    <t>iva</t>
  </si>
  <si>
    <t>total</t>
  </si>
  <si>
    <t>infonavit</t>
  </si>
  <si>
    <t>costo patrimonial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</si>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</sst>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i/>
      <sz val="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  <border>
      <left style="thin">
        <color rgb="FF0000FD"/>
      </left>
      <right/>
      <top style="thin">
        <color rgb="FF0000FD"/>
      </top>
      <bottom style="double">
        <color rgb="FF0000FD"/>
      </bottom>
      <diagonal/>
    </border>
    <border>
      <left/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FD"/>
      </bottom>
      <diagonal/>
    </border>
    <border>
      <left style="thin">
        <color rgb="FF0000FD"/>
      </left>
      <right style="thin">
        <color rgb="FF0000FD"/>
      </right>
      <top style="thin">
        <color rgb="FF0000FD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9" fillId="0" borderId="0"/>
  </cellStyleXfs>
  <cellXfs count="131">
    <xf numFmtId="0" fontId="0" fillId="0" borderId="0" xfId="0"/>
    <xf numFmtId="0" fontId="3" fillId="0" borderId="0" xfId="0" applyFont="1"/>
    <xf numFmtId="49" fontId="3" fillId="0" borderId="0" xfId="0" applyNumberFormat="1" applyFont="1"/>
    <xf numFmtId="49" fontId="6" fillId="0" borderId="0" xfId="0" applyNumberFormat="1" applyFont="1" applyAlignment="1">
      <alignment horizontal="centerContinuous"/>
    </xf>
    <xf numFmtId="49" fontId="7" fillId="0" borderId="0" xfId="0" applyNumberFormat="1" applyFont="1" applyAlignment="1">
      <alignment horizontal="centerContinuous" vertical="top"/>
    </xf>
    <xf numFmtId="0" fontId="3" fillId="0" borderId="0" xfId="0" applyFont="1" applyAlignment="1">
      <alignment horizontal="right"/>
    </xf>
    <xf numFmtId="43" fontId="4" fillId="0" borderId="0" xfId="0" applyNumberFormat="1" applyFont="1"/>
    <xf numFmtId="43" fontId="4" fillId="5" borderId="0" xfId="0" applyNumberFormat="1" applyFont="1" applyFill="1" applyBorder="1"/>
    <xf numFmtId="43" fontId="10" fillId="3" borderId="1" xfId="2" applyNumberFormat="1" applyFont="1" applyFill="1" applyBorder="1" applyAlignment="1">
      <alignment horizontal="center" vertical="center" wrapText="1"/>
    </xf>
    <xf numFmtId="43" fontId="10" fillId="4" borderId="3" xfId="2" applyNumberFormat="1" applyFont="1" applyFill="1" applyBorder="1" applyAlignment="1">
      <alignment horizontal="center" vertical="center" wrapText="1"/>
    </xf>
    <xf numFmtId="43" fontId="10" fillId="5" borderId="0" xfId="2" applyNumberFormat="1" applyFont="1" applyFill="1" applyBorder="1" applyAlignment="1">
      <alignment horizontal="center" vertical="center" wrapText="1"/>
    </xf>
    <xf numFmtId="43" fontId="10" fillId="3" borderId="4" xfId="2" applyNumberFormat="1" applyFont="1" applyFill="1" applyBorder="1" applyAlignment="1">
      <alignment horizontal="center" vertical="center" wrapText="1"/>
    </xf>
    <xf numFmtId="43" fontId="4" fillId="0" borderId="0" xfId="0" applyNumberFormat="1" applyFont="1" applyFill="1"/>
    <xf numFmtId="43" fontId="11" fillId="6" borderId="0" xfId="3" applyNumberFormat="1" applyFont="1" applyFill="1"/>
    <xf numFmtId="43" fontId="4" fillId="2" borderId="0" xfId="0" applyNumberFormat="1" applyFont="1" applyFill="1"/>
    <xf numFmtId="43" fontId="4" fillId="6" borderId="0" xfId="0" applyNumberFormat="1" applyFont="1" applyFill="1"/>
    <xf numFmtId="43" fontId="5" fillId="0" borderId="0" xfId="0" applyNumberFormat="1" applyFont="1"/>
    <xf numFmtId="43" fontId="11" fillId="2" borderId="0" xfId="3" applyNumberFormat="1" applyFont="1" applyFill="1"/>
    <xf numFmtId="43" fontId="12" fillId="0" borderId="0" xfId="0" applyNumberFormat="1" applyFont="1"/>
    <xf numFmtId="43" fontId="4" fillId="0" borderId="0" xfId="0" applyNumberFormat="1" applyFont="1" applyAlignment="1">
      <alignment horizontal="center"/>
    </xf>
    <xf numFmtId="43" fontId="12" fillId="0" borderId="0" xfId="0" applyNumberFormat="1" applyFont="1" applyFill="1"/>
    <xf numFmtId="43" fontId="11" fillId="0" borderId="0" xfId="3" applyNumberFormat="1" applyFont="1" applyFill="1"/>
    <xf numFmtId="43" fontId="13" fillId="0" borderId="0" xfId="3" applyNumberFormat="1" applyFont="1"/>
    <xf numFmtId="43" fontId="10" fillId="6" borderId="0" xfId="3" applyNumberFormat="1" applyFont="1" applyFill="1"/>
    <xf numFmtId="43" fontId="14" fillId="3" borderId="0" xfId="2" applyNumberFormat="1" applyFont="1" applyFill="1"/>
    <xf numFmtId="43" fontId="13" fillId="3" borderId="0" xfId="2" applyNumberFormat="1" applyFont="1" applyFill="1"/>
    <xf numFmtId="43" fontId="12" fillId="5" borderId="0" xfId="0" applyNumberFormat="1" applyFont="1" applyFill="1" applyBorder="1"/>
    <xf numFmtId="43" fontId="12" fillId="5" borderId="0" xfId="0" applyNumberFormat="1" applyFont="1" applyFill="1"/>
    <xf numFmtId="43" fontId="12" fillId="0" borderId="0" xfId="0" applyNumberFormat="1" applyFont="1" applyFill="1" applyAlignment="1"/>
    <xf numFmtId="43" fontId="12" fillId="6" borderId="0" xfId="0" applyNumberFormat="1" applyFont="1" applyFill="1"/>
    <xf numFmtId="43" fontId="16" fillId="3" borderId="1" xfId="2" applyNumberFormat="1" applyFont="1" applyFill="1" applyBorder="1" applyAlignment="1">
      <alignment horizontal="center" vertical="center" wrapText="1"/>
    </xf>
    <xf numFmtId="43" fontId="16" fillId="5" borderId="0" xfId="2" applyNumberFormat="1" applyFont="1" applyFill="1" applyBorder="1" applyAlignment="1">
      <alignment horizontal="center" vertical="center" wrapText="1"/>
    </xf>
    <xf numFmtId="43" fontId="16" fillId="3" borderId="5" xfId="2" applyNumberFormat="1" applyFont="1" applyFill="1" applyBorder="1" applyAlignment="1">
      <alignment horizontal="center" vertical="center" wrapText="1"/>
    </xf>
    <xf numFmtId="43" fontId="16" fillId="3" borderId="4" xfId="2" applyNumberFormat="1" applyFont="1" applyFill="1" applyBorder="1" applyAlignment="1">
      <alignment horizontal="center" vertical="center" wrapText="1"/>
    </xf>
    <xf numFmtId="43" fontId="16" fillId="4" borderId="1" xfId="2" applyNumberFormat="1" applyFont="1" applyFill="1" applyBorder="1" applyAlignment="1">
      <alignment horizontal="center" vertical="center" wrapText="1"/>
    </xf>
    <xf numFmtId="43" fontId="16" fillId="3" borderId="6" xfId="2" applyNumberFormat="1" applyFont="1" applyFill="1" applyBorder="1" applyAlignment="1">
      <alignment horizontal="center" vertical="center" wrapText="1"/>
    </xf>
    <xf numFmtId="43" fontId="16" fillId="3" borderId="6" xfId="2" applyNumberFormat="1" applyFont="1" applyFill="1" applyBorder="1" applyAlignment="1">
      <alignment horizontal="center" vertical="center"/>
    </xf>
    <xf numFmtId="43" fontId="11" fillId="6" borderId="0" xfId="3" applyNumberFormat="1" applyFont="1" applyFill="1" applyAlignment="1">
      <alignment horizontal="left" vertical="center"/>
    </xf>
    <xf numFmtId="43" fontId="11" fillId="5" borderId="0" xfId="3" applyNumberFormat="1" applyFont="1" applyFill="1" applyBorder="1"/>
    <xf numFmtId="43" fontId="11" fillId="0" borderId="0" xfId="3" applyNumberFormat="1" applyFont="1" applyFill="1" applyAlignment="1">
      <alignment horizontal="left" vertical="center"/>
    </xf>
    <xf numFmtId="43" fontId="15" fillId="5" borderId="0" xfId="0" applyNumberFormat="1" applyFont="1" applyFill="1" applyBorder="1"/>
    <xf numFmtId="43" fontId="15" fillId="6" borderId="0" xfId="0" applyNumberFormat="1" applyFont="1" applyFill="1"/>
    <xf numFmtId="14" fontId="12" fillId="0" borderId="0" xfId="0" applyNumberFormat="1" applyFont="1" applyFill="1"/>
    <xf numFmtId="43" fontId="12" fillId="0" borderId="0" xfId="0" applyNumberFormat="1" applyFont="1" applyFill="1" applyAlignment="1">
      <alignment horizontal="center"/>
    </xf>
    <xf numFmtId="14" fontId="15" fillId="0" borderId="0" xfId="0" applyNumberFormat="1" applyFont="1" applyFill="1"/>
    <xf numFmtId="0" fontId="12" fillId="0" borderId="0" xfId="0" applyNumberFormat="1" applyFont="1" applyFill="1" applyAlignment="1"/>
    <xf numFmtId="43" fontId="15" fillId="0" borderId="0" xfId="0" applyNumberFormat="1" applyFont="1" applyFill="1"/>
    <xf numFmtId="14" fontId="12" fillId="0" borderId="0" xfId="0" applyNumberFormat="1" applyFont="1" applyFill="1" applyAlignment="1">
      <alignment horizontal="center"/>
    </xf>
    <xf numFmtId="43" fontId="15" fillId="4" borderId="0" xfId="0" applyNumberFormat="1" applyFont="1" applyFill="1" applyAlignment="1">
      <alignment vertical="center"/>
    </xf>
    <xf numFmtId="43" fontId="15" fillId="0" borderId="0" xfId="0" applyNumberFormat="1" applyFont="1"/>
    <xf numFmtId="43" fontId="15" fillId="0" borderId="0" xfId="0" applyNumberFormat="1" applyFont="1" applyAlignment="1">
      <alignment horizontal="left" vertical="center"/>
    </xf>
    <xf numFmtId="43" fontId="12" fillId="0" borderId="0" xfId="0" applyNumberFormat="1" applyFont="1" applyAlignment="1">
      <alignment horizontal="left" vertical="center"/>
    </xf>
    <xf numFmtId="43" fontId="18" fillId="0" borderId="0" xfId="0" applyNumberFormat="1" applyFont="1"/>
    <xf numFmtId="43" fontId="17" fillId="0" borderId="0" xfId="0" applyNumberFormat="1" applyFont="1" applyFill="1"/>
    <xf numFmtId="43" fontId="18" fillId="0" borderId="0" xfId="0" applyNumberFormat="1" applyFont="1" applyFill="1"/>
    <xf numFmtId="43" fontId="19" fillId="0" borderId="0" xfId="2" applyNumberFormat="1" applyFont="1" applyFill="1"/>
    <xf numFmtId="43" fontId="20" fillId="0" borderId="0" xfId="2" applyNumberFormat="1" applyFont="1" applyFill="1"/>
    <xf numFmtId="43" fontId="17" fillId="0" borderId="0" xfId="0" applyNumberFormat="1" applyFont="1"/>
    <xf numFmtId="0" fontId="2" fillId="0" borderId="0" xfId="0" applyFont="1"/>
    <xf numFmtId="0" fontId="2" fillId="2" borderId="7" xfId="0" applyFont="1" applyFill="1" applyBorder="1" applyAlignment="1">
      <alignment horizontal="center"/>
    </xf>
    <xf numFmtId="43" fontId="15" fillId="3" borderId="9" xfId="0" applyNumberFormat="1" applyFont="1" applyFill="1" applyBorder="1" applyAlignment="1">
      <alignment horizontal="center" vertical="center" wrapText="1"/>
    </xf>
    <xf numFmtId="0" fontId="0" fillId="0" borderId="0" xfId="0" applyBorder="1"/>
    <xf numFmtId="43" fontId="0" fillId="0" borderId="0" xfId="1" applyFont="1" applyBorder="1"/>
    <xf numFmtId="43" fontId="0" fillId="2" borderId="0" xfId="1" applyFont="1" applyFill="1" applyBorder="1"/>
    <xf numFmtId="43" fontId="0" fillId="0" borderId="0" xfId="1" applyFont="1" applyFill="1" applyBorder="1"/>
    <xf numFmtId="0" fontId="2" fillId="0" borderId="0" xfId="0" applyFont="1" applyBorder="1"/>
    <xf numFmtId="43" fontId="2" fillId="0" borderId="0" xfId="0" applyNumberFormat="1" applyFont="1" applyBorder="1"/>
    <xf numFmtId="43" fontId="2" fillId="0" borderId="0" xfId="0" applyNumberFormat="1" applyFont="1" applyFill="1" applyBorder="1"/>
    <xf numFmtId="43" fontId="0" fillId="0" borderId="0" xfId="0" applyNumberFormat="1"/>
    <xf numFmtId="43" fontId="2" fillId="0" borderId="0" xfId="0" applyNumberFormat="1" applyFont="1"/>
    <xf numFmtId="43" fontId="0" fillId="0" borderId="0" xfId="1" applyFont="1"/>
    <xf numFmtId="43" fontId="15" fillId="3" borderId="0" xfId="0" applyNumberFormat="1" applyFont="1" applyFill="1"/>
    <xf numFmtId="43" fontId="12" fillId="3" borderId="0" xfId="0" applyNumberFormat="1" applyFont="1" applyFill="1"/>
    <xf numFmtId="43" fontId="3" fillId="0" borderId="0" xfId="0" applyNumberFormat="1" applyFont="1"/>
    <xf numFmtId="43" fontId="18" fillId="0" borderId="0" xfId="0" applyNumberFormat="1" applyFont="1" applyFill="1" applyAlignment="1">
      <alignment horizontal="center" vertical="center"/>
    </xf>
    <xf numFmtId="43" fontId="12" fillId="0" borderId="0" xfId="1" applyFont="1"/>
    <xf numFmtId="43" fontId="23" fillId="0" borderId="0" xfId="1" applyFont="1"/>
    <xf numFmtId="49" fontId="12" fillId="0" borderId="0" xfId="0" applyNumberFormat="1" applyFont="1"/>
    <xf numFmtId="0" fontId="12" fillId="0" borderId="0" xfId="0" applyFont="1"/>
    <xf numFmtId="43" fontId="12" fillId="0" borderId="0" xfId="1" applyFont="1" applyAlignment="1">
      <alignment horizontal="right"/>
    </xf>
    <xf numFmtId="43" fontId="15" fillId="0" borderId="0" xfId="1" applyFont="1" applyAlignment="1">
      <alignment horizontal="left"/>
    </xf>
    <xf numFmtId="43" fontId="15" fillId="0" borderId="0" xfId="1" applyFont="1"/>
    <xf numFmtId="0" fontId="15" fillId="0" borderId="0" xfId="0" applyFont="1"/>
    <xf numFmtId="49" fontId="15" fillId="3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/>
    <xf numFmtId="0" fontId="22" fillId="0" borderId="0" xfId="0" applyFont="1" applyAlignment="1"/>
    <xf numFmtId="43" fontId="12" fillId="2" borderId="0" xfId="1" applyFont="1" applyFill="1"/>
    <xf numFmtId="43" fontId="27" fillId="3" borderId="0" xfId="0" applyNumberFormat="1" applyFont="1" applyFill="1"/>
    <xf numFmtId="43" fontId="12" fillId="0" borderId="0" xfId="1" applyFont="1" applyFill="1"/>
    <xf numFmtId="43" fontId="28" fillId="6" borderId="0" xfId="0" applyNumberFormat="1" applyFont="1" applyFill="1"/>
    <xf numFmtId="43" fontId="28" fillId="0" borderId="0" xfId="0" applyNumberFormat="1" applyFont="1" applyFill="1"/>
    <xf numFmtId="43" fontId="11" fillId="0" borderId="0" xfId="0" applyNumberFormat="1" applyFont="1" applyFill="1"/>
    <xf numFmtId="43" fontId="16" fillId="0" borderId="0" xfId="0" applyNumberFormat="1" applyFont="1" applyFill="1" applyBorder="1"/>
    <xf numFmtId="43" fontId="29" fillId="6" borderId="0" xfId="0" applyNumberFormat="1" applyFont="1" applyFill="1"/>
    <xf numFmtId="43" fontId="29" fillId="0" borderId="0" xfId="0" applyNumberFormat="1" applyFont="1" applyFill="1" applyBorder="1"/>
    <xf numFmtId="43" fontId="29" fillId="0" borderId="0" xfId="0" applyNumberFormat="1" applyFont="1" applyFill="1"/>
    <xf numFmtId="43" fontId="29" fillId="5" borderId="0" xfId="0" applyNumberFormat="1" applyFont="1" applyFill="1" applyBorder="1"/>
    <xf numFmtId="43" fontId="11" fillId="0" borderId="0" xfId="0" applyNumberFormat="1" applyFont="1"/>
    <xf numFmtId="43" fontId="11" fillId="6" borderId="0" xfId="0" applyNumberFormat="1" applyFont="1" applyFill="1"/>
    <xf numFmtId="43" fontId="16" fillId="5" borderId="0" xfId="0" applyNumberFormat="1" applyFont="1" applyFill="1" applyBorder="1"/>
    <xf numFmtId="43" fontId="29" fillId="2" borderId="0" xfId="0" applyNumberFormat="1" applyFont="1" applyFill="1"/>
    <xf numFmtId="43" fontId="29" fillId="5" borderId="0" xfId="0" applyNumberFormat="1" applyFont="1" applyFill="1"/>
    <xf numFmtId="43" fontId="16" fillId="6" borderId="0" xfId="0" applyNumberFormat="1" applyFont="1" applyFill="1"/>
    <xf numFmtId="43" fontId="29" fillId="4" borderId="0" xfId="0" applyNumberFormat="1" applyFont="1" applyFill="1"/>
    <xf numFmtId="43" fontId="29" fillId="0" borderId="0" xfId="1" applyFont="1"/>
    <xf numFmtId="43" fontId="29" fillId="0" borderId="0" xfId="0" applyNumberFormat="1" applyFont="1"/>
    <xf numFmtId="43" fontId="30" fillId="0" borderId="0" xfId="0" applyNumberFormat="1" applyFont="1"/>
    <xf numFmtId="43" fontId="12" fillId="2" borderId="0" xfId="0" applyNumberFormat="1" applyFont="1" applyFill="1"/>
    <xf numFmtId="0" fontId="12" fillId="2" borderId="0" xfId="0" applyFont="1" applyFill="1"/>
    <xf numFmtId="43" fontId="12" fillId="7" borderId="0" xfId="1" applyFont="1" applyFill="1"/>
    <xf numFmtId="43" fontId="15" fillId="4" borderId="0" xfId="0" applyNumberFormat="1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/>
    <xf numFmtId="0" fontId="2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8" fillId="0" borderId="0" xfId="0" applyFont="1" applyAlignment="1"/>
    <xf numFmtId="0" fontId="0" fillId="0" borderId="0" xfId="0" applyFont="1" applyAlignment="1"/>
    <xf numFmtId="0" fontId="12" fillId="0" borderId="0" xfId="0" applyFont="1" applyAlignment="1"/>
    <xf numFmtId="43" fontId="25" fillId="4" borderId="0" xfId="0" applyNumberFormat="1" applyFont="1" applyFill="1" applyAlignment="1">
      <alignment horizontal="center" wrapText="1"/>
    </xf>
    <xf numFmtId="43" fontId="15" fillId="4" borderId="0" xfId="0" applyNumberFormat="1" applyFont="1" applyFill="1" applyAlignment="1">
      <alignment horizontal="center"/>
    </xf>
    <xf numFmtId="43" fontId="5" fillId="5" borderId="2" xfId="0" applyNumberFormat="1" applyFont="1" applyFill="1" applyBorder="1" applyAlignment="1">
      <alignment horizontal="center" vertical="center" wrapText="1"/>
    </xf>
    <xf numFmtId="43" fontId="15" fillId="5" borderId="2" xfId="0" applyNumberFormat="1" applyFont="1" applyFill="1" applyBorder="1" applyAlignment="1">
      <alignment horizontal="center" vertical="center" wrapText="1"/>
    </xf>
    <xf numFmtId="43" fontId="17" fillId="3" borderId="0" xfId="0" applyNumberFormat="1" applyFont="1" applyFill="1" applyAlignment="1">
      <alignment horizontal="center" vertical="center" wrapText="1"/>
    </xf>
    <xf numFmtId="43" fontId="17" fillId="3" borderId="0" xfId="0" applyNumberFormat="1" applyFont="1" applyFill="1" applyAlignment="1">
      <alignment horizontal="center" vertical="center"/>
    </xf>
    <xf numFmtId="0" fontId="21" fillId="4" borderId="8" xfId="0" applyFont="1" applyFill="1" applyBorder="1" applyAlignment="1">
      <alignment horizontal="center"/>
    </xf>
    <xf numFmtId="0" fontId="21" fillId="4" borderId="2" xfId="0" applyFont="1" applyFill="1" applyBorder="1" applyAlignment="1">
      <alignment horizontal="center"/>
    </xf>
    <xf numFmtId="0" fontId="31" fillId="0" borderId="0" xfId="0" applyFont="1" applyAlignment="1">
      <alignment horizontal="center" vertical="center"/>
    </xf>
  </cellXfs>
  <cellStyles count="4">
    <cellStyle name="Millares" xfId="1" builtinId="3"/>
    <cellStyle name="Normal" xfId="0" builtinId="0"/>
    <cellStyle name="Normal 2" xfId="3" xr:uid="{00000000-0005-0000-0000-000002000000}"/>
    <cellStyle name="Normal 3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3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15" sqref="C15"/>
    </sheetView>
  </sheetViews>
  <sheetFormatPr baseColWidth="10" defaultRowHeight="11.25" x14ac:dyDescent="0.2"/>
  <cols>
    <col min="1" max="1" width="12.28515625" style="2" customWidth="1"/>
    <col min="2" max="2" width="34.140625" style="1" customWidth="1"/>
    <col min="3" max="11" width="15.7109375" style="1" customWidth="1"/>
    <col min="12" max="12" width="17.7109375" style="1" customWidth="1"/>
    <col min="13" max="32" width="15.7109375" style="1" customWidth="1"/>
    <col min="33" max="16384" width="11.42578125" style="1"/>
  </cols>
  <sheetData>
    <row r="1" spans="1:41" ht="18" customHeight="1" x14ac:dyDescent="0.25">
      <c r="A1" s="3"/>
      <c r="B1" s="115" t="s">
        <v>76</v>
      </c>
      <c r="C1" s="116"/>
      <c r="D1" s="116"/>
      <c r="E1" s="116"/>
      <c r="F1" s="116"/>
    </row>
    <row r="2" spans="1:41" ht="24.95" customHeight="1" x14ac:dyDescent="0.2">
      <c r="A2" s="4"/>
      <c r="B2" s="117" t="s">
        <v>0</v>
      </c>
      <c r="C2" s="118"/>
      <c r="D2" s="118"/>
      <c r="E2" s="118"/>
      <c r="F2" s="118"/>
    </row>
    <row r="3" spans="1:41" ht="15.75" x14ac:dyDescent="0.25">
      <c r="B3" s="119" t="s">
        <v>1</v>
      </c>
      <c r="C3" s="120"/>
      <c r="D3" s="120"/>
      <c r="E3" s="120"/>
      <c r="F3" s="120"/>
      <c r="G3" s="5"/>
    </row>
    <row r="4" spans="1:41" ht="15" x14ac:dyDescent="0.25">
      <c r="B4" s="121"/>
      <c r="C4" s="120"/>
      <c r="D4" s="120"/>
      <c r="E4" s="120"/>
      <c r="F4" s="120"/>
      <c r="G4" s="5"/>
    </row>
    <row r="5" spans="1:41" ht="12.75" x14ac:dyDescent="0.2">
      <c r="B5" s="88" t="s">
        <v>2</v>
      </c>
      <c r="C5" s="89"/>
      <c r="D5" s="89"/>
      <c r="E5" s="89"/>
      <c r="F5" s="89"/>
    </row>
    <row r="6" spans="1:41" ht="12.75" x14ac:dyDescent="0.2">
      <c r="B6" s="88" t="s">
        <v>3</v>
      </c>
      <c r="C6" s="89"/>
      <c r="D6" s="89"/>
      <c r="E6" s="89"/>
      <c r="F6" s="89"/>
    </row>
    <row r="7" spans="1:41" x14ac:dyDescent="0.2">
      <c r="B7" s="1">
        <v>1</v>
      </c>
      <c r="C7" s="1">
        <f>+B7+1</f>
        <v>2</v>
      </c>
      <c r="D7" s="1">
        <f t="shared" ref="D7:V7" si="0">+C7+1</f>
        <v>3</v>
      </c>
      <c r="E7" s="1">
        <f t="shared" si="0"/>
        <v>4</v>
      </c>
      <c r="F7" s="1">
        <f t="shared" si="0"/>
        <v>5</v>
      </c>
      <c r="G7" s="1">
        <f t="shared" si="0"/>
        <v>6</v>
      </c>
      <c r="H7" s="1">
        <f t="shared" si="0"/>
        <v>7</v>
      </c>
      <c r="I7" s="1">
        <f t="shared" si="0"/>
        <v>8</v>
      </c>
      <c r="J7" s="1">
        <f t="shared" si="0"/>
        <v>9</v>
      </c>
      <c r="K7" s="1">
        <f t="shared" si="0"/>
        <v>10</v>
      </c>
      <c r="L7" s="1">
        <f t="shared" si="0"/>
        <v>11</v>
      </c>
      <c r="M7" s="1">
        <f t="shared" si="0"/>
        <v>12</v>
      </c>
      <c r="N7" s="1">
        <f t="shared" si="0"/>
        <v>13</v>
      </c>
      <c r="O7" s="1">
        <f t="shared" si="0"/>
        <v>14</v>
      </c>
      <c r="P7" s="1">
        <f t="shared" si="0"/>
        <v>15</v>
      </c>
      <c r="Q7" s="1">
        <f t="shared" si="0"/>
        <v>16</v>
      </c>
      <c r="R7" s="1">
        <f t="shared" si="0"/>
        <v>17</v>
      </c>
      <c r="S7" s="1">
        <f t="shared" si="0"/>
        <v>18</v>
      </c>
      <c r="T7" s="1">
        <f>+S7+1</f>
        <v>19</v>
      </c>
      <c r="U7" s="1">
        <f t="shared" si="0"/>
        <v>20</v>
      </c>
      <c r="V7" s="1">
        <f t="shared" si="0"/>
        <v>21</v>
      </c>
    </row>
    <row r="8" spans="1:41" s="87" customFormat="1" ht="39" thickBot="1" x14ac:dyDescent="0.3">
      <c r="A8" s="83" t="s">
        <v>4</v>
      </c>
      <c r="B8" s="84" t="s">
        <v>5</v>
      </c>
      <c r="C8" s="84" t="s">
        <v>31</v>
      </c>
      <c r="D8" s="84" t="s">
        <v>32</v>
      </c>
      <c r="E8" s="84" t="s">
        <v>33</v>
      </c>
      <c r="F8" s="84" t="s">
        <v>34</v>
      </c>
      <c r="G8" s="84" t="s">
        <v>6</v>
      </c>
      <c r="H8" s="84" t="s">
        <v>7</v>
      </c>
      <c r="I8" s="84" t="s">
        <v>8</v>
      </c>
      <c r="J8" s="84" t="s">
        <v>9</v>
      </c>
      <c r="K8" s="84" t="s">
        <v>10</v>
      </c>
      <c r="L8" s="84" t="s">
        <v>11</v>
      </c>
      <c r="M8" s="85" t="s">
        <v>12</v>
      </c>
      <c r="N8" s="84" t="s">
        <v>13</v>
      </c>
      <c r="O8" s="84" t="s">
        <v>14</v>
      </c>
      <c r="P8" s="84" t="s">
        <v>15</v>
      </c>
      <c r="Q8" s="84" t="s">
        <v>16</v>
      </c>
      <c r="R8" s="84" t="s">
        <v>17</v>
      </c>
      <c r="S8" s="84" t="s">
        <v>417</v>
      </c>
      <c r="T8" s="84" t="s">
        <v>18</v>
      </c>
      <c r="U8" s="85" t="s">
        <v>19</v>
      </c>
      <c r="V8" s="86" t="s">
        <v>20</v>
      </c>
      <c r="W8" s="84" t="s">
        <v>21</v>
      </c>
      <c r="X8" s="84" t="s">
        <v>22</v>
      </c>
      <c r="Y8" s="84" t="s">
        <v>23</v>
      </c>
      <c r="Z8" s="84" t="s">
        <v>24</v>
      </c>
      <c r="AA8" s="84" t="s">
        <v>25</v>
      </c>
      <c r="AB8" s="84" t="s">
        <v>26</v>
      </c>
      <c r="AC8" s="84" t="s">
        <v>27</v>
      </c>
      <c r="AD8" s="84" t="s">
        <v>28</v>
      </c>
      <c r="AE8" s="84" t="s">
        <v>29</v>
      </c>
      <c r="AF8" s="84" t="s">
        <v>35</v>
      </c>
      <c r="AG8" s="84" t="s">
        <v>77</v>
      </c>
      <c r="AH8" s="130" t="s">
        <v>451</v>
      </c>
      <c r="AI8" s="130" t="s">
        <v>443</v>
      </c>
      <c r="AJ8" s="130" t="s">
        <v>444</v>
      </c>
      <c r="AK8" s="130" t="s">
        <v>445</v>
      </c>
      <c r="AL8" s="130" t="s">
        <v>452</v>
      </c>
      <c r="AM8" s="130" t="s">
        <v>447</v>
      </c>
      <c r="AN8" s="130" t="s">
        <v>448</v>
      </c>
      <c r="AO8" s="130" t="s">
        <v>449</v>
      </c>
    </row>
    <row r="9" spans="1:41" s="75" customFormat="1" ht="15.75" thickTop="1" x14ac:dyDescent="0.25">
      <c r="A9" s="75" t="s">
        <v>38</v>
      </c>
      <c r="B9" s="75" t="s">
        <v>39</v>
      </c>
      <c r="C9" s="75">
        <v>15</v>
      </c>
      <c r="D9" s="75">
        <v>0</v>
      </c>
      <c r="E9" s="75">
        <v>141.66999999999999</v>
      </c>
      <c r="F9" s="75">
        <v>150.25</v>
      </c>
      <c r="G9" s="75">
        <v>2125.0500000000002</v>
      </c>
      <c r="H9" s="75">
        <v>0</v>
      </c>
      <c r="I9" s="75">
        <v>255</v>
      </c>
      <c r="J9" s="75">
        <v>212.51</v>
      </c>
      <c r="K9" s="75">
        <v>212.51</v>
      </c>
      <c r="L9" s="75">
        <v>212.51</v>
      </c>
      <c r="M9" s="75">
        <v>3017.58</v>
      </c>
      <c r="O9" s="75">
        <v>0</v>
      </c>
      <c r="P9" s="76">
        <v>-65.5</v>
      </c>
      <c r="Q9" s="75">
        <v>0</v>
      </c>
      <c r="R9" s="75">
        <v>57.11</v>
      </c>
      <c r="S9" s="75">
        <v>0</v>
      </c>
      <c r="T9" s="76">
        <v>-0.03</v>
      </c>
      <c r="U9" s="75">
        <v>-8.42</v>
      </c>
      <c r="V9" s="75">
        <v>3026</v>
      </c>
      <c r="W9" s="75">
        <v>42.07</v>
      </c>
      <c r="X9" s="75">
        <v>75.73</v>
      </c>
      <c r="Y9" s="75">
        <v>317.85000000000002</v>
      </c>
      <c r="Z9" s="75">
        <v>186.93</v>
      </c>
      <c r="AA9" s="75">
        <v>60.35</v>
      </c>
      <c r="AB9" s="75">
        <v>12.02</v>
      </c>
      <c r="AC9" s="75">
        <v>435.65</v>
      </c>
      <c r="AD9" s="75">
        <v>120.2</v>
      </c>
      <c r="AE9" s="75">
        <v>162.88999999999999</v>
      </c>
      <c r="AF9" s="75">
        <v>110</v>
      </c>
      <c r="AG9" s="75">
        <f>((20/365.24)*15)*($E9*1.3)</f>
        <v>151.2739568502902</v>
      </c>
      <c r="AH9" s="70">
        <f>N9+O9</f>
        <v>0</v>
      </c>
      <c r="AI9" s="70">
        <f>V9+S9+AH9</f>
        <v>3026</v>
      </c>
      <c r="AJ9" s="70">
        <f>AI9*2%</f>
        <v>60.52</v>
      </c>
      <c r="AK9" s="70">
        <f>AI9+AJ9</f>
        <v>3086.52</v>
      </c>
      <c r="AL9" s="70">
        <f>R9+W9+X9+Y9+AB9+Z9+AD9+AE9</f>
        <v>974.80000000000007</v>
      </c>
      <c r="AM9" s="70">
        <f>AL9*2%</f>
        <v>19.496000000000002</v>
      </c>
      <c r="AN9" s="70">
        <f>AK9+AL9+AM9</f>
        <v>4080.8160000000003</v>
      </c>
      <c r="AO9" s="70">
        <f>AN9*0.16</f>
        <v>652.93056000000001</v>
      </c>
    </row>
    <row r="10" spans="1:41" s="75" customFormat="1" ht="15" x14ac:dyDescent="0.25">
      <c r="A10" s="75" t="s">
        <v>40</v>
      </c>
      <c r="B10" s="75" t="s">
        <v>41</v>
      </c>
      <c r="C10" s="75">
        <v>15</v>
      </c>
      <c r="D10" s="75">
        <v>0</v>
      </c>
      <c r="E10" s="75">
        <v>150</v>
      </c>
      <c r="F10" s="75">
        <v>159.07</v>
      </c>
      <c r="G10" s="75">
        <v>2250</v>
      </c>
      <c r="H10" s="75">
        <v>0</v>
      </c>
      <c r="I10" s="75">
        <v>0</v>
      </c>
      <c r="J10" s="75">
        <v>225</v>
      </c>
      <c r="K10" s="75">
        <v>225</v>
      </c>
      <c r="L10" s="75">
        <v>225</v>
      </c>
      <c r="M10" s="75">
        <v>2925</v>
      </c>
      <c r="O10" s="75">
        <v>0</v>
      </c>
      <c r="P10" s="76">
        <v>-43.57</v>
      </c>
      <c r="Q10" s="75">
        <v>0</v>
      </c>
      <c r="R10" s="75">
        <v>60.44</v>
      </c>
      <c r="S10" s="75">
        <v>0</v>
      </c>
      <c r="T10" s="76">
        <v>-7.0000000000000007E-2</v>
      </c>
      <c r="U10" s="75">
        <v>16.8</v>
      </c>
      <c r="V10" s="75">
        <v>2908.2</v>
      </c>
      <c r="W10" s="75">
        <v>44.54</v>
      </c>
      <c r="X10" s="75">
        <v>80.17</v>
      </c>
      <c r="Y10" s="75">
        <v>320.32</v>
      </c>
      <c r="Z10" s="75">
        <v>189.75</v>
      </c>
      <c r="AA10" s="75">
        <v>58.5</v>
      </c>
      <c r="AB10" s="75">
        <v>12.73</v>
      </c>
      <c r="AC10" s="75">
        <v>445.03</v>
      </c>
      <c r="AD10" s="75">
        <v>127.26</v>
      </c>
      <c r="AE10" s="75">
        <v>164.29999999999998</v>
      </c>
      <c r="AF10" s="75">
        <v>110</v>
      </c>
      <c r="AG10" s="75">
        <f t="shared" ref="AG10:AG26" si="1">((20/365.24)*15)*($E10*1.3)</f>
        <v>160.16865622604314</v>
      </c>
      <c r="AH10" s="70">
        <f t="shared" ref="AH10:AH27" si="2">N10+O10</f>
        <v>0</v>
      </c>
      <c r="AI10" s="70">
        <f t="shared" ref="AI10:AI27" si="3">V10+S10+AH10</f>
        <v>2908.2</v>
      </c>
      <c r="AJ10" s="70">
        <f t="shared" ref="AJ10:AJ27" si="4">AI10*2%</f>
        <v>58.163999999999994</v>
      </c>
      <c r="AK10" s="70">
        <f t="shared" ref="AK10:AK27" si="5">AI10+AJ10</f>
        <v>2966.364</v>
      </c>
      <c r="AL10" s="70">
        <f t="shared" ref="AL10:AL27" si="6">R10+W10+X10+Y10+AB10+Z10+AD10+AE10</f>
        <v>999.50999999999988</v>
      </c>
      <c r="AM10" s="70">
        <f t="shared" ref="AM10:AM27" si="7">AL10*2%</f>
        <v>19.990199999999998</v>
      </c>
      <c r="AN10" s="70">
        <f t="shared" ref="AN10:AN27" si="8">AK10+AL10+AM10</f>
        <v>3985.8642</v>
      </c>
      <c r="AO10" s="70">
        <f t="shared" ref="AO10:AO27" si="9">AN10*0.16</f>
        <v>637.73827200000005</v>
      </c>
    </row>
    <row r="11" spans="1:41" s="75" customFormat="1" ht="15" x14ac:dyDescent="0.25">
      <c r="A11" s="75" t="s">
        <v>42</v>
      </c>
      <c r="B11" s="75" t="s">
        <v>43</v>
      </c>
      <c r="C11" s="75">
        <v>15</v>
      </c>
      <c r="D11" s="75">
        <v>0</v>
      </c>
      <c r="E11" s="75">
        <v>216.67</v>
      </c>
      <c r="F11" s="75">
        <v>229.79</v>
      </c>
      <c r="G11" s="75">
        <v>3250.05</v>
      </c>
      <c r="H11" s="75">
        <v>0</v>
      </c>
      <c r="I11" s="75">
        <v>0</v>
      </c>
      <c r="J11" s="75">
        <v>325.01</v>
      </c>
      <c r="K11" s="75">
        <v>325.01</v>
      </c>
      <c r="L11" s="75">
        <v>325.01</v>
      </c>
      <c r="M11" s="75">
        <v>4225.08</v>
      </c>
      <c r="O11" s="75">
        <v>0</v>
      </c>
      <c r="P11" s="75">
        <v>0</v>
      </c>
      <c r="Q11" s="75">
        <v>107.17</v>
      </c>
      <c r="R11" s="75">
        <v>87.32</v>
      </c>
      <c r="S11" s="75">
        <v>0</v>
      </c>
      <c r="T11" s="75">
        <v>-0.01</v>
      </c>
      <c r="U11" s="75">
        <v>194.48</v>
      </c>
      <c r="V11" s="75">
        <v>4030.6</v>
      </c>
      <c r="W11" s="75">
        <v>64.34</v>
      </c>
      <c r="X11" s="75">
        <v>115.81</v>
      </c>
      <c r="Y11" s="75">
        <v>340.12</v>
      </c>
      <c r="Z11" s="75">
        <v>212.38</v>
      </c>
      <c r="AA11" s="75">
        <v>84.5</v>
      </c>
      <c r="AB11" s="75">
        <v>18.38</v>
      </c>
      <c r="AC11" s="75">
        <v>520.27</v>
      </c>
      <c r="AD11" s="75">
        <v>183.83</v>
      </c>
      <c r="AE11" s="75">
        <v>175.62</v>
      </c>
      <c r="AF11" s="75">
        <v>110</v>
      </c>
      <c r="AG11" s="75">
        <f t="shared" si="1"/>
        <v>231.35828496331177</v>
      </c>
      <c r="AH11" s="70">
        <f t="shared" si="2"/>
        <v>0</v>
      </c>
      <c r="AI11" s="70">
        <f t="shared" si="3"/>
        <v>4030.6</v>
      </c>
      <c r="AJ11" s="70">
        <f t="shared" si="4"/>
        <v>80.611999999999995</v>
      </c>
      <c r="AK11" s="70">
        <f t="shared" si="5"/>
        <v>4111.2119999999995</v>
      </c>
      <c r="AL11" s="70">
        <f t="shared" si="6"/>
        <v>1197.8000000000002</v>
      </c>
      <c r="AM11" s="70">
        <f t="shared" si="7"/>
        <v>23.956000000000003</v>
      </c>
      <c r="AN11" s="70">
        <f t="shared" si="8"/>
        <v>5332.9679999999998</v>
      </c>
      <c r="AO11" s="70">
        <f t="shared" si="9"/>
        <v>853.27487999999994</v>
      </c>
    </row>
    <row r="12" spans="1:41" s="75" customFormat="1" ht="15" x14ac:dyDescent="0.25">
      <c r="A12" s="75" t="s">
        <v>44</v>
      </c>
      <c r="B12" s="75" t="s">
        <v>45</v>
      </c>
      <c r="C12" s="75">
        <v>15</v>
      </c>
      <c r="D12" s="75">
        <v>0</v>
      </c>
      <c r="E12" s="75">
        <v>283.33</v>
      </c>
      <c r="F12" s="75">
        <v>300.49</v>
      </c>
      <c r="G12" s="75">
        <v>4249.95</v>
      </c>
      <c r="H12" s="75">
        <v>0</v>
      </c>
      <c r="I12" s="75">
        <v>0</v>
      </c>
      <c r="J12" s="75">
        <v>425</v>
      </c>
      <c r="K12" s="75">
        <v>425</v>
      </c>
      <c r="L12" s="75">
        <v>425</v>
      </c>
      <c r="M12" s="75">
        <v>5524.95</v>
      </c>
      <c r="O12" s="75">
        <v>0</v>
      </c>
      <c r="P12" s="75">
        <v>0</v>
      </c>
      <c r="Q12" s="75">
        <v>341.06</v>
      </c>
      <c r="R12" s="75">
        <v>117.2</v>
      </c>
      <c r="S12" s="75">
        <v>0</v>
      </c>
      <c r="T12" s="75">
        <v>-0.11</v>
      </c>
      <c r="U12" s="75">
        <v>458.15</v>
      </c>
      <c r="V12" s="75">
        <v>5066.8</v>
      </c>
      <c r="W12" s="75">
        <v>84.14</v>
      </c>
      <c r="X12" s="75">
        <v>151.44999999999999</v>
      </c>
      <c r="Y12" s="75">
        <v>368.19</v>
      </c>
      <c r="Z12" s="75">
        <v>235.01</v>
      </c>
      <c r="AA12" s="75">
        <v>110.5</v>
      </c>
      <c r="AB12" s="75">
        <v>24.04</v>
      </c>
      <c r="AC12" s="75">
        <v>603.78</v>
      </c>
      <c r="AD12" s="75">
        <v>240.39</v>
      </c>
      <c r="AE12" s="75">
        <v>186.93</v>
      </c>
      <c r="AF12" s="75">
        <v>110</v>
      </c>
      <c r="AG12" s="75">
        <f t="shared" si="1"/>
        <v>302.53723579016537</v>
      </c>
      <c r="AH12" s="70">
        <f t="shared" si="2"/>
        <v>0</v>
      </c>
      <c r="AI12" s="70">
        <f t="shared" si="3"/>
        <v>5066.8</v>
      </c>
      <c r="AJ12" s="70">
        <f t="shared" si="4"/>
        <v>101.33600000000001</v>
      </c>
      <c r="AK12" s="70">
        <f t="shared" si="5"/>
        <v>5168.1360000000004</v>
      </c>
      <c r="AL12" s="70">
        <f t="shared" si="6"/>
        <v>1407.3500000000001</v>
      </c>
      <c r="AM12" s="70">
        <f t="shared" si="7"/>
        <v>28.147000000000002</v>
      </c>
      <c r="AN12" s="70">
        <f t="shared" si="8"/>
        <v>6603.6330000000007</v>
      </c>
      <c r="AO12" s="70">
        <f t="shared" si="9"/>
        <v>1056.5812800000001</v>
      </c>
    </row>
    <row r="13" spans="1:41" s="75" customFormat="1" ht="15" x14ac:dyDescent="0.25">
      <c r="A13" s="75" t="s">
        <v>46</v>
      </c>
      <c r="B13" s="75" t="s">
        <v>47</v>
      </c>
      <c r="C13" s="75">
        <v>12</v>
      </c>
      <c r="D13" s="75">
        <v>3</v>
      </c>
      <c r="E13" s="75">
        <v>273.33</v>
      </c>
      <c r="F13" s="75">
        <v>289.87</v>
      </c>
      <c r="G13" s="75">
        <v>3279.96</v>
      </c>
      <c r="H13" s="75">
        <v>819.99</v>
      </c>
      <c r="I13" s="75">
        <v>246</v>
      </c>
      <c r="J13" s="75">
        <v>410</v>
      </c>
      <c r="K13" s="75">
        <v>410</v>
      </c>
      <c r="L13" s="75">
        <v>410</v>
      </c>
      <c r="M13" s="75">
        <v>5575.95</v>
      </c>
      <c r="O13" s="75">
        <v>0</v>
      </c>
      <c r="P13" s="75">
        <v>0</v>
      </c>
      <c r="Q13" s="75">
        <v>324.74</v>
      </c>
      <c r="R13" s="75">
        <v>112.48</v>
      </c>
      <c r="S13" s="75">
        <v>275.95</v>
      </c>
      <c r="T13" s="76">
        <v>-0.02</v>
      </c>
      <c r="U13" s="75">
        <v>713.15</v>
      </c>
      <c r="V13" s="75">
        <v>4862.8</v>
      </c>
      <c r="W13" s="75">
        <v>81.16</v>
      </c>
      <c r="X13" s="75">
        <v>146.09</v>
      </c>
      <c r="Y13" s="75">
        <v>363.36</v>
      </c>
      <c r="Z13" s="75">
        <v>231.61</v>
      </c>
      <c r="AA13" s="75">
        <v>111.52</v>
      </c>
      <c r="AB13" s="75">
        <v>23.19</v>
      </c>
      <c r="AC13" s="75">
        <v>590.61</v>
      </c>
      <c r="AD13" s="75">
        <v>231.89</v>
      </c>
      <c r="AE13" s="75">
        <v>185.23</v>
      </c>
      <c r="AF13" s="75">
        <v>110</v>
      </c>
      <c r="AG13" s="75">
        <f t="shared" si="1"/>
        <v>291.85932537509581</v>
      </c>
      <c r="AH13" s="70">
        <f t="shared" si="2"/>
        <v>0</v>
      </c>
      <c r="AI13" s="70">
        <f t="shared" si="3"/>
        <v>5138.75</v>
      </c>
      <c r="AJ13" s="70">
        <f t="shared" si="4"/>
        <v>102.77500000000001</v>
      </c>
      <c r="AK13" s="70">
        <f t="shared" si="5"/>
        <v>5241.5249999999996</v>
      </c>
      <c r="AL13" s="70">
        <f t="shared" si="6"/>
        <v>1375.0100000000002</v>
      </c>
      <c r="AM13" s="70">
        <f t="shared" si="7"/>
        <v>27.500200000000007</v>
      </c>
      <c r="AN13" s="70">
        <f t="shared" si="8"/>
        <v>6644.0352000000003</v>
      </c>
      <c r="AO13" s="70">
        <f t="shared" si="9"/>
        <v>1063.0456320000001</v>
      </c>
    </row>
    <row r="14" spans="1:41" s="75" customFormat="1" ht="15" x14ac:dyDescent="0.25">
      <c r="A14" s="75" t="s">
        <v>48</v>
      </c>
      <c r="B14" s="75" t="s">
        <v>49</v>
      </c>
      <c r="C14" s="75">
        <v>15</v>
      </c>
      <c r="D14" s="75">
        <v>0</v>
      </c>
      <c r="E14" s="75">
        <v>185.83</v>
      </c>
      <c r="F14" s="75">
        <v>197.07</v>
      </c>
      <c r="G14" s="75">
        <v>2787.45</v>
      </c>
      <c r="H14" s="75">
        <v>0</v>
      </c>
      <c r="I14" s="75">
        <v>0</v>
      </c>
      <c r="J14" s="75">
        <v>278.75</v>
      </c>
      <c r="K14" s="75">
        <v>278.75</v>
      </c>
      <c r="L14" s="75">
        <v>278.75</v>
      </c>
      <c r="M14" s="75">
        <v>3623.7</v>
      </c>
      <c r="O14" s="75">
        <v>1541.78</v>
      </c>
      <c r="P14" s="75">
        <v>0</v>
      </c>
      <c r="Q14" s="75">
        <v>36.57</v>
      </c>
      <c r="R14" s="75">
        <v>74.88</v>
      </c>
      <c r="S14" s="75">
        <v>0</v>
      </c>
      <c r="T14" s="76">
        <v>7.0000000000000007E-2</v>
      </c>
      <c r="U14" s="75">
        <v>1653.3</v>
      </c>
      <c r="V14" s="75">
        <v>1970.4</v>
      </c>
      <c r="W14" s="75">
        <v>55.18</v>
      </c>
      <c r="X14" s="75">
        <v>99.32</v>
      </c>
      <c r="Y14" s="75">
        <v>330.96</v>
      </c>
      <c r="Z14" s="75">
        <v>201.91</v>
      </c>
      <c r="AA14" s="75">
        <v>72.47</v>
      </c>
      <c r="AB14" s="75">
        <v>15.77</v>
      </c>
      <c r="AC14" s="75">
        <v>485.46</v>
      </c>
      <c r="AD14" s="75">
        <v>157.66</v>
      </c>
      <c r="AE14" s="75">
        <v>170.38</v>
      </c>
      <c r="AF14" s="75">
        <v>110</v>
      </c>
      <c r="AG14" s="75">
        <f t="shared" si="1"/>
        <v>198.42760924323733</v>
      </c>
      <c r="AH14" s="70">
        <f t="shared" si="2"/>
        <v>1541.78</v>
      </c>
      <c r="AI14" s="70">
        <f t="shared" si="3"/>
        <v>3512.1800000000003</v>
      </c>
      <c r="AJ14" s="70">
        <f t="shared" si="4"/>
        <v>70.243600000000001</v>
      </c>
      <c r="AK14" s="70">
        <f t="shared" si="5"/>
        <v>3582.4236000000001</v>
      </c>
      <c r="AL14" s="70">
        <f t="shared" si="6"/>
        <v>1106.06</v>
      </c>
      <c r="AM14" s="70">
        <f t="shared" si="7"/>
        <v>22.121199999999998</v>
      </c>
      <c r="AN14" s="70">
        <f t="shared" si="8"/>
        <v>4710.6047999999992</v>
      </c>
      <c r="AO14" s="70">
        <f t="shared" si="9"/>
        <v>753.69676799999991</v>
      </c>
    </row>
    <row r="15" spans="1:41" s="75" customFormat="1" ht="15" x14ac:dyDescent="0.25">
      <c r="A15" s="75" t="s">
        <v>50</v>
      </c>
      <c r="B15" s="75" t="s">
        <v>51</v>
      </c>
      <c r="C15" s="75">
        <v>11</v>
      </c>
      <c r="D15" s="75">
        <v>4</v>
      </c>
      <c r="E15" s="75">
        <v>273.33</v>
      </c>
      <c r="F15" s="75">
        <v>289.87</v>
      </c>
      <c r="G15" s="75">
        <v>3006.63</v>
      </c>
      <c r="H15" s="75">
        <v>1093.32</v>
      </c>
      <c r="I15" s="75">
        <v>328</v>
      </c>
      <c r="J15" s="75">
        <v>410</v>
      </c>
      <c r="K15" s="75">
        <v>410</v>
      </c>
      <c r="L15" s="75">
        <v>410</v>
      </c>
      <c r="M15" s="75">
        <v>5657.95</v>
      </c>
      <c r="O15" s="75">
        <v>0</v>
      </c>
      <c r="P15" s="75">
        <v>0</v>
      </c>
      <c r="Q15" s="75">
        <v>324.74</v>
      </c>
      <c r="R15" s="75">
        <v>112.48</v>
      </c>
      <c r="S15" s="75">
        <v>0</v>
      </c>
      <c r="T15" s="75">
        <v>-7.0000000000000007E-2</v>
      </c>
      <c r="U15" s="75">
        <v>437.15</v>
      </c>
      <c r="V15" s="75">
        <v>5220.8</v>
      </c>
      <c r="W15" s="75">
        <v>81.16</v>
      </c>
      <c r="X15" s="75">
        <v>146.09</v>
      </c>
      <c r="Y15" s="75">
        <v>363.36</v>
      </c>
      <c r="Z15" s="75">
        <v>231.61</v>
      </c>
      <c r="AA15" s="75">
        <v>113.16</v>
      </c>
      <c r="AB15" s="75">
        <v>23.19</v>
      </c>
      <c r="AC15" s="75">
        <v>590.61</v>
      </c>
      <c r="AD15" s="75">
        <v>231.89</v>
      </c>
      <c r="AE15" s="75">
        <v>185.23</v>
      </c>
      <c r="AF15" s="75">
        <v>110</v>
      </c>
      <c r="AG15" s="75">
        <f t="shared" si="1"/>
        <v>291.85932537509581</v>
      </c>
      <c r="AH15" s="70">
        <f t="shared" si="2"/>
        <v>0</v>
      </c>
      <c r="AI15" s="70">
        <f t="shared" si="3"/>
        <v>5220.8</v>
      </c>
      <c r="AJ15" s="70">
        <f t="shared" si="4"/>
        <v>104.41600000000001</v>
      </c>
      <c r="AK15" s="70">
        <f t="shared" si="5"/>
        <v>5325.2160000000003</v>
      </c>
      <c r="AL15" s="70">
        <f t="shared" si="6"/>
        <v>1375.0100000000002</v>
      </c>
      <c r="AM15" s="70">
        <f t="shared" si="7"/>
        <v>27.500200000000007</v>
      </c>
      <c r="AN15" s="70">
        <f t="shared" si="8"/>
        <v>6727.726200000001</v>
      </c>
      <c r="AO15" s="70">
        <f t="shared" si="9"/>
        <v>1076.4361920000001</v>
      </c>
    </row>
    <row r="16" spans="1:41" s="75" customFormat="1" ht="15" x14ac:dyDescent="0.25">
      <c r="A16" s="75" t="s">
        <v>52</v>
      </c>
      <c r="B16" s="75" t="s">
        <v>53</v>
      </c>
      <c r="C16" s="75">
        <v>15</v>
      </c>
      <c r="D16" s="75">
        <v>0</v>
      </c>
      <c r="E16" s="75">
        <v>185.83</v>
      </c>
      <c r="F16" s="75">
        <v>197.07</v>
      </c>
      <c r="G16" s="75">
        <v>2787.45</v>
      </c>
      <c r="H16" s="75">
        <v>0</v>
      </c>
      <c r="I16" s="75">
        <v>0</v>
      </c>
      <c r="J16" s="75">
        <v>278.75</v>
      </c>
      <c r="K16" s="75">
        <v>278.75</v>
      </c>
      <c r="L16" s="75">
        <v>278.75</v>
      </c>
      <c r="M16" s="75">
        <v>3623.7</v>
      </c>
      <c r="O16" s="75">
        <v>1789.38</v>
      </c>
      <c r="P16" s="75">
        <v>0</v>
      </c>
      <c r="Q16" s="75">
        <v>36.57</v>
      </c>
      <c r="R16" s="75">
        <v>74.88</v>
      </c>
      <c r="S16" s="75">
        <v>238.8</v>
      </c>
      <c r="T16" s="75">
        <v>7.0000000000000007E-2</v>
      </c>
      <c r="U16" s="75">
        <v>2139.6999999999998</v>
      </c>
      <c r="V16" s="75">
        <v>1484</v>
      </c>
      <c r="W16" s="75">
        <v>55.18</v>
      </c>
      <c r="X16" s="75">
        <v>99.32</v>
      </c>
      <c r="Y16" s="75">
        <v>330.96</v>
      </c>
      <c r="Z16" s="75">
        <v>201.91</v>
      </c>
      <c r="AA16" s="75">
        <v>72.47</v>
      </c>
      <c r="AB16" s="75">
        <v>15.77</v>
      </c>
      <c r="AC16" s="75">
        <v>485.46</v>
      </c>
      <c r="AD16" s="75">
        <v>157.66</v>
      </c>
      <c r="AE16" s="75">
        <v>170.38</v>
      </c>
      <c r="AF16" s="75">
        <v>110</v>
      </c>
      <c r="AG16" s="75">
        <f t="shared" si="1"/>
        <v>198.42760924323733</v>
      </c>
      <c r="AH16" s="70">
        <f t="shared" si="2"/>
        <v>1789.38</v>
      </c>
      <c r="AI16" s="70">
        <f t="shared" si="3"/>
        <v>3512.1800000000003</v>
      </c>
      <c r="AJ16" s="70">
        <f t="shared" si="4"/>
        <v>70.243600000000001</v>
      </c>
      <c r="AK16" s="70">
        <f t="shared" si="5"/>
        <v>3582.4236000000001</v>
      </c>
      <c r="AL16" s="70">
        <f t="shared" si="6"/>
        <v>1106.06</v>
      </c>
      <c r="AM16" s="70">
        <f t="shared" si="7"/>
        <v>22.121199999999998</v>
      </c>
      <c r="AN16" s="70">
        <f t="shared" si="8"/>
        <v>4710.6047999999992</v>
      </c>
      <c r="AO16" s="70">
        <f t="shared" si="9"/>
        <v>753.69676799999991</v>
      </c>
    </row>
    <row r="17" spans="1:41" s="75" customFormat="1" ht="15" x14ac:dyDescent="0.25">
      <c r="A17" s="75" t="s">
        <v>54</v>
      </c>
      <c r="B17" s="75" t="s">
        <v>55</v>
      </c>
      <c r="C17" s="75">
        <v>15</v>
      </c>
      <c r="D17" s="75">
        <v>0</v>
      </c>
      <c r="E17" s="75">
        <v>220.83</v>
      </c>
      <c r="F17" s="75">
        <v>234.19</v>
      </c>
      <c r="G17" s="75">
        <v>3312.45</v>
      </c>
      <c r="H17" s="75">
        <v>0</v>
      </c>
      <c r="I17" s="75">
        <v>0</v>
      </c>
      <c r="J17" s="75">
        <v>331.25</v>
      </c>
      <c r="K17" s="75">
        <v>331.25</v>
      </c>
      <c r="L17" s="75">
        <v>331.25</v>
      </c>
      <c r="M17" s="75">
        <v>4306.2</v>
      </c>
      <c r="O17" s="75">
        <v>894.93</v>
      </c>
      <c r="P17" s="75">
        <v>0</v>
      </c>
      <c r="Q17" s="75">
        <v>113.96</v>
      </c>
      <c r="R17" s="75">
        <v>88.99</v>
      </c>
      <c r="S17" s="75">
        <v>0</v>
      </c>
      <c r="T17" s="76">
        <v>0.12</v>
      </c>
      <c r="U17" s="75">
        <v>1098</v>
      </c>
      <c r="V17" s="75">
        <v>3208.2</v>
      </c>
      <c r="W17" s="75">
        <v>65.569999999999993</v>
      </c>
      <c r="X17" s="75">
        <v>118.03</v>
      </c>
      <c r="Y17" s="75">
        <v>341.35</v>
      </c>
      <c r="Z17" s="75">
        <v>213.79</v>
      </c>
      <c r="AA17" s="75">
        <v>86.12</v>
      </c>
      <c r="AB17" s="75">
        <v>18.739999999999998</v>
      </c>
      <c r="AC17" s="75">
        <v>524.95000000000005</v>
      </c>
      <c r="AD17" s="75">
        <v>187.35</v>
      </c>
      <c r="AE17" s="75">
        <v>176.32</v>
      </c>
      <c r="AF17" s="75">
        <v>110</v>
      </c>
      <c r="AG17" s="75">
        <f t="shared" si="1"/>
        <v>235.80029569598071</v>
      </c>
      <c r="AH17" s="70">
        <f t="shared" si="2"/>
        <v>894.93</v>
      </c>
      <c r="AI17" s="70">
        <f t="shared" si="3"/>
        <v>4103.13</v>
      </c>
      <c r="AJ17" s="70">
        <f t="shared" si="4"/>
        <v>82.062600000000003</v>
      </c>
      <c r="AK17" s="70">
        <f t="shared" si="5"/>
        <v>4185.1926000000003</v>
      </c>
      <c r="AL17" s="70">
        <f t="shared" si="6"/>
        <v>1210.1399999999999</v>
      </c>
      <c r="AM17" s="70">
        <f t="shared" si="7"/>
        <v>24.202799999999996</v>
      </c>
      <c r="AN17" s="70">
        <f t="shared" si="8"/>
        <v>5419.5353999999998</v>
      </c>
      <c r="AO17" s="70">
        <f t="shared" si="9"/>
        <v>867.12566400000003</v>
      </c>
    </row>
    <row r="18" spans="1:41" s="75" customFormat="1" ht="15" x14ac:dyDescent="0.25">
      <c r="A18" s="75" t="s">
        <v>56</v>
      </c>
      <c r="B18" s="75" t="s">
        <v>57</v>
      </c>
      <c r="C18" s="75">
        <v>15</v>
      </c>
      <c r="D18" s="75">
        <v>0</v>
      </c>
      <c r="E18" s="75">
        <v>264.58</v>
      </c>
      <c r="F18" s="75">
        <v>276.54000000000002</v>
      </c>
      <c r="G18" s="75">
        <v>3968.7</v>
      </c>
      <c r="H18" s="75">
        <v>0</v>
      </c>
      <c r="I18" s="75">
        <v>0</v>
      </c>
      <c r="J18" s="75">
        <v>396.87</v>
      </c>
      <c r="K18" s="75">
        <v>396.87</v>
      </c>
      <c r="L18" s="75">
        <v>396.87</v>
      </c>
      <c r="M18" s="75">
        <v>5159.3100000000004</v>
      </c>
      <c r="O18" s="75">
        <v>1639.72</v>
      </c>
      <c r="P18" s="75">
        <v>0</v>
      </c>
      <c r="Q18" s="75">
        <v>310.45999999999998</v>
      </c>
      <c r="R18" s="75">
        <v>106.56</v>
      </c>
      <c r="S18" s="75">
        <v>0</v>
      </c>
      <c r="T18" s="76">
        <v>-0.03</v>
      </c>
      <c r="U18" s="75">
        <v>2056.71</v>
      </c>
      <c r="V18" s="75">
        <v>3102.6</v>
      </c>
      <c r="W18" s="75">
        <v>77.430000000000007</v>
      </c>
      <c r="X18" s="75">
        <v>139.38</v>
      </c>
      <c r="Y18" s="75">
        <v>357.27</v>
      </c>
      <c r="Z18" s="75">
        <v>227.33999999999997</v>
      </c>
      <c r="AA18" s="75">
        <v>103.19</v>
      </c>
      <c r="AB18" s="75">
        <v>22.12</v>
      </c>
      <c r="AC18" s="75">
        <v>574.08000000000004</v>
      </c>
      <c r="AD18" s="75">
        <v>221.23</v>
      </c>
      <c r="AE18" s="75">
        <v>183.1</v>
      </c>
      <c r="AF18" s="75">
        <v>110</v>
      </c>
      <c r="AG18" s="75">
        <f t="shared" si="1"/>
        <v>282.51615376190995</v>
      </c>
      <c r="AH18" s="70">
        <f t="shared" si="2"/>
        <v>1639.72</v>
      </c>
      <c r="AI18" s="70">
        <f t="shared" si="3"/>
        <v>4742.32</v>
      </c>
      <c r="AJ18" s="70">
        <f t="shared" si="4"/>
        <v>94.846400000000003</v>
      </c>
      <c r="AK18" s="70">
        <f t="shared" si="5"/>
        <v>4837.1664000000001</v>
      </c>
      <c r="AL18" s="70">
        <f t="shared" si="6"/>
        <v>1334.4299999999998</v>
      </c>
      <c r="AM18" s="70">
        <f t="shared" si="7"/>
        <v>26.688599999999997</v>
      </c>
      <c r="AN18" s="70">
        <f t="shared" si="8"/>
        <v>6198.2850000000008</v>
      </c>
      <c r="AO18" s="70">
        <f t="shared" si="9"/>
        <v>991.7256000000001</v>
      </c>
    </row>
    <row r="19" spans="1:41" s="75" customFormat="1" ht="15" x14ac:dyDescent="0.25">
      <c r="A19" s="75" t="s">
        <v>58</v>
      </c>
      <c r="B19" s="75" t="s">
        <v>59</v>
      </c>
      <c r="C19" s="75">
        <v>15</v>
      </c>
      <c r="D19" s="75">
        <v>0</v>
      </c>
      <c r="E19" s="75">
        <v>238.33</v>
      </c>
      <c r="F19" s="75">
        <v>252.75</v>
      </c>
      <c r="G19" s="75">
        <v>3574.95</v>
      </c>
      <c r="H19" s="75">
        <v>0</v>
      </c>
      <c r="I19" s="75">
        <v>0</v>
      </c>
      <c r="J19" s="75">
        <v>357.5</v>
      </c>
      <c r="K19" s="75">
        <v>357.5</v>
      </c>
      <c r="L19" s="75">
        <v>357.5</v>
      </c>
      <c r="M19" s="75">
        <v>4647.45</v>
      </c>
      <c r="O19" s="75">
        <v>1402.48</v>
      </c>
      <c r="P19" s="75">
        <v>0</v>
      </c>
      <c r="Q19" s="75">
        <v>160.25</v>
      </c>
      <c r="R19" s="75">
        <v>96.03</v>
      </c>
      <c r="S19" s="75">
        <v>255.4</v>
      </c>
      <c r="T19" s="75">
        <v>0.09</v>
      </c>
      <c r="U19" s="75">
        <v>1914.25</v>
      </c>
      <c r="V19" s="75">
        <v>2733.2</v>
      </c>
      <c r="W19" s="75">
        <v>70.77</v>
      </c>
      <c r="X19" s="75">
        <v>127.39</v>
      </c>
      <c r="Y19" s="75">
        <v>346.55</v>
      </c>
      <c r="Z19" s="75">
        <v>219.73</v>
      </c>
      <c r="AA19" s="75">
        <v>92.95</v>
      </c>
      <c r="AB19" s="75">
        <v>20.22</v>
      </c>
      <c r="AC19" s="75">
        <v>544.71</v>
      </c>
      <c r="AD19" s="75">
        <v>202.2</v>
      </c>
      <c r="AE19" s="75">
        <v>179.29</v>
      </c>
      <c r="AF19" s="75">
        <v>110</v>
      </c>
      <c r="AG19" s="75">
        <f t="shared" si="1"/>
        <v>254.48663892235243</v>
      </c>
      <c r="AH19" s="70">
        <f t="shared" si="2"/>
        <v>1402.48</v>
      </c>
      <c r="AI19" s="70">
        <f t="shared" si="3"/>
        <v>4391.08</v>
      </c>
      <c r="AJ19" s="70">
        <f t="shared" si="4"/>
        <v>87.821600000000004</v>
      </c>
      <c r="AK19" s="70">
        <f t="shared" si="5"/>
        <v>4478.9016000000001</v>
      </c>
      <c r="AL19" s="70">
        <f t="shared" si="6"/>
        <v>1262.18</v>
      </c>
      <c r="AM19" s="70">
        <f t="shared" si="7"/>
        <v>25.243600000000001</v>
      </c>
      <c r="AN19" s="70">
        <f t="shared" si="8"/>
        <v>5766.3252000000002</v>
      </c>
      <c r="AO19" s="70">
        <f t="shared" si="9"/>
        <v>922.612032</v>
      </c>
    </row>
    <row r="20" spans="1:41" s="75" customFormat="1" ht="15" x14ac:dyDescent="0.25">
      <c r="A20" s="75" t="s">
        <v>60</v>
      </c>
      <c r="B20" s="75" t="s">
        <v>61</v>
      </c>
      <c r="C20" s="75">
        <v>15</v>
      </c>
      <c r="D20" s="75">
        <v>0</v>
      </c>
      <c r="E20" s="75">
        <v>273.33</v>
      </c>
      <c r="F20" s="75">
        <v>289.87</v>
      </c>
      <c r="G20" s="75">
        <v>4099.95</v>
      </c>
      <c r="H20" s="75">
        <v>0</v>
      </c>
      <c r="I20" s="75">
        <v>0</v>
      </c>
      <c r="J20" s="75">
        <v>410</v>
      </c>
      <c r="K20" s="75">
        <v>410</v>
      </c>
      <c r="L20" s="75">
        <v>410</v>
      </c>
      <c r="M20" s="75">
        <v>5329.95</v>
      </c>
      <c r="O20" s="75">
        <v>0</v>
      </c>
      <c r="P20" s="75">
        <v>0</v>
      </c>
      <c r="Q20" s="75">
        <v>324.74</v>
      </c>
      <c r="R20" s="75">
        <v>112.48</v>
      </c>
      <c r="S20" s="75">
        <v>0</v>
      </c>
      <c r="T20" s="75">
        <v>-7.0000000000000007E-2</v>
      </c>
      <c r="U20" s="75">
        <v>437.15</v>
      </c>
      <c r="V20" s="75">
        <v>4892.8</v>
      </c>
      <c r="W20" s="75">
        <v>81.16</v>
      </c>
      <c r="X20" s="75">
        <v>146.09</v>
      </c>
      <c r="Y20" s="75">
        <v>363.36</v>
      </c>
      <c r="Z20" s="75">
        <v>231.61</v>
      </c>
      <c r="AA20" s="75">
        <v>106.6</v>
      </c>
      <c r="AB20" s="75">
        <v>23.19</v>
      </c>
      <c r="AC20" s="75">
        <v>590.61</v>
      </c>
      <c r="AD20" s="75">
        <v>231.89</v>
      </c>
      <c r="AE20" s="75">
        <v>185.23</v>
      </c>
      <c r="AF20" s="75">
        <v>110</v>
      </c>
      <c r="AG20" s="75">
        <f t="shared" si="1"/>
        <v>291.85932537509581</v>
      </c>
      <c r="AH20" s="70">
        <f t="shared" si="2"/>
        <v>0</v>
      </c>
      <c r="AI20" s="70">
        <f t="shared" si="3"/>
        <v>4892.8</v>
      </c>
      <c r="AJ20" s="70">
        <f t="shared" si="4"/>
        <v>97.856000000000009</v>
      </c>
      <c r="AK20" s="70">
        <f t="shared" si="5"/>
        <v>4990.6559999999999</v>
      </c>
      <c r="AL20" s="70">
        <f t="shared" si="6"/>
        <v>1375.0100000000002</v>
      </c>
      <c r="AM20" s="70">
        <f t="shared" si="7"/>
        <v>27.500200000000007</v>
      </c>
      <c r="AN20" s="70">
        <f t="shared" si="8"/>
        <v>6393.1662000000006</v>
      </c>
      <c r="AO20" s="70">
        <f t="shared" si="9"/>
        <v>1022.9065920000002</v>
      </c>
    </row>
    <row r="21" spans="1:41" s="75" customFormat="1" ht="15" x14ac:dyDescent="0.25">
      <c r="A21" s="75" t="s">
        <v>62</v>
      </c>
      <c r="B21" s="75" t="s">
        <v>63</v>
      </c>
      <c r="C21" s="75">
        <v>15</v>
      </c>
      <c r="D21" s="75">
        <v>0</v>
      </c>
      <c r="E21" s="75">
        <v>185.83</v>
      </c>
      <c r="F21" s="75">
        <v>197.07</v>
      </c>
      <c r="G21" s="75">
        <v>2787.45</v>
      </c>
      <c r="H21" s="75">
        <v>0</v>
      </c>
      <c r="I21" s="75">
        <v>0</v>
      </c>
      <c r="J21" s="75">
        <v>278.75</v>
      </c>
      <c r="K21" s="75">
        <v>278.75</v>
      </c>
      <c r="L21" s="75">
        <v>278.75</v>
      </c>
      <c r="M21" s="75">
        <v>3623.7</v>
      </c>
      <c r="O21" s="75">
        <v>2126.25</v>
      </c>
      <c r="P21" s="75">
        <v>0</v>
      </c>
      <c r="Q21" s="75">
        <v>36.57</v>
      </c>
      <c r="R21" s="75">
        <v>74.88</v>
      </c>
      <c r="S21" s="75">
        <v>297</v>
      </c>
      <c r="T21" s="75">
        <v>0</v>
      </c>
      <c r="U21" s="75">
        <v>2534.6999999999998</v>
      </c>
      <c r="V21" s="75">
        <v>1089</v>
      </c>
      <c r="W21" s="75">
        <v>55.18</v>
      </c>
      <c r="X21" s="75">
        <v>99.32</v>
      </c>
      <c r="Y21" s="75">
        <v>330.96</v>
      </c>
      <c r="Z21" s="75">
        <v>201.91</v>
      </c>
      <c r="AA21" s="75">
        <v>72.47</v>
      </c>
      <c r="AB21" s="75">
        <v>15.77</v>
      </c>
      <c r="AC21" s="75">
        <v>485.46</v>
      </c>
      <c r="AD21" s="75">
        <v>157.66</v>
      </c>
      <c r="AE21" s="75">
        <v>170.38</v>
      </c>
      <c r="AF21" s="75">
        <v>110</v>
      </c>
      <c r="AG21" s="75">
        <f t="shared" si="1"/>
        <v>198.42760924323733</v>
      </c>
      <c r="AH21" s="70">
        <f t="shared" si="2"/>
        <v>2126.25</v>
      </c>
      <c r="AI21" s="70">
        <f t="shared" si="3"/>
        <v>3512.25</v>
      </c>
      <c r="AJ21" s="70">
        <f t="shared" si="4"/>
        <v>70.245000000000005</v>
      </c>
      <c r="AK21" s="70">
        <f t="shared" si="5"/>
        <v>3582.4949999999999</v>
      </c>
      <c r="AL21" s="70">
        <f t="shared" si="6"/>
        <v>1106.06</v>
      </c>
      <c r="AM21" s="70">
        <f t="shared" si="7"/>
        <v>22.121199999999998</v>
      </c>
      <c r="AN21" s="70">
        <f t="shared" si="8"/>
        <v>4710.6761999999999</v>
      </c>
      <c r="AO21" s="70">
        <f t="shared" si="9"/>
        <v>753.70819199999994</v>
      </c>
    </row>
    <row r="22" spans="1:41" s="75" customFormat="1" ht="15" x14ac:dyDescent="0.25">
      <c r="A22" s="75" t="s">
        <v>64</v>
      </c>
      <c r="B22" s="75" t="s">
        <v>65</v>
      </c>
      <c r="C22" s="75">
        <v>15</v>
      </c>
      <c r="D22" s="75">
        <v>0</v>
      </c>
      <c r="E22" s="75">
        <v>1060.83</v>
      </c>
      <c r="F22" s="75">
        <v>1125.06</v>
      </c>
      <c r="G22" s="75">
        <v>15912.45</v>
      </c>
      <c r="H22" s="75">
        <v>0</v>
      </c>
      <c r="I22" s="75">
        <v>0</v>
      </c>
      <c r="J22" s="75">
        <v>1591.25</v>
      </c>
      <c r="K22" s="75">
        <v>1591.25</v>
      </c>
      <c r="L22" s="75">
        <v>1591.25</v>
      </c>
      <c r="M22" s="75">
        <v>20686.2</v>
      </c>
      <c r="O22" s="75">
        <v>0</v>
      </c>
      <c r="P22" s="75">
        <v>0</v>
      </c>
      <c r="Q22" s="75">
        <v>2846.24</v>
      </c>
      <c r="R22" s="75">
        <v>483.3</v>
      </c>
      <c r="S22" s="75">
        <v>0</v>
      </c>
      <c r="T22" s="75">
        <v>-0.14000000000000001</v>
      </c>
      <c r="U22" s="75">
        <v>3329.4</v>
      </c>
      <c r="V22" s="75">
        <v>17356.8</v>
      </c>
      <c r="W22" s="75">
        <v>315.02</v>
      </c>
      <c r="X22" s="75">
        <v>567.03</v>
      </c>
      <c r="Y22" s="75">
        <v>744.2</v>
      </c>
      <c r="Z22" s="75">
        <v>498.87</v>
      </c>
      <c r="AA22" s="75">
        <v>413.72</v>
      </c>
      <c r="AB22" s="75">
        <v>90</v>
      </c>
      <c r="AC22" s="75">
        <v>1626.25</v>
      </c>
      <c r="AD22" s="75">
        <v>900.05</v>
      </c>
      <c r="AE22" s="75">
        <v>318.86</v>
      </c>
      <c r="AF22" s="75">
        <v>110</v>
      </c>
      <c r="AG22" s="75">
        <f t="shared" si="1"/>
        <v>1132.7447705618222</v>
      </c>
      <c r="AH22" s="70">
        <f t="shared" si="2"/>
        <v>0</v>
      </c>
      <c r="AI22" s="70">
        <f t="shared" si="3"/>
        <v>17356.8</v>
      </c>
      <c r="AJ22" s="70">
        <f t="shared" si="4"/>
        <v>347.13599999999997</v>
      </c>
      <c r="AK22" s="70">
        <f t="shared" si="5"/>
        <v>17703.935999999998</v>
      </c>
      <c r="AL22" s="70">
        <f t="shared" si="6"/>
        <v>3917.3300000000004</v>
      </c>
      <c r="AM22" s="70">
        <f t="shared" si="7"/>
        <v>78.346600000000009</v>
      </c>
      <c r="AN22" s="70">
        <f t="shared" si="8"/>
        <v>21699.6126</v>
      </c>
      <c r="AO22" s="70">
        <f t="shared" si="9"/>
        <v>3471.9380160000001</v>
      </c>
    </row>
    <row r="23" spans="1:41" s="75" customFormat="1" ht="15" x14ac:dyDescent="0.25">
      <c r="A23" s="75" t="s">
        <v>66</v>
      </c>
      <c r="B23" s="75" t="s">
        <v>67</v>
      </c>
      <c r="C23" s="75">
        <v>15</v>
      </c>
      <c r="D23" s="75">
        <v>0</v>
      </c>
      <c r="E23" s="75">
        <v>185.83</v>
      </c>
      <c r="F23" s="75">
        <v>197.07</v>
      </c>
      <c r="G23" s="75">
        <v>2787.45</v>
      </c>
      <c r="H23" s="75">
        <v>0</v>
      </c>
      <c r="I23" s="75">
        <v>0</v>
      </c>
      <c r="J23" s="75">
        <v>278.75</v>
      </c>
      <c r="K23" s="75">
        <v>278.75</v>
      </c>
      <c r="L23" s="75">
        <v>278.75</v>
      </c>
      <c r="M23" s="75">
        <v>3623.7</v>
      </c>
      <c r="O23" s="75">
        <v>0</v>
      </c>
      <c r="P23" s="75">
        <v>0</v>
      </c>
      <c r="Q23" s="75">
        <v>36.57</v>
      </c>
      <c r="R23" s="75">
        <v>74.88</v>
      </c>
      <c r="S23" s="75">
        <v>0</v>
      </c>
      <c r="T23" s="75">
        <v>0.05</v>
      </c>
      <c r="U23" s="75">
        <v>111.5</v>
      </c>
      <c r="V23" s="75">
        <v>3512.2</v>
      </c>
      <c r="W23" s="75">
        <v>55.18</v>
      </c>
      <c r="X23" s="75">
        <v>99.32</v>
      </c>
      <c r="Y23" s="75">
        <v>330.96</v>
      </c>
      <c r="Z23" s="75">
        <v>201.91</v>
      </c>
      <c r="AA23" s="75">
        <v>72.47</v>
      </c>
      <c r="AB23" s="75">
        <v>15.77</v>
      </c>
      <c r="AC23" s="75">
        <v>485.46</v>
      </c>
      <c r="AD23" s="75">
        <v>157.66</v>
      </c>
      <c r="AE23" s="75">
        <v>170.38</v>
      </c>
      <c r="AF23" s="75">
        <v>110</v>
      </c>
      <c r="AG23" s="75">
        <f t="shared" si="1"/>
        <v>198.42760924323733</v>
      </c>
      <c r="AH23" s="70">
        <f t="shared" si="2"/>
        <v>0</v>
      </c>
      <c r="AI23" s="70">
        <f t="shared" si="3"/>
        <v>3512.2</v>
      </c>
      <c r="AJ23" s="70">
        <f t="shared" si="4"/>
        <v>70.244</v>
      </c>
      <c r="AK23" s="70">
        <f t="shared" si="5"/>
        <v>3582.444</v>
      </c>
      <c r="AL23" s="70">
        <f t="shared" si="6"/>
        <v>1106.06</v>
      </c>
      <c r="AM23" s="70">
        <f t="shared" si="7"/>
        <v>22.121199999999998</v>
      </c>
      <c r="AN23" s="70">
        <f t="shared" si="8"/>
        <v>4710.6251999999995</v>
      </c>
      <c r="AO23" s="70">
        <f t="shared" si="9"/>
        <v>753.70003199999996</v>
      </c>
    </row>
    <row r="24" spans="1:41" s="75" customFormat="1" ht="15" x14ac:dyDescent="0.25">
      <c r="A24" s="75" t="s">
        <v>68</v>
      </c>
      <c r="B24" s="75" t="s">
        <v>69</v>
      </c>
      <c r="C24" s="75">
        <v>15</v>
      </c>
      <c r="D24" s="75">
        <v>0</v>
      </c>
      <c r="E24" s="75">
        <v>185.83</v>
      </c>
      <c r="F24" s="75">
        <v>197.07</v>
      </c>
      <c r="G24" s="75">
        <v>2787.45</v>
      </c>
      <c r="H24" s="75">
        <v>0</v>
      </c>
      <c r="I24" s="75">
        <v>0</v>
      </c>
      <c r="J24" s="75">
        <v>278.75</v>
      </c>
      <c r="K24" s="75">
        <v>278.75</v>
      </c>
      <c r="L24" s="75">
        <v>278.75</v>
      </c>
      <c r="M24" s="75">
        <v>3623.7</v>
      </c>
      <c r="O24" s="75">
        <v>1475.23</v>
      </c>
      <c r="P24" s="75">
        <v>0</v>
      </c>
      <c r="Q24" s="75">
        <v>36.57</v>
      </c>
      <c r="R24" s="75">
        <v>74.88</v>
      </c>
      <c r="S24" s="75">
        <v>0</v>
      </c>
      <c r="T24" s="76">
        <v>0.02</v>
      </c>
      <c r="U24" s="75">
        <v>1586.7</v>
      </c>
      <c r="V24" s="75">
        <v>2037</v>
      </c>
      <c r="W24" s="75">
        <v>55.18</v>
      </c>
      <c r="X24" s="75">
        <v>99.32</v>
      </c>
      <c r="Y24" s="75">
        <v>330.96</v>
      </c>
      <c r="Z24" s="75">
        <v>201.91</v>
      </c>
      <c r="AA24" s="75">
        <v>72.47</v>
      </c>
      <c r="AB24" s="75">
        <v>15.77</v>
      </c>
      <c r="AC24" s="75">
        <v>485.46</v>
      </c>
      <c r="AD24" s="75">
        <v>157.66</v>
      </c>
      <c r="AE24" s="75">
        <v>170.38</v>
      </c>
      <c r="AF24" s="75">
        <v>110</v>
      </c>
      <c r="AG24" s="75">
        <f t="shared" si="1"/>
        <v>198.42760924323733</v>
      </c>
      <c r="AH24" s="70">
        <f t="shared" si="2"/>
        <v>1475.23</v>
      </c>
      <c r="AI24" s="70">
        <f t="shared" si="3"/>
        <v>3512.23</v>
      </c>
      <c r="AJ24" s="70">
        <f t="shared" si="4"/>
        <v>70.244600000000005</v>
      </c>
      <c r="AK24" s="70">
        <f t="shared" si="5"/>
        <v>3582.4746</v>
      </c>
      <c r="AL24" s="70">
        <f t="shared" si="6"/>
        <v>1106.06</v>
      </c>
      <c r="AM24" s="70">
        <f t="shared" si="7"/>
        <v>22.121199999999998</v>
      </c>
      <c r="AN24" s="70">
        <f t="shared" si="8"/>
        <v>4710.6557999999995</v>
      </c>
      <c r="AO24" s="70">
        <f t="shared" si="9"/>
        <v>753.704928</v>
      </c>
    </row>
    <row r="25" spans="1:41" s="75" customFormat="1" ht="15" x14ac:dyDescent="0.25">
      <c r="A25" s="75" t="s">
        <v>70</v>
      </c>
      <c r="B25" s="75" t="s">
        <v>71</v>
      </c>
      <c r="C25" s="75">
        <v>15</v>
      </c>
      <c r="D25" s="75">
        <v>0</v>
      </c>
      <c r="E25" s="75">
        <v>166.67</v>
      </c>
      <c r="F25" s="75">
        <v>176.76</v>
      </c>
      <c r="G25" s="75">
        <v>2500.0500000000002</v>
      </c>
      <c r="H25" s="75">
        <v>0</v>
      </c>
      <c r="I25" s="75">
        <v>0</v>
      </c>
      <c r="J25" s="75">
        <v>250.01</v>
      </c>
      <c r="K25" s="75">
        <v>250.01</v>
      </c>
      <c r="L25" s="75">
        <v>250.01</v>
      </c>
      <c r="M25" s="75">
        <v>3250.08</v>
      </c>
      <c r="O25" s="75">
        <v>0</v>
      </c>
      <c r="P25" s="76">
        <v>-9.6199999999999992</v>
      </c>
      <c r="Q25" s="75">
        <v>0</v>
      </c>
      <c r="R25" s="75">
        <v>67.180000000000007</v>
      </c>
      <c r="S25" s="75">
        <v>0</v>
      </c>
      <c r="T25" s="76">
        <v>-0.08</v>
      </c>
      <c r="U25" s="75">
        <v>57.48</v>
      </c>
      <c r="V25" s="75">
        <v>3192.6</v>
      </c>
      <c r="W25" s="75">
        <v>49.49</v>
      </c>
      <c r="X25" s="75">
        <v>89.09</v>
      </c>
      <c r="Y25" s="75">
        <v>325.27999999999997</v>
      </c>
      <c r="Z25" s="75">
        <v>195.41</v>
      </c>
      <c r="AA25" s="75">
        <v>65</v>
      </c>
      <c r="AB25" s="75">
        <v>14.14</v>
      </c>
      <c r="AC25" s="75">
        <v>463.86</v>
      </c>
      <c r="AD25" s="75">
        <v>141.41</v>
      </c>
      <c r="AE25" s="75">
        <v>167.13</v>
      </c>
      <c r="AF25" s="75">
        <v>110</v>
      </c>
      <c r="AG25" s="75">
        <f t="shared" si="1"/>
        <v>177.96873288796405</v>
      </c>
      <c r="AH25" s="70">
        <f t="shared" si="2"/>
        <v>0</v>
      </c>
      <c r="AI25" s="70">
        <f t="shared" si="3"/>
        <v>3192.6</v>
      </c>
      <c r="AJ25" s="70">
        <f t="shared" si="4"/>
        <v>63.851999999999997</v>
      </c>
      <c r="AK25" s="70">
        <f t="shared" si="5"/>
        <v>3256.4519999999998</v>
      </c>
      <c r="AL25" s="70">
        <f t="shared" si="6"/>
        <v>1049.1299999999999</v>
      </c>
      <c r="AM25" s="70">
        <f t="shared" si="7"/>
        <v>20.982599999999998</v>
      </c>
      <c r="AN25" s="70">
        <f t="shared" si="8"/>
        <v>4326.5645999999997</v>
      </c>
      <c r="AO25" s="70">
        <f t="shared" si="9"/>
        <v>692.25033599999995</v>
      </c>
    </row>
    <row r="26" spans="1:41" s="75" customFormat="1" ht="15" x14ac:dyDescent="0.25">
      <c r="A26" s="75" t="s">
        <v>72</v>
      </c>
      <c r="B26" s="75" t="s">
        <v>73</v>
      </c>
      <c r="C26" s="75">
        <v>15</v>
      </c>
      <c r="D26" s="75">
        <v>0</v>
      </c>
      <c r="E26" s="75">
        <v>216.67</v>
      </c>
      <c r="F26" s="75">
        <v>229.79</v>
      </c>
      <c r="G26" s="75">
        <v>3250.05</v>
      </c>
      <c r="H26" s="75">
        <v>0</v>
      </c>
      <c r="I26" s="75">
        <v>0</v>
      </c>
      <c r="J26" s="75">
        <v>325.01</v>
      </c>
      <c r="K26" s="75">
        <v>325.01</v>
      </c>
      <c r="L26" s="75">
        <v>325.01</v>
      </c>
      <c r="M26" s="75">
        <v>4225.08</v>
      </c>
      <c r="O26" s="75">
        <v>0</v>
      </c>
      <c r="P26" s="75">
        <v>0</v>
      </c>
      <c r="Q26" s="75">
        <v>107.17</v>
      </c>
      <c r="R26" s="75">
        <v>87.32</v>
      </c>
      <c r="S26" s="75">
        <v>0</v>
      </c>
      <c r="T26" s="75">
        <v>-0.01</v>
      </c>
      <c r="U26" s="75">
        <v>194.48</v>
      </c>
      <c r="V26" s="75">
        <v>4030.6</v>
      </c>
      <c r="W26" s="75">
        <v>64.34</v>
      </c>
      <c r="X26" s="75">
        <v>115.81</v>
      </c>
      <c r="Y26" s="75">
        <v>340.12</v>
      </c>
      <c r="Z26" s="75">
        <v>212.38</v>
      </c>
      <c r="AA26" s="75">
        <v>84.5</v>
      </c>
      <c r="AB26" s="75">
        <v>18.38</v>
      </c>
      <c r="AC26" s="75">
        <v>520.27</v>
      </c>
      <c r="AD26" s="75">
        <v>183.83</v>
      </c>
      <c r="AE26" s="75">
        <v>175.62</v>
      </c>
      <c r="AF26" s="75">
        <v>110</v>
      </c>
      <c r="AG26" s="75">
        <f t="shared" si="1"/>
        <v>231.35828496331177</v>
      </c>
      <c r="AH26" s="70">
        <f t="shared" si="2"/>
        <v>0</v>
      </c>
      <c r="AI26" s="70">
        <f t="shared" si="3"/>
        <v>4030.6</v>
      </c>
      <c r="AJ26" s="70">
        <f t="shared" si="4"/>
        <v>80.611999999999995</v>
      </c>
      <c r="AK26" s="70">
        <f t="shared" si="5"/>
        <v>4111.2119999999995</v>
      </c>
      <c r="AL26" s="70">
        <f t="shared" si="6"/>
        <v>1197.8000000000002</v>
      </c>
      <c r="AM26" s="70">
        <f t="shared" si="7"/>
        <v>23.956000000000003</v>
      </c>
      <c r="AN26" s="70">
        <f t="shared" si="8"/>
        <v>5332.9679999999998</v>
      </c>
      <c r="AO26" s="70">
        <f t="shared" si="9"/>
        <v>853.27487999999994</v>
      </c>
    </row>
    <row r="27" spans="1:41" s="79" customFormat="1" ht="15" x14ac:dyDescent="0.25">
      <c r="C27" s="79" t="s">
        <v>74</v>
      </c>
      <c r="D27" s="79" t="s">
        <v>74</v>
      </c>
      <c r="E27" s="79" t="s">
        <v>74</v>
      </c>
      <c r="F27" s="79" t="s">
        <v>74</v>
      </c>
      <c r="G27" s="79" t="s">
        <v>74</v>
      </c>
      <c r="H27" s="79" t="s">
        <v>74</v>
      </c>
      <c r="I27" s="79" t="s">
        <v>74</v>
      </c>
      <c r="J27" s="79" t="s">
        <v>74</v>
      </c>
      <c r="K27" s="79" t="s">
        <v>74</v>
      </c>
      <c r="L27" s="79" t="s">
        <v>74</v>
      </c>
      <c r="M27" s="79" t="s">
        <v>74</v>
      </c>
      <c r="N27" s="79" t="s">
        <v>74</v>
      </c>
      <c r="O27" s="79" t="s">
        <v>74</v>
      </c>
      <c r="P27" s="79" t="s">
        <v>74</v>
      </c>
      <c r="Q27" s="79" t="s">
        <v>74</v>
      </c>
      <c r="R27" s="79" t="s">
        <v>74</v>
      </c>
      <c r="S27" s="79" t="s">
        <v>74</v>
      </c>
      <c r="T27" s="79" t="s">
        <v>74</v>
      </c>
      <c r="U27" s="79" t="s">
        <v>74</v>
      </c>
      <c r="V27" s="79" t="s">
        <v>74</v>
      </c>
      <c r="W27" s="79" t="s">
        <v>74</v>
      </c>
      <c r="X27" s="79" t="s">
        <v>74</v>
      </c>
      <c r="Y27" s="79" t="s">
        <v>74</v>
      </c>
      <c r="Z27" s="79" t="s">
        <v>74</v>
      </c>
      <c r="AA27" s="79" t="s">
        <v>74</v>
      </c>
      <c r="AB27" s="79" t="s">
        <v>74</v>
      </c>
      <c r="AC27" s="79" t="s">
        <v>74</v>
      </c>
      <c r="AD27" s="79" t="s">
        <v>74</v>
      </c>
      <c r="AE27" s="79" t="s">
        <v>74</v>
      </c>
      <c r="AF27" s="79" t="s">
        <v>74</v>
      </c>
      <c r="AG27" s="79" t="s">
        <v>74</v>
      </c>
      <c r="AH27" s="70"/>
      <c r="AI27" s="70"/>
      <c r="AJ27" s="70"/>
      <c r="AK27" s="70"/>
      <c r="AL27" s="70"/>
      <c r="AM27" s="70"/>
      <c r="AN27" s="70"/>
      <c r="AO27" s="70"/>
    </row>
    <row r="28" spans="1:41" s="75" customFormat="1" ht="12.75" x14ac:dyDescent="0.2">
      <c r="A28" s="80" t="s">
        <v>75</v>
      </c>
      <c r="B28" s="75" t="s">
        <v>76</v>
      </c>
      <c r="C28" s="81">
        <f t="shared" ref="C28:AF28" si="10">SUM(C9:C26)</f>
        <v>263</v>
      </c>
      <c r="D28" s="81">
        <f t="shared" si="10"/>
        <v>7</v>
      </c>
      <c r="E28" s="81">
        <f t="shared" si="10"/>
        <v>4708.7199999999993</v>
      </c>
      <c r="F28" s="81">
        <f t="shared" si="10"/>
        <v>4989.6499999999996</v>
      </c>
      <c r="G28" s="81">
        <f t="shared" si="10"/>
        <v>68717.489999999991</v>
      </c>
      <c r="H28" s="81">
        <f t="shared" si="10"/>
        <v>1913.31</v>
      </c>
      <c r="I28" s="81">
        <f t="shared" si="10"/>
        <v>829</v>
      </c>
      <c r="J28" s="81">
        <f t="shared" si="10"/>
        <v>7063.16</v>
      </c>
      <c r="K28" s="81">
        <f t="shared" si="10"/>
        <v>7063.16</v>
      </c>
      <c r="L28" s="81">
        <f t="shared" si="10"/>
        <v>7063.16</v>
      </c>
      <c r="M28" s="81">
        <f t="shared" si="10"/>
        <v>92649.279999999984</v>
      </c>
      <c r="N28" s="81">
        <f t="shared" si="10"/>
        <v>0</v>
      </c>
      <c r="O28" s="81">
        <f t="shared" si="10"/>
        <v>10869.77</v>
      </c>
      <c r="P28" s="81">
        <f t="shared" si="10"/>
        <v>-118.69</v>
      </c>
      <c r="Q28" s="81">
        <f t="shared" si="10"/>
        <v>5143.3799999999992</v>
      </c>
      <c r="R28" s="81">
        <f t="shared" si="10"/>
        <v>1963.29</v>
      </c>
      <c r="S28" s="81">
        <f t="shared" si="10"/>
        <v>1067.1500000000001</v>
      </c>
      <c r="T28" s="81">
        <f t="shared" si="10"/>
        <v>-0.22000000000000003</v>
      </c>
      <c r="U28" s="81">
        <f t="shared" si="10"/>
        <v>18924.68</v>
      </c>
      <c r="V28" s="81">
        <f t="shared" si="10"/>
        <v>73724.600000000006</v>
      </c>
      <c r="W28" s="81">
        <f t="shared" si="10"/>
        <v>1397.09</v>
      </c>
      <c r="X28" s="81">
        <f t="shared" si="10"/>
        <v>2514.7600000000002</v>
      </c>
      <c r="Y28" s="81">
        <f t="shared" si="10"/>
        <v>6546.13</v>
      </c>
      <c r="Z28" s="81">
        <f t="shared" si="10"/>
        <v>4095.9699999999993</v>
      </c>
      <c r="AA28" s="81">
        <f t="shared" si="10"/>
        <v>1852.96</v>
      </c>
      <c r="AB28" s="81">
        <f t="shared" si="10"/>
        <v>399.18999999999994</v>
      </c>
      <c r="AC28" s="81">
        <f t="shared" si="10"/>
        <v>10457.98</v>
      </c>
      <c r="AD28" s="81">
        <f t="shared" si="10"/>
        <v>3991.7199999999993</v>
      </c>
      <c r="AE28" s="81">
        <f t="shared" si="10"/>
        <v>3297.65</v>
      </c>
      <c r="AF28" s="81">
        <f t="shared" si="10"/>
        <v>1980</v>
      </c>
      <c r="AG28" s="81">
        <f>SUM(AG9:AG26)</f>
        <v>5027.9290329646274</v>
      </c>
    </row>
    <row r="29" spans="1:41" s="75" customFormat="1" ht="12.75" x14ac:dyDescent="0.2"/>
    <row r="30" spans="1:41" s="75" customFormat="1" ht="12.75" x14ac:dyDescent="0.2">
      <c r="A30" s="49">
        <v>18</v>
      </c>
      <c r="B30" s="49" t="s">
        <v>438</v>
      </c>
      <c r="G30" s="75" t="s">
        <v>76</v>
      </c>
      <c r="H30" s="75" t="s">
        <v>76</v>
      </c>
      <c r="I30" s="75" t="s">
        <v>76</v>
      </c>
      <c r="M30" s="75" t="s">
        <v>76</v>
      </c>
      <c r="N30" s="75" t="s">
        <v>76</v>
      </c>
      <c r="O30" s="75" t="s">
        <v>76</v>
      </c>
      <c r="P30" s="75" t="s">
        <v>76</v>
      </c>
      <c r="Q30" s="75" t="s">
        <v>76</v>
      </c>
      <c r="R30" s="75" t="s">
        <v>76</v>
      </c>
      <c r="S30" s="75" t="s">
        <v>76</v>
      </c>
      <c r="T30" s="75" t="s">
        <v>76</v>
      </c>
      <c r="U30" s="75" t="s">
        <v>76</v>
      </c>
      <c r="V30" s="75" t="s">
        <v>76</v>
      </c>
      <c r="W30" s="75" t="s">
        <v>76</v>
      </c>
      <c r="X30" s="75" t="s">
        <v>76</v>
      </c>
      <c r="Y30" s="75" t="s">
        <v>76</v>
      </c>
      <c r="Z30" s="75" t="s">
        <v>76</v>
      </c>
      <c r="AA30" s="75" t="s">
        <v>76</v>
      </c>
      <c r="AB30" s="75" t="s">
        <v>76</v>
      </c>
      <c r="AC30" s="75" t="s">
        <v>76</v>
      </c>
      <c r="AD30" s="75" t="s">
        <v>76</v>
      </c>
      <c r="AE30" s="75" t="s">
        <v>76</v>
      </c>
      <c r="AF30" s="75" t="s">
        <v>76</v>
      </c>
    </row>
    <row r="31" spans="1:41" s="75" customFormat="1" ht="12.75" x14ac:dyDescent="0.2">
      <c r="A31" s="49"/>
      <c r="B31" s="49" t="s">
        <v>439</v>
      </c>
      <c r="G31" s="81"/>
      <c r="H31" s="81"/>
      <c r="I31" s="81"/>
      <c r="J31" s="81"/>
      <c r="K31" s="81"/>
      <c r="L31" s="122" t="s">
        <v>411</v>
      </c>
      <c r="M31" s="122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</row>
    <row r="32" spans="1:41" s="78" customFormat="1" ht="12.75" x14ac:dyDescent="0.2">
      <c r="A32" s="49"/>
      <c r="B32" s="49" t="s">
        <v>440</v>
      </c>
      <c r="L32" s="71" t="s">
        <v>400</v>
      </c>
      <c r="M32" s="72">
        <f>+V28</f>
        <v>73724.600000000006</v>
      </c>
    </row>
    <row r="33" spans="1:13" s="78" customFormat="1" ht="12.75" x14ac:dyDescent="0.2">
      <c r="A33" s="49">
        <f>+A30+A31-A32</f>
        <v>18</v>
      </c>
      <c r="B33" s="49" t="s">
        <v>441</v>
      </c>
      <c r="L33" s="71" t="s">
        <v>401</v>
      </c>
      <c r="M33" s="72">
        <f>+S28</f>
        <v>1067.1500000000001</v>
      </c>
    </row>
    <row r="34" spans="1:13" s="78" customFormat="1" ht="12.75" x14ac:dyDescent="0.2">
      <c r="A34" s="77"/>
      <c r="L34" s="71" t="s">
        <v>402</v>
      </c>
      <c r="M34" s="72">
        <f>+N28+O28</f>
        <v>10869.77</v>
      </c>
    </row>
    <row r="35" spans="1:13" s="78" customFormat="1" ht="12.75" x14ac:dyDescent="0.2">
      <c r="A35" s="77"/>
      <c r="L35" s="71" t="s">
        <v>403</v>
      </c>
      <c r="M35" s="72">
        <v>0</v>
      </c>
    </row>
    <row r="36" spans="1:13" s="78" customFormat="1" ht="12.75" x14ac:dyDescent="0.2">
      <c r="A36" s="77"/>
      <c r="L36" s="71" t="s">
        <v>404</v>
      </c>
      <c r="M36" s="72">
        <f>SUM(M32:M35)</f>
        <v>85661.52</v>
      </c>
    </row>
    <row r="37" spans="1:13" s="78" customFormat="1" ht="12.75" x14ac:dyDescent="0.2">
      <c r="A37" s="77"/>
      <c r="L37" s="71" t="s">
        <v>405</v>
      </c>
      <c r="M37" s="72">
        <f>+M36*2%</f>
        <v>1713.2304000000001</v>
      </c>
    </row>
    <row r="38" spans="1:13" s="78" customFormat="1" ht="12.75" x14ac:dyDescent="0.2">
      <c r="A38" s="77"/>
      <c r="L38" s="71" t="s">
        <v>406</v>
      </c>
      <c r="M38" s="72">
        <f>+M36+M37</f>
        <v>87374.750400000004</v>
      </c>
    </row>
    <row r="39" spans="1:13" s="78" customFormat="1" ht="12.75" x14ac:dyDescent="0.2">
      <c r="A39" s="77"/>
      <c r="L39" s="71" t="s">
        <v>407</v>
      </c>
      <c r="M39" s="72">
        <f>+R28+W28+X28+Y28+AB28+Z28+AD28+AE28</f>
        <v>24205.800000000003</v>
      </c>
    </row>
    <row r="40" spans="1:13" s="78" customFormat="1" ht="12.75" x14ac:dyDescent="0.2">
      <c r="A40" s="77"/>
      <c r="L40" s="71" t="s">
        <v>408</v>
      </c>
      <c r="M40" s="72">
        <f>+M28*2%</f>
        <v>1852.9855999999997</v>
      </c>
    </row>
    <row r="41" spans="1:13" s="78" customFormat="1" ht="12.75" x14ac:dyDescent="0.2">
      <c r="A41" s="77"/>
      <c r="L41" s="71" t="s">
        <v>409</v>
      </c>
      <c r="M41" s="72">
        <f>+M38+M39+M40</f>
        <v>113433.53600000001</v>
      </c>
    </row>
    <row r="42" spans="1:13" s="78" customFormat="1" ht="12.75" x14ac:dyDescent="0.2">
      <c r="A42" s="77"/>
      <c r="L42" s="71" t="s">
        <v>30</v>
      </c>
      <c r="M42" s="72">
        <f>+M41*16%</f>
        <v>18149.365760000001</v>
      </c>
    </row>
    <row r="43" spans="1:13" s="78" customFormat="1" ht="12.75" x14ac:dyDescent="0.2">
      <c r="A43" s="77"/>
      <c r="L43" s="71" t="s">
        <v>87</v>
      </c>
      <c r="M43" s="72">
        <f>+M41+M42</f>
        <v>131582.90176000001</v>
      </c>
    </row>
    <row r="44" spans="1:13" s="78" customFormat="1" ht="12.75" x14ac:dyDescent="0.2">
      <c r="A44" s="77"/>
      <c r="L44" s="18"/>
      <c r="M44" s="18"/>
    </row>
    <row r="45" spans="1:13" s="78" customFormat="1" ht="12.75" x14ac:dyDescent="0.2">
      <c r="A45" s="77"/>
      <c r="L45" s="123" t="s">
        <v>410</v>
      </c>
      <c r="M45" s="123"/>
    </row>
    <row r="46" spans="1:13" s="78" customFormat="1" ht="12.75" x14ac:dyDescent="0.2">
      <c r="A46" s="77"/>
      <c r="L46" s="114" t="s">
        <v>411</v>
      </c>
      <c r="M46" s="114"/>
    </row>
    <row r="47" spans="1:13" s="78" customFormat="1" ht="12.75" x14ac:dyDescent="0.2">
      <c r="A47" s="77"/>
      <c r="L47" s="71" t="s">
        <v>404</v>
      </c>
      <c r="M47" s="72">
        <f>+AG28</f>
        <v>5027.9290329646274</v>
      </c>
    </row>
    <row r="48" spans="1:13" s="78" customFormat="1" ht="12.75" x14ac:dyDescent="0.2">
      <c r="A48" s="77"/>
      <c r="L48" s="71" t="s">
        <v>405</v>
      </c>
      <c r="M48" s="72">
        <f>+M47*2%</f>
        <v>100.55858065929255</v>
      </c>
    </row>
    <row r="49" spans="1:13" s="78" customFormat="1" ht="12.75" x14ac:dyDescent="0.2">
      <c r="A49" s="77"/>
      <c r="L49" s="71" t="s">
        <v>406</v>
      </c>
      <c r="M49" s="72">
        <f>+M47+M48</f>
        <v>5128.48761362392</v>
      </c>
    </row>
    <row r="50" spans="1:13" s="78" customFormat="1" ht="12.75" x14ac:dyDescent="0.2">
      <c r="A50" s="77"/>
      <c r="L50" s="71" t="s">
        <v>408</v>
      </c>
      <c r="M50" s="72">
        <f>+M47*2%</f>
        <v>100.55858065929255</v>
      </c>
    </row>
    <row r="51" spans="1:13" s="78" customFormat="1" ht="12.75" x14ac:dyDescent="0.2">
      <c r="A51" s="77"/>
      <c r="L51" s="71" t="s">
        <v>409</v>
      </c>
      <c r="M51" s="72">
        <f>+M49+M50</f>
        <v>5229.0461942832126</v>
      </c>
    </row>
    <row r="52" spans="1:13" s="78" customFormat="1" ht="12.75" x14ac:dyDescent="0.2">
      <c r="A52" s="77"/>
      <c r="L52" s="71" t="s">
        <v>30</v>
      </c>
      <c r="M52" s="72">
        <f>+M51*16%</f>
        <v>836.64739108531398</v>
      </c>
    </row>
    <row r="53" spans="1:13" s="78" customFormat="1" ht="12.75" x14ac:dyDescent="0.2">
      <c r="A53" s="77"/>
      <c r="L53" s="71" t="s">
        <v>87</v>
      </c>
      <c r="M53" s="72">
        <f>+M51+M52</f>
        <v>6065.6935853685263</v>
      </c>
    </row>
  </sheetData>
  <mergeCells count="7">
    <mergeCell ref="L46:M46"/>
    <mergeCell ref="B1:F1"/>
    <mergeCell ref="B2:F2"/>
    <mergeCell ref="B3:F3"/>
    <mergeCell ref="B4:F4"/>
    <mergeCell ref="L31:M31"/>
    <mergeCell ref="L45:M4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79"/>
  <sheetViews>
    <sheetView showGridLines="0" zoomScale="90" zoomScaleNormal="90" workbookViewId="0">
      <pane xSplit="2" ySplit="8" topLeftCell="AD81" activePane="bottomRight" state="frozen"/>
      <selection pane="topRight" activeCell="C1" sqref="C1"/>
      <selection pane="bottomLeft" activeCell="A9" sqref="A9"/>
      <selection pane="bottomRight" activeCell="AL84" sqref="AL84"/>
    </sheetView>
  </sheetViews>
  <sheetFormatPr baseColWidth="10" defaultRowHeight="11.25" x14ac:dyDescent="0.2"/>
  <cols>
    <col min="1" max="1" width="12.28515625" style="2" customWidth="1"/>
    <col min="2" max="2" width="38.7109375" style="1" customWidth="1"/>
    <col min="3" max="36" width="15.7109375" style="1" customWidth="1"/>
    <col min="37" max="16384" width="11.42578125" style="1"/>
  </cols>
  <sheetData>
    <row r="1" spans="1:40" ht="18" customHeight="1" x14ac:dyDescent="0.25">
      <c r="A1" s="3"/>
      <c r="B1" s="115" t="s">
        <v>76</v>
      </c>
      <c r="C1" s="116"/>
      <c r="D1" s="116"/>
      <c r="E1" s="116"/>
      <c r="F1" s="116"/>
    </row>
    <row r="2" spans="1:40" ht="24.95" customHeight="1" x14ac:dyDescent="0.2">
      <c r="A2" s="4"/>
      <c r="B2" s="117" t="s">
        <v>418</v>
      </c>
      <c r="C2" s="118"/>
      <c r="D2" s="118"/>
      <c r="E2" s="118"/>
      <c r="F2" s="118"/>
    </row>
    <row r="3" spans="1:40" ht="15.75" x14ac:dyDescent="0.25">
      <c r="B3" s="119" t="s">
        <v>1</v>
      </c>
      <c r="C3" s="120"/>
      <c r="D3" s="120"/>
      <c r="E3" s="120"/>
      <c r="F3" s="120"/>
    </row>
    <row r="4" spans="1:40" ht="15" x14ac:dyDescent="0.25">
      <c r="B4" s="121"/>
      <c r="C4" s="120"/>
      <c r="D4" s="120"/>
      <c r="E4" s="120"/>
      <c r="F4" s="120"/>
    </row>
    <row r="5" spans="1:40" ht="12.75" x14ac:dyDescent="0.2">
      <c r="B5" s="88" t="s">
        <v>419</v>
      </c>
      <c r="C5" s="89"/>
      <c r="D5" s="89"/>
      <c r="E5" s="89"/>
      <c r="F5" s="89"/>
    </row>
    <row r="6" spans="1:40" ht="12.75" x14ac:dyDescent="0.2">
      <c r="B6" s="88" t="s">
        <v>420</v>
      </c>
      <c r="C6" s="89"/>
      <c r="D6" s="89"/>
      <c r="E6" s="89"/>
      <c r="F6" s="89"/>
    </row>
    <row r="8" spans="1:40" s="87" customFormat="1" ht="39" thickBot="1" x14ac:dyDescent="0.3">
      <c r="A8" s="83" t="s">
        <v>4</v>
      </c>
      <c r="B8" s="84" t="s">
        <v>5</v>
      </c>
      <c r="C8" s="84" t="s">
        <v>31</v>
      </c>
      <c r="D8" s="84" t="s">
        <v>32</v>
      </c>
      <c r="E8" s="84" t="s">
        <v>33</v>
      </c>
      <c r="F8" s="84" t="s">
        <v>34</v>
      </c>
      <c r="G8" s="84" t="s">
        <v>6</v>
      </c>
      <c r="H8" s="84" t="s">
        <v>7</v>
      </c>
      <c r="I8" s="84" t="s">
        <v>8</v>
      </c>
      <c r="J8" s="85" t="s">
        <v>12</v>
      </c>
      <c r="K8" s="84" t="s">
        <v>13</v>
      </c>
      <c r="L8" s="84" t="s">
        <v>14</v>
      </c>
      <c r="M8" s="84" t="s">
        <v>421</v>
      </c>
      <c r="N8" s="84" t="s">
        <v>15</v>
      </c>
      <c r="O8" s="84" t="s">
        <v>16</v>
      </c>
      <c r="P8" s="84" t="s">
        <v>17</v>
      </c>
      <c r="Q8" s="84" t="s">
        <v>422</v>
      </c>
      <c r="R8" s="84" t="s">
        <v>423</v>
      </c>
      <c r="S8" s="84" t="s">
        <v>18</v>
      </c>
      <c r="T8" s="85" t="s">
        <v>19</v>
      </c>
      <c r="U8" s="86" t="s">
        <v>20</v>
      </c>
      <c r="V8" s="84" t="s">
        <v>21</v>
      </c>
      <c r="W8" s="84" t="s">
        <v>22</v>
      </c>
      <c r="X8" s="84" t="s">
        <v>23</v>
      </c>
      <c r="Y8" s="84" t="s">
        <v>24</v>
      </c>
      <c r="Z8" s="84" t="s">
        <v>25</v>
      </c>
      <c r="AA8" s="84" t="s">
        <v>26</v>
      </c>
      <c r="AB8" s="84" t="s">
        <v>27</v>
      </c>
      <c r="AC8" s="84" t="s">
        <v>28</v>
      </c>
      <c r="AD8" s="84" t="s">
        <v>29</v>
      </c>
      <c r="AE8" s="84" t="s">
        <v>35</v>
      </c>
      <c r="AF8" s="84" t="s">
        <v>424</v>
      </c>
      <c r="AG8" s="130" t="s">
        <v>443</v>
      </c>
      <c r="AH8" s="130" t="s">
        <v>444</v>
      </c>
      <c r="AI8" s="130" t="s">
        <v>445</v>
      </c>
      <c r="AJ8" s="130" t="s">
        <v>446</v>
      </c>
      <c r="AK8" s="130" t="s">
        <v>447</v>
      </c>
      <c r="AL8" s="130" t="s">
        <v>448</v>
      </c>
      <c r="AM8" s="130" t="s">
        <v>449</v>
      </c>
      <c r="AN8" s="130" t="s">
        <v>450</v>
      </c>
    </row>
    <row r="9" spans="1:40" s="75" customFormat="1" ht="15.75" thickTop="1" x14ac:dyDescent="0.25">
      <c r="A9" s="75" t="s">
        <v>36</v>
      </c>
      <c r="B9" s="75" t="s">
        <v>324</v>
      </c>
      <c r="C9" s="75">
        <v>15</v>
      </c>
      <c r="D9" s="75">
        <v>0</v>
      </c>
      <c r="E9" s="75">
        <v>266.67</v>
      </c>
      <c r="F9" s="75">
        <v>278.72000000000003</v>
      </c>
      <c r="G9" s="75">
        <v>4000.05</v>
      </c>
      <c r="H9" s="75">
        <v>0</v>
      </c>
      <c r="I9" s="75">
        <v>0</v>
      </c>
      <c r="J9" s="75">
        <v>4000.05</v>
      </c>
      <c r="K9" s="75">
        <v>0</v>
      </c>
      <c r="L9" s="75">
        <v>0</v>
      </c>
      <c r="M9" s="75">
        <v>0</v>
      </c>
      <c r="N9" s="75">
        <v>0</v>
      </c>
      <c r="O9" s="75">
        <v>313.87</v>
      </c>
      <c r="P9" s="75">
        <v>107.53</v>
      </c>
      <c r="Q9" s="75">
        <v>0</v>
      </c>
      <c r="R9" s="75">
        <v>0</v>
      </c>
      <c r="S9" s="75">
        <v>0.05</v>
      </c>
      <c r="T9" s="75">
        <v>421.45</v>
      </c>
      <c r="U9" s="75">
        <v>3578.6</v>
      </c>
      <c r="V9" s="75">
        <v>78.040000000000006</v>
      </c>
      <c r="W9" s="75">
        <v>140.47999999999999</v>
      </c>
      <c r="X9" s="75">
        <v>358.27</v>
      </c>
      <c r="Y9" s="75">
        <v>277.46000000000004</v>
      </c>
      <c r="Z9" s="75">
        <v>80</v>
      </c>
      <c r="AA9" s="75">
        <v>35.520000000000003</v>
      </c>
      <c r="AB9" s="75">
        <v>576.79</v>
      </c>
      <c r="AC9" s="75">
        <v>222.98</v>
      </c>
      <c r="AD9" s="75">
        <v>232.87</v>
      </c>
      <c r="AE9" s="75">
        <v>110</v>
      </c>
      <c r="AF9" s="75">
        <f t="shared" ref="AF9:AF40" si="0">((20/365.24)*15)*E9</f>
        <v>219.03679772204578</v>
      </c>
      <c r="AG9" s="70">
        <f>U9+R9+K9+L9+M9+Q9</f>
        <v>3578.6</v>
      </c>
      <c r="AH9" s="70">
        <f>AG9*2%</f>
        <v>71.572000000000003</v>
      </c>
      <c r="AI9" s="70">
        <f>AG9+AH9</f>
        <v>3650.172</v>
      </c>
      <c r="AJ9" s="70">
        <f>P9+V9+W9+X9+Y9+AA9+AC9+AD9</f>
        <v>1453.15</v>
      </c>
      <c r="AK9" s="70">
        <f>J9*2%</f>
        <v>80.001000000000005</v>
      </c>
      <c r="AL9" s="70">
        <f>AI9+AJ9+AK9</f>
        <v>5183.3230000000003</v>
      </c>
      <c r="AM9" s="70">
        <f>AL9*16%</f>
        <v>829.33168000000012</v>
      </c>
      <c r="AN9" s="70">
        <f>AL9+AM9</f>
        <v>6012.6546800000006</v>
      </c>
    </row>
    <row r="10" spans="1:40" s="75" customFormat="1" ht="15" x14ac:dyDescent="0.25">
      <c r="A10" s="75" t="s">
        <v>425</v>
      </c>
      <c r="B10" s="75" t="s">
        <v>266</v>
      </c>
      <c r="C10" s="75">
        <v>14</v>
      </c>
      <c r="D10" s="75">
        <v>1</v>
      </c>
      <c r="E10" s="75">
        <v>266.67</v>
      </c>
      <c r="F10" s="75">
        <v>278.72000000000003</v>
      </c>
      <c r="G10" s="75">
        <v>3733.38</v>
      </c>
      <c r="H10" s="75">
        <v>266.67</v>
      </c>
      <c r="I10" s="75">
        <v>80</v>
      </c>
      <c r="J10" s="75">
        <v>4080.05</v>
      </c>
      <c r="K10" s="75">
        <v>0</v>
      </c>
      <c r="L10" s="75">
        <v>0</v>
      </c>
      <c r="M10" s="75">
        <v>0</v>
      </c>
      <c r="N10" s="75">
        <v>0</v>
      </c>
      <c r="O10" s="75">
        <v>313.87</v>
      </c>
      <c r="P10" s="75">
        <v>107.53</v>
      </c>
      <c r="Q10" s="75">
        <v>0</v>
      </c>
      <c r="R10" s="75">
        <v>0</v>
      </c>
      <c r="S10" s="76">
        <v>-0.15</v>
      </c>
      <c r="T10" s="75">
        <v>421.25</v>
      </c>
      <c r="U10" s="75">
        <v>3658.8</v>
      </c>
      <c r="V10" s="75">
        <v>78.040000000000006</v>
      </c>
      <c r="W10" s="75">
        <v>140.47999999999999</v>
      </c>
      <c r="X10" s="75">
        <v>358.27</v>
      </c>
      <c r="Y10" s="75">
        <v>277.46000000000004</v>
      </c>
      <c r="Z10" s="75">
        <v>81.599999999999994</v>
      </c>
      <c r="AA10" s="75">
        <v>35.520000000000003</v>
      </c>
      <c r="AB10" s="75">
        <v>576.79</v>
      </c>
      <c r="AC10" s="75">
        <v>222.98</v>
      </c>
      <c r="AD10" s="75">
        <v>232.87</v>
      </c>
      <c r="AE10" s="75">
        <v>110</v>
      </c>
      <c r="AF10" s="75">
        <f t="shared" si="0"/>
        <v>219.03679772204578</v>
      </c>
      <c r="AG10" s="70">
        <f t="shared" ref="AG10:AG73" si="1">U10+R10+K10+L10+M10+Q10</f>
        <v>3658.8</v>
      </c>
      <c r="AH10" s="70">
        <f t="shared" ref="AH10:AH73" si="2">AG10*2%</f>
        <v>73.176000000000002</v>
      </c>
      <c r="AI10" s="70">
        <f t="shared" ref="AI10:AI73" si="3">AG10+AH10</f>
        <v>3731.9760000000001</v>
      </c>
      <c r="AJ10" s="70">
        <f t="shared" ref="AJ10:AJ73" si="4">P10+V10+W10+X10+Y10+AA10+AC10+AD10</f>
        <v>1453.15</v>
      </c>
      <c r="AK10" s="70">
        <f t="shared" ref="AK10:AK73" si="5">J10*2%</f>
        <v>81.600999999999999</v>
      </c>
      <c r="AL10" s="70">
        <f t="shared" ref="AL10:AL73" si="6">AI10+AJ10+AK10</f>
        <v>5266.7269999999999</v>
      </c>
      <c r="AM10" s="70">
        <f t="shared" ref="AM10:AM73" si="7">AL10*16%</f>
        <v>842.67632000000003</v>
      </c>
      <c r="AN10" s="70">
        <f t="shared" ref="AN10:AN73" si="8">AL10+AM10</f>
        <v>6109.4033199999994</v>
      </c>
    </row>
    <row r="11" spans="1:40" s="75" customFormat="1" ht="15" x14ac:dyDescent="0.25">
      <c r="A11" s="75" t="s">
        <v>147</v>
      </c>
      <c r="B11" s="75" t="s">
        <v>148</v>
      </c>
      <c r="C11" s="75">
        <v>15</v>
      </c>
      <c r="D11" s="75">
        <v>0</v>
      </c>
      <c r="E11" s="75">
        <v>200</v>
      </c>
      <c r="F11" s="75">
        <v>209.04</v>
      </c>
      <c r="G11" s="75">
        <v>3000</v>
      </c>
      <c r="H11" s="75">
        <v>0</v>
      </c>
      <c r="I11" s="75">
        <v>0</v>
      </c>
      <c r="J11" s="75">
        <v>3000</v>
      </c>
      <c r="K11" s="75">
        <v>0</v>
      </c>
      <c r="L11" s="75">
        <v>0</v>
      </c>
      <c r="M11" s="75">
        <v>0</v>
      </c>
      <c r="N11" s="75">
        <v>0</v>
      </c>
      <c r="O11" s="75">
        <v>59.69</v>
      </c>
      <c r="P11" s="75">
        <v>79.430000000000007</v>
      </c>
      <c r="Q11" s="75">
        <v>0</v>
      </c>
      <c r="R11" s="75">
        <v>0</v>
      </c>
      <c r="S11" s="75">
        <v>0.08</v>
      </c>
      <c r="T11" s="75">
        <v>139.19999999999999</v>
      </c>
      <c r="U11" s="75">
        <v>2860.8</v>
      </c>
      <c r="V11" s="75">
        <v>58.53</v>
      </c>
      <c r="W11" s="75">
        <v>105.36</v>
      </c>
      <c r="X11" s="75">
        <v>334.31</v>
      </c>
      <c r="Y11" s="75">
        <v>255.16000000000003</v>
      </c>
      <c r="Z11" s="75">
        <v>60</v>
      </c>
      <c r="AA11" s="75">
        <v>26.64</v>
      </c>
      <c r="AB11" s="75">
        <v>498.2</v>
      </c>
      <c r="AC11" s="75">
        <v>167.23</v>
      </c>
      <c r="AD11" s="75">
        <v>221.72000000000003</v>
      </c>
      <c r="AE11" s="75">
        <v>110</v>
      </c>
      <c r="AF11" s="75">
        <f t="shared" si="0"/>
        <v>164.27554484722373</v>
      </c>
      <c r="AG11" s="70">
        <f t="shared" si="1"/>
        <v>2860.8</v>
      </c>
      <c r="AH11" s="70">
        <f t="shared" si="2"/>
        <v>57.216000000000008</v>
      </c>
      <c r="AI11" s="70">
        <f t="shared" si="3"/>
        <v>2918.0160000000001</v>
      </c>
      <c r="AJ11" s="70">
        <f t="shared" si="4"/>
        <v>1248.3799999999999</v>
      </c>
      <c r="AK11" s="70">
        <f t="shared" si="5"/>
        <v>60</v>
      </c>
      <c r="AL11" s="70">
        <f t="shared" si="6"/>
        <v>4226.3959999999997</v>
      </c>
      <c r="AM11" s="70">
        <f t="shared" si="7"/>
        <v>676.22335999999996</v>
      </c>
      <c r="AN11" s="70">
        <f t="shared" si="8"/>
        <v>4902.6193599999997</v>
      </c>
    </row>
    <row r="12" spans="1:40" s="75" customFormat="1" ht="15" x14ac:dyDescent="0.25">
      <c r="A12" s="75" t="s">
        <v>426</v>
      </c>
      <c r="B12" s="75" t="s">
        <v>282</v>
      </c>
      <c r="C12" s="75">
        <v>15</v>
      </c>
      <c r="D12" s="75">
        <v>0</v>
      </c>
      <c r="E12" s="75">
        <v>154</v>
      </c>
      <c r="F12" s="75">
        <v>160.96</v>
      </c>
      <c r="G12" s="75">
        <v>2310</v>
      </c>
      <c r="H12" s="75">
        <v>0</v>
      </c>
      <c r="I12" s="75">
        <v>0</v>
      </c>
      <c r="J12" s="75">
        <v>2310</v>
      </c>
      <c r="K12" s="75">
        <v>0</v>
      </c>
      <c r="L12" s="75">
        <v>977.57</v>
      </c>
      <c r="M12" s="75">
        <v>0</v>
      </c>
      <c r="N12" s="76">
        <v>-39.729999999999997</v>
      </c>
      <c r="O12" s="75">
        <v>0</v>
      </c>
      <c r="P12" s="75">
        <v>61.17</v>
      </c>
      <c r="Q12" s="75">
        <v>0</v>
      </c>
      <c r="R12" s="75">
        <v>0</v>
      </c>
      <c r="S12" s="76">
        <v>-0.01</v>
      </c>
      <c r="T12" s="75">
        <v>999</v>
      </c>
      <c r="U12" s="75">
        <v>1311</v>
      </c>
      <c r="V12" s="75">
        <v>45.07</v>
      </c>
      <c r="W12" s="75">
        <v>81.12</v>
      </c>
      <c r="X12" s="75">
        <v>320.85000000000002</v>
      </c>
      <c r="Y12" s="75">
        <v>239.78</v>
      </c>
      <c r="Z12" s="75">
        <v>46.2</v>
      </c>
      <c r="AA12" s="75">
        <v>20.52</v>
      </c>
      <c r="AB12" s="75">
        <v>447.04</v>
      </c>
      <c r="AC12" s="75">
        <v>128.77000000000001</v>
      </c>
      <c r="AD12" s="75">
        <v>214.02</v>
      </c>
      <c r="AE12" s="75">
        <v>110</v>
      </c>
      <c r="AF12" s="75">
        <f t="shared" si="0"/>
        <v>126.49216953236227</v>
      </c>
      <c r="AG12" s="70">
        <f t="shared" si="1"/>
        <v>2288.5700000000002</v>
      </c>
      <c r="AH12" s="70">
        <f t="shared" si="2"/>
        <v>45.771400000000007</v>
      </c>
      <c r="AI12" s="70">
        <f t="shared" si="3"/>
        <v>2334.3414000000002</v>
      </c>
      <c r="AJ12" s="70">
        <f t="shared" si="4"/>
        <v>1111.3</v>
      </c>
      <c r="AK12" s="70">
        <f t="shared" si="5"/>
        <v>46.2</v>
      </c>
      <c r="AL12" s="70">
        <f t="shared" si="6"/>
        <v>3491.8414000000002</v>
      </c>
      <c r="AM12" s="70">
        <f t="shared" si="7"/>
        <v>558.69462400000009</v>
      </c>
      <c r="AN12" s="70">
        <f t="shared" si="8"/>
        <v>4050.5360240000005</v>
      </c>
    </row>
    <row r="13" spans="1:40" s="75" customFormat="1" ht="15" x14ac:dyDescent="0.25">
      <c r="A13" s="75" t="s">
        <v>276</v>
      </c>
      <c r="B13" s="75" t="s">
        <v>277</v>
      </c>
      <c r="C13" s="75">
        <v>15</v>
      </c>
      <c r="D13" s="75">
        <v>0</v>
      </c>
      <c r="E13" s="75">
        <v>266.67</v>
      </c>
      <c r="F13" s="75">
        <v>278.72000000000003</v>
      </c>
      <c r="G13" s="75">
        <v>4000.05</v>
      </c>
      <c r="H13" s="75">
        <v>0</v>
      </c>
      <c r="I13" s="75">
        <v>480</v>
      </c>
      <c r="J13" s="75">
        <v>4480.05</v>
      </c>
      <c r="K13" s="75">
        <v>0</v>
      </c>
      <c r="L13" s="75">
        <v>868.44</v>
      </c>
      <c r="M13" s="75">
        <v>0</v>
      </c>
      <c r="N13" s="75">
        <v>0</v>
      </c>
      <c r="O13" s="75">
        <v>313.87</v>
      </c>
      <c r="P13" s="75">
        <v>107.53</v>
      </c>
      <c r="Q13" s="75">
        <v>0</v>
      </c>
      <c r="R13" s="75">
        <v>0</v>
      </c>
      <c r="S13" s="75">
        <v>0.01</v>
      </c>
      <c r="T13" s="75">
        <v>1289.8499999999999</v>
      </c>
      <c r="U13" s="75">
        <v>3190.2</v>
      </c>
      <c r="V13" s="75">
        <v>78.040000000000006</v>
      </c>
      <c r="W13" s="75">
        <v>140.47999999999999</v>
      </c>
      <c r="X13" s="75">
        <v>358.27</v>
      </c>
      <c r="Y13" s="75">
        <v>277.46000000000004</v>
      </c>
      <c r="Z13" s="75">
        <v>89.6</v>
      </c>
      <c r="AA13" s="75">
        <v>35.520000000000003</v>
      </c>
      <c r="AB13" s="75">
        <v>576.79</v>
      </c>
      <c r="AC13" s="75">
        <v>222.98</v>
      </c>
      <c r="AD13" s="75">
        <v>232.87</v>
      </c>
      <c r="AE13" s="75">
        <v>110</v>
      </c>
      <c r="AF13" s="75">
        <f t="shared" si="0"/>
        <v>219.03679772204578</v>
      </c>
      <c r="AG13" s="70">
        <f t="shared" si="1"/>
        <v>4058.64</v>
      </c>
      <c r="AH13" s="70">
        <f t="shared" si="2"/>
        <v>81.172799999999995</v>
      </c>
      <c r="AI13" s="70">
        <f t="shared" si="3"/>
        <v>4139.8127999999997</v>
      </c>
      <c r="AJ13" s="70">
        <f t="shared" si="4"/>
        <v>1453.15</v>
      </c>
      <c r="AK13" s="70">
        <f t="shared" si="5"/>
        <v>89.600999999999999</v>
      </c>
      <c r="AL13" s="70">
        <f t="shared" si="6"/>
        <v>5682.563799999999</v>
      </c>
      <c r="AM13" s="70">
        <f t="shared" si="7"/>
        <v>909.21020799999985</v>
      </c>
      <c r="AN13" s="70">
        <f t="shared" si="8"/>
        <v>6591.7740079999985</v>
      </c>
    </row>
    <row r="14" spans="1:40" s="92" customFormat="1" ht="15" x14ac:dyDescent="0.25">
      <c r="A14" s="92" t="s">
        <v>187</v>
      </c>
      <c r="B14" s="92" t="s">
        <v>188</v>
      </c>
      <c r="C14" s="92">
        <v>15</v>
      </c>
      <c r="E14" s="92">
        <v>521.67999999999995</v>
      </c>
      <c r="F14" s="92">
        <v>553.24</v>
      </c>
      <c r="G14" s="92">
        <v>7825.2</v>
      </c>
      <c r="J14" s="92">
        <v>7825.2</v>
      </c>
      <c r="O14" s="92">
        <v>1033.24</v>
      </c>
      <c r="P14" s="92">
        <v>229.41</v>
      </c>
      <c r="S14" s="92">
        <v>-0.05</v>
      </c>
      <c r="T14" s="92">
        <v>1262.5999999999999</v>
      </c>
      <c r="U14" s="92">
        <v>6562.6</v>
      </c>
      <c r="V14" s="92">
        <v>154.91</v>
      </c>
      <c r="W14" s="92">
        <v>278.83</v>
      </c>
      <c r="X14" s="92">
        <v>483.44</v>
      </c>
      <c r="Y14" s="92">
        <v>365.31</v>
      </c>
      <c r="Z14" s="92">
        <v>156.5</v>
      </c>
      <c r="AA14" s="92">
        <v>70.510000000000005</v>
      </c>
      <c r="AB14" s="92">
        <v>917.18</v>
      </c>
      <c r="AC14" s="92">
        <v>442.59</v>
      </c>
      <c r="AD14" s="92">
        <v>276.79000000000002</v>
      </c>
      <c r="AE14" s="92">
        <v>110</v>
      </c>
      <c r="AF14" s="75">
        <f t="shared" si="0"/>
        <v>428.49633117949833</v>
      </c>
      <c r="AG14" s="70">
        <f t="shared" si="1"/>
        <v>6562.6</v>
      </c>
      <c r="AH14" s="70">
        <f t="shared" si="2"/>
        <v>131.25200000000001</v>
      </c>
      <c r="AI14" s="70">
        <f t="shared" si="3"/>
        <v>6693.8520000000008</v>
      </c>
      <c r="AJ14" s="70">
        <f t="shared" si="4"/>
        <v>2301.79</v>
      </c>
      <c r="AK14" s="70">
        <f t="shared" si="5"/>
        <v>156.50399999999999</v>
      </c>
      <c r="AL14" s="70">
        <f t="shared" si="6"/>
        <v>9152.1460000000006</v>
      </c>
      <c r="AM14" s="70">
        <f t="shared" si="7"/>
        <v>1464.3433600000001</v>
      </c>
      <c r="AN14" s="70">
        <f t="shared" si="8"/>
        <v>10616.489360000001</v>
      </c>
    </row>
    <row r="15" spans="1:40" s="75" customFormat="1" ht="15" x14ac:dyDescent="0.25">
      <c r="A15" s="75" t="s">
        <v>224</v>
      </c>
      <c r="B15" s="75" t="s">
        <v>225</v>
      </c>
      <c r="C15" s="75">
        <v>15</v>
      </c>
      <c r="D15" s="75">
        <v>0</v>
      </c>
      <c r="E15" s="75">
        <v>266.67</v>
      </c>
      <c r="F15" s="75">
        <v>278.72000000000003</v>
      </c>
      <c r="G15" s="75">
        <v>4000.05</v>
      </c>
      <c r="H15" s="75">
        <v>0</v>
      </c>
      <c r="I15" s="75">
        <v>400</v>
      </c>
      <c r="J15" s="75">
        <v>4400.05</v>
      </c>
      <c r="K15" s="75">
        <v>0</v>
      </c>
      <c r="L15" s="75">
        <v>0</v>
      </c>
      <c r="M15" s="75">
        <v>0</v>
      </c>
      <c r="N15" s="75">
        <v>0</v>
      </c>
      <c r="O15" s="75">
        <v>313.87</v>
      </c>
      <c r="P15" s="75">
        <v>107.53</v>
      </c>
      <c r="Q15" s="75">
        <v>0</v>
      </c>
      <c r="R15" s="75">
        <v>0</v>
      </c>
      <c r="S15" s="75">
        <v>0.05</v>
      </c>
      <c r="T15" s="75">
        <v>421.45</v>
      </c>
      <c r="U15" s="75">
        <v>3978.6</v>
      </c>
      <c r="V15" s="75">
        <v>78.040000000000006</v>
      </c>
      <c r="W15" s="75">
        <v>140.47999999999999</v>
      </c>
      <c r="X15" s="75">
        <v>358.27</v>
      </c>
      <c r="Y15" s="75">
        <v>277.46000000000004</v>
      </c>
      <c r="Z15" s="75">
        <v>88</v>
      </c>
      <c r="AA15" s="75">
        <v>35.520000000000003</v>
      </c>
      <c r="AB15" s="75">
        <v>576.79</v>
      </c>
      <c r="AC15" s="75">
        <v>222.98</v>
      </c>
      <c r="AD15" s="75">
        <v>232.87</v>
      </c>
      <c r="AE15" s="75">
        <v>110</v>
      </c>
      <c r="AF15" s="75">
        <f t="shared" si="0"/>
        <v>219.03679772204578</v>
      </c>
      <c r="AG15" s="70">
        <f t="shared" si="1"/>
        <v>3978.6</v>
      </c>
      <c r="AH15" s="70">
        <f t="shared" si="2"/>
        <v>79.572000000000003</v>
      </c>
      <c r="AI15" s="70">
        <f t="shared" si="3"/>
        <v>4058.172</v>
      </c>
      <c r="AJ15" s="70">
        <f t="shared" si="4"/>
        <v>1453.15</v>
      </c>
      <c r="AK15" s="70">
        <f t="shared" si="5"/>
        <v>88.001000000000005</v>
      </c>
      <c r="AL15" s="70">
        <f t="shared" si="6"/>
        <v>5599.3230000000003</v>
      </c>
      <c r="AM15" s="70">
        <f t="shared" si="7"/>
        <v>895.89168000000006</v>
      </c>
      <c r="AN15" s="70">
        <f t="shared" si="8"/>
        <v>6495.21468</v>
      </c>
    </row>
    <row r="16" spans="1:40" s="75" customFormat="1" ht="15" x14ac:dyDescent="0.25">
      <c r="A16" s="75" t="s">
        <v>339</v>
      </c>
      <c r="B16" s="75" t="s">
        <v>340</v>
      </c>
      <c r="C16" s="75">
        <v>15</v>
      </c>
      <c r="D16" s="75">
        <v>0</v>
      </c>
      <c r="E16" s="75">
        <v>200</v>
      </c>
      <c r="F16" s="75">
        <v>212.1</v>
      </c>
      <c r="G16" s="75">
        <v>3000</v>
      </c>
      <c r="H16" s="75">
        <v>0</v>
      </c>
      <c r="I16" s="75">
        <v>0</v>
      </c>
      <c r="J16" s="75">
        <v>3000</v>
      </c>
      <c r="K16" s="75">
        <v>0</v>
      </c>
      <c r="L16" s="75">
        <v>1347.1</v>
      </c>
      <c r="M16" s="75">
        <v>0</v>
      </c>
      <c r="N16" s="75">
        <v>0</v>
      </c>
      <c r="O16" s="75">
        <v>59.69</v>
      </c>
      <c r="P16" s="75">
        <v>80.599999999999994</v>
      </c>
      <c r="Q16" s="75">
        <v>0</v>
      </c>
      <c r="R16" s="75">
        <v>0</v>
      </c>
      <c r="S16" s="75">
        <v>0.01</v>
      </c>
      <c r="T16" s="75">
        <v>1487.4</v>
      </c>
      <c r="U16" s="75">
        <v>1512.6</v>
      </c>
      <c r="V16" s="75">
        <v>59.39</v>
      </c>
      <c r="W16" s="75">
        <v>106.9</v>
      </c>
      <c r="X16" s="75">
        <v>335.17</v>
      </c>
      <c r="Y16" s="75">
        <v>256.14</v>
      </c>
      <c r="Z16" s="75">
        <v>60</v>
      </c>
      <c r="AA16" s="75">
        <v>27.03</v>
      </c>
      <c r="AB16" s="75">
        <v>501.46</v>
      </c>
      <c r="AC16" s="75">
        <v>169.68</v>
      </c>
      <c r="AD16" s="75">
        <v>222.21</v>
      </c>
      <c r="AE16" s="75">
        <v>110</v>
      </c>
      <c r="AF16" s="75">
        <f t="shared" si="0"/>
        <v>164.27554484722373</v>
      </c>
      <c r="AG16" s="70">
        <f t="shared" si="1"/>
        <v>2859.7</v>
      </c>
      <c r="AH16" s="70">
        <f t="shared" si="2"/>
        <v>57.193999999999996</v>
      </c>
      <c r="AI16" s="70">
        <f t="shared" si="3"/>
        <v>2916.8939999999998</v>
      </c>
      <c r="AJ16" s="70">
        <f t="shared" si="4"/>
        <v>1257.1200000000001</v>
      </c>
      <c r="AK16" s="70">
        <f t="shared" si="5"/>
        <v>60</v>
      </c>
      <c r="AL16" s="70">
        <f t="shared" si="6"/>
        <v>4234.0140000000001</v>
      </c>
      <c r="AM16" s="70">
        <f t="shared" si="7"/>
        <v>677.44224000000008</v>
      </c>
      <c r="AN16" s="70">
        <f t="shared" si="8"/>
        <v>4911.4562400000004</v>
      </c>
    </row>
    <row r="17" spans="1:40" s="75" customFormat="1" ht="15" x14ac:dyDescent="0.25">
      <c r="A17" s="75" t="s">
        <v>279</v>
      </c>
      <c r="B17" s="75" t="s">
        <v>280</v>
      </c>
      <c r="C17" s="75">
        <v>15</v>
      </c>
      <c r="D17" s="75">
        <v>0</v>
      </c>
      <c r="E17" s="75">
        <v>333.33</v>
      </c>
      <c r="F17" s="75">
        <v>353.5</v>
      </c>
      <c r="G17" s="75">
        <v>4999.95</v>
      </c>
      <c r="H17" s="75">
        <v>0</v>
      </c>
      <c r="I17" s="75">
        <v>0</v>
      </c>
      <c r="J17" s="75">
        <v>4999.95</v>
      </c>
      <c r="K17" s="75">
        <v>0</v>
      </c>
      <c r="L17" s="75">
        <v>0</v>
      </c>
      <c r="M17" s="75">
        <v>0</v>
      </c>
      <c r="N17" s="75">
        <v>0</v>
      </c>
      <c r="O17" s="75">
        <v>461.63</v>
      </c>
      <c r="P17" s="75">
        <v>140.72999999999999</v>
      </c>
      <c r="Q17" s="75">
        <v>0</v>
      </c>
      <c r="R17" s="75">
        <v>0</v>
      </c>
      <c r="S17" s="75">
        <v>-0.01</v>
      </c>
      <c r="T17" s="75">
        <v>602.35</v>
      </c>
      <c r="U17" s="75">
        <v>4397.6000000000004</v>
      </c>
      <c r="V17" s="75">
        <v>98.98</v>
      </c>
      <c r="W17" s="75">
        <v>178.16</v>
      </c>
      <c r="X17" s="75">
        <v>392.36</v>
      </c>
      <c r="Y17" s="75">
        <v>301.39</v>
      </c>
      <c r="Z17" s="75">
        <v>100</v>
      </c>
      <c r="AA17" s="75">
        <v>45.05</v>
      </c>
      <c r="AB17" s="75">
        <v>669.5</v>
      </c>
      <c r="AC17" s="75">
        <v>282.8</v>
      </c>
      <c r="AD17" s="75">
        <v>244.83</v>
      </c>
      <c r="AE17" s="75">
        <v>110</v>
      </c>
      <c r="AF17" s="75">
        <f t="shared" si="0"/>
        <v>273.78983681962541</v>
      </c>
      <c r="AG17" s="70">
        <f t="shared" si="1"/>
        <v>4397.6000000000004</v>
      </c>
      <c r="AH17" s="70">
        <f t="shared" si="2"/>
        <v>87.952000000000012</v>
      </c>
      <c r="AI17" s="70">
        <f t="shared" si="3"/>
        <v>4485.5520000000006</v>
      </c>
      <c r="AJ17" s="70">
        <f t="shared" si="4"/>
        <v>1684.2999999999997</v>
      </c>
      <c r="AK17" s="70">
        <f t="shared" si="5"/>
        <v>99.998999999999995</v>
      </c>
      <c r="AL17" s="70">
        <f t="shared" si="6"/>
        <v>6269.8510000000006</v>
      </c>
      <c r="AM17" s="70">
        <f t="shared" si="7"/>
        <v>1003.1761600000001</v>
      </c>
      <c r="AN17" s="70">
        <f t="shared" si="8"/>
        <v>7273.0271600000005</v>
      </c>
    </row>
    <row r="18" spans="1:40" s="75" customFormat="1" ht="15" x14ac:dyDescent="0.25">
      <c r="A18" s="75" t="s">
        <v>301</v>
      </c>
      <c r="B18" s="75" t="s">
        <v>302</v>
      </c>
      <c r="C18" s="75">
        <v>15</v>
      </c>
      <c r="D18" s="75">
        <v>0</v>
      </c>
      <c r="E18" s="75">
        <v>233.33</v>
      </c>
      <c r="F18" s="75">
        <v>247.45</v>
      </c>
      <c r="G18" s="75">
        <v>3499.95</v>
      </c>
      <c r="H18" s="75">
        <v>0</v>
      </c>
      <c r="I18" s="75">
        <v>0</v>
      </c>
      <c r="J18" s="75">
        <v>3499.95</v>
      </c>
      <c r="K18" s="75">
        <v>0</v>
      </c>
      <c r="L18" s="75">
        <v>0</v>
      </c>
      <c r="M18" s="75">
        <v>0</v>
      </c>
      <c r="N18" s="75">
        <v>0</v>
      </c>
      <c r="O18" s="75">
        <v>134.36000000000001</v>
      </c>
      <c r="P18" s="75">
        <v>94.03</v>
      </c>
      <c r="Q18" s="75">
        <v>0</v>
      </c>
      <c r="R18" s="75">
        <v>0</v>
      </c>
      <c r="S18" s="76">
        <v>-0.04</v>
      </c>
      <c r="T18" s="75">
        <v>228.35</v>
      </c>
      <c r="U18" s="75">
        <v>3271.6</v>
      </c>
      <c r="V18" s="75">
        <v>69.28</v>
      </c>
      <c r="W18" s="75">
        <v>124.71</v>
      </c>
      <c r="X18" s="75">
        <v>345.06</v>
      </c>
      <c r="Y18" s="75">
        <v>267.45000000000005</v>
      </c>
      <c r="Z18" s="75">
        <v>70</v>
      </c>
      <c r="AA18" s="75">
        <v>31.54</v>
      </c>
      <c r="AB18" s="75">
        <v>539.04999999999995</v>
      </c>
      <c r="AC18" s="75">
        <v>197.96</v>
      </c>
      <c r="AD18" s="75">
        <v>227.86</v>
      </c>
      <c r="AE18" s="75">
        <v>110</v>
      </c>
      <c r="AF18" s="75">
        <f t="shared" si="0"/>
        <v>191.65206439601357</v>
      </c>
      <c r="AG18" s="70">
        <f t="shared" si="1"/>
        <v>3271.6</v>
      </c>
      <c r="AH18" s="70">
        <f t="shared" si="2"/>
        <v>65.432000000000002</v>
      </c>
      <c r="AI18" s="70">
        <f t="shared" si="3"/>
        <v>3337.0319999999997</v>
      </c>
      <c r="AJ18" s="70">
        <f t="shared" si="4"/>
        <v>1357.8899999999999</v>
      </c>
      <c r="AK18" s="70">
        <f t="shared" si="5"/>
        <v>69.998999999999995</v>
      </c>
      <c r="AL18" s="70">
        <f t="shared" si="6"/>
        <v>4764.9209999999994</v>
      </c>
      <c r="AM18" s="70">
        <f t="shared" si="7"/>
        <v>762.38735999999994</v>
      </c>
      <c r="AN18" s="70">
        <f t="shared" si="8"/>
        <v>5527.3083599999991</v>
      </c>
    </row>
    <row r="19" spans="1:40" s="75" customFormat="1" ht="15" x14ac:dyDescent="0.25">
      <c r="A19" s="75" t="s">
        <v>104</v>
      </c>
      <c r="B19" s="75" t="s">
        <v>105</v>
      </c>
      <c r="C19" s="75">
        <v>15</v>
      </c>
      <c r="D19" s="75">
        <v>0</v>
      </c>
      <c r="E19" s="75">
        <v>200</v>
      </c>
      <c r="F19" s="75">
        <v>212.1</v>
      </c>
      <c r="G19" s="75">
        <v>3000</v>
      </c>
      <c r="H19" s="75">
        <v>0</v>
      </c>
      <c r="I19" s="75">
        <v>0</v>
      </c>
      <c r="J19" s="75">
        <v>3000</v>
      </c>
      <c r="K19" s="75">
        <v>0</v>
      </c>
      <c r="L19" s="75">
        <v>0</v>
      </c>
      <c r="M19" s="75">
        <v>0</v>
      </c>
      <c r="N19" s="75">
        <v>0</v>
      </c>
      <c r="O19" s="75">
        <v>59.69</v>
      </c>
      <c r="P19" s="75">
        <v>80.599999999999994</v>
      </c>
      <c r="Q19" s="75">
        <v>600</v>
      </c>
      <c r="R19" s="75">
        <v>0</v>
      </c>
      <c r="S19" s="76">
        <v>-0.09</v>
      </c>
      <c r="T19" s="75">
        <v>740.2</v>
      </c>
      <c r="U19" s="75">
        <v>2259.8000000000002</v>
      </c>
      <c r="V19" s="75">
        <v>59.39</v>
      </c>
      <c r="W19" s="75">
        <v>106.9</v>
      </c>
      <c r="X19" s="75">
        <v>335.17</v>
      </c>
      <c r="Y19" s="75">
        <v>256.14</v>
      </c>
      <c r="Z19" s="75">
        <v>60</v>
      </c>
      <c r="AA19" s="75">
        <v>27.03</v>
      </c>
      <c r="AB19" s="75">
        <v>501.46</v>
      </c>
      <c r="AC19" s="75">
        <v>169.68</v>
      </c>
      <c r="AD19" s="75">
        <v>222.21</v>
      </c>
      <c r="AE19" s="75">
        <v>110</v>
      </c>
      <c r="AF19" s="75">
        <f t="shared" si="0"/>
        <v>164.27554484722373</v>
      </c>
      <c r="AG19" s="70">
        <f t="shared" si="1"/>
        <v>2859.8</v>
      </c>
      <c r="AH19" s="70">
        <f t="shared" si="2"/>
        <v>57.196000000000005</v>
      </c>
      <c r="AI19" s="70">
        <f t="shared" si="3"/>
        <v>2916.9960000000001</v>
      </c>
      <c r="AJ19" s="70">
        <f t="shared" si="4"/>
        <v>1257.1200000000001</v>
      </c>
      <c r="AK19" s="70">
        <f t="shared" si="5"/>
        <v>60</v>
      </c>
      <c r="AL19" s="70">
        <f t="shared" si="6"/>
        <v>4234.116</v>
      </c>
      <c r="AM19" s="70">
        <f t="shared" si="7"/>
        <v>677.45856000000003</v>
      </c>
      <c r="AN19" s="70">
        <f t="shared" si="8"/>
        <v>4911.57456</v>
      </c>
    </row>
    <row r="20" spans="1:40" s="75" customFormat="1" ht="15" x14ac:dyDescent="0.25">
      <c r="A20" s="75" t="s">
        <v>166</v>
      </c>
      <c r="B20" s="75" t="s">
        <v>167</v>
      </c>
      <c r="C20" s="75">
        <v>15</v>
      </c>
      <c r="D20" s="75">
        <v>0</v>
      </c>
      <c r="E20" s="75">
        <v>266.67</v>
      </c>
      <c r="F20" s="75">
        <v>282.81</v>
      </c>
      <c r="G20" s="75">
        <v>4000.05</v>
      </c>
      <c r="H20" s="75">
        <v>0</v>
      </c>
      <c r="I20" s="75">
        <v>0</v>
      </c>
      <c r="J20" s="75">
        <v>4000.05</v>
      </c>
      <c r="K20" s="75">
        <v>0</v>
      </c>
      <c r="L20" s="75">
        <v>0</v>
      </c>
      <c r="M20" s="75">
        <v>0</v>
      </c>
      <c r="N20" s="75">
        <v>0</v>
      </c>
      <c r="O20" s="75">
        <v>313.87</v>
      </c>
      <c r="P20" s="75">
        <v>109.35</v>
      </c>
      <c r="Q20" s="75">
        <v>0</v>
      </c>
      <c r="R20" s="113">
        <v>1666.67</v>
      </c>
      <c r="S20" s="76">
        <v>-0.04</v>
      </c>
      <c r="T20" s="75">
        <v>2089.85</v>
      </c>
      <c r="U20" s="75">
        <v>1910.2</v>
      </c>
      <c r="V20" s="75">
        <v>79.19</v>
      </c>
      <c r="W20" s="75">
        <v>142.54</v>
      </c>
      <c r="X20" s="75">
        <v>360.12</v>
      </c>
      <c r="Y20" s="75">
        <v>278.77</v>
      </c>
      <c r="Z20" s="75">
        <v>80</v>
      </c>
      <c r="AA20" s="75">
        <v>36.049999999999997</v>
      </c>
      <c r="AB20" s="75">
        <v>581.85</v>
      </c>
      <c r="AC20" s="75">
        <v>226.25</v>
      </c>
      <c r="AD20" s="75">
        <v>233.52</v>
      </c>
      <c r="AE20" s="75">
        <v>110</v>
      </c>
      <c r="AF20" s="75">
        <f t="shared" si="0"/>
        <v>219.03679772204578</v>
      </c>
      <c r="AG20" s="70">
        <f t="shared" si="1"/>
        <v>3576.87</v>
      </c>
      <c r="AH20" s="70">
        <f t="shared" si="2"/>
        <v>71.537400000000005</v>
      </c>
      <c r="AI20" s="70">
        <f t="shared" si="3"/>
        <v>3648.4074000000001</v>
      </c>
      <c r="AJ20" s="70">
        <f t="shared" si="4"/>
        <v>1465.79</v>
      </c>
      <c r="AK20" s="70">
        <f t="shared" si="5"/>
        <v>80.001000000000005</v>
      </c>
      <c r="AL20" s="70">
        <f t="shared" si="6"/>
        <v>5194.1984000000002</v>
      </c>
      <c r="AM20" s="70">
        <f t="shared" si="7"/>
        <v>831.07174400000008</v>
      </c>
      <c r="AN20" s="70">
        <f t="shared" si="8"/>
        <v>6025.2701440000001</v>
      </c>
    </row>
    <row r="21" spans="1:40" s="75" customFormat="1" ht="15" x14ac:dyDescent="0.25">
      <c r="A21" s="75" t="s">
        <v>150</v>
      </c>
      <c r="B21" s="75" t="s">
        <v>151</v>
      </c>
      <c r="C21" s="75">
        <v>12</v>
      </c>
      <c r="D21" s="75">
        <v>3</v>
      </c>
      <c r="E21" s="75">
        <v>166.67</v>
      </c>
      <c r="F21" s="75">
        <v>174.2</v>
      </c>
      <c r="G21" s="75">
        <v>2000.04</v>
      </c>
      <c r="H21" s="75">
        <v>500.01</v>
      </c>
      <c r="I21" s="75">
        <v>150</v>
      </c>
      <c r="J21" s="75">
        <v>2650.05</v>
      </c>
      <c r="K21" s="75">
        <v>0</v>
      </c>
      <c r="L21" s="75">
        <v>0</v>
      </c>
      <c r="M21" s="75">
        <v>0</v>
      </c>
      <c r="N21" s="76">
        <v>-9.6199999999999992</v>
      </c>
      <c r="O21" s="75">
        <v>0</v>
      </c>
      <c r="P21" s="75">
        <v>66.2</v>
      </c>
      <c r="Q21" s="75">
        <v>0</v>
      </c>
      <c r="R21" s="113">
        <v>337.56</v>
      </c>
      <c r="S21" s="76">
        <v>0.11</v>
      </c>
      <c r="T21" s="75">
        <v>394.25</v>
      </c>
      <c r="U21" s="75">
        <v>2255.8000000000002</v>
      </c>
      <c r="V21" s="75">
        <v>48.78</v>
      </c>
      <c r="W21" s="75">
        <v>87.8</v>
      </c>
      <c r="X21" s="75">
        <v>324.56</v>
      </c>
      <c r="Y21" s="75">
        <v>244.02</v>
      </c>
      <c r="Z21" s="75">
        <v>53</v>
      </c>
      <c r="AA21" s="75">
        <v>22.2</v>
      </c>
      <c r="AB21" s="75">
        <v>461.14</v>
      </c>
      <c r="AC21" s="75">
        <v>139.36000000000001</v>
      </c>
      <c r="AD21" s="75">
        <v>216.14000000000001</v>
      </c>
      <c r="AE21" s="75">
        <v>110</v>
      </c>
      <c r="AF21" s="75">
        <f t="shared" si="0"/>
        <v>136.89902529843388</v>
      </c>
      <c r="AG21" s="70">
        <f t="shared" si="1"/>
        <v>2593.36</v>
      </c>
      <c r="AH21" s="70">
        <f t="shared" si="2"/>
        <v>51.867200000000004</v>
      </c>
      <c r="AI21" s="70">
        <f t="shared" si="3"/>
        <v>2645.2272000000003</v>
      </c>
      <c r="AJ21" s="70">
        <f t="shared" si="4"/>
        <v>1149.0600000000002</v>
      </c>
      <c r="AK21" s="70">
        <f t="shared" si="5"/>
        <v>53.001000000000005</v>
      </c>
      <c r="AL21" s="70">
        <f t="shared" si="6"/>
        <v>3847.2882000000009</v>
      </c>
      <c r="AM21" s="70">
        <f t="shared" si="7"/>
        <v>615.5661120000002</v>
      </c>
      <c r="AN21" s="70">
        <f t="shared" si="8"/>
        <v>4462.8543120000013</v>
      </c>
    </row>
    <row r="22" spans="1:40" s="75" customFormat="1" ht="15" x14ac:dyDescent="0.25">
      <c r="A22" s="75" t="s">
        <v>362</v>
      </c>
      <c r="B22" s="75" t="s">
        <v>260</v>
      </c>
      <c r="C22" s="75">
        <v>15</v>
      </c>
      <c r="D22" s="75">
        <v>0</v>
      </c>
      <c r="E22" s="75">
        <v>275</v>
      </c>
      <c r="F22" s="75">
        <v>287.43</v>
      </c>
      <c r="G22" s="75">
        <v>4125</v>
      </c>
      <c r="H22" s="75">
        <v>0</v>
      </c>
      <c r="I22" s="75">
        <v>0</v>
      </c>
      <c r="J22" s="75">
        <v>4125</v>
      </c>
      <c r="K22" s="75">
        <v>0</v>
      </c>
      <c r="L22" s="75">
        <v>0</v>
      </c>
      <c r="M22" s="75">
        <v>0</v>
      </c>
      <c r="N22" s="75">
        <v>0</v>
      </c>
      <c r="O22" s="75">
        <v>327.47000000000003</v>
      </c>
      <c r="P22" s="75">
        <v>111.4</v>
      </c>
      <c r="Q22" s="75">
        <v>0</v>
      </c>
      <c r="R22" s="75">
        <v>0</v>
      </c>
      <c r="S22" s="76">
        <v>-7.0000000000000007E-2</v>
      </c>
      <c r="T22" s="75">
        <v>438.8</v>
      </c>
      <c r="U22" s="75">
        <v>3686.2</v>
      </c>
      <c r="V22" s="75">
        <v>80.48</v>
      </c>
      <c r="W22" s="75">
        <v>144.87</v>
      </c>
      <c r="X22" s="75">
        <v>362.24</v>
      </c>
      <c r="Y22" s="75">
        <v>280.25</v>
      </c>
      <c r="Z22" s="75">
        <v>82.5</v>
      </c>
      <c r="AA22" s="75">
        <v>36.630000000000003</v>
      </c>
      <c r="AB22" s="75">
        <v>587.59</v>
      </c>
      <c r="AC22" s="75">
        <v>229.95</v>
      </c>
      <c r="AD22" s="75">
        <v>234.26000000000002</v>
      </c>
      <c r="AE22" s="75">
        <v>110</v>
      </c>
      <c r="AF22" s="75">
        <f t="shared" si="0"/>
        <v>225.87887416493263</v>
      </c>
      <c r="AG22" s="70">
        <f t="shared" si="1"/>
        <v>3686.2</v>
      </c>
      <c r="AH22" s="70">
        <f t="shared" si="2"/>
        <v>73.724000000000004</v>
      </c>
      <c r="AI22" s="70">
        <f t="shared" si="3"/>
        <v>3759.924</v>
      </c>
      <c r="AJ22" s="70">
        <f t="shared" si="4"/>
        <v>1480.08</v>
      </c>
      <c r="AK22" s="70">
        <f t="shared" si="5"/>
        <v>82.5</v>
      </c>
      <c r="AL22" s="70">
        <f t="shared" si="6"/>
        <v>5322.5039999999999</v>
      </c>
      <c r="AM22" s="70">
        <f t="shared" si="7"/>
        <v>851.60064</v>
      </c>
      <c r="AN22" s="70">
        <f t="shared" si="8"/>
        <v>6174.1046399999996</v>
      </c>
    </row>
    <row r="23" spans="1:40" s="75" customFormat="1" ht="15" x14ac:dyDescent="0.25">
      <c r="A23" s="75" t="s">
        <v>288</v>
      </c>
      <c r="B23" s="75" t="s">
        <v>289</v>
      </c>
      <c r="C23" s="75">
        <v>15</v>
      </c>
      <c r="D23" s="75">
        <v>0</v>
      </c>
      <c r="E23" s="75">
        <v>266.67</v>
      </c>
      <c r="F23" s="75">
        <v>282.81</v>
      </c>
      <c r="G23" s="75">
        <v>4000.05</v>
      </c>
      <c r="H23" s="75">
        <v>0</v>
      </c>
      <c r="I23" s="75">
        <v>0</v>
      </c>
      <c r="J23" s="75">
        <v>4000.05</v>
      </c>
      <c r="K23" s="75">
        <v>0</v>
      </c>
      <c r="L23" s="75">
        <v>0</v>
      </c>
      <c r="M23" s="75">
        <v>0</v>
      </c>
      <c r="N23" s="75">
        <v>0</v>
      </c>
      <c r="O23" s="75">
        <v>313.87</v>
      </c>
      <c r="P23" s="75">
        <v>109.35</v>
      </c>
      <c r="Q23" s="75">
        <v>0</v>
      </c>
      <c r="R23" s="75">
        <v>0</v>
      </c>
      <c r="S23" s="76">
        <v>-0.17</v>
      </c>
      <c r="T23" s="75">
        <v>423.05</v>
      </c>
      <c r="U23" s="75">
        <v>3577</v>
      </c>
      <c r="V23" s="75">
        <v>79.19</v>
      </c>
      <c r="W23" s="75">
        <v>142.54</v>
      </c>
      <c r="X23" s="75">
        <v>360.12</v>
      </c>
      <c r="Y23" s="75">
        <v>278.77</v>
      </c>
      <c r="Z23" s="75">
        <v>80</v>
      </c>
      <c r="AA23" s="75">
        <v>36.049999999999997</v>
      </c>
      <c r="AB23" s="75">
        <v>581.85</v>
      </c>
      <c r="AC23" s="75">
        <v>226.25</v>
      </c>
      <c r="AD23" s="75">
        <v>233.52</v>
      </c>
      <c r="AE23" s="75">
        <v>110</v>
      </c>
      <c r="AF23" s="75">
        <f t="shared" si="0"/>
        <v>219.03679772204578</v>
      </c>
      <c r="AG23" s="70">
        <f t="shared" si="1"/>
        <v>3577</v>
      </c>
      <c r="AH23" s="70">
        <f t="shared" si="2"/>
        <v>71.540000000000006</v>
      </c>
      <c r="AI23" s="70">
        <f t="shared" si="3"/>
        <v>3648.54</v>
      </c>
      <c r="AJ23" s="70">
        <f t="shared" si="4"/>
        <v>1465.79</v>
      </c>
      <c r="AK23" s="70">
        <f t="shared" si="5"/>
        <v>80.001000000000005</v>
      </c>
      <c r="AL23" s="70">
        <f t="shared" si="6"/>
        <v>5194.3310000000001</v>
      </c>
      <c r="AM23" s="70">
        <f t="shared" si="7"/>
        <v>831.09296000000006</v>
      </c>
      <c r="AN23" s="70">
        <f t="shared" si="8"/>
        <v>6025.4239600000001</v>
      </c>
    </row>
    <row r="24" spans="1:40" s="75" customFormat="1" ht="15" x14ac:dyDescent="0.25">
      <c r="A24" s="75" t="s">
        <v>231</v>
      </c>
      <c r="B24" s="75" t="s">
        <v>232</v>
      </c>
      <c r="C24" s="75">
        <v>15</v>
      </c>
      <c r="D24" s="75">
        <v>0</v>
      </c>
      <c r="E24" s="75">
        <v>266.67</v>
      </c>
      <c r="F24" s="75">
        <v>282.81</v>
      </c>
      <c r="G24" s="75">
        <v>4000.05</v>
      </c>
      <c r="H24" s="75">
        <v>0</v>
      </c>
      <c r="I24" s="75">
        <v>0</v>
      </c>
      <c r="J24" s="75">
        <v>4000.05</v>
      </c>
      <c r="K24" s="75">
        <v>0</v>
      </c>
      <c r="L24" s="75">
        <v>0</v>
      </c>
      <c r="M24" s="75">
        <v>0</v>
      </c>
      <c r="N24" s="75">
        <v>0</v>
      </c>
      <c r="O24" s="75">
        <v>313.87</v>
      </c>
      <c r="P24" s="75">
        <v>109.35</v>
      </c>
      <c r="Q24" s="75">
        <v>0</v>
      </c>
      <c r="R24" s="75">
        <v>0</v>
      </c>
      <c r="S24" s="76">
        <v>0.03</v>
      </c>
      <c r="T24" s="75">
        <v>423.25</v>
      </c>
      <c r="U24" s="75">
        <v>3576.8</v>
      </c>
      <c r="V24" s="75">
        <v>79.19</v>
      </c>
      <c r="W24" s="75">
        <v>142.54</v>
      </c>
      <c r="X24" s="75">
        <v>360.12</v>
      </c>
      <c r="Y24" s="75">
        <v>278.77</v>
      </c>
      <c r="Z24" s="75">
        <v>80</v>
      </c>
      <c r="AA24" s="75">
        <v>36.049999999999997</v>
      </c>
      <c r="AB24" s="75">
        <v>581.85</v>
      </c>
      <c r="AC24" s="75">
        <v>226.25</v>
      </c>
      <c r="AD24" s="75">
        <v>233.52</v>
      </c>
      <c r="AE24" s="75">
        <v>110</v>
      </c>
      <c r="AF24" s="75">
        <f t="shared" si="0"/>
        <v>219.03679772204578</v>
      </c>
      <c r="AG24" s="70">
        <f t="shared" si="1"/>
        <v>3576.8</v>
      </c>
      <c r="AH24" s="70">
        <f t="shared" si="2"/>
        <v>71.536000000000001</v>
      </c>
      <c r="AI24" s="70">
        <f t="shared" si="3"/>
        <v>3648.3360000000002</v>
      </c>
      <c r="AJ24" s="70">
        <f t="shared" si="4"/>
        <v>1465.79</v>
      </c>
      <c r="AK24" s="70">
        <f t="shared" si="5"/>
        <v>80.001000000000005</v>
      </c>
      <c r="AL24" s="70">
        <f t="shared" si="6"/>
        <v>5194.1270000000004</v>
      </c>
      <c r="AM24" s="70">
        <f t="shared" si="7"/>
        <v>831.06032000000005</v>
      </c>
      <c r="AN24" s="70">
        <f t="shared" si="8"/>
        <v>6025.1873200000009</v>
      </c>
    </row>
    <row r="25" spans="1:40" s="75" customFormat="1" ht="15" x14ac:dyDescent="0.25">
      <c r="A25" s="75" t="s">
        <v>218</v>
      </c>
      <c r="B25" s="75" t="s">
        <v>219</v>
      </c>
      <c r="C25" s="75">
        <v>15</v>
      </c>
      <c r="D25" s="75">
        <v>0</v>
      </c>
      <c r="E25" s="75">
        <v>466.67</v>
      </c>
      <c r="F25" s="75">
        <v>494.92</v>
      </c>
      <c r="G25" s="75">
        <v>7000.05</v>
      </c>
      <c r="H25" s="75">
        <v>0</v>
      </c>
      <c r="I25" s="75">
        <v>0</v>
      </c>
      <c r="J25" s="75">
        <v>7000.05</v>
      </c>
      <c r="K25" s="75">
        <v>0</v>
      </c>
      <c r="L25" s="75">
        <v>0</v>
      </c>
      <c r="M25" s="75">
        <v>0</v>
      </c>
      <c r="N25" s="75">
        <v>0</v>
      </c>
      <c r="O25" s="75">
        <v>856.99</v>
      </c>
      <c r="P25" s="75">
        <v>203.53</v>
      </c>
      <c r="Q25" s="75">
        <v>0</v>
      </c>
      <c r="R25" s="75">
        <v>0</v>
      </c>
      <c r="S25" s="75">
        <v>-7.0000000000000007E-2</v>
      </c>
      <c r="T25" s="75">
        <v>1060.45</v>
      </c>
      <c r="U25" s="75">
        <v>5939.6</v>
      </c>
      <c r="V25" s="75">
        <v>138.58000000000001</v>
      </c>
      <c r="W25" s="75">
        <v>249.44</v>
      </c>
      <c r="X25" s="75">
        <v>456.86</v>
      </c>
      <c r="Y25" s="75">
        <v>346.64</v>
      </c>
      <c r="Z25" s="75">
        <v>140</v>
      </c>
      <c r="AA25" s="75">
        <v>63.08</v>
      </c>
      <c r="AB25" s="75">
        <v>844.88</v>
      </c>
      <c r="AC25" s="75">
        <v>395.94</v>
      </c>
      <c r="AD25" s="75">
        <v>267.46000000000004</v>
      </c>
      <c r="AE25" s="75">
        <v>110</v>
      </c>
      <c r="AF25" s="75">
        <f t="shared" si="0"/>
        <v>383.3123425692695</v>
      </c>
      <c r="AG25" s="70">
        <f t="shared" si="1"/>
        <v>5939.6</v>
      </c>
      <c r="AH25" s="70">
        <f t="shared" si="2"/>
        <v>118.79200000000002</v>
      </c>
      <c r="AI25" s="70">
        <f t="shared" si="3"/>
        <v>6058.3920000000007</v>
      </c>
      <c r="AJ25" s="70">
        <f t="shared" si="4"/>
        <v>2121.5299999999997</v>
      </c>
      <c r="AK25" s="70">
        <f t="shared" si="5"/>
        <v>140.001</v>
      </c>
      <c r="AL25" s="70">
        <f t="shared" si="6"/>
        <v>8319.9230000000007</v>
      </c>
      <c r="AM25" s="70">
        <f t="shared" si="7"/>
        <v>1331.1876800000002</v>
      </c>
      <c r="AN25" s="70">
        <f t="shared" si="8"/>
        <v>9651.1106800000016</v>
      </c>
    </row>
    <row r="26" spans="1:40" s="75" customFormat="1" ht="15" x14ac:dyDescent="0.25">
      <c r="A26" s="75" t="s">
        <v>72</v>
      </c>
      <c r="B26" s="75" t="s">
        <v>139</v>
      </c>
      <c r="C26" s="75">
        <v>15</v>
      </c>
      <c r="D26" s="75">
        <v>0</v>
      </c>
      <c r="E26" s="75">
        <v>466.67</v>
      </c>
      <c r="F26" s="75">
        <v>494.92</v>
      </c>
      <c r="G26" s="75">
        <v>7000.05</v>
      </c>
      <c r="H26" s="75">
        <v>0</v>
      </c>
      <c r="I26" s="75">
        <v>0</v>
      </c>
      <c r="J26" s="75">
        <v>7000.05</v>
      </c>
      <c r="K26" s="75">
        <v>0</v>
      </c>
      <c r="L26" s="75">
        <v>0</v>
      </c>
      <c r="M26" s="75">
        <v>0</v>
      </c>
      <c r="N26" s="75">
        <v>0</v>
      </c>
      <c r="O26" s="75">
        <v>856.99</v>
      </c>
      <c r="P26" s="75">
        <v>203.53</v>
      </c>
      <c r="Q26" s="75">
        <v>0</v>
      </c>
      <c r="R26" s="75">
        <v>0</v>
      </c>
      <c r="S26" s="75">
        <v>-7.0000000000000007E-2</v>
      </c>
      <c r="T26" s="75">
        <v>1060.45</v>
      </c>
      <c r="U26" s="75">
        <v>5939.6</v>
      </c>
      <c r="V26" s="75">
        <v>138.58000000000001</v>
      </c>
      <c r="W26" s="75">
        <v>249.44</v>
      </c>
      <c r="X26" s="75">
        <v>456.86</v>
      </c>
      <c r="Y26" s="75">
        <v>346.64</v>
      </c>
      <c r="Z26" s="75">
        <v>140</v>
      </c>
      <c r="AA26" s="75">
        <v>63.08</v>
      </c>
      <c r="AB26" s="75">
        <v>844.88</v>
      </c>
      <c r="AC26" s="75">
        <v>395.94</v>
      </c>
      <c r="AD26" s="75">
        <v>267.46000000000004</v>
      </c>
      <c r="AE26" s="75">
        <v>110</v>
      </c>
      <c r="AF26" s="75">
        <f t="shared" si="0"/>
        <v>383.3123425692695</v>
      </c>
      <c r="AG26" s="70">
        <f t="shared" si="1"/>
        <v>5939.6</v>
      </c>
      <c r="AH26" s="70">
        <f t="shared" si="2"/>
        <v>118.79200000000002</v>
      </c>
      <c r="AI26" s="70">
        <f t="shared" si="3"/>
        <v>6058.3920000000007</v>
      </c>
      <c r="AJ26" s="70">
        <f t="shared" si="4"/>
        <v>2121.5299999999997</v>
      </c>
      <c r="AK26" s="70">
        <f t="shared" si="5"/>
        <v>140.001</v>
      </c>
      <c r="AL26" s="70">
        <f t="shared" si="6"/>
        <v>8319.9230000000007</v>
      </c>
      <c r="AM26" s="70">
        <f t="shared" si="7"/>
        <v>1331.1876800000002</v>
      </c>
      <c r="AN26" s="70">
        <f t="shared" si="8"/>
        <v>9651.1106800000016</v>
      </c>
    </row>
    <row r="27" spans="1:40" s="75" customFormat="1" ht="15" x14ac:dyDescent="0.25">
      <c r="A27" s="75" t="s">
        <v>124</v>
      </c>
      <c r="B27" s="75" t="s">
        <v>125</v>
      </c>
      <c r="C27" s="75">
        <v>15</v>
      </c>
      <c r="D27" s="75">
        <v>0</v>
      </c>
      <c r="E27" s="75">
        <v>200</v>
      </c>
      <c r="F27" s="75">
        <v>212.11</v>
      </c>
      <c r="G27" s="75">
        <v>3000</v>
      </c>
      <c r="H27" s="75">
        <v>0</v>
      </c>
      <c r="I27" s="75">
        <v>0</v>
      </c>
      <c r="J27" s="75">
        <v>3000</v>
      </c>
      <c r="K27" s="75">
        <v>0</v>
      </c>
      <c r="L27" s="75">
        <v>0</v>
      </c>
      <c r="M27" s="75">
        <v>0</v>
      </c>
      <c r="N27" s="75">
        <v>0</v>
      </c>
      <c r="O27" s="75">
        <v>59.69</v>
      </c>
      <c r="P27" s="75">
        <v>80.599999999999994</v>
      </c>
      <c r="Q27" s="75">
        <v>0</v>
      </c>
      <c r="R27" s="75">
        <v>0</v>
      </c>
      <c r="S27" s="75">
        <v>0.11</v>
      </c>
      <c r="T27" s="75">
        <v>140.4</v>
      </c>
      <c r="U27" s="75">
        <v>2859.6</v>
      </c>
      <c r="V27" s="75">
        <v>59.39</v>
      </c>
      <c r="W27" s="75">
        <v>106.9</v>
      </c>
      <c r="X27" s="75">
        <v>335.17</v>
      </c>
      <c r="Y27" s="75">
        <v>256.14999999999998</v>
      </c>
      <c r="Z27" s="75">
        <v>60</v>
      </c>
      <c r="AA27" s="75">
        <v>27.03</v>
      </c>
      <c r="AB27" s="75">
        <v>501.46</v>
      </c>
      <c r="AC27" s="75">
        <v>169.69</v>
      </c>
      <c r="AD27" s="75">
        <v>222.21</v>
      </c>
      <c r="AE27" s="75">
        <v>110</v>
      </c>
      <c r="AF27" s="75">
        <f t="shared" si="0"/>
        <v>164.27554484722373</v>
      </c>
      <c r="AG27" s="70">
        <f t="shared" si="1"/>
        <v>2859.6</v>
      </c>
      <c r="AH27" s="70">
        <f t="shared" si="2"/>
        <v>57.192</v>
      </c>
      <c r="AI27" s="70">
        <f t="shared" si="3"/>
        <v>2916.7919999999999</v>
      </c>
      <c r="AJ27" s="70">
        <f t="shared" si="4"/>
        <v>1257.1400000000001</v>
      </c>
      <c r="AK27" s="70">
        <f t="shared" si="5"/>
        <v>60</v>
      </c>
      <c r="AL27" s="70">
        <f t="shared" si="6"/>
        <v>4233.9319999999998</v>
      </c>
      <c r="AM27" s="70">
        <f t="shared" si="7"/>
        <v>677.42912000000001</v>
      </c>
      <c r="AN27" s="70">
        <f t="shared" si="8"/>
        <v>4911.3611199999996</v>
      </c>
    </row>
    <row r="28" spans="1:40" s="75" customFormat="1" ht="15" x14ac:dyDescent="0.25">
      <c r="A28" s="75" t="s">
        <v>228</v>
      </c>
      <c r="B28" s="75" t="s">
        <v>229</v>
      </c>
      <c r="C28" s="75">
        <v>14</v>
      </c>
      <c r="D28" s="75">
        <v>1</v>
      </c>
      <c r="E28" s="75">
        <v>266.67</v>
      </c>
      <c r="F28" s="75">
        <v>282.81</v>
      </c>
      <c r="G28" s="75">
        <v>3733.38</v>
      </c>
      <c r="H28" s="75">
        <v>266.67</v>
      </c>
      <c r="I28" s="75">
        <v>80</v>
      </c>
      <c r="J28" s="75">
        <v>4080.05</v>
      </c>
      <c r="K28" s="75">
        <v>0</v>
      </c>
      <c r="L28" s="75">
        <v>0</v>
      </c>
      <c r="M28" s="75">
        <v>0</v>
      </c>
      <c r="N28" s="75">
        <v>0</v>
      </c>
      <c r="O28" s="75">
        <v>313.87</v>
      </c>
      <c r="P28" s="75">
        <v>109.35</v>
      </c>
      <c r="Q28" s="75">
        <v>0</v>
      </c>
      <c r="R28" s="113">
        <v>441</v>
      </c>
      <c r="S28" s="76">
        <v>-0.17</v>
      </c>
      <c r="T28" s="75">
        <v>864.05</v>
      </c>
      <c r="U28" s="75">
        <v>3216</v>
      </c>
      <c r="V28" s="75">
        <v>79.19</v>
      </c>
      <c r="W28" s="75">
        <v>142.54</v>
      </c>
      <c r="X28" s="75">
        <v>360.12</v>
      </c>
      <c r="Y28" s="75">
        <v>278.77</v>
      </c>
      <c r="Z28" s="75">
        <v>80</v>
      </c>
      <c r="AA28" s="75">
        <v>36.049999999999997</v>
      </c>
      <c r="AB28" s="75">
        <v>581.85</v>
      </c>
      <c r="AC28" s="75">
        <v>226.25</v>
      </c>
      <c r="AD28" s="75">
        <v>233.52</v>
      </c>
      <c r="AE28" s="75">
        <v>110</v>
      </c>
      <c r="AF28" s="75">
        <f t="shared" si="0"/>
        <v>219.03679772204578</v>
      </c>
      <c r="AG28" s="70">
        <f t="shared" si="1"/>
        <v>3657</v>
      </c>
      <c r="AH28" s="70">
        <f t="shared" si="2"/>
        <v>73.14</v>
      </c>
      <c r="AI28" s="70">
        <f t="shared" si="3"/>
        <v>3730.14</v>
      </c>
      <c r="AJ28" s="70">
        <f t="shared" si="4"/>
        <v>1465.79</v>
      </c>
      <c r="AK28" s="70">
        <f t="shared" si="5"/>
        <v>81.600999999999999</v>
      </c>
      <c r="AL28" s="70">
        <f t="shared" si="6"/>
        <v>5277.5309999999999</v>
      </c>
      <c r="AM28" s="70">
        <f t="shared" si="7"/>
        <v>844.40495999999996</v>
      </c>
      <c r="AN28" s="70">
        <f t="shared" si="8"/>
        <v>6121.9359599999998</v>
      </c>
    </row>
    <row r="29" spans="1:40" s="75" customFormat="1" ht="15" x14ac:dyDescent="0.25">
      <c r="A29" s="75" t="s">
        <v>37</v>
      </c>
      <c r="B29" s="75" t="s">
        <v>175</v>
      </c>
      <c r="C29" s="75">
        <v>15</v>
      </c>
      <c r="D29" s="75">
        <v>0</v>
      </c>
      <c r="E29" s="75">
        <v>266.67</v>
      </c>
      <c r="F29" s="75">
        <v>282.81</v>
      </c>
      <c r="G29" s="75">
        <v>4000.05</v>
      </c>
      <c r="H29" s="75">
        <v>0</v>
      </c>
      <c r="I29" s="75">
        <v>0</v>
      </c>
      <c r="J29" s="75">
        <v>4000.05</v>
      </c>
      <c r="K29" s="75">
        <v>0</v>
      </c>
      <c r="L29" s="75">
        <v>0</v>
      </c>
      <c r="M29" s="75">
        <v>0</v>
      </c>
      <c r="N29" s="75">
        <v>0</v>
      </c>
      <c r="O29" s="75">
        <v>313.87</v>
      </c>
      <c r="P29" s="75">
        <v>109.35</v>
      </c>
      <c r="Q29" s="75">
        <v>0</v>
      </c>
      <c r="R29" s="75">
        <v>0</v>
      </c>
      <c r="S29" s="76">
        <v>0.03</v>
      </c>
      <c r="T29" s="75">
        <v>423.25</v>
      </c>
      <c r="U29" s="75">
        <v>3576.8</v>
      </c>
      <c r="V29" s="75">
        <v>79.19</v>
      </c>
      <c r="W29" s="75">
        <v>142.54</v>
      </c>
      <c r="X29" s="75">
        <v>360.12</v>
      </c>
      <c r="Y29" s="75">
        <v>278.77</v>
      </c>
      <c r="Z29" s="75">
        <v>80</v>
      </c>
      <c r="AA29" s="75">
        <v>36.049999999999997</v>
      </c>
      <c r="AB29" s="75">
        <v>581.85</v>
      </c>
      <c r="AC29" s="75">
        <v>226.25</v>
      </c>
      <c r="AD29" s="75">
        <v>233.52</v>
      </c>
      <c r="AE29" s="75">
        <v>110</v>
      </c>
      <c r="AF29" s="75">
        <f t="shared" si="0"/>
        <v>219.03679772204578</v>
      </c>
      <c r="AG29" s="70">
        <f t="shared" si="1"/>
        <v>3576.8</v>
      </c>
      <c r="AH29" s="70">
        <f t="shared" si="2"/>
        <v>71.536000000000001</v>
      </c>
      <c r="AI29" s="70">
        <f t="shared" si="3"/>
        <v>3648.3360000000002</v>
      </c>
      <c r="AJ29" s="70">
        <f t="shared" si="4"/>
        <v>1465.79</v>
      </c>
      <c r="AK29" s="70">
        <f t="shared" si="5"/>
        <v>80.001000000000005</v>
      </c>
      <c r="AL29" s="70">
        <f t="shared" si="6"/>
        <v>5194.1270000000004</v>
      </c>
      <c r="AM29" s="70">
        <f t="shared" si="7"/>
        <v>831.06032000000005</v>
      </c>
      <c r="AN29" s="70">
        <f t="shared" si="8"/>
        <v>6025.1873200000009</v>
      </c>
    </row>
    <row r="30" spans="1:40" s="75" customFormat="1" ht="15" x14ac:dyDescent="0.25">
      <c r="A30" s="75" t="s">
        <v>298</v>
      </c>
      <c r="B30" s="75" t="s">
        <v>299</v>
      </c>
      <c r="C30" s="75">
        <v>15</v>
      </c>
      <c r="D30" s="75">
        <v>0</v>
      </c>
      <c r="E30" s="75">
        <v>266.67</v>
      </c>
      <c r="F30" s="75">
        <v>282.81</v>
      </c>
      <c r="G30" s="75">
        <v>4000</v>
      </c>
      <c r="H30" s="75">
        <v>0</v>
      </c>
      <c r="I30" s="75">
        <v>0</v>
      </c>
      <c r="J30" s="75">
        <v>4000</v>
      </c>
      <c r="K30" s="75">
        <v>0</v>
      </c>
      <c r="L30" s="75">
        <v>0</v>
      </c>
      <c r="M30" s="75">
        <v>0</v>
      </c>
      <c r="N30" s="75">
        <v>0</v>
      </c>
      <c r="O30" s="75">
        <v>313.87</v>
      </c>
      <c r="P30" s="75">
        <v>109.35</v>
      </c>
      <c r="Q30" s="75">
        <v>0</v>
      </c>
      <c r="R30" s="113">
        <v>250</v>
      </c>
      <c r="S30" s="75">
        <v>-0.02</v>
      </c>
      <c r="T30" s="75">
        <v>673.2</v>
      </c>
      <c r="U30" s="75">
        <v>3326.8</v>
      </c>
      <c r="V30" s="75">
        <v>79.19</v>
      </c>
      <c r="W30" s="75">
        <v>142.54</v>
      </c>
      <c r="X30" s="75">
        <v>360.13</v>
      </c>
      <c r="Y30" s="75">
        <v>278.77</v>
      </c>
      <c r="Z30" s="75">
        <v>80</v>
      </c>
      <c r="AA30" s="75">
        <v>36.049999999999997</v>
      </c>
      <c r="AB30" s="75">
        <v>581.86</v>
      </c>
      <c r="AC30" s="75">
        <v>226.25</v>
      </c>
      <c r="AD30" s="75">
        <v>233.52</v>
      </c>
      <c r="AE30" s="75">
        <v>110</v>
      </c>
      <c r="AF30" s="75">
        <f t="shared" si="0"/>
        <v>219.03679772204578</v>
      </c>
      <c r="AG30" s="70">
        <f t="shared" si="1"/>
        <v>3576.8</v>
      </c>
      <c r="AH30" s="70">
        <f t="shared" si="2"/>
        <v>71.536000000000001</v>
      </c>
      <c r="AI30" s="70">
        <f t="shared" si="3"/>
        <v>3648.3360000000002</v>
      </c>
      <c r="AJ30" s="70">
        <f t="shared" si="4"/>
        <v>1465.8</v>
      </c>
      <c r="AK30" s="70">
        <f t="shared" si="5"/>
        <v>80</v>
      </c>
      <c r="AL30" s="70">
        <f t="shared" si="6"/>
        <v>5194.1360000000004</v>
      </c>
      <c r="AM30" s="70">
        <f t="shared" si="7"/>
        <v>831.06176000000005</v>
      </c>
      <c r="AN30" s="70">
        <f t="shared" si="8"/>
        <v>6025.1977600000009</v>
      </c>
    </row>
    <row r="31" spans="1:40" s="75" customFormat="1" ht="15" x14ac:dyDescent="0.25">
      <c r="A31" s="75" t="s">
        <v>144</v>
      </c>
      <c r="B31" s="75" t="s">
        <v>145</v>
      </c>
      <c r="C31" s="75">
        <v>15</v>
      </c>
      <c r="D31" s="75">
        <v>0</v>
      </c>
      <c r="E31" s="75">
        <v>333.33</v>
      </c>
      <c r="F31" s="75">
        <v>353.52</v>
      </c>
      <c r="G31" s="75">
        <v>5000</v>
      </c>
      <c r="H31" s="75">
        <v>0</v>
      </c>
      <c r="I31" s="75">
        <v>0</v>
      </c>
      <c r="J31" s="75">
        <v>5000</v>
      </c>
      <c r="K31" s="75">
        <v>0</v>
      </c>
      <c r="L31" s="75">
        <v>0</v>
      </c>
      <c r="M31" s="75">
        <v>0</v>
      </c>
      <c r="N31" s="75">
        <v>0</v>
      </c>
      <c r="O31" s="75">
        <v>461.64</v>
      </c>
      <c r="P31" s="75">
        <v>140.72999999999999</v>
      </c>
      <c r="Q31" s="75">
        <v>0</v>
      </c>
      <c r="R31" s="75">
        <v>0</v>
      </c>
      <c r="S31" s="75">
        <v>0.03</v>
      </c>
      <c r="T31" s="75">
        <v>602.4</v>
      </c>
      <c r="U31" s="75">
        <v>4397.6000000000004</v>
      </c>
      <c r="V31" s="75">
        <v>98.98</v>
      </c>
      <c r="W31" s="75">
        <v>178.17</v>
      </c>
      <c r="X31" s="75">
        <v>392.37</v>
      </c>
      <c r="Y31" s="75">
        <v>301.39999999999998</v>
      </c>
      <c r="Z31" s="75">
        <v>100</v>
      </c>
      <c r="AA31" s="75">
        <v>45.06</v>
      </c>
      <c r="AB31" s="75">
        <v>669.52</v>
      </c>
      <c r="AC31" s="75">
        <v>282.81</v>
      </c>
      <c r="AD31" s="75">
        <v>244.83</v>
      </c>
      <c r="AE31" s="75">
        <v>110</v>
      </c>
      <c r="AF31" s="75">
        <f t="shared" si="0"/>
        <v>273.78983681962541</v>
      </c>
      <c r="AG31" s="70">
        <f t="shared" si="1"/>
        <v>4397.6000000000004</v>
      </c>
      <c r="AH31" s="70">
        <f t="shared" si="2"/>
        <v>87.952000000000012</v>
      </c>
      <c r="AI31" s="70">
        <f t="shared" si="3"/>
        <v>4485.5520000000006</v>
      </c>
      <c r="AJ31" s="70">
        <f t="shared" si="4"/>
        <v>1684.35</v>
      </c>
      <c r="AK31" s="70">
        <f t="shared" si="5"/>
        <v>100</v>
      </c>
      <c r="AL31" s="70">
        <f t="shared" si="6"/>
        <v>6269.902</v>
      </c>
      <c r="AM31" s="70">
        <f t="shared" si="7"/>
        <v>1003.1843200000001</v>
      </c>
      <c r="AN31" s="70">
        <f t="shared" si="8"/>
        <v>7273.0863200000003</v>
      </c>
    </row>
    <row r="32" spans="1:40" s="75" customFormat="1" ht="15" x14ac:dyDescent="0.25">
      <c r="A32" s="75" t="s">
        <v>190</v>
      </c>
      <c r="B32" s="75" t="s">
        <v>191</v>
      </c>
      <c r="C32" s="75">
        <v>15</v>
      </c>
      <c r="D32" s="75">
        <v>0</v>
      </c>
      <c r="E32" s="75">
        <v>266.67</v>
      </c>
      <c r="F32" s="75">
        <v>282.81</v>
      </c>
      <c r="G32" s="75">
        <v>4000</v>
      </c>
      <c r="H32" s="75">
        <v>0</v>
      </c>
      <c r="I32" s="75">
        <v>0</v>
      </c>
      <c r="J32" s="75">
        <v>4000</v>
      </c>
      <c r="K32" s="75">
        <v>0</v>
      </c>
      <c r="L32" s="75">
        <v>0</v>
      </c>
      <c r="M32" s="75">
        <v>0</v>
      </c>
      <c r="N32" s="75">
        <v>0</v>
      </c>
      <c r="O32" s="75">
        <v>313.87</v>
      </c>
      <c r="P32" s="75">
        <v>109.35</v>
      </c>
      <c r="Q32" s="75">
        <v>0</v>
      </c>
      <c r="R32" s="75">
        <v>0</v>
      </c>
      <c r="S32" s="76">
        <v>-0.02</v>
      </c>
      <c r="T32" s="75">
        <v>423.2</v>
      </c>
      <c r="U32" s="75">
        <v>3576.8</v>
      </c>
      <c r="V32" s="75">
        <v>79.19</v>
      </c>
      <c r="W32" s="75">
        <v>142.54</v>
      </c>
      <c r="X32" s="75">
        <v>360.13</v>
      </c>
      <c r="Y32" s="75">
        <v>278.77</v>
      </c>
      <c r="Z32" s="75">
        <v>80</v>
      </c>
      <c r="AA32" s="75">
        <v>36.049999999999997</v>
      </c>
      <c r="AB32" s="75">
        <v>581.86</v>
      </c>
      <c r="AC32" s="75">
        <v>226.25</v>
      </c>
      <c r="AD32" s="75">
        <v>233.52</v>
      </c>
      <c r="AE32" s="75">
        <v>110</v>
      </c>
      <c r="AF32" s="75">
        <f t="shared" si="0"/>
        <v>219.03679772204578</v>
      </c>
      <c r="AG32" s="70">
        <f t="shared" si="1"/>
        <v>3576.8</v>
      </c>
      <c r="AH32" s="70">
        <f t="shared" si="2"/>
        <v>71.536000000000001</v>
      </c>
      <c r="AI32" s="70">
        <f t="shared" si="3"/>
        <v>3648.3360000000002</v>
      </c>
      <c r="AJ32" s="70">
        <f t="shared" si="4"/>
        <v>1465.8</v>
      </c>
      <c r="AK32" s="70">
        <f t="shared" si="5"/>
        <v>80</v>
      </c>
      <c r="AL32" s="70">
        <f t="shared" si="6"/>
        <v>5194.1360000000004</v>
      </c>
      <c r="AM32" s="70">
        <f t="shared" si="7"/>
        <v>831.06176000000005</v>
      </c>
      <c r="AN32" s="70">
        <f t="shared" si="8"/>
        <v>6025.1977600000009</v>
      </c>
    </row>
    <row r="33" spans="1:40" s="75" customFormat="1" ht="15" x14ac:dyDescent="0.25">
      <c r="A33" s="75" t="s">
        <v>246</v>
      </c>
      <c r="B33" s="75" t="s">
        <v>247</v>
      </c>
      <c r="C33" s="75">
        <v>15</v>
      </c>
      <c r="D33" s="75">
        <v>0</v>
      </c>
      <c r="E33" s="75">
        <v>318.33</v>
      </c>
      <c r="F33" s="75">
        <v>337.61</v>
      </c>
      <c r="G33" s="75">
        <v>4775</v>
      </c>
      <c r="H33" s="75">
        <v>0</v>
      </c>
      <c r="I33" s="75">
        <v>0</v>
      </c>
      <c r="J33" s="75">
        <v>4775</v>
      </c>
      <c r="K33" s="75">
        <v>0</v>
      </c>
      <c r="L33" s="75">
        <v>1515.33</v>
      </c>
      <c r="M33" s="75">
        <v>0</v>
      </c>
      <c r="N33" s="75">
        <v>0</v>
      </c>
      <c r="O33" s="75">
        <v>424.67</v>
      </c>
      <c r="P33" s="75">
        <v>133.66999999999999</v>
      </c>
      <c r="Q33" s="75">
        <v>0</v>
      </c>
      <c r="R33" s="75">
        <v>0</v>
      </c>
      <c r="S33" s="76">
        <v>0.13</v>
      </c>
      <c r="T33" s="75">
        <v>2073.8000000000002</v>
      </c>
      <c r="U33" s="75">
        <v>2701.2</v>
      </c>
      <c r="V33" s="75">
        <v>94.53</v>
      </c>
      <c r="W33" s="75">
        <v>170.15</v>
      </c>
      <c r="X33" s="75">
        <v>385.12</v>
      </c>
      <c r="Y33" s="75">
        <v>296.3</v>
      </c>
      <c r="Z33" s="75">
        <v>95.5</v>
      </c>
      <c r="AA33" s="75">
        <v>43.03</v>
      </c>
      <c r="AB33" s="75">
        <v>649.79999999999995</v>
      </c>
      <c r="AC33" s="75">
        <v>270.08999999999997</v>
      </c>
      <c r="AD33" s="75">
        <v>242.29000000000002</v>
      </c>
      <c r="AE33" s="75">
        <v>110</v>
      </c>
      <c r="AF33" s="75">
        <f t="shared" si="0"/>
        <v>261.46917095608364</v>
      </c>
      <c r="AG33" s="70">
        <f t="shared" si="1"/>
        <v>4216.53</v>
      </c>
      <c r="AH33" s="70">
        <f t="shared" si="2"/>
        <v>84.33059999999999</v>
      </c>
      <c r="AI33" s="70">
        <f t="shared" si="3"/>
        <v>4300.8606</v>
      </c>
      <c r="AJ33" s="70">
        <f t="shared" si="4"/>
        <v>1635.1799999999998</v>
      </c>
      <c r="AK33" s="70">
        <f t="shared" si="5"/>
        <v>95.5</v>
      </c>
      <c r="AL33" s="70">
        <f t="shared" si="6"/>
        <v>6031.5406000000003</v>
      </c>
      <c r="AM33" s="70">
        <f t="shared" si="7"/>
        <v>965.04649600000005</v>
      </c>
      <c r="AN33" s="70">
        <f t="shared" si="8"/>
        <v>6996.5870960000002</v>
      </c>
    </row>
    <row r="34" spans="1:40" s="75" customFormat="1" ht="15" x14ac:dyDescent="0.25">
      <c r="A34" s="75" t="s">
        <v>121</v>
      </c>
      <c r="B34" s="75" t="s">
        <v>122</v>
      </c>
      <c r="C34" s="75">
        <v>14</v>
      </c>
      <c r="D34" s="75">
        <v>1</v>
      </c>
      <c r="E34" s="75">
        <v>250</v>
      </c>
      <c r="F34" s="75">
        <v>265.14</v>
      </c>
      <c r="G34" s="75">
        <v>3500</v>
      </c>
      <c r="H34" s="75">
        <v>250</v>
      </c>
      <c r="I34" s="75">
        <v>75</v>
      </c>
      <c r="J34" s="75">
        <v>3825</v>
      </c>
      <c r="K34" s="75">
        <v>0</v>
      </c>
      <c r="L34" s="75">
        <v>0</v>
      </c>
      <c r="M34" s="75">
        <v>1373.01</v>
      </c>
      <c r="N34" s="75">
        <v>0</v>
      </c>
      <c r="O34" s="75">
        <v>286.67</v>
      </c>
      <c r="P34" s="75">
        <v>101.5</v>
      </c>
      <c r="Q34" s="75">
        <v>0</v>
      </c>
      <c r="R34" s="75">
        <v>0</v>
      </c>
      <c r="S34" s="75">
        <v>0.02</v>
      </c>
      <c r="T34" s="75">
        <v>1761.2</v>
      </c>
      <c r="U34" s="75">
        <v>2063.8000000000002</v>
      </c>
      <c r="V34" s="75">
        <v>74.239999999999995</v>
      </c>
      <c r="W34" s="75">
        <v>133.63</v>
      </c>
      <c r="X34" s="75">
        <v>352.07</v>
      </c>
      <c r="Y34" s="75">
        <v>273.11</v>
      </c>
      <c r="Z34" s="75">
        <v>76.5</v>
      </c>
      <c r="AA34" s="75">
        <v>33.79</v>
      </c>
      <c r="AB34" s="75">
        <v>559.94000000000005</v>
      </c>
      <c r="AC34" s="75">
        <v>212.11</v>
      </c>
      <c r="AD34" s="75">
        <v>230.69</v>
      </c>
      <c r="AE34" s="75">
        <v>110</v>
      </c>
      <c r="AF34" s="75">
        <f t="shared" si="0"/>
        <v>205.34443105902966</v>
      </c>
      <c r="AG34" s="70">
        <f t="shared" si="1"/>
        <v>3436.8100000000004</v>
      </c>
      <c r="AH34" s="70">
        <f t="shared" si="2"/>
        <v>68.736200000000011</v>
      </c>
      <c r="AI34" s="70">
        <f t="shared" si="3"/>
        <v>3505.5462000000002</v>
      </c>
      <c r="AJ34" s="70">
        <f t="shared" si="4"/>
        <v>1411.14</v>
      </c>
      <c r="AK34" s="70">
        <f t="shared" si="5"/>
        <v>76.5</v>
      </c>
      <c r="AL34" s="70">
        <f t="shared" si="6"/>
        <v>4993.1862000000001</v>
      </c>
      <c r="AM34" s="70">
        <f t="shared" si="7"/>
        <v>798.90979200000004</v>
      </c>
      <c r="AN34" s="70">
        <f t="shared" si="8"/>
        <v>5792.0959920000005</v>
      </c>
    </row>
    <row r="35" spans="1:40" s="75" customFormat="1" ht="15" x14ac:dyDescent="0.25">
      <c r="A35" s="75" t="s">
        <v>177</v>
      </c>
      <c r="B35" s="75" t="s">
        <v>178</v>
      </c>
      <c r="C35" s="75">
        <v>15</v>
      </c>
      <c r="D35" s="75">
        <v>0</v>
      </c>
      <c r="E35" s="75">
        <v>283.33</v>
      </c>
      <c r="F35" s="75">
        <v>300.49</v>
      </c>
      <c r="G35" s="75">
        <v>4250</v>
      </c>
      <c r="H35" s="75">
        <v>0</v>
      </c>
      <c r="I35" s="75">
        <v>0</v>
      </c>
      <c r="J35" s="75">
        <v>4250</v>
      </c>
      <c r="K35" s="75">
        <v>15</v>
      </c>
      <c r="L35" s="75">
        <v>0</v>
      </c>
      <c r="M35" s="75">
        <v>3673.4</v>
      </c>
      <c r="N35" s="75">
        <v>0</v>
      </c>
      <c r="O35" s="75">
        <v>341.07</v>
      </c>
      <c r="P35" s="75">
        <v>117.2</v>
      </c>
      <c r="Q35" s="75">
        <v>0</v>
      </c>
      <c r="R35" s="75">
        <v>0</v>
      </c>
      <c r="S35" s="75">
        <v>-7.0000000000000007E-2</v>
      </c>
      <c r="T35" s="75">
        <v>4146.6000000000004</v>
      </c>
      <c r="U35" s="75">
        <v>103.4</v>
      </c>
      <c r="V35" s="75">
        <v>84.14</v>
      </c>
      <c r="W35" s="75">
        <v>151.44999999999999</v>
      </c>
      <c r="X35" s="75">
        <v>368.19</v>
      </c>
      <c r="Y35" s="75">
        <v>284.43</v>
      </c>
      <c r="Z35" s="75">
        <v>85</v>
      </c>
      <c r="AA35" s="75">
        <v>38.299999999999997</v>
      </c>
      <c r="AB35" s="75">
        <v>603.78</v>
      </c>
      <c r="AC35" s="75">
        <v>240.39</v>
      </c>
      <c r="AD35" s="75">
        <v>236.35000000000002</v>
      </c>
      <c r="AE35" s="75">
        <v>110</v>
      </c>
      <c r="AF35" s="75">
        <f t="shared" si="0"/>
        <v>232.72095060781947</v>
      </c>
      <c r="AG35" s="70">
        <f t="shared" si="1"/>
        <v>3791.8</v>
      </c>
      <c r="AH35" s="70">
        <f t="shared" si="2"/>
        <v>75.835999999999999</v>
      </c>
      <c r="AI35" s="70">
        <f t="shared" si="3"/>
        <v>3867.636</v>
      </c>
      <c r="AJ35" s="70">
        <f t="shared" si="4"/>
        <v>1520.4499999999998</v>
      </c>
      <c r="AK35" s="70">
        <f t="shared" si="5"/>
        <v>85</v>
      </c>
      <c r="AL35" s="70">
        <f t="shared" si="6"/>
        <v>5473.0859999999993</v>
      </c>
      <c r="AM35" s="70">
        <f t="shared" si="7"/>
        <v>875.69375999999988</v>
      </c>
      <c r="AN35" s="70">
        <f t="shared" si="8"/>
        <v>6348.7797599999994</v>
      </c>
    </row>
    <row r="36" spans="1:40" s="75" customFormat="1" ht="15" x14ac:dyDescent="0.25">
      <c r="A36" s="75" t="s">
        <v>141</v>
      </c>
      <c r="B36" s="75" t="s">
        <v>142</v>
      </c>
      <c r="C36" s="75">
        <v>15</v>
      </c>
      <c r="D36" s="75">
        <v>0</v>
      </c>
      <c r="E36" s="75">
        <v>266.67</v>
      </c>
      <c r="F36" s="75">
        <v>278.72000000000003</v>
      </c>
      <c r="G36" s="75">
        <v>4000.05</v>
      </c>
      <c r="H36" s="75">
        <v>0</v>
      </c>
      <c r="I36" s="75">
        <v>0</v>
      </c>
      <c r="J36" s="75">
        <v>4000.05</v>
      </c>
      <c r="K36" s="75">
        <v>0</v>
      </c>
      <c r="L36" s="75">
        <v>0</v>
      </c>
      <c r="M36" s="75">
        <v>0</v>
      </c>
      <c r="N36" s="75">
        <v>0</v>
      </c>
      <c r="O36" s="75">
        <v>313.87</v>
      </c>
      <c r="P36" s="75">
        <v>107.53</v>
      </c>
      <c r="Q36" s="75">
        <v>0</v>
      </c>
      <c r="R36" s="75">
        <v>0</v>
      </c>
      <c r="S36" s="76">
        <v>0.05</v>
      </c>
      <c r="T36" s="75">
        <v>421.45</v>
      </c>
      <c r="U36" s="75">
        <v>3578.6</v>
      </c>
      <c r="V36" s="75">
        <v>78.040000000000006</v>
      </c>
      <c r="W36" s="75">
        <v>140.47999999999999</v>
      </c>
      <c r="X36" s="75">
        <v>358.27</v>
      </c>
      <c r="Y36" s="75">
        <v>277.46000000000004</v>
      </c>
      <c r="Z36" s="75">
        <v>80</v>
      </c>
      <c r="AA36" s="75">
        <v>35.520000000000003</v>
      </c>
      <c r="AB36" s="75">
        <v>576.79</v>
      </c>
      <c r="AC36" s="75">
        <v>222.98</v>
      </c>
      <c r="AD36" s="75">
        <v>232.87</v>
      </c>
      <c r="AE36" s="75">
        <v>110</v>
      </c>
      <c r="AF36" s="75">
        <f t="shared" si="0"/>
        <v>219.03679772204578</v>
      </c>
      <c r="AG36" s="70">
        <f t="shared" si="1"/>
        <v>3578.6</v>
      </c>
      <c r="AH36" s="70">
        <f t="shared" si="2"/>
        <v>71.572000000000003</v>
      </c>
      <c r="AI36" s="70">
        <f t="shared" si="3"/>
        <v>3650.172</v>
      </c>
      <c r="AJ36" s="70">
        <f t="shared" si="4"/>
        <v>1453.15</v>
      </c>
      <c r="AK36" s="70">
        <f t="shared" si="5"/>
        <v>80.001000000000005</v>
      </c>
      <c r="AL36" s="70">
        <f t="shared" si="6"/>
        <v>5183.3230000000003</v>
      </c>
      <c r="AM36" s="70">
        <f t="shared" si="7"/>
        <v>829.33168000000012</v>
      </c>
      <c r="AN36" s="70">
        <f t="shared" si="8"/>
        <v>6012.6546800000006</v>
      </c>
    </row>
    <row r="37" spans="1:40" s="75" customFormat="1" ht="15" x14ac:dyDescent="0.25">
      <c r="A37" s="75" t="s">
        <v>209</v>
      </c>
      <c r="B37" s="75" t="s">
        <v>210</v>
      </c>
      <c r="C37" s="75">
        <v>15</v>
      </c>
      <c r="D37" s="75">
        <v>0</v>
      </c>
      <c r="E37" s="75">
        <v>283.33</v>
      </c>
      <c r="F37" s="75">
        <v>300.49</v>
      </c>
      <c r="G37" s="75">
        <v>4250</v>
      </c>
      <c r="H37" s="75">
        <v>0</v>
      </c>
      <c r="I37" s="75">
        <v>0</v>
      </c>
      <c r="J37" s="75">
        <v>4250</v>
      </c>
      <c r="K37" s="75">
        <v>0</v>
      </c>
      <c r="L37" s="75">
        <v>0</v>
      </c>
      <c r="M37" s="75">
        <v>606.75</v>
      </c>
      <c r="N37" s="75">
        <v>0</v>
      </c>
      <c r="O37" s="75">
        <v>341.07</v>
      </c>
      <c r="P37" s="75">
        <v>117.2</v>
      </c>
      <c r="Q37" s="75">
        <v>0</v>
      </c>
      <c r="R37" s="75">
        <v>0</v>
      </c>
      <c r="S37" s="75">
        <v>-0.02</v>
      </c>
      <c r="T37" s="75">
        <v>1065</v>
      </c>
      <c r="U37" s="75">
        <v>3185</v>
      </c>
      <c r="V37" s="75">
        <v>84.14</v>
      </c>
      <c r="W37" s="75">
        <v>151.44999999999999</v>
      </c>
      <c r="X37" s="75">
        <v>368.19</v>
      </c>
      <c r="Y37" s="75">
        <v>284.43</v>
      </c>
      <c r="Z37" s="75">
        <v>85</v>
      </c>
      <c r="AA37" s="75">
        <v>38.299999999999997</v>
      </c>
      <c r="AB37" s="75">
        <v>603.78</v>
      </c>
      <c r="AC37" s="75">
        <v>240.39</v>
      </c>
      <c r="AD37" s="75">
        <v>236.35000000000002</v>
      </c>
      <c r="AE37" s="75">
        <v>110</v>
      </c>
      <c r="AF37" s="75">
        <f t="shared" si="0"/>
        <v>232.72095060781947</v>
      </c>
      <c r="AG37" s="70">
        <f t="shared" si="1"/>
        <v>3791.75</v>
      </c>
      <c r="AH37" s="70">
        <f t="shared" si="2"/>
        <v>75.835000000000008</v>
      </c>
      <c r="AI37" s="70">
        <f t="shared" si="3"/>
        <v>3867.585</v>
      </c>
      <c r="AJ37" s="70">
        <f t="shared" si="4"/>
        <v>1520.4499999999998</v>
      </c>
      <c r="AK37" s="70">
        <f t="shared" si="5"/>
        <v>85</v>
      </c>
      <c r="AL37" s="70">
        <f t="shared" si="6"/>
        <v>5473.0349999999999</v>
      </c>
      <c r="AM37" s="70">
        <f t="shared" si="7"/>
        <v>875.68560000000002</v>
      </c>
      <c r="AN37" s="70">
        <f t="shared" si="8"/>
        <v>6348.7205999999996</v>
      </c>
    </row>
    <row r="38" spans="1:40" s="75" customFormat="1" ht="15" x14ac:dyDescent="0.25">
      <c r="A38" s="75" t="s">
        <v>308</v>
      </c>
      <c r="B38" s="75" t="s">
        <v>309</v>
      </c>
      <c r="C38" s="75">
        <v>14</v>
      </c>
      <c r="D38" s="75">
        <v>1</v>
      </c>
      <c r="E38" s="75">
        <v>266.67</v>
      </c>
      <c r="F38" s="75">
        <v>282.81</v>
      </c>
      <c r="G38" s="75">
        <v>3733.38</v>
      </c>
      <c r="H38" s="75">
        <v>266.67</v>
      </c>
      <c r="I38" s="75">
        <v>80</v>
      </c>
      <c r="J38" s="75">
        <v>4080.05</v>
      </c>
      <c r="K38" s="75">
        <v>0</v>
      </c>
      <c r="L38" s="75">
        <v>0</v>
      </c>
      <c r="M38" s="75">
        <v>0</v>
      </c>
      <c r="N38" s="75">
        <v>0</v>
      </c>
      <c r="O38" s="75">
        <v>313.87</v>
      </c>
      <c r="P38" s="75">
        <v>109.35</v>
      </c>
      <c r="Q38" s="75">
        <v>0</v>
      </c>
      <c r="R38" s="75">
        <v>0</v>
      </c>
      <c r="S38" s="75">
        <v>0.03</v>
      </c>
      <c r="T38" s="75">
        <v>423.25</v>
      </c>
      <c r="U38" s="75">
        <v>3656.8</v>
      </c>
      <c r="V38" s="75">
        <v>79.19</v>
      </c>
      <c r="W38" s="75">
        <v>142.54</v>
      </c>
      <c r="X38" s="75">
        <v>360.12</v>
      </c>
      <c r="Y38" s="75">
        <v>278.77</v>
      </c>
      <c r="Z38" s="75">
        <v>81.599999999999994</v>
      </c>
      <c r="AA38" s="75">
        <v>36.049999999999997</v>
      </c>
      <c r="AB38" s="75">
        <v>581.85</v>
      </c>
      <c r="AC38" s="75">
        <v>226.25</v>
      </c>
      <c r="AD38" s="75">
        <v>233.52</v>
      </c>
      <c r="AE38" s="75">
        <v>110</v>
      </c>
      <c r="AF38" s="75">
        <f t="shared" si="0"/>
        <v>219.03679772204578</v>
      </c>
      <c r="AG38" s="70">
        <f t="shared" si="1"/>
        <v>3656.8</v>
      </c>
      <c r="AH38" s="70">
        <f t="shared" si="2"/>
        <v>73.13600000000001</v>
      </c>
      <c r="AI38" s="70">
        <f t="shared" si="3"/>
        <v>3729.9360000000001</v>
      </c>
      <c r="AJ38" s="70">
        <f t="shared" si="4"/>
        <v>1465.79</v>
      </c>
      <c r="AK38" s="70">
        <f t="shared" si="5"/>
        <v>81.600999999999999</v>
      </c>
      <c r="AL38" s="70">
        <f t="shared" si="6"/>
        <v>5277.3270000000002</v>
      </c>
      <c r="AM38" s="70">
        <f t="shared" si="7"/>
        <v>844.37232000000006</v>
      </c>
      <c r="AN38" s="70">
        <f t="shared" si="8"/>
        <v>6121.6993200000006</v>
      </c>
    </row>
    <row r="39" spans="1:40" s="75" customFormat="1" ht="15" x14ac:dyDescent="0.25">
      <c r="A39" s="75" t="s">
        <v>332</v>
      </c>
      <c r="B39" s="75" t="s">
        <v>333</v>
      </c>
      <c r="C39" s="75">
        <v>15</v>
      </c>
      <c r="D39" s="75">
        <v>0</v>
      </c>
      <c r="E39" s="75">
        <v>266.67</v>
      </c>
      <c r="F39" s="75">
        <v>282.81</v>
      </c>
      <c r="G39" s="75">
        <v>4000.05</v>
      </c>
      <c r="H39" s="75">
        <v>0</v>
      </c>
      <c r="I39" s="75">
        <v>0</v>
      </c>
      <c r="J39" s="75">
        <v>4000.05</v>
      </c>
      <c r="K39" s="75">
        <v>0</v>
      </c>
      <c r="L39" s="75">
        <v>1833.19</v>
      </c>
      <c r="M39" s="75">
        <v>0</v>
      </c>
      <c r="N39" s="75">
        <v>0</v>
      </c>
      <c r="O39" s="75">
        <v>313.87</v>
      </c>
      <c r="P39" s="75">
        <v>109.35</v>
      </c>
      <c r="Q39" s="75">
        <v>0</v>
      </c>
      <c r="R39" s="75">
        <v>0</v>
      </c>
      <c r="S39" s="75">
        <v>0.04</v>
      </c>
      <c r="T39" s="75">
        <v>2256.4499999999998</v>
      </c>
      <c r="U39" s="75">
        <v>1743.6</v>
      </c>
      <c r="V39" s="75">
        <v>79.19</v>
      </c>
      <c r="W39" s="75">
        <v>142.54</v>
      </c>
      <c r="X39" s="75">
        <v>360.12</v>
      </c>
      <c r="Y39" s="75">
        <v>278.77</v>
      </c>
      <c r="Z39" s="75">
        <v>80</v>
      </c>
      <c r="AA39" s="75">
        <v>36.049999999999997</v>
      </c>
      <c r="AB39" s="75">
        <v>581.85</v>
      </c>
      <c r="AC39" s="75">
        <v>226.25</v>
      </c>
      <c r="AD39" s="75">
        <v>233.52</v>
      </c>
      <c r="AE39" s="75">
        <v>110</v>
      </c>
      <c r="AF39" s="75">
        <f t="shared" si="0"/>
        <v>219.03679772204578</v>
      </c>
      <c r="AG39" s="70">
        <f t="shared" si="1"/>
        <v>3576.79</v>
      </c>
      <c r="AH39" s="70">
        <f t="shared" si="2"/>
        <v>71.535799999999995</v>
      </c>
      <c r="AI39" s="70">
        <f t="shared" si="3"/>
        <v>3648.3258000000001</v>
      </c>
      <c r="AJ39" s="70">
        <f t="shared" si="4"/>
        <v>1465.79</v>
      </c>
      <c r="AK39" s="70">
        <f t="shared" si="5"/>
        <v>80.001000000000005</v>
      </c>
      <c r="AL39" s="70">
        <f t="shared" si="6"/>
        <v>5194.1167999999998</v>
      </c>
      <c r="AM39" s="70">
        <f t="shared" si="7"/>
        <v>831.05868799999996</v>
      </c>
      <c r="AN39" s="70">
        <f t="shared" si="8"/>
        <v>6025.1754879999999</v>
      </c>
    </row>
    <row r="40" spans="1:40" s="75" customFormat="1" ht="15" x14ac:dyDescent="0.25">
      <c r="A40" s="75" t="s">
        <v>237</v>
      </c>
      <c r="B40" s="75" t="s">
        <v>238</v>
      </c>
      <c r="C40" s="75">
        <v>15</v>
      </c>
      <c r="D40" s="75">
        <v>0</v>
      </c>
      <c r="E40" s="75">
        <v>466.67</v>
      </c>
      <c r="F40" s="75">
        <v>494.92</v>
      </c>
      <c r="G40" s="75">
        <v>7000.05</v>
      </c>
      <c r="H40" s="75">
        <v>0</v>
      </c>
      <c r="I40" s="75">
        <v>0</v>
      </c>
      <c r="J40" s="75">
        <v>7000.05</v>
      </c>
      <c r="K40" s="75">
        <v>0</v>
      </c>
      <c r="L40" s="75">
        <v>0</v>
      </c>
      <c r="M40" s="75">
        <v>0</v>
      </c>
      <c r="N40" s="75">
        <v>0</v>
      </c>
      <c r="O40" s="75">
        <v>856.99</v>
      </c>
      <c r="P40" s="75">
        <v>203.53</v>
      </c>
      <c r="Q40" s="75">
        <v>0</v>
      </c>
      <c r="R40" s="75">
        <v>0</v>
      </c>
      <c r="S40" s="76">
        <v>0.13</v>
      </c>
      <c r="T40" s="75">
        <v>1060.6500000000001</v>
      </c>
      <c r="U40" s="75">
        <v>5939.4</v>
      </c>
      <c r="V40" s="75">
        <v>138.58000000000001</v>
      </c>
      <c r="W40" s="75">
        <v>249.44</v>
      </c>
      <c r="X40" s="75">
        <v>456.86</v>
      </c>
      <c r="Y40" s="75">
        <v>346.64</v>
      </c>
      <c r="Z40" s="75">
        <v>140</v>
      </c>
      <c r="AA40" s="75">
        <v>63.08</v>
      </c>
      <c r="AB40" s="75">
        <v>844.88</v>
      </c>
      <c r="AC40" s="75">
        <v>395.94</v>
      </c>
      <c r="AD40" s="75">
        <v>267.46000000000004</v>
      </c>
      <c r="AE40" s="75">
        <v>110</v>
      </c>
      <c r="AF40" s="75">
        <f t="shared" si="0"/>
        <v>383.3123425692695</v>
      </c>
      <c r="AG40" s="70">
        <f t="shared" si="1"/>
        <v>5939.4</v>
      </c>
      <c r="AH40" s="70">
        <f t="shared" si="2"/>
        <v>118.788</v>
      </c>
      <c r="AI40" s="70">
        <f t="shared" si="3"/>
        <v>6058.1879999999992</v>
      </c>
      <c r="AJ40" s="70">
        <f t="shared" si="4"/>
        <v>2121.5299999999997</v>
      </c>
      <c r="AK40" s="70">
        <f t="shared" si="5"/>
        <v>140.001</v>
      </c>
      <c r="AL40" s="70">
        <f t="shared" si="6"/>
        <v>8319.7189999999991</v>
      </c>
      <c r="AM40" s="70">
        <f t="shared" si="7"/>
        <v>1331.1550399999999</v>
      </c>
      <c r="AN40" s="70">
        <f t="shared" si="8"/>
        <v>9650.8740399999988</v>
      </c>
    </row>
    <row r="41" spans="1:40" s="75" customFormat="1" ht="15" x14ac:dyDescent="0.25">
      <c r="A41" s="75" t="s">
        <v>110</v>
      </c>
      <c r="B41" s="75" t="s">
        <v>111</v>
      </c>
      <c r="C41" s="75">
        <v>15</v>
      </c>
      <c r="D41" s="75">
        <v>0</v>
      </c>
      <c r="E41" s="75">
        <v>266.67</v>
      </c>
      <c r="F41" s="75">
        <v>282.81</v>
      </c>
      <c r="G41" s="75">
        <v>4000.05</v>
      </c>
      <c r="H41" s="75">
        <v>0</v>
      </c>
      <c r="I41" s="75">
        <v>0</v>
      </c>
      <c r="J41" s="75">
        <v>4000.05</v>
      </c>
      <c r="K41" s="75">
        <v>0</v>
      </c>
      <c r="L41" s="75">
        <v>0</v>
      </c>
      <c r="M41" s="75">
        <v>0</v>
      </c>
      <c r="N41" s="75">
        <v>0</v>
      </c>
      <c r="O41" s="75">
        <v>313.87</v>
      </c>
      <c r="P41" s="75">
        <v>109.35</v>
      </c>
      <c r="Q41" s="75">
        <v>0</v>
      </c>
      <c r="R41" s="113">
        <v>250</v>
      </c>
      <c r="S41" s="75">
        <v>-0.17</v>
      </c>
      <c r="T41" s="75">
        <v>673.05</v>
      </c>
      <c r="U41" s="75">
        <v>3327</v>
      </c>
      <c r="V41" s="75">
        <v>79.19</v>
      </c>
      <c r="W41" s="75">
        <v>142.54</v>
      </c>
      <c r="X41" s="75">
        <v>360.12</v>
      </c>
      <c r="Y41" s="75">
        <v>278.77</v>
      </c>
      <c r="Z41" s="75">
        <v>80</v>
      </c>
      <c r="AA41" s="75">
        <v>36.049999999999997</v>
      </c>
      <c r="AB41" s="75">
        <v>581.85</v>
      </c>
      <c r="AC41" s="75">
        <v>226.25</v>
      </c>
      <c r="AD41" s="75">
        <v>233.52</v>
      </c>
      <c r="AE41" s="75">
        <v>110</v>
      </c>
      <c r="AF41" s="75">
        <f t="shared" ref="AF41:AF72" si="9">((20/365.24)*15)*E41</f>
        <v>219.03679772204578</v>
      </c>
      <c r="AG41" s="70">
        <f t="shared" si="1"/>
        <v>3577</v>
      </c>
      <c r="AH41" s="70">
        <f t="shared" si="2"/>
        <v>71.540000000000006</v>
      </c>
      <c r="AI41" s="70">
        <f t="shared" si="3"/>
        <v>3648.54</v>
      </c>
      <c r="AJ41" s="70">
        <f t="shared" si="4"/>
        <v>1465.79</v>
      </c>
      <c r="AK41" s="70">
        <f t="shared" si="5"/>
        <v>80.001000000000005</v>
      </c>
      <c r="AL41" s="70">
        <f t="shared" si="6"/>
        <v>5194.3310000000001</v>
      </c>
      <c r="AM41" s="70">
        <f t="shared" si="7"/>
        <v>831.09296000000006</v>
      </c>
      <c r="AN41" s="70">
        <f t="shared" si="8"/>
        <v>6025.4239600000001</v>
      </c>
    </row>
    <row r="42" spans="1:40" s="75" customFormat="1" ht="15" x14ac:dyDescent="0.25">
      <c r="A42" s="75" t="s">
        <v>326</v>
      </c>
      <c r="B42" s="75" t="s">
        <v>327</v>
      </c>
      <c r="C42" s="75">
        <v>15</v>
      </c>
      <c r="D42" s="75">
        <v>0</v>
      </c>
      <c r="E42" s="75">
        <v>266.67</v>
      </c>
      <c r="F42" s="75">
        <v>282.81</v>
      </c>
      <c r="G42" s="75">
        <v>4000.05</v>
      </c>
      <c r="H42" s="75">
        <v>0</v>
      </c>
      <c r="I42" s="75">
        <v>0</v>
      </c>
      <c r="J42" s="75">
        <v>4000.05</v>
      </c>
      <c r="K42" s="75">
        <v>0</v>
      </c>
      <c r="L42" s="75">
        <v>0</v>
      </c>
      <c r="M42" s="75">
        <v>0</v>
      </c>
      <c r="N42" s="75">
        <v>0</v>
      </c>
      <c r="O42" s="75">
        <v>313.87</v>
      </c>
      <c r="P42" s="75">
        <v>109.35</v>
      </c>
      <c r="Q42" s="75">
        <v>0</v>
      </c>
      <c r="R42" s="75">
        <v>0</v>
      </c>
      <c r="S42" s="76">
        <v>0.03</v>
      </c>
      <c r="T42" s="75">
        <v>423.25</v>
      </c>
      <c r="U42" s="75">
        <v>3576.8</v>
      </c>
      <c r="V42" s="75">
        <v>79.19</v>
      </c>
      <c r="W42" s="75">
        <v>142.54</v>
      </c>
      <c r="X42" s="75">
        <v>360.12</v>
      </c>
      <c r="Y42" s="75">
        <v>278.77</v>
      </c>
      <c r="Z42" s="75">
        <v>80</v>
      </c>
      <c r="AA42" s="75">
        <v>36.049999999999997</v>
      </c>
      <c r="AB42" s="75">
        <v>581.85</v>
      </c>
      <c r="AC42" s="75">
        <v>226.25</v>
      </c>
      <c r="AD42" s="75">
        <v>233.52</v>
      </c>
      <c r="AE42" s="75">
        <v>110</v>
      </c>
      <c r="AF42" s="75">
        <f t="shared" si="9"/>
        <v>219.03679772204578</v>
      </c>
      <c r="AG42" s="70">
        <f t="shared" si="1"/>
        <v>3576.8</v>
      </c>
      <c r="AH42" s="70">
        <f t="shared" si="2"/>
        <v>71.536000000000001</v>
      </c>
      <c r="AI42" s="70">
        <f t="shared" si="3"/>
        <v>3648.3360000000002</v>
      </c>
      <c r="AJ42" s="70">
        <f t="shared" si="4"/>
        <v>1465.79</v>
      </c>
      <c r="AK42" s="70">
        <f t="shared" si="5"/>
        <v>80.001000000000005</v>
      </c>
      <c r="AL42" s="70">
        <f t="shared" si="6"/>
        <v>5194.1270000000004</v>
      </c>
      <c r="AM42" s="70">
        <f t="shared" si="7"/>
        <v>831.06032000000005</v>
      </c>
      <c r="AN42" s="70">
        <f t="shared" si="8"/>
        <v>6025.1873200000009</v>
      </c>
    </row>
    <row r="43" spans="1:40" s="75" customFormat="1" ht="15" x14ac:dyDescent="0.25">
      <c r="A43" s="75" t="s">
        <v>169</v>
      </c>
      <c r="B43" s="75" t="s">
        <v>170</v>
      </c>
      <c r="C43" s="75">
        <v>14</v>
      </c>
      <c r="D43" s="75">
        <v>0</v>
      </c>
      <c r="E43" s="75">
        <v>200</v>
      </c>
      <c r="F43" s="75">
        <v>212.11</v>
      </c>
      <c r="G43" s="75">
        <v>2800</v>
      </c>
      <c r="H43" s="75">
        <v>0</v>
      </c>
      <c r="I43" s="75">
        <v>0</v>
      </c>
      <c r="J43" s="75">
        <v>2800</v>
      </c>
      <c r="K43" s="75">
        <v>0</v>
      </c>
      <c r="L43" s="75">
        <v>0</v>
      </c>
      <c r="M43" s="75">
        <v>0</v>
      </c>
      <c r="N43" s="75">
        <v>0</v>
      </c>
      <c r="O43" s="75">
        <v>37.93</v>
      </c>
      <c r="P43" s="75">
        <v>76.89</v>
      </c>
      <c r="Q43" s="75">
        <v>0</v>
      </c>
      <c r="R43" s="75">
        <v>0</v>
      </c>
      <c r="S43" s="76">
        <v>-0.02</v>
      </c>
      <c r="T43" s="75">
        <v>114.8</v>
      </c>
      <c r="U43" s="75">
        <v>2685.2</v>
      </c>
      <c r="V43" s="75">
        <v>59.39</v>
      </c>
      <c r="W43" s="75">
        <v>106.9</v>
      </c>
      <c r="X43" s="75">
        <v>335.17</v>
      </c>
      <c r="Y43" s="75">
        <v>256.14999999999998</v>
      </c>
      <c r="Z43" s="75">
        <v>56</v>
      </c>
      <c r="AA43" s="75">
        <v>27.03</v>
      </c>
      <c r="AB43" s="75">
        <v>501.46</v>
      </c>
      <c r="AC43" s="75">
        <v>169.69</v>
      </c>
      <c r="AD43" s="75">
        <v>222.21</v>
      </c>
      <c r="AE43" s="75">
        <v>110</v>
      </c>
      <c r="AF43" s="75">
        <f t="shared" si="9"/>
        <v>164.27554484722373</v>
      </c>
      <c r="AG43" s="70">
        <f t="shared" si="1"/>
        <v>2685.2</v>
      </c>
      <c r="AH43" s="70">
        <f t="shared" si="2"/>
        <v>53.704000000000001</v>
      </c>
      <c r="AI43" s="70">
        <f t="shared" si="3"/>
        <v>2738.904</v>
      </c>
      <c r="AJ43" s="70">
        <f t="shared" si="4"/>
        <v>1253.43</v>
      </c>
      <c r="AK43" s="70">
        <f t="shared" si="5"/>
        <v>56</v>
      </c>
      <c r="AL43" s="70">
        <f t="shared" si="6"/>
        <v>4048.3339999999998</v>
      </c>
      <c r="AM43" s="70">
        <f t="shared" si="7"/>
        <v>647.73343999999997</v>
      </c>
      <c r="AN43" s="70">
        <f t="shared" si="8"/>
        <v>4696.0674399999998</v>
      </c>
    </row>
    <row r="44" spans="1:40" s="75" customFormat="1" ht="15" x14ac:dyDescent="0.25">
      <c r="A44" s="75" t="s">
        <v>272</v>
      </c>
      <c r="B44" s="75" t="s">
        <v>273</v>
      </c>
      <c r="C44" s="75">
        <v>14</v>
      </c>
      <c r="D44" s="75">
        <v>1</v>
      </c>
      <c r="E44" s="75">
        <v>266.67</v>
      </c>
      <c r="F44" s="75">
        <v>282.81</v>
      </c>
      <c r="G44" s="75">
        <v>3733.38</v>
      </c>
      <c r="H44" s="75">
        <v>266.67</v>
      </c>
      <c r="I44" s="75">
        <v>80</v>
      </c>
      <c r="J44" s="75">
        <v>4080.05</v>
      </c>
      <c r="K44" s="75">
        <v>0</v>
      </c>
      <c r="L44" s="75">
        <v>0</v>
      </c>
      <c r="M44" s="75">
        <v>0</v>
      </c>
      <c r="N44" s="75">
        <v>0</v>
      </c>
      <c r="O44" s="75">
        <v>313.87</v>
      </c>
      <c r="P44" s="75">
        <v>109.35</v>
      </c>
      <c r="Q44" s="75">
        <v>0</v>
      </c>
      <c r="R44" s="75">
        <v>0</v>
      </c>
      <c r="S44" s="75">
        <v>0.03</v>
      </c>
      <c r="T44" s="75">
        <v>423.25</v>
      </c>
      <c r="U44" s="75">
        <v>3656.8</v>
      </c>
      <c r="V44" s="75">
        <v>79.19</v>
      </c>
      <c r="W44" s="75">
        <v>142.54</v>
      </c>
      <c r="X44" s="75">
        <v>360.12</v>
      </c>
      <c r="Y44" s="75">
        <v>278.77</v>
      </c>
      <c r="Z44" s="75">
        <v>81.599999999999994</v>
      </c>
      <c r="AA44" s="75">
        <v>36.049999999999997</v>
      </c>
      <c r="AB44" s="75">
        <v>581.85</v>
      </c>
      <c r="AC44" s="75">
        <v>226.25</v>
      </c>
      <c r="AD44" s="75">
        <v>233.52</v>
      </c>
      <c r="AE44" s="75">
        <v>110</v>
      </c>
      <c r="AF44" s="75">
        <f t="shared" si="9"/>
        <v>219.03679772204578</v>
      </c>
      <c r="AG44" s="70">
        <f t="shared" si="1"/>
        <v>3656.8</v>
      </c>
      <c r="AH44" s="70">
        <f t="shared" si="2"/>
        <v>73.13600000000001</v>
      </c>
      <c r="AI44" s="70">
        <f t="shared" si="3"/>
        <v>3729.9360000000001</v>
      </c>
      <c r="AJ44" s="70">
        <f t="shared" si="4"/>
        <v>1465.79</v>
      </c>
      <c r="AK44" s="70">
        <f t="shared" si="5"/>
        <v>81.600999999999999</v>
      </c>
      <c r="AL44" s="70">
        <f t="shared" si="6"/>
        <v>5277.3270000000002</v>
      </c>
      <c r="AM44" s="70">
        <f t="shared" si="7"/>
        <v>844.37232000000006</v>
      </c>
      <c r="AN44" s="70">
        <f t="shared" si="8"/>
        <v>6121.6993200000006</v>
      </c>
    </row>
    <row r="45" spans="1:40" s="75" customFormat="1" ht="15" x14ac:dyDescent="0.25">
      <c r="A45" s="75" t="s">
        <v>199</v>
      </c>
      <c r="B45" s="75" t="s">
        <v>200</v>
      </c>
      <c r="C45" s="75">
        <v>15</v>
      </c>
      <c r="D45" s="75">
        <v>0</v>
      </c>
      <c r="E45" s="75">
        <v>266.67</v>
      </c>
      <c r="F45" s="75">
        <v>278.72000000000003</v>
      </c>
      <c r="G45" s="75">
        <v>4000.05</v>
      </c>
      <c r="H45" s="75">
        <v>0</v>
      </c>
      <c r="I45" s="75">
        <v>0</v>
      </c>
      <c r="J45" s="75">
        <v>4000.05</v>
      </c>
      <c r="K45" s="75">
        <v>0</v>
      </c>
      <c r="L45" s="75">
        <v>0</v>
      </c>
      <c r="M45" s="75">
        <v>0</v>
      </c>
      <c r="N45" s="75">
        <v>0</v>
      </c>
      <c r="O45" s="75">
        <v>313.87</v>
      </c>
      <c r="P45" s="75">
        <v>107.53</v>
      </c>
      <c r="Q45" s="75">
        <v>0</v>
      </c>
      <c r="R45" s="75">
        <v>0</v>
      </c>
      <c r="S45" s="76">
        <v>0.05</v>
      </c>
      <c r="T45" s="75">
        <v>421.45</v>
      </c>
      <c r="U45" s="75">
        <v>3578.6</v>
      </c>
      <c r="V45" s="75">
        <v>78.040000000000006</v>
      </c>
      <c r="W45" s="75">
        <v>140.47999999999999</v>
      </c>
      <c r="X45" s="75">
        <v>358.27</v>
      </c>
      <c r="Y45" s="75">
        <v>277.46000000000004</v>
      </c>
      <c r="Z45" s="75">
        <v>80</v>
      </c>
      <c r="AA45" s="75">
        <v>35.520000000000003</v>
      </c>
      <c r="AB45" s="75">
        <v>576.79</v>
      </c>
      <c r="AC45" s="75">
        <v>222.98</v>
      </c>
      <c r="AD45" s="75">
        <v>232.87</v>
      </c>
      <c r="AE45" s="75">
        <v>110</v>
      </c>
      <c r="AF45" s="75">
        <f t="shared" si="9"/>
        <v>219.03679772204578</v>
      </c>
      <c r="AG45" s="70">
        <f t="shared" si="1"/>
        <v>3578.6</v>
      </c>
      <c r="AH45" s="70">
        <f t="shared" si="2"/>
        <v>71.572000000000003</v>
      </c>
      <c r="AI45" s="70">
        <f t="shared" si="3"/>
        <v>3650.172</v>
      </c>
      <c r="AJ45" s="70">
        <f t="shared" si="4"/>
        <v>1453.15</v>
      </c>
      <c r="AK45" s="70">
        <f t="shared" si="5"/>
        <v>80.001000000000005</v>
      </c>
      <c r="AL45" s="70">
        <f t="shared" si="6"/>
        <v>5183.3230000000003</v>
      </c>
      <c r="AM45" s="70">
        <f t="shared" si="7"/>
        <v>829.33168000000012</v>
      </c>
      <c r="AN45" s="70">
        <f t="shared" si="8"/>
        <v>6012.6546800000006</v>
      </c>
    </row>
    <row r="46" spans="1:40" s="75" customFormat="1" ht="15" x14ac:dyDescent="0.25">
      <c r="A46" s="75" t="s">
        <v>311</v>
      </c>
      <c r="B46" s="75" t="s">
        <v>312</v>
      </c>
      <c r="C46" s="75">
        <v>15</v>
      </c>
      <c r="D46" s="75">
        <v>0</v>
      </c>
      <c r="E46" s="75">
        <v>266.67</v>
      </c>
      <c r="F46" s="75">
        <v>278.72000000000003</v>
      </c>
      <c r="G46" s="75">
        <v>4000.05</v>
      </c>
      <c r="H46" s="75">
        <v>0</v>
      </c>
      <c r="I46" s="75">
        <v>0</v>
      </c>
      <c r="J46" s="75">
        <v>4000.05</v>
      </c>
      <c r="K46" s="75">
        <v>0</v>
      </c>
      <c r="L46" s="75">
        <v>0</v>
      </c>
      <c r="M46" s="75">
        <v>0</v>
      </c>
      <c r="N46" s="75">
        <v>0</v>
      </c>
      <c r="O46" s="75">
        <v>313.87</v>
      </c>
      <c r="P46" s="75">
        <v>107.53</v>
      </c>
      <c r="Q46" s="75">
        <v>0</v>
      </c>
      <c r="R46" s="75">
        <v>0</v>
      </c>
      <c r="S46" s="76">
        <v>0.05</v>
      </c>
      <c r="T46" s="75">
        <v>421.45</v>
      </c>
      <c r="U46" s="75">
        <v>3578.6</v>
      </c>
      <c r="V46" s="75">
        <v>78.040000000000006</v>
      </c>
      <c r="W46" s="75">
        <v>140.47999999999999</v>
      </c>
      <c r="X46" s="75">
        <v>358.27</v>
      </c>
      <c r="Y46" s="75">
        <v>277.46000000000004</v>
      </c>
      <c r="Z46" s="75">
        <v>80</v>
      </c>
      <c r="AA46" s="75">
        <v>35.520000000000003</v>
      </c>
      <c r="AB46" s="75">
        <v>576.79</v>
      </c>
      <c r="AC46" s="75">
        <v>222.98</v>
      </c>
      <c r="AD46" s="75">
        <v>232.87</v>
      </c>
      <c r="AE46" s="75">
        <v>110</v>
      </c>
      <c r="AF46" s="75">
        <f t="shared" si="9"/>
        <v>219.03679772204578</v>
      </c>
      <c r="AG46" s="70">
        <f t="shared" si="1"/>
        <v>3578.6</v>
      </c>
      <c r="AH46" s="70">
        <f t="shared" si="2"/>
        <v>71.572000000000003</v>
      </c>
      <c r="AI46" s="70">
        <f t="shared" si="3"/>
        <v>3650.172</v>
      </c>
      <c r="AJ46" s="70">
        <f t="shared" si="4"/>
        <v>1453.15</v>
      </c>
      <c r="AK46" s="70">
        <f t="shared" si="5"/>
        <v>80.001000000000005</v>
      </c>
      <c r="AL46" s="70">
        <f t="shared" si="6"/>
        <v>5183.3230000000003</v>
      </c>
      <c r="AM46" s="70">
        <f t="shared" si="7"/>
        <v>829.33168000000012</v>
      </c>
      <c r="AN46" s="70">
        <f t="shared" si="8"/>
        <v>6012.6546800000006</v>
      </c>
    </row>
    <row r="47" spans="1:40" s="75" customFormat="1" ht="15" x14ac:dyDescent="0.25">
      <c r="A47" s="75" t="s">
        <v>196</v>
      </c>
      <c r="B47" s="75" t="s">
        <v>197</v>
      </c>
      <c r="C47" s="75">
        <v>15</v>
      </c>
      <c r="D47" s="75">
        <v>0</v>
      </c>
      <c r="E47" s="75">
        <v>220.83</v>
      </c>
      <c r="F47" s="75">
        <v>234.2</v>
      </c>
      <c r="G47" s="75">
        <v>3312.45</v>
      </c>
      <c r="H47" s="75">
        <v>0</v>
      </c>
      <c r="I47" s="75">
        <v>1126.23</v>
      </c>
      <c r="J47" s="75">
        <v>4438.68</v>
      </c>
      <c r="K47" s="75">
        <v>0</v>
      </c>
      <c r="L47" s="75">
        <v>2017.96</v>
      </c>
      <c r="M47" s="75">
        <v>0</v>
      </c>
      <c r="N47" s="75">
        <v>0</v>
      </c>
      <c r="O47" s="75">
        <v>113.96</v>
      </c>
      <c r="P47" s="75">
        <v>89</v>
      </c>
      <c r="Q47" s="75">
        <v>0</v>
      </c>
      <c r="R47" s="75">
        <v>0</v>
      </c>
      <c r="S47" s="76">
        <v>0.16</v>
      </c>
      <c r="T47" s="75">
        <v>2221.08</v>
      </c>
      <c r="U47" s="75">
        <v>2217.6</v>
      </c>
      <c r="V47" s="75">
        <v>65.58</v>
      </c>
      <c r="W47" s="75">
        <v>118.04</v>
      </c>
      <c r="X47" s="75">
        <v>341.36</v>
      </c>
      <c r="Y47" s="75">
        <v>263.21000000000004</v>
      </c>
      <c r="Z47" s="75">
        <v>88.77</v>
      </c>
      <c r="AA47" s="75">
        <v>29.85</v>
      </c>
      <c r="AB47" s="75">
        <v>524.98</v>
      </c>
      <c r="AC47" s="75">
        <v>187.36</v>
      </c>
      <c r="AD47" s="75">
        <v>225.74</v>
      </c>
      <c r="AE47" s="75">
        <v>110</v>
      </c>
      <c r="AF47" s="75">
        <f t="shared" si="9"/>
        <v>181.3848428430621</v>
      </c>
      <c r="AG47" s="70">
        <f t="shared" si="1"/>
        <v>4235.5599999999995</v>
      </c>
      <c r="AH47" s="70">
        <f t="shared" si="2"/>
        <v>84.711199999999991</v>
      </c>
      <c r="AI47" s="70">
        <f t="shared" si="3"/>
        <v>4320.2711999999992</v>
      </c>
      <c r="AJ47" s="70">
        <f t="shared" si="4"/>
        <v>1320.14</v>
      </c>
      <c r="AK47" s="70">
        <f t="shared" si="5"/>
        <v>88.773600000000002</v>
      </c>
      <c r="AL47" s="70">
        <f t="shared" si="6"/>
        <v>5729.1848</v>
      </c>
      <c r="AM47" s="70">
        <f t="shared" si="7"/>
        <v>916.66956800000003</v>
      </c>
      <c r="AN47" s="70">
        <f t="shared" si="8"/>
        <v>6645.8543680000002</v>
      </c>
    </row>
    <row r="48" spans="1:40" s="75" customFormat="1" ht="15" x14ac:dyDescent="0.25">
      <c r="A48" s="75" t="s">
        <v>262</v>
      </c>
      <c r="B48" s="75" t="s">
        <v>263</v>
      </c>
      <c r="C48" s="75">
        <v>11</v>
      </c>
      <c r="D48" s="75">
        <v>4</v>
      </c>
      <c r="E48" s="75">
        <v>150</v>
      </c>
      <c r="F48" s="75">
        <v>156.78</v>
      </c>
      <c r="G48" s="75">
        <v>1650</v>
      </c>
      <c r="H48" s="75">
        <v>600</v>
      </c>
      <c r="I48" s="75">
        <v>315</v>
      </c>
      <c r="J48" s="75">
        <v>2565</v>
      </c>
      <c r="K48" s="75">
        <v>0</v>
      </c>
      <c r="L48" s="75">
        <v>0</v>
      </c>
      <c r="M48" s="75">
        <v>763.43</v>
      </c>
      <c r="N48" s="76">
        <v>-43.57</v>
      </c>
      <c r="O48" s="75">
        <v>0</v>
      </c>
      <c r="P48" s="75">
        <v>59.58</v>
      </c>
      <c r="Q48" s="75">
        <v>0</v>
      </c>
      <c r="R48" s="75">
        <v>0</v>
      </c>
      <c r="S48" s="75">
        <v>-0.04</v>
      </c>
      <c r="T48" s="75">
        <v>779.4</v>
      </c>
      <c r="U48" s="75">
        <v>1785.6</v>
      </c>
      <c r="V48" s="75">
        <v>43.9</v>
      </c>
      <c r="W48" s="75">
        <v>79.02</v>
      </c>
      <c r="X48" s="75">
        <v>319.68</v>
      </c>
      <c r="Y48" s="75">
        <v>238.44</v>
      </c>
      <c r="Z48" s="75">
        <v>47.7</v>
      </c>
      <c r="AA48" s="75">
        <v>19.98</v>
      </c>
      <c r="AB48" s="75">
        <v>442.6</v>
      </c>
      <c r="AC48" s="75">
        <v>125.42</v>
      </c>
      <c r="AD48" s="75">
        <v>213.35000000000002</v>
      </c>
      <c r="AE48" s="75">
        <v>110</v>
      </c>
      <c r="AF48" s="75">
        <f t="shared" si="9"/>
        <v>123.2066586354178</v>
      </c>
      <c r="AG48" s="70">
        <f t="shared" si="1"/>
        <v>2549.0299999999997</v>
      </c>
      <c r="AH48" s="70">
        <f t="shared" si="2"/>
        <v>50.980599999999995</v>
      </c>
      <c r="AI48" s="70">
        <f t="shared" si="3"/>
        <v>2600.0105999999996</v>
      </c>
      <c r="AJ48" s="70">
        <f t="shared" si="4"/>
        <v>1099.3699999999999</v>
      </c>
      <c r="AK48" s="70">
        <f t="shared" si="5"/>
        <v>51.300000000000004</v>
      </c>
      <c r="AL48" s="70">
        <f t="shared" si="6"/>
        <v>3750.6805999999997</v>
      </c>
      <c r="AM48" s="70">
        <f t="shared" si="7"/>
        <v>600.10889599999996</v>
      </c>
      <c r="AN48" s="70">
        <f t="shared" si="8"/>
        <v>4350.7894959999994</v>
      </c>
    </row>
    <row r="49" spans="1:40" s="75" customFormat="1" ht="15" x14ac:dyDescent="0.25">
      <c r="A49" s="75" t="s">
        <v>257</v>
      </c>
      <c r="B49" s="75" t="s">
        <v>258</v>
      </c>
      <c r="C49" s="75">
        <v>15</v>
      </c>
      <c r="D49" s="75">
        <v>0</v>
      </c>
      <c r="E49" s="75">
        <v>150</v>
      </c>
      <c r="F49" s="75">
        <v>156.78</v>
      </c>
      <c r="G49" s="75">
        <v>2250</v>
      </c>
      <c r="H49" s="75">
        <v>0</v>
      </c>
      <c r="I49" s="75">
        <v>0</v>
      </c>
      <c r="J49" s="75">
        <v>2250</v>
      </c>
      <c r="K49" s="75">
        <v>0</v>
      </c>
      <c r="L49" s="75">
        <v>0</v>
      </c>
      <c r="M49" s="75">
        <v>0</v>
      </c>
      <c r="N49" s="76">
        <v>-43.57</v>
      </c>
      <c r="O49" s="75">
        <v>0</v>
      </c>
      <c r="P49" s="75">
        <v>59.58</v>
      </c>
      <c r="Q49" s="75">
        <v>0</v>
      </c>
      <c r="R49" s="75">
        <v>0</v>
      </c>
      <c r="S49" s="76">
        <v>-0.01</v>
      </c>
      <c r="T49" s="75">
        <v>16</v>
      </c>
      <c r="U49" s="75">
        <v>2234</v>
      </c>
      <c r="V49" s="75">
        <v>43.9</v>
      </c>
      <c r="W49" s="75">
        <v>79.02</v>
      </c>
      <c r="X49" s="75">
        <v>319.68</v>
      </c>
      <c r="Y49" s="75">
        <v>238.44</v>
      </c>
      <c r="Z49" s="75">
        <v>45</v>
      </c>
      <c r="AA49" s="75">
        <v>19.98</v>
      </c>
      <c r="AB49" s="75">
        <v>442.6</v>
      </c>
      <c r="AC49" s="75">
        <v>125.42</v>
      </c>
      <c r="AD49" s="75">
        <v>213.35000000000002</v>
      </c>
      <c r="AE49" s="75">
        <v>110</v>
      </c>
      <c r="AF49" s="75">
        <f t="shared" si="9"/>
        <v>123.2066586354178</v>
      </c>
      <c r="AG49" s="70">
        <f t="shared" si="1"/>
        <v>2234</v>
      </c>
      <c r="AH49" s="70">
        <f t="shared" si="2"/>
        <v>44.68</v>
      </c>
      <c r="AI49" s="70">
        <f t="shared" si="3"/>
        <v>2278.6799999999998</v>
      </c>
      <c r="AJ49" s="70">
        <f t="shared" si="4"/>
        <v>1099.3699999999999</v>
      </c>
      <c r="AK49" s="70">
        <f t="shared" si="5"/>
        <v>45</v>
      </c>
      <c r="AL49" s="70">
        <f t="shared" si="6"/>
        <v>3423.0499999999997</v>
      </c>
      <c r="AM49" s="70">
        <f t="shared" si="7"/>
        <v>547.68799999999999</v>
      </c>
      <c r="AN49" s="70">
        <f t="shared" si="8"/>
        <v>3970.7379999999998</v>
      </c>
    </row>
    <row r="50" spans="1:40" s="75" customFormat="1" ht="15" x14ac:dyDescent="0.25">
      <c r="A50" s="75" t="s">
        <v>172</v>
      </c>
      <c r="B50" s="75" t="s">
        <v>173</v>
      </c>
      <c r="C50" s="75">
        <v>15</v>
      </c>
      <c r="D50" s="75">
        <v>0</v>
      </c>
      <c r="E50" s="75">
        <v>233.33</v>
      </c>
      <c r="F50" s="75">
        <v>243.88</v>
      </c>
      <c r="G50" s="75">
        <v>3499.95</v>
      </c>
      <c r="H50" s="75">
        <v>0</v>
      </c>
      <c r="I50" s="75">
        <v>0</v>
      </c>
      <c r="J50" s="75">
        <v>3499.95</v>
      </c>
      <c r="K50" s="75">
        <v>0</v>
      </c>
      <c r="L50" s="75">
        <v>0</v>
      </c>
      <c r="M50" s="75">
        <v>0</v>
      </c>
      <c r="N50" s="75">
        <v>0</v>
      </c>
      <c r="O50" s="75">
        <v>134.36000000000001</v>
      </c>
      <c r="P50" s="75">
        <v>92.68</v>
      </c>
      <c r="Q50" s="75">
        <v>0</v>
      </c>
      <c r="R50" s="75">
        <v>0</v>
      </c>
      <c r="S50" s="75">
        <v>-0.09</v>
      </c>
      <c r="T50" s="75">
        <v>226.95</v>
      </c>
      <c r="U50" s="75">
        <v>3273</v>
      </c>
      <c r="V50" s="75">
        <v>68.290000000000006</v>
      </c>
      <c r="W50" s="75">
        <v>122.92</v>
      </c>
      <c r="X50" s="75">
        <v>344.06</v>
      </c>
      <c r="Y50" s="75">
        <v>266.31</v>
      </c>
      <c r="Z50" s="75">
        <v>70</v>
      </c>
      <c r="AA50" s="75">
        <v>31.08</v>
      </c>
      <c r="AB50" s="75">
        <v>535.27</v>
      </c>
      <c r="AC50" s="75">
        <v>195.1</v>
      </c>
      <c r="AD50" s="75">
        <v>227.29000000000002</v>
      </c>
      <c r="AE50" s="75">
        <v>110</v>
      </c>
      <c r="AF50" s="75">
        <f t="shared" si="9"/>
        <v>191.65206439601357</v>
      </c>
      <c r="AG50" s="70">
        <f t="shared" si="1"/>
        <v>3273</v>
      </c>
      <c r="AH50" s="70">
        <f t="shared" si="2"/>
        <v>65.460000000000008</v>
      </c>
      <c r="AI50" s="70">
        <f t="shared" si="3"/>
        <v>3338.46</v>
      </c>
      <c r="AJ50" s="70">
        <f t="shared" si="4"/>
        <v>1347.73</v>
      </c>
      <c r="AK50" s="70">
        <f t="shared" si="5"/>
        <v>69.998999999999995</v>
      </c>
      <c r="AL50" s="70">
        <f t="shared" si="6"/>
        <v>4756.1890000000003</v>
      </c>
      <c r="AM50" s="70">
        <f t="shared" si="7"/>
        <v>760.99024000000009</v>
      </c>
      <c r="AN50" s="70">
        <f t="shared" si="8"/>
        <v>5517.1792400000004</v>
      </c>
    </row>
    <row r="51" spans="1:40" s="75" customFormat="1" ht="15" x14ac:dyDescent="0.25">
      <c r="A51" s="75" t="s">
        <v>127</v>
      </c>
      <c r="B51" s="75" t="s">
        <v>128</v>
      </c>
      <c r="C51" s="75">
        <v>15</v>
      </c>
      <c r="D51" s="75">
        <v>0</v>
      </c>
      <c r="E51" s="75">
        <v>233.33</v>
      </c>
      <c r="F51" s="75">
        <v>243.88</v>
      </c>
      <c r="G51" s="75">
        <v>3499.95</v>
      </c>
      <c r="H51" s="75">
        <v>0</v>
      </c>
      <c r="I51" s="75">
        <v>0</v>
      </c>
      <c r="J51" s="75">
        <v>3499.95</v>
      </c>
      <c r="K51" s="75">
        <v>0</v>
      </c>
      <c r="L51" s="75">
        <v>0</v>
      </c>
      <c r="M51" s="75">
        <v>0</v>
      </c>
      <c r="N51" s="75">
        <v>0</v>
      </c>
      <c r="O51" s="75">
        <v>134.36000000000001</v>
      </c>
      <c r="P51" s="75">
        <v>92.68</v>
      </c>
      <c r="Q51" s="75">
        <v>0</v>
      </c>
      <c r="R51" s="75">
        <v>0</v>
      </c>
      <c r="S51" s="76">
        <v>0.11</v>
      </c>
      <c r="T51" s="75">
        <v>227.15</v>
      </c>
      <c r="U51" s="75">
        <v>3272.8</v>
      </c>
      <c r="V51" s="75">
        <v>68.290000000000006</v>
      </c>
      <c r="W51" s="75">
        <v>122.92</v>
      </c>
      <c r="X51" s="75">
        <v>344.06</v>
      </c>
      <c r="Y51" s="75">
        <v>266.31</v>
      </c>
      <c r="Z51" s="75">
        <v>70</v>
      </c>
      <c r="AA51" s="75">
        <v>31.08</v>
      </c>
      <c r="AB51" s="75">
        <v>535.27</v>
      </c>
      <c r="AC51" s="75">
        <v>195.1</v>
      </c>
      <c r="AD51" s="75">
        <v>227.29000000000002</v>
      </c>
      <c r="AE51" s="75">
        <v>110</v>
      </c>
      <c r="AF51" s="75">
        <f t="shared" si="9"/>
        <v>191.65206439601357</v>
      </c>
      <c r="AG51" s="70">
        <f t="shared" si="1"/>
        <v>3272.8</v>
      </c>
      <c r="AH51" s="70">
        <f t="shared" si="2"/>
        <v>65.456000000000003</v>
      </c>
      <c r="AI51" s="70">
        <f t="shared" si="3"/>
        <v>3338.2560000000003</v>
      </c>
      <c r="AJ51" s="70">
        <f t="shared" si="4"/>
        <v>1347.73</v>
      </c>
      <c r="AK51" s="70">
        <f t="shared" si="5"/>
        <v>69.998999999999995</v>
      </c>
      <c r="AL51" s="70">
        <f t="shared" si="6"/>
        <v>4755.9850000000006</v>
      </c>
      <c r="AM51" s="70">
        <f t="shared" si="7"/>
        <v>760.95760000000007</v>
      </c>
      <c r="AN51" s="70">
        <f t="shared" si="8"/>
        <v>5516.9426000000003</v>
      </c>
    </row>
    <row r="52" spans="1:40" s="75" customFormat="1" ht="15" x14ac:dyDescent="0.25">
      <c r="A52" s="75" t="s">
        <v>240</v>
      </c>
      <c r="B52" s="75" t="s">
        <v>241</v>
      </c>
      <c r="C52" s="75">
        <v>15</v>
      </c>
      <c r="D52" s="75">
        <v>0</v>
      </c>
      <c r="E52" s="75">
        <v>312.87</v>
      </c>
      <c r="F52" s="75">
        <v>327.01</v>
      </c>
      <c r="G52" s="75">
        <v>4693.05</v>
      </c>
      <c r="H52" s="75">
        <v>0</v>
      </c>
      <c r="I52" s="75">
        <v>93.86</v>
      </c>
      <c r="J52" s="75">
        <v>4786.91</v>
      </c>
      <c r="K52" s="75">
        <v>0</v>
      </c>
      <c r="L52" s="75">
        <v>1865.85</v>
      </c>
      <c r="M52" s="75">
        <v>0</v>
      </c>
      <c r="N52" s="75">
        <v>0</v>
      </c>
      <c r="O52" s="75">
        <v>411.56</v>
      </c>
      <c r="P52" s="75">
        <v>128.97</v>
      </c>
      <c r="Q52" s="75">
        <v>0</v>
      </c>
      <c r="R52" s="75">
        <v>0</v>
      </c>
      <c r="S52" s="76">
        <v>-7.0000000000000007E-2</v>
      </c>
      <c r="T52" s="75">
        <v>2406.31</v>
      </c>
      <c r="U52" s="75">
        <v>2380.6</v>
      </c>
      <c r="V52" s="75">
        <v>91.56</v>
      </c>
      <c r="W52" s="75">
        <v>164.81</v>
      </c>
      <c r="X52" s="75">
        <v>380.29</v>
      </c>
      <c r="Y52" s="75">
        <v>292.91000000000003</v>
      </c>
      <c r="Z52" s="75">
        <v>95.74</v>
      </c>
      <c r="AA52" s="75">
        <v>41.68</v>
      </c>
      <c r="AB52" s="75">
        <v>636.66</v>
      </c>
      <c r="AC52" s="75">
        <v>261.61</v>
      </c>
      <c r="AD52" s="75">
        <v>240.59</v>
      </c>
      <c r="AE52" s="75">
        <v>110</v>
      </c>
      <c r="AF52" s="75">
        <f t="shared" si="9"/>
        <v>256.98444858175446</v>
      </c>
      <c r="AG52" s="70">
        <f t="shared" si="1"/>
        <v>4246.45</v>
      </c>
      <c r="AH52" s="70">
        <f t="shared" si="2"/>
        <v>84.929000000000002</v>
      </c>
      <c r="AI52" s="70">
        <f t="shared" si="3"/>
        <v>4331.3789999999999</v>
      </c>
      <c r="AJ52" s="70">
        <f t="shared" si="4"/>
        <v>1602.4200000000003</v>
      </c>
      <c r="AK52" s="70">
        <f t="shared" si="5"/>
        <v>95.738200000000006</v>
      </c>
      <c r="AL52" s="70">
        <f t="shared" si="6"/>
        <v>6029.5371999999998</v>
      </c>
      <c r="AM52" s="70">
        <f t="shared" si="7"/>
        <v>964.72595200000001</v>
      </c>
      <c r="AN52" s="70">
        <f t="shared" si="8"/>
        <v>6994.2631519999995</v>
      </c>
    </row>
    <row r="53" spans="1:40" s="75" customFormat="1" ht="15" x14ac:dyDescent="0.25">
      <c r="A53" s="75" t="s">
        <v>249</v>
      </c>
      <c r="B53" s="75" t="s">
        <v>250</v>
      </c>
      <c r="C53" s="75">
        <v>15</v>
      </c>
      <c r="D53" s="75">
        <v>0</v>
      </c>
      <c r="E53" s="75">
        <v>312.87</v>
      </c>
      <c r="F53" s="75">
        <v>327.01</v>
      </c>
      <c r="G53" s="75">
        <v>4693.05</v>
      </c>
      <c r="H53" s="75">
        <v>0</v>
      </c>
      <c r="I53" s="75">
        <v>0</v>
      </c>
      <c r="J53" s="75">
        <v>4693.05</v>
      </c>
      <c r="K53" s="75">
        <v>0</v>
      </c>
      <c r="L53" s="75">
        <v>2160.15</v>
      </c>
      <c r="M53" s="75">
        <v>0</v>
      </c>
      <c r="N53" s="75">
        <v>0</v>
      </c>
      <c r="O53" s="75">
        <v>411.56</v>
      </c>
      <c r="P53" s="75">
        <v>128.97</v>
      </c>
      <c r="Q53" s="75">
        <v>0</v>
      </c>
      <c r="R53" s="113">
        <v>395.82</v>
      </c>
      <c r="S53" s="76">
        <v>0.15</v>
      </c>
      <c r="T53" s="75">
        <v>3096.65</v>
      </c>
      <c r="U53" s="75">
        <v>1596.4</v>
      </c>
      <c r="V53" s="75">
        <v>91.56</v>
      </c>
      <c r="W53" s="75">
        <v>164.81</v>
      </c>
      <c r="X53" s="75">
        <v>380.29</v>
      </c>
      <c r="Y53" s="75">
        <v>292.91000000000003</v>
      </c>
      <c r="Z53" s="75">
        <v>93.86</v>
      </c>
      <c r="AA53" s="75">
        <v>41.68</v>
      </c>
      <c r="AB53" s="75">
        <v>636.66</v>
      </c>
      <c r="AC53" s="75">
        <v>261.61</v>
      </c>
      <c r="AD53" s="75">
        <v>240.59</v>
      </c>
      <c r="AE53" s="75">
        <v>110</v>
      </c>
      <c r="AF53" s="75">
        <f t="shared" si="9"/>
        <v>256.98444858175446</v>
      </c>
      <c r="AG53" s="70">
        <f t="shared" si="1"/>
        <v>4152.37</v>
      </c>
      <c r="AH53" s="70">
        <f t="shared" si="2"/>
        <v>83.047399999999996</v>
      </c>
      <c r="AI53" s="70">
        <f t="shared" si="3"/>
        <v>4235.4174000000003</v>
      </c>
      <c r="AJ53" s="70">
        <f t="shared" si="4"/>
        <v>1602.4200000000003</v>
      </c>
      <c r="AK53" s="70">
        <f t="shared" si="5"/>
        <v>93.861000000000004</v>
      </c>
      <c r="AL53" s="70">
        <f t="shared" si="6"/>
        <v>5931.6984000000002</v>
      </c>
      <c r="AM53" s="70">
        <f t="shared" si="7"/>
        <v>949.07174400000008</v>
      </c>
      <c r="AN53" s="70">
        <f t="shared" si="8"/>
        <v>6880.7701440000001</v>
      </c>
    </row>
    <row r="54" spans="1:40" s="75" customFormat="1" ht="15" x14ac:dyDescent="0.25">
      <c r="A54" s="75" t="s">
        <v>321</v>
      </c>
      <c r="B54" s="75" t="s">
        <v>322</v>
      </c>
      <c r="C54" s="75">
        <v>15</v>
      </c>
      <c r="D54" s="75">
        <v>0</v>
      </c>
      <c r="E54" s="75">
        <v>238.84</v>
      </c>
      <c r="F54" s="75">
        <v>249.64</v>
      </c>
      <c r="G54" s="75">
        <v>3582.6</v>
      </c>
      <c r="H54" s="75">
        <v>0</v>
      </c>
      <c r="I54" s="75">
        <v>0</v>
      </c>
      <c r="J54" s="75">
        <v>3582.6</v>
      </c>
      <c r="K54" s="75">
        <v>0</v>
      </c>
      <c r="L54" s="75">
        <v>0</v>
      </c>
      <c r="M54" s="75">
        <v>0</v>
      </c>
      <c r="N54" s="75">
        <v>0</v>
      </c>
      <c r="O54" s="75">
        <v>161.08000000000001</v>
      </c>
      <c r="P54" s="75">
        <v>94.87</v>
      </c>
      <c r="Q54" s="75">
        <v>0</v>
      </c>
      <c r="R54" s="75">
        <v>0</v>
      </c>
      <c r="S54" s="76">
        <v>0.05</v>
      </c>
      <c r="T54" s="75">
        <v>256</v>
      </c>
      <c r="U54" s="75">
        <v>3326.6</v>
      </c>
      <c r="V54" s="75">
        <v>69.900000000000006</v>
      </c>
      <c r="W54" s="75">
        <v>125.82</v>
      </c>
      <c r="X54" s="75">
        <v>345.68</v>
      </c>
      <c r="Y54" s="75">
        <v>268.14999999999998</v>
      </c>
      <c r="Z54" s="75">
        <v>71.650000000000006</v>
      </c>
      <c r="AA54" s="75">
        <v>31.82</v>
      </c>
      <c r="AB54" s="75">
        <v>541.4</v>
      </c>
      <c r="AC54" s="75">
        <v>199.71</v>
      </c>
      <c r="AD54" s="75">
        <v>228.21</v>
      </c>
      <c r="AE54" s="75">
        <v>110</v>
      </c>
      <c r="AF54" s="75">
        <f t="shared" si="9"/>
        <v>196.17785565655458</v>
      </c>
      <c r="AG54" s="70">
        <f t="shared" si="1"/>
        <v>3326.6</v>
      </c>
      <c r="AH54" s="70">
        <f t="shared" si="2"/>
        <v>66.531999999999996</v>
      </c>
      <c r="AI54" s="70">
        <f t="shared" si="3"/>
        <v>3393.1320000000001</v>
      </c>
      <c r="AJ54" s="70">
        <f t="shared" si="4"/>
        <v>1364.16</v>
      </c>
      <c r="AK54" s="70">
        <f t="shared" si="5"/>
        <v>71.652000000000001</v>
      </c>
      <c r="AL54" s="70">
        <f t="shared" si="6"/>
        <v>4828.9440000000004</v>
      </c>
      <c r="AM54" s="70">
        <f t="shared" si="7"/>
        <v>772.6310400000001</v>
      </c>
      <c r="AN54" s="70">
        <f t="shared" si="8"/>
        <v>5601.5750400000006</v>
      </c>
    </row>
    <row r="55" spans="1:40" s="75" customFormat="1" ht="15" x14ac:dyDescent="0.25">
      <c r="A55" s="75" t="s">
        <v>329</v>
      </c>
      <c r="B55" s="75" t="s">
        <v>330</v>
      </c>
      <c r="C55" s="75">
        <v>15</v>
      </c>
      <c r="D55" s="75">
        <v>0</v>
      </c>
      <c r="E55" s="75">
        <v>238.84</v>
      </c>
      <c r="F55" s="75">
        <v>249.64</v>
      </c>
      <c r="G55" s="75">
        <v>3582.6</v>
      </c>
      <c r="H55" s="75">
        <v>0</v>
      </c>
      <c r="I55" s="75">
        <v>0</v>
      </c>
      <c r="J55" s="75">
        <v>3582.6</v>
      </c>
      <c r="K55" s="75">
        <v>0</v>
      </c>
      <c r="L55" s="75">
        <v>1191.26</v>
      </c>
      <c r="M55" s="75">
        <v>0</v>
      </c>
      <c r="N55" s="75">
        <v>0</v>
      </c>
      <c r="O55" s="75">
        <v>161.08000000000001</v>
      </c>
      <c r="P55" s="75">
        <v>94.87</v>
      </c>
      <c r="Q55" s="75">
        <v>0</v>
      </c>
      <c r="R55" s="75">
        <v>0</v>
      </c>
      <c r="S55" s="76">
        <v>0.19</v>
      </c>
      <c r="T55" s="75">
        <v>1447.4</v>
      </c>
      <c r="U55" s="75">
        <v>2135.1999999999998</v>
      </c>
      <c r="V55" s="75">
        <v>69.900000000000006</v>
      </c>
      <c r="W55" s="75">
        <v>125.82</v>
      </c>
      <c r="X55" s="75">
        <v>345.68</v>
      </c>
      <c r="Y55" s="75">
        <v>268.14999999999998</v>
      </c>
      <c r="Z55" s="75">
        <v>71.650000000000006</v>
      </c>
      <c r="AA55" s="75">
        <v>31.82</v>
      </c>
      <c r="AB55" s="75">
        <v>541.4</v>
      </c>
      <c r="AC55" s="75">
        <v>199.71</v>
      </c>
      <c r="AD55" s="75">
        <v>228.21</v>
      </c>
      <c r="AE55" s="75">
        <v>110</v>
      </c>
      <c r="AF55" s="75">
        <f t="shared" si="9"/>
        <v>196.17785565655458</v>
      </c>
      <c r="AG55" s="70">
        <f t="shared" si="1"/>
        <v>3326.46</v>
      </c>
      <c r="AH55" s="70">
        <f t="shared" si="2"/>
        <v>66.529200000000003</v>
      </c>
      <c r="AI55" s="70">
        <f t="shared" si="3"/>
        <v>3392.9892</v>
      </c>
      <c r="AJ55" s="70">
        <f t="shared" si="4"/>
        <v>1364.16</v>
      </c>
      <c r="AK55" s="70">
        <f t="shared" si="5"/>
        <v>71.652000000000001</v>
      </c>
      <c r="AL55" s="70">
        <f t="shared" si="6"/>
        <v>4828.8011999999999</v>
      </c>
      <c r="AM55" s="70">
        <f t="shared" si="7"/>
        <v>772.60819200000003</v>
      </c>
      <c r="AN55" s="70">
        <f t="shared" si="8"/>
        <v>5601.4093919999996</v>
      </c>
    </row>
    <row r="56" spans="1:40" s="75" customFormat="1" ht="15" x14ac:dyDescent="0.25">
      <c r="A56" s="75" t="s">
        <v>318</v>
      </c>
      <c r="B56" s="75" t="s">
        <v>319</v>
      </c>
      <c r="C56" s="75">
        <v>15</v>
      </c>
      <c r="D56" s="75">
        <v>0</v>
      </c>
      <c r="E56" s="75">
        <v>238.84</v>
      </c>
      <c r="F56" s="75">
        <v>249.64</v>
      </c>
      <c r="G56" s="75">
        <v>3582.6</v>
      </c>
      <c r="H56" s="75">
        <v>0</v>
      </c>
      <c r="I56" s="75">
        <v>0</v>
      </c>
      <c r="J56" s="75">
        <v>3582.6</v>
      </c>
      <c r="K56" s="75">
        <v>0</v>
      </c>
      <c r="L56" s="75">
        <v>0</v>
      </c>
      <c r="M56" s="75">
        <v>1230.6500000000001</v>
      </c>
      <c r="N56" s="75">
        <v>0</v>
      </c>
      <c r="O56" s="75">
        <v>161.08000000000001</v>
      </c>
      <c r="P56" s="75">
        <v>94.87</v>
      </c>
      <c r="Q56" s="75">
        <v>0</v>
      </c>
      <c r="R56" s="113">
        <v>426.67</v>
      </c>
      <c r="S56" s="75">
        <v>0.13</v>
      </c>
      <c r="T56" s="75">
        <v>1913.4</v>
      </c>
      <c r="U56" s="75">
        <v>1669.2</v>
      </c>
      <c r="V56" s="75">
        <v>69.900000000000006</v>
      </c>
      <c r="W56" s="75">
        <v>125.82</v>
      </c>
      <c r="X56" s="75">
        <v>345.68</v>
      </c>
      <c r="Y56" s="75">
        <v>268.14999999999998</v>
      </c>
      <c r="Z56" s="75">
        <v>71.650000000000006</v>
      </c>
      <c r="AA56" s="75">
        <v>31.82</v>
      </c>
      <c r="AB56" s="75">
        <v>541.4</v>
      </c>
      <c r="AC56" s="75">
        <v>199.71</v>
      </c>
      <c r="AD56" s="75">
        <v>228.21</v>
      </c>
      <c r="AE56" s="75">
        <v>110</v>
      </c>
      <c r="AF56" s="75">
        <f t="shared" si="9"/>
        <v>196.17785565655458</v>
      </c>
      <c r="AG56" s="70">
        <f t="shared" si="1"/>
        <v>3326.52</v>
      </c>
      <c r="AH56" s="70">
        <f t="shared" si="2"/>
        <v>66.5304</v>
      </c>
      <c r="AI56" s="70">
        <f t="shared" si="3"/>
        <v>3393.0504000000001</v>
      </c>
      <c r="AJ56" s="70">
        <f t="shared" si="4"/>
        <v>1364.16</v>
      </c>
      <c r="AK56" s="70">
        <f t="shared" si="5"/>
        <v>71.652000000000001</v>
      </c>
      <c r="AL56" s="70">
        <f t="shared" si="6"/>
        <v>4828.8624</v>
      </c>
      <c r="AM56" s="70">
        <f t="shared" si="7"/>
        <v>772.61798399999998</v>
      </c>
      <c r="AN56" s="70">
        <f t="shared" si="8"/>
        <v>5601.4803840000004</v>
      </c>
    </row>
    <row r="57" spans="1:40" s="75" customFormat="1" ht="15" x14ac:dyDescent="0.25">
      <c r="A57" s="75" t="s">
        <v>133</v>
      </c>
      <c r="B57" s="75" t="s">
        <v>134</v>
      </c>
      <c r="C57" s="75">
        <v>0</v>
      </c>
      <c r="D57" s="75">
        <v>15</v>
      </c>
      <c r="E57" s="75">
        <v>238.84</v>
      </c>
      <c r="F57" s="75">
        <v>249.64</v>
      </c>
      <c r="G57" s="75">
        <v>0</v>
      </c>
      <c r="H57" s="75">
        <v>3582.6</v>
      </c>
      <c r="I57" s="75">
        <v>1074.78</v>
      </c>
      <c r="J57" s="75">
        <v>4657.38</v>
      </c>
      <c r="K57" s="75">
        <v>0</v>
      </c>
      <c r="L57" s="75">
        <v>0</v>
      </c>
      <c r="M57" s="75">
        <v>0</v>
      </c>
      <c r="N57" s="75">
        <v>0</v>
      </c>
      <c r="O57" s="75">
        <v>161.08000000000001</v>
      </c>
      <c r="P57" s="75">
        <v>94.87</v>
      </c>
      <c r="Q57" s="75">
        <v>0</v>
      </c>
      <c r="R57" s="75">
        <v>0</v>
      </c>
      <c r="S57" s="76">
        <v>0.03</v>
      </c>
      <c r="T57" s="75">
        <v>255.98</v>
      </c>
      <c r="U57" s="75">
        <v>4401.3999999999996</v>
      </c>
      <c r="V57" s="75">
        <v>69.900000000000006</v>
      </c>
      <c r="W57" s="75">
        <v>125.82</v>
      </c>
      <c r="X57" s="75">
        <v>345.68</v>
      </c>
      <c r="Y57" s="75">
        <v>268.14999999999998</v>
      </c>
      <c r="Z57" s="75">
        <v>93.15</v>
      </c>
      <c r="AA57" s="75">
        <v>31.82</v>
      </c>
      <c r="AB57" s="75">
        <v>541.4</v>
      </c>
      <c r="AC57" s="75">
        <v>199.71</v>
      </c>
      <c r="AD57" s="75">
        <v>228.21</v>
      </c>
      <c r="AE57" s="75">
        <v>110</v>
      </c>
      <c r="AF57" s="75">
        <f t="shared" si="9"/>
        <v>196.17785565655458</v>
      </c>
      <c r="AG57" s="70">
        <f t="shared" si="1"/>
        <v>4401.3999999999996</v>
      </c>
      <c r="AH57" s="70">
        <f t="shared" si="2"/>
        <v>88.027999999999992</v>
      </c>
      <c r="AI57" s="70">
        <f t="shared" si="3"/>
        <v>4489.4279999999999</v>
      </c>
      <c r="AJ57" s="70">
        <f t="shared" si="4"/>
        <v>1364.16</v>
      </c>
      <c r="AK57" s="70">
        <f t="shared" si="5"/>
        <v>93.147599999999997</v>
      </c>
      <c r="AL57" s="70">
        <f t="shared" si="6"/>
        <v>5946.7356</v>
      </c>
      <c r="AM57" s="70">
        <f t="shared" si="7"/>
        <v>951.47769600000004</v>
      </c>
      <c r="AN57" s="70">
        <f t="shared" si="8"/>
        <v>6898.2132959999999</v>
      </c>
    </row>
    <row r="58" spans="1:40" s="75" customFormat="1" ht="15" x14ac:dyDescent="0.25">
      <c r="A58" s="75" t="s">
        <v>180</v>
      </c>
      <c r="B58" s="75" t="s">
        <v>181</v>
      </c>
      <c r="C58" s="75">
        <v>15</v>
      </c>
      <c r="D58" s="75">
        <v>0</v>
      </c>
      <c r="E58" s="75">
        <v>200</v>
      </c>
      <c r="F58" s="75">
        <v>212.11</v>
      </c>
      <c r="G58" s="75">
        <v>3000</v>
      </c>
      <c r="H58" s="75">
        <v>0</v>
      </c>
      <c r="I58" s="75">
        <v>0</v>
      </c>
      <c r="J58" s="75">
        <v>3000</v>
      </c>
      <c r="K58" s="75">
        <v>0</v>
      </c>
      <c r="L58" s="75">
        <v>0</v>
      </c>
      <c r="M58" s="75">
        <v>0</v>
      </c>
      <c r="N58" s="75">
        <v>0</v>
      </c>
      <c r="O58" s="75">
        <v>59.69</v>
      </c>
      <c r="P58" s="75">
        <v>80.599999999999994</v>
      </c>
      <c r="Q58" s="75">
        <v>0</v>
      </c>
      <c r="R58" s="113">
        <v>385</v>
      </c>
      <c r="S58" s="76">
        <v>-0.09</v>
      </c>
      <c r="T58" s="75">
        <v>525.20000000000005</v>
      </c>
      <c r="U58" s="75">
        <v>2474.8000000000002</v>
      </c>
      <c r="V58" s="75">
        <v>59.39</v>
      </c>
      <c r="W58" s="75">
        <v>106.9</v>
      </c>
      <c r="X58" s="75">
        <v>335.17</v>
      </c>
      <c r="Y58" s="75">
        <v>256.14999999999998</v>
      </c>
      <c r="Z58" s="75">
        <v>60</v>
      </c>
      <c r="AA58" s="75">
        <v>27.03</v>
      </c>
      <c r="AB58" s="75">
        <v>501.46</v>
      </c>
      <c r="AC58" s="75">
        <v>169.69</v>
      </c>
      <c r="AD58" s="75">
        <v>222.21</v>
      </c>
      <c r="AE58" s="75">
        <v>110</v>
      </c>
      <c r="AF58" s="75">
        <f t="shared" si="9"/>
        <v>164.27554484722373</v>
      </c>
      <c r="AG58" s="70">
        <f t="shared" si="1"/>
        <v>2859.8</v>
      </c>
      <c r="AH58" s="70">
        <f t="shared" si="2"/>
        <v>57.196000000000005</v>
      </c>
      <c r="AI58" s="70">
        <f t="shared" si="3"/>
        <v>2916.9960000000001</v>
      </c>
      <c r="AJ58" s="70">
        <f t="shared" si="4"/>
        <v>1257.1400000000001</v>
      </c>
      <c r="AK58" s="70">
        <f t="shared" si="5"/>
        <v>60</v>
      </c>
      <c r="AL58" s="70">
        <f t="shared" si="6"/>
        <v>4234.1360000000004</v>
      </c>
      <c r="AM58" s="70">
        <f t="shared" si="7"/>
        <v>677.46176000000003</v>
      </c>
      <c r="AN58" s="70">
        <f t="shared" si="8"/>
        <v>4911.5977600000006</v>
      </c>
    </row>
    <row r="59" spans="1:40" s="75" customFormat="1" ht="15" x14ac:dyDescent="0.25">
      <c r="A59" s="75" t="s">
        <v>153</v>
      </c>
      <c r="B59" s="75" t="s">
        <v>154</v>
      </c>
      <c r="C59" s="75">
        <v>15</v>
      </c>
      <c r="D59" s="75">
        <v>0</v>
      </c>
      <c r="E59" s="75">
        <v>238.84</v>
      </c>
      <c r="F59" s="75">
        <v>249.64</v>
      </c>
      <c r="G59" s="75">
        <v>3582.6</v>
      </c>
      <c r="H59" s="75">
        <v>0</v>
      </c>
      <c r="I59" s="75">
        <v>0</v>
      </c>
      <c r="J59" s="75">
        <v>3582.6</v>
      </c>
      <c r="K59" s="75">
        <v>0</v>
      </c>
      <c r="L59" s="75">
        <v>684.91</v>
      </c>
      <c r="M59" s="75">
        <v>0</v>
      </c>
      <c r="N59" s="75">
        <v>0</v>
      </c>
      <c r="O59" s="75">
        <v>161.08000000000001</v>
      </c>
      <c r="P59" s="75">
        <v>94.87</v>
      </c>
      <c r="Q59" s="75">
        <v>0</v>
      </c>
      <c r="R59" s="75">
        <v>0</v>
      </c>
      <c r="S59" s="76">
        <v>0.14000000000000001</v>
      </c>
      <c r="T59" s="75">
        <v>941</v>
      </c>
      <c r="U59" s="75">
        <v>2641.6</v>
      </c>
      <c r="V59" s="75">
        <v>69.900000000000006</v>
      </c>
      <c r="W59" s="75">
        <v>125.82</v>
      </c>
      <c r="X59" s="75">
        <v>345.68</v>
      </c>
      <c r="Y59" s="75">
        <v>268.14999999999998</v>
      </c>
      <c r="Z59" s="75">
        <v>71.650000000000006</v>
      </c>
      <c r="AA59" s="75">
        <v>31.82</v>
      </c>
      <c r="AB59" s="75">
        <v>541.4</v>
      </c>
      <c r="AC59" s="75">
        <v>199.71</v>
      </c>
      <c r="AD59" s="75">
        <v>228.21</v>
      </c>
      <c r="AE59" s="75">
        <v>110</v>
      </c>
      <c r="AF59" s="75">
        <f t="shared" si="9"/>
        <v>196.17785565655458</v>
      </c>
      <c r="AG59" s="70">
        <f t="shared" si="1"/>
        <v>3326.5099999999998</v>
      </c>
      <c r="AH59" s="70">
        <f t="shared" si="2"/>
        <v>66.530199999999994</v>
      </c>
      <c r="AI59" s="70">
        <f t="shared" si="3"/>
        <v>3393.0401999999999</v>
      </c>
      <c r="AJ59" s="70">
        <f t="shared" si="4"/>
        <v>1364.16</v>
      </c>
      <c r="AK59" s="70">
        <f t="shared" si="5"/>
        <v>71.652000000000001</v>
      </c>
      <c r="AL59" s="70">
        <f t="shared" si="6"/>
        <v>4828.8522000000003</v>
      </c>
      <c r="AM59" s="70">
        <f t="shared" si="7"/>
        <v>772.61635200000001</v>
      </c>
      <c r="AN59" s="70">
        <f t="shared" si="8"/>
        <v>5601.4685520000003</v>
      </c>
    </row>
    <row r="60" spans="1:40" s="75" customFormat="1" ht="15" x14ac:dyDescent="0.25">
      <c r="A60" s="75" t="s">
        <v>243</v>
      </c>
      <c r="B60" s="75" t="s">
        <v>244</v>
      </c>
      <c r="C60" s="75">
        <v>15</v>
      </c>
      <c r="D60" s="75">
        <v>0</v>
      </c>
      <c r="E60" s="75">
        <v>166.67</v>
      </c>
      <c r="F60" s="75">
        <v>174.2</v>
      </c>
      <c r="G60" s="75">
        <v>2500.0500000000002</v>
      </c>
      <c r="H60" s="75">
        <v>0</v>
      </c>
      <c r="I60" s="75">
        <v>0</v>
      </c>
      <c r="J60" s="75">
        <v>2500.0500000000002</v>
      </c>
      <c r="K60" s="75">
        <v>0</v>
      </c>
      <c r="L60" s="75">
        <v>0</v>
      </c>
      <c r="M60" s="75">
        <v>0</v>
      </c>
      <c r="N60" s="76">
        <v>-9.6199999999999992</v>
      </c>
      <c r="O60" s="75">
        <v>0</v>
      </c>
      <c r="P60" s="75">
        <v>66.2</v>
      </c>
      <c r="Q60" s="75">
        <v>0</v>
      </c>
      <c r="R60" s="75">
        <v>0</v>
      </c>
      <c r="S60" s="75">
        <v>-0.13</v>
      </c>
      <c r="T60" s="75">
        <v>56.45</v>
      </c>
      <c r="U60" s="75">
        <v>2443.6</v>
      </c>
      <c r="V60" s="75">
        <v>48.78</v>
      </c>
      <c r="W60" s="75">
        <v>87.8</v>
      </c>
      <c r="X60" s="75">
        <v>324.56</v>
      </c>
      <c r="Y60" s="75">
        <v>244.01000000000002</v>
      </c>
      <c r="Z60" s="75">
        <v>50</v>
      </c>
      <c r="AA60" s="75">
        <v>22.2</v>
      </c>
      <c r="AB60" s="75">
        <v>461.14</v>
      </c>
      <c r="AC60" s="75">
        <v>139.36000000000001</v>
      </c>
      <c r="AD60" s="75">
        <v>216.14000000000001</v>
      </c>
      <c r="AE60" s="75">
        <v>110</v>
      </c>
      <c r="AF60" s="75">
        <f t="shared" si="9"/>
        <v>136.89902529843388</v>
      </c>
      <c r="AG60" s="70">
        <f t="shared" si="1"/>
        <v>2443.6</v>
      </c>
      <c r="AH60" s="70">
        <f t="shared" si="2"/>
        <v>48.872</v>
      </c>
      <c r="AI60" s="70">
        <f t="shared" si="3"/>
        <v>2492.4719999999998</v>
      </c>
      <c r="AJ60" s="70">
        <f t="shared" si="4"/>
        <v>1149.0500000000002</v>
      </c>
      <c r="AK60" s="70">
        <f t="shared" si="5"/>
        <v>50.001000000000005</v>
      </c>
      <c r="AL60" s="70">
        <f t="shared" si="6"/>
        <v>3691.5230000000001</v>
      </c>
      <c r="AM60" s="70">
        <f t="shared" si="7"/>
        <v>590.64368000000002</v>
      </c>
      <c r="AN60" s="70">
        <f t="shared" si="8"/>
        <v>4282.1666800000003</v>
      </c>
    </row>
    <row r="61" spans="1:40" s="75" customFormat="1" ht="15" x14ac:dyDescent="0.25">
      <c r="A61" s="75" t="s">
        <v>234</v>
      </c>
      <c r="B61" s="75" t="s">
        <v>235</v>
      </c>
      <c r="C61" s="75">
        <v>15</v>
      </c>
      <c r="D61" s="75">
        <v>0</v>
      </c>
      <c r="E61" s="75">
        <v>195.38</v>
      </c>
      <c r="F61" s="75">
        <v>204.21</v>
      </c>
      <c r="G61" s="75">
        <v>2930.7</v>
      </c>
      <c r="H61" s="75">
        <v>0</v>
      </c>
      <c r="I61" s="75">
        <v>0</v>
      </c>
      <c r="J61" s="75">
        <v>2930.7</v>
      </c>
      <c r="K61" s="75">
        <v>0</v>
      </c>
      <c r="L61" s="75">
        <v>878.36</v>
      </c>
      <c r="M61" s="75">
        <v>0</v>
      </c>
      <c r="N61" s="75">
        <v>0</v>
      </c>
      <c r="O61" s="75">
        <v>52.15</v>
      </c>
      <c r="P61" s="75">
        <v>77.599999999999994</v>
      </c>
      <c r="Q61" s="75">
        <v>0</v>
      </c>
      <c r="R61" s="75">
        <v>0</v>
      </c>
      <c r="S61" s="76">
        <v>-0.01</v>
      </c>
      <c r="T61" s="75">
        <v>1008.1</v>
      </c>
      <c r="U61" s="75">
        <v>1922.6</v>
      </c>
      <c r="V61" s="75">
        <v>57.18</v>
      </c>
      <c r="W61" s="75">
        <v>102.92</v>
      </c>
      <c r="X61" s="75">
        <v>332.96</v>
      </c>
      <c r="Y61" s="75">
        <v>253.62</v>
      </c>
      <c r="Z61" s="75">
        <v>58.61</v>
      </c>
      <c r="AA61" s="75">
        <v>26.03</v>
      </c>
      <c r="AB61" s="75">
        <v>493.06</v>
      </c>
      <c r="AC61" s="75">
        <v>163.37</v>
      </c>
      <c r="AD61" s="75">
        <v>220.94</v>
      </c>
      <c r="AE61" s="75">
        <v>110</v>
      </c>
      <c r="AF61" s="75">
        <f t="shared" si="9"/>
        <v>160.48077976125285</v>
      </c>
      <c r="AG61" s="70">
        <f t="shared" si="1"/>
        <v>2800.96</v>
      </c>
      <c r="AH61" s="70">
        <f t="shared" si="2"/>
        <v>56.019200000000005</v>
      </c>
      <c r="AI61" s="70">
        <f t="shared" si="3"/>
        <v>2856.9792000000002</v>
      </c>
      <c r="AJ61" s="70">
        <f t="shared" si="4"/>
        <v>1234.6199999999999</v>
      </c>
      <c r="AK61" s="70">
        <f t="shared" si="5"/>
        <v>58.613999999999997</v>
      </c>
      <c r="AL61" s="70">
        <f t="shared" si="6"/>
        <v>4150.2132000000001</v>
      </c>
      <c r="AM61" s="70">
        <f t="shared" si="7"/>
        <v>664.03411200000005</v>
      </c>
      <c r="AN61" s="70">
        <f t="shared" si="8"/>
        <v>4814.2473120000004</v>
      </c>
    </row>
    <row r="62" spans="1:40" s="75" customFormat="1" ht="15" x14ac:dyDescent="0.25">
      <c r="A62" s="75" t="s">
        <v>295</v>
      </c>
      <c r="B62" s="75" t="s">
        <v>296</v>
      </c>
      <c r="C62" s="75">
        <v>15</v>
      </c>
      <c r="D62" s="75">
        <v>0</v>
      </c>
      <c r="E62" s="75">
        <v>195.38</v>
      </c>
      <c r="F62" s="75">
        <v>204.21</v>
      </c>
      <c r="G62" s="75">
        <v>2930.7</v>
      </c>
      <c r="H62" s="75">
        <v>0</v>
      </c>
      <c r="I62" s="75">
        <v>0</v>
      </c>
      <c r="J62" s="75">
        <v>2930.7</v>
      </c>
      <c r="K62" s="75">
        <v>0</v>
      </c>
      <c r="L62" s="75">
        <v>899.86</v>
      </c>
      <c r="M62" s="75">
        <v>0</v>
      </c>
      <c r="N62" s="75">
        <v>0</v>
      </c>
      <c r="O62" s="75">
        <v>52.15</v>
      </c>
      <c r="P62" s="75">
        <v>77.599999999999994</v>
      </c>
      <c r="Q62" s="75">
        <v>0</v>
      </c>
      <c r="R62" s="113">
        <v>789.08</v>
      </c>
      <c r="S62" s="76">
        <v>0.01</v>
      </c>
      <c r="T62" s="75">
        <v>1818.7</v>
      </c>
      <c r="U62" s="75">
        <v>1112</v>
      </c>
      <c r="V62" s="75">
        <v>57.18</v>
      </c>
      <c r="W62" s="75">
        <v>102.92</v>
      </c>
      <c r="X62" s="75">
        <v>332.96</v>
      </c>
      <c r="Y62" s="75">
        <v>253.62</v>
      </c>
      <c r="Z62" s="75">
        <v>58.61</v>
      </c>
      <c r="AA62" s="75">
        <v>26.03</v>
      </c>
      <c r="AB62" s="75">
        <v>493.06</v>
      </c>
      <c r="AC62" s="75">
        <v>163.37</v>
      </c>
      <c r="AD62" s="75">
        <v>220.94</v>
      </c>
      <c r="AE62" s="75">
        <v>110</v>
      </c>
      <c r="AF62" s="75">
        <f t="shared" si="9"/>
        <v>160.48077976125285</v>
      </c>
      <c r="AG62" s="70">
        <f t="shared" si="1"/>
        <v>2800.94</v>
      </c>
      <c r="AH62" s="70">
        <f t="shared" si="2"/>
        <v>56.018799999999999</v>
      </c>
      <c r="AI62" s="70">
        <f t="shared" si="3"/>
        <v>2856.9587999999999</v>
      </c>
      <c r="AJ62" s="70">
        <f t="shared" si="4"/>
        <v>1234.6199999999999</v>
      </c>
      <c r="AK62" s="70">
        <f t="shared" si="5"/>
        <v>58.613999999999997</v>
      </c>
      <c r="AL62" s="70">
        <f t="shared" si="6"/>
        <v>4150.1927999999998</v>
      </c>
      <c r="AM62" s="70">
        <f t="shared" si="7"/>
        <v>664.03084799999999</v>
      </c>
      <c r="AN62" s="70">
        <f t="shared" si="8"/>
        <v>4814.2236480000001</v>
      </c>
    </row>
    <row r="63" spans="1:40" s="75" customFormat="1" ht="15" x14ac:dyDescent="0.25">
      <c r="A63" s="75" t="s">
        <v>252</v>
      </c>
      <c r="B63" s="75" t="s">
        <v>427</v>
      </c>
      <c r="C63" s="75">
        <v>15</v>
      </c>
      <c r="D63" s="75">
        <v>0</v>
      </c>
      <c r="E63" s="75">
        <v>166.67</v>
      </c>
      <c r="F63" s="75">
        <v>176.76</v>
      </c>
      <c r="G63" s="75">
        <v>2500.0500000000002</v>
      </c>
      <c r="H63" s="75">
        <v>0</v>
      </c>
      <c r="I63" s="75">
        <v>0</v>
      </c>
      <c r="J63" s="75">
        <v>2500.0500000000002</v>
      </c>
      <c r="K63" s="75">
        <v>0</v>
      </c>
      <c r="L63" s="75">
        <v>0</v>
      </c>
      <c r="M63" s="75">
        <v>0</v>
      </c>
      <c r="N63" s="76">
        <v>-9.6199999999999992</v>
      </c>
      <c r="O63" s="75">
        <v>0</v>
      </c>
      <c r="P63" s="75">
        <v>67.180000000000007</v>
      </c>
      <c r="Q63" s="75">
        <v>0</v>
      </c>
      <c r="R63" s="75">
        <v>0</v>
      </c>
      <c r="S63" s="75">
        <v>-0.11</v>
      </c>
      <c r="T63" s="75">
        <v>57.45</v>
      </c>
      <c r="U63" s="75">
        <v>2442.6</v>
      </c>
      <c r="V63" s="75">
        <v>49.49</v>
      </c>
      <c r="W63" s="75">
        <v>89.09</v>
      </c>
      <c r="X63" s="75">
        <v>325.27999999999997</v>
      </c>
      <c r="Y63" s="75">
        <v>244.83</v>
      </c>
      <c r="Z63" s="75">
        <v>50</v>
      </c>
      <c r="AA63" s="75">
        <v>22.53</v>
      </c>
      <c r="AB63" s="75">
        <v>463.86</v>
      </c>
      <c r="AC63" s="75">
        <v>141.41</v>
      </c>
      <c r="AD63" s="75">
        <v>216.55</v>
      </c>
      <c r="AE63" s="75">
        <v>110</v>
      </c>
      <c r="AF63" s="75">
        <f t="shared" si="9"/>
        <v>136.89902529843388</v>
      </c>
      <c r="AG63" s="70">
        <f t="shared" si="1"/>
        <v>2442.6</v>
      </c>
      <c r="AH63" s="70">
        <f t="shared" si="2"/>
        <v>48.851999999999997</v>
      </c>
      <c r="AI63" s="70">
        <f t="shared" si="3"/>
        <v>2491.4519999999998</v>
      </c>
      <c r="AJ63" s="70">
        <f t="shared" si="4"/>
        <v>1156.3599999999999</v>
      </c>
      <c r="AK63" s="70">
        <f t="shared" si="5"/>
        <v>50.001000000000005</v>
      </c>
      <c r="AL63" s="70">
        <f t="shared" si="6"/>
        <v>3697.8130000000001</v>
      </c>
      <c r="AM63" s="70">
        <f t="shared" si="7"/>
        <v>591.65008</v>
      </c>
      <c r="AN63" s="70">
        <f t="shared" si="8"/>
        <v>4289.4630800000004</v>
      </c>
    </row>
    <row r="64" spans="1:40" s="75" customFormat="1" ht="15" x14ac:dyDescent="0.25">
      <c r="A64" s="75" t="s">
        <v>130</v>
      </c>
      <c r="B64" s="75" t="s">
        <v>131</v>
      </c>
      <c r="C64" s="75">
        <v>15</v>
      </c>
      <c r="D64" s="75">
        <v>0</v>
      </c>
      <c r="E64" s="75">
        <v>166.67</v>
      </c>
      <c r="F64" s="75">
        <v>177.03</v>
      </c>
      <c r="G64" s="75">
        <v>2500.0500000000002</v>
      </c>
      <c r="H64" s="75">
        <v>0</v>
      </c>
      <c r="I64" s="75">
        <v>0</v>
      </c>
      <c r="J64" s="75">
        <v>2500.0500000000002</v>
      </c>
      <c r="K64" s="75">
        <v>0</v>
      </c>
      <c r="L64" s="75">
        <v>0</v>
      </c>
      <c r="M64" s="75">
        <v>0</v>
      </c>
      <c r="N64" s="76">
        <v>-9.6199999999999992</v>
      </c>
      <c r="O64" s="75">
        <v>0</v>
      </c>
      <c r="P64" s="75">
        <v>67.27</v>
      </c>
      <c r="Q64" s="75">
        <v>0</v>
      </c>
      <c r="R64" s="75">
        <v>0</v>
      </c>
      <c r="S64" s="75">
        <v>0</v>
      </c>
      <c r="T64" s="75">
        <v>57.65</v>
      </c>
      <c r="U64" s="75">
        <v>2442.4</v>
      </c>
      <c r="V64" s="75">
        <v>49.57</v>
      </c>
      <c r="W64" s="75">
        <v>89.22</v>
      </c>
      <c r="X64" s="75">
        <v>325.35000000000002</v>
      </c>
      <c r="Y64" s="75">
        <v>244.92000000000002</v>
      </c>
      <c r="Z64" s="75">
        <v>50</v>
      </c>
      <c r="AA64" s="75">
        <v>22.56</v>
      </c>
      <c r="AB64" s="75">
        <v>464.14</v>
      </c>
      <c r="AC64" s="75">
        <v>141.62</v>
      </c>
      <c r="AD64" s="75">
        <v>216.59</v>
      </c>
      <c r="AE64" s="75">
        <v>110</v>
      </c>
      <c r="AF64" s="75">
        <f t="shared" si="9"/>
        <v>136.89902529843388</v>
      </c>
      <c r="AG64" s="70">
        <f t="shared" si="1"/>
        <v>2442.4</v>
      </c>
      <c r="AH64" s="70">
        <f t="shared" si="2"/>
        <v>48.848000000000006</v>
      </c>
      <c r="AI64" s="70">
        <f t="shared" si="3"/>
        <v>2491.248</v>
      </c>
      <c r="AJ64" s="70">
        <f t="shared" si="4"/>
        <v>1157.1000000000001</v>
      </c>
      <c r="AK64" s="70">
        <f t="shared" si="5"/>
        <v>50.001000000000005</v>
      </c>
      <c r="AL64" s="70">
        <f t="shared" si="6"/>
        <v>3698.3490000000002</v>
      </c>
      <c r="AM64" s="70">
        <f t="shared" si="7"/>
        <v>591.73584000000005</v>
      </c>
      <c r="AN64" s="70">
        <f t="shared" si="8"/>
        <v>4290.0848400000004</v>
      </c>
    </row>
    <row r="65" spans="1:40" s="75" customFormat="1" ht="15" x14ac:dyDescent="0.25">
      <c r="A65" s="75" t="s">
        <v>193</v>
      </c>
      <c r="B65" s="75" t="s">
        <v>428</v>
      </c>
      <c r="C65" s="75">
        <v>14</v>
      </c>
      <c r="D65" s="75">
        <v>1</v>
      </c>
      <c r="E65" s="75">
        <v>200</v>
      </c>
      <c r="F65" s="75">
        <v>209.04</v>
      </c>
      <c r="G65" s="75">
        <v>2800</v>
      </c>
      <c r="H65" s="75">
        <v>200</v>
      </c>
      <c r="I65" s="75">
        <v>60</v>
      </c>
      <c r="J65" s="75">
        <v>3060</v>
      </c>
      <c r="K65" s="75">
        <v>0</v>
      </c>
      <c r="L65" s="75">
        <v>0</v>
      </c>
      <c r="M65" s="75">
        <v>0</v>
      </c>
      <c r="N65" s="75">
        <v>0</v>
      </c>
      <c r="O65" s="75">
        <v>59.69</v>
      </c>
      <c r="P65" s="75">
        <v>79.430000000000007</v>
      </c>
      <c r="Q65" s="75">
        <v>0</v>
      </c>
      <c r="R65" s="113">
        <v>253.77</v>
      </c>
      <c r="S65" s="75">
        <v>0.11</v>
      </c>
      <c r="T65" s="75">
        <v>393</v>
      </c>
      <c r="U65" s="75">
        <v>2667</v>
      </c>
      <c r="V65" s="75">
        <v>58.53</v>
      </c>
      <c r="W65" s="75">
        <v>105.36</v>
      </c>
      <c r="X65" s="75">
        <v>334.31</v>
      </c>
      <c r="Y65" s="75">
        <v>255.16000000000003</v>
      </c>
      <c r="Z65" s="75">
        <v>61.2</v>
      </c>
      <c r="AA65" s="75">
        <v>26.64</v>
      </c>
      <c r="AB65" s="75">
        <v>498.2</v>
      </c>
      <c r="AC65" s="75">
        <v>167.23</v>
      </c>
      <c r="AD65" s="75">
        <v>221.72000000000003</v>
      </c>
      <c r="AE65" s="75">
        <v>110</v>
      </c>
      <c r="AF65" s="75">
        <f t="shared" si="9"/>
        <v>164.27554484722373</v>
      </c>
      <c r="AG65" s="70">
        <f t="shared" si="1"/>
        <v>2920.77</v>
      </c>
      <c r="AH65" s="70">
        <f t="shared" si="2"/>
        <v>58.415399999999998</v>
      </c>
      <c r="AI65" s="70">
        <f t="shared" si="3"/>
        <v>2979.1853999999998</v>
      </c>
      <c r="AJ65" s="70">
        <f t="shared" si="4"/>
        <v>1248.3799999999999</v>
      </c>
      <c r="AK65" s="70">
        <f t="shared" si="5"/>
        <v>61.2</v>
      </c>
      <c r="AL65" s="70">
        <f t="shared" si="6"/>
        <v>4288.7653999999993</v>
      </c>
      <c r="AM65" s="70">
        <f t="shared" si="7"/>
        <v>686.20246399999985</v>
      </c>
      <c r="AN65" s="70">
        <f t="shared" si="8"/>
        <v>4974.9678639999993</v>
      </c>
    </row>
    <row r="66" spans="1:40" s="75" customFormat="1" ht="15" x14ac:dyDescent="0.25">
      <c r="A66" s="75" t="s">
        <v>212</v>
      </c>
      <c r="B66" s="75" t="s">
        <v>213</v>
      </c>
      <c r="C66" s="75">
        <v>15</v>
      </c>
      <c r="D66" s="75">
        <v>0</v>
      </c>
      <c r="E66" s="75">
        <v>166.67</v>
      </c>
      <c r="F66" s="75">
        <v>175.8</v>
      </c>
      <c r="G66" s="75">
        <v>2500.0500000000002</v>
      </c>
      <c r="H66" s="75">
        <v>0</v>
      </c>
      <c r="I66" s="75">
        <v>0</v>
      </c>
      <c r="J66" s="75">
        <v>2500.0500000000002</v>
      </c>
      <c r="K66" s="75">
        <v>0</v>
      </c>
      <c r="L66" s="75">
        <v>0</v>
      </c>
      <c r="M66" s="75">
        <v>0</v>
      </c>
      <c r="N66" s="76">
        <v>-9.6199999999999992</v>
      </c>
      <c r="O66" s="75">
        <v>0</v>
      </c>
      <c r="P66" s="75">
        <v>66.8</v>
      </c>
      <c r="Q66" s="75">
        <v>0</v>
      </c>
      <c r="R66" s="75">
        <v>0</v>
      </c>
      <c r="S66" s="76">
        <v>7.0000000000000007E-2</v>
      </c>
      <c r="T66" s="75">
        <v>57.25</v>
      </c>
      <c r="U66" s="75">
        <v>2442.8000000000002</v>
      </c>
      <c r="V66" s="75">
        <v>49.22</v>
      </c>
      <c r="W66" s="75">
        <v>88.6</v>
      </c>
      <c r="X66" s="75">
        <v>325</v>
      </c>
      <c r="Y66" s="75">
        <v>244.53</v>
      </c>
      <c r="Z66" s="75">
        <v>50</v>
      </c>
      <c r="AA66" s="75">
        <v>22.41</v>
      </c>
      <c r="AB66" s="75">
        <v>462.82</v>
      </c>
      <c r="AC66" s="75">
        <v>140.63999999999999</v>
      </c>
      <c r="AD66" s="75">
        <v>216.4</v>
      </c>
      <c r="AE66" s="75">
        <v>110</v>
      </c>
      <c r="AF66" s="75">
        <f t="shared" si="9"/>
        <v>136.89902529843388</v>
      </c>
      <c r="AG66" s="70">
        <f t="shared" si="1"/>
        <v>2442.8000000000002</v>
      </c>
      <c r="AH66" s="70">
        <f t="shared" si="2"/>
        <v>48.856000000000002</v>
      </c>
      <c r="AI66" s="70">
        <f t="shared" si="3"/>
        <v>2491.6560000000004</v>
      </c>
      <c r="AJ66" s="70">
        <f t="shared" si="4"/>
        <v>1153.5999999999999</v>
      </c>
      <c r="AK66" s="70">
        <f t="shared" si="5"/>
        <v>50.001000000000005</v>
      </c>
      <c r="AL66" s="70">
        <f t="shared" si="6"/>
        <v>3695.2570000000005</v>
      </c>
      <c r="AM66" s="70">
        <f t="shared" si="7"/>
        <v>591.24112000000014</v>
      </c>
      <c r="AN66" s="70">
        <f t="shared" si="8"/>
        <v>4286.4981200000002</v>
      </c>
    </row>
    <row r="67" spans="1:40" s="75" customFormat="1" ht="15" x14ac:dyDescent="0.25">
      <c r="A67" s="75" t="s">
        <v>254</v>
      </c>
      <c r="B67" s="75" t="s">
        <v>255</v>
      </c>
      <c r="C67" s="75">
        <v>15</v>
      </c>
      <c r="D67" s="75">
        <v>0</v>
      </c>
      <c r="E67" s="75">
        <v>166.66</v>
      </c>
      <c r="F67" s="75">
        <v>174.19</v>
      </c>
      <c r="G67" s="75">
        <v>2499.9</v>
      </c>
      <c r="H67" s="75">
        <v>0</v>
      </c>
      <c r="I67" s="75">
        <v>0</v>
      </c>
      <c r="J67" s="75">
        <v>2499.9</v>
      </c>
      <c r="K67" s="75">
        <v>0</v>
      </c>
      <c r="L67" s="75">
        <v>410.23</v>
      </c>
      <c r="M67" s="75">
        <v>0</v>
      </c>
      <c r="N67" s="76">
        <v>-9.64</v>
      </c>
      <c r="O67" s="75">
        <v>0</v>
      </c>
      <c r="P67" s="75">
        <v>66.19</v>
      </c>
      <c r="Q67" s="75">
        <v>0</v>
      </c>
      <c r="R67" s="75">
        <v>0</v>
      </c>
      <c r="S67" s="76">
        <v>-0.08</v>
      </c>
      <c r="T67" s="75">
        <v>466.7</v>
      </c>
      <c r="U67" s="75">
        <v>2033.2</v>
      </c>
      <c r="V67" s="75">
        <v>48.77</v>
      </c>
      <c r="W67" s="75">
        <v>87.79</v>
      </c>
      <c r="X67" s="75">
        <v>324.55</v>
      </c>
      <c r="Y67" s="75">
        <v>244.01000000000002</v>
      </c>
      <c r="Z67" s="75">
        <v>50</v>
      </c>
      <c r="AA67" s="75">
        <v>22.2</v>
      </c>
      <c r="AB67" s="75">
        <v>461.11</v>
      </c>
      <c r="AC67" s="75">
        <v>139.36000000000001</v>
      </c>
      <c r="AD67" s="75">
        <v>216.14000000000001</v>
      </c>
      <c r="AE67" s="75">
        <v>110</v>
      </c>
      <c r="AF67" s="75">
        <f t="shared" si="9"/>
        <v>136.89081152119152</v>
      </c>
      <c r="AG67" s="70">
        <f t="shared" si="1"/>
        <v>2443.4300000000003</v>
      </c>
      <c r="AH67" s="70">
        <f t="shared" si="2"/>
        <v>48.868600000000008</v>
      </c>
      <c r="AI67" s="70">
        <f t="shared" si="3"/>
        <v>2492.2986000000001</v>
      </c>
      <c r="AJ67" s="70">
        <f t="shared" si="4"/>
        <v>1149.01</v>
      </c>
      <c r="AK67" s="70">
        <f t="shared" si="5"/>
        <v>49.998000000000005</v>
      </c>
      <c r="AL67" s="70">
        <f t="shared" si="6"/>
        <v>3691.3066000000003</v>
      </c>
      <c r="AM67" s="70">
        <f t="shared" si="7"/>
        <v>590.60905600000012</v>
      </c>
      <c r="AN67" s="70">
        <f t="shared" si="8"/>
        <v>4281.9156560000001</v>
      </c>
    </row>
    <row r="68" spans="1:40" s="75" customFormat="1" ht="15" x14ac:dyDescent="0.25">
      <c r="A68" s="75" t="s">
        <v>221</v>
      </c>
      <c r="B68" s="75" t="s">
        <v>222</v>
      </c>
      <c r="C68" s="75">
        <v>15</v>
      </c>
      <c r="D68" s="75">
        <v>0</v>
      </c>
      <c r="E68" s="75">
        <v>256.67</v>
      </c>
      <c r="F68" s="75">
        <v>272.20999999999998</v>
      </c>
      <c r="G68" s="75">
        <v>3850.05</v>
      </c>
      <c r="H68" s="75">
        <v>0</v>
      </c>
      <c r="I68" s="75">
        <v>0</v>
      </c>
      <c r="J68" s="75">
        <v>3850.05</v>
      </c>
      <c r="K68" s="75">
        <v>0</v>
      </c>
      <c r="L68" s="75">
        <v>0</v>
      </c>
      <c r="M68" s="75">
        <v>0</v>
      </c>
      <c r="N68" s="75">
        <v>0</v>
      </c>
      <c r="O68" s="75">
        <v>297.55</v>
      </c>
      <c r="P68" s="75">
        <v>104.64</v>
      </c>
      <c r="Q68" s="75">
        <v>0</v>
      </c>
      <c r="R68" s="113">
        <v>298.60000000000002</v>
      </c>
      <c r="S68" s="75">
        <v>0.06</v>
      </c>
      <c r="T68" s="75">
        <v>700.85</v>
      </c>
      <c r="U68" s="75">
        <v>3149.2</v>
      </c>
      <c r="V68" s="75">
        <v>76.22</v>
      </c>
      <c r="W68" s="75">
        <v>137.19</v>
      </c>
      <c r="X68" s="75">
        <v>355.3</v>
      </c>
      <c r="Y68" s="75">
        <v>275.38</v>
      </c>
      <c r="Z68" s="75">
        <v>77</v>
      </c>
      <c r="AA68" s="75">
        <v>34.69</v>
      </c>
      <c r="AB68" s="75">
        <v>568.71</v>
      </c>
      <c r="AC68" s="75">
        <v>217.77</v>
      </c>
      <c r="AD68" s="75">
        <v>231.82</v>
      </c>
      <c r="AE68" s="75">
        <v>110</v>
      </c>
      <c r="AF68" s="75">
        <f t="shared" si="9"/>
        <v>210.8230204796846</v>
      </c>
      <c r="AG68" s="70">
        <f t="shared" si="1"/>
        <v>3447.7999999999997</v>
      </c>
      <c r="AH68" s="70">
        <f t="shared" si="2"/>
        <v>68.956000000000003</v>
      </c>
      <c r="AI68" s="70">
        <f t="shared" si="3"/>
        <v>3516.7559999999999</v>
      </c>
      <c r="AJ68" s="70">
        <f t="shared" si="4"/>
        <v>1433.01</v>
      </c>
      <c r="AK68" s="70">
        <f t="shared" si="5"/>
        <v>77.001000000000005</v>
      </c>
      <c r="AL68" s="70">
        <f t="shared" si="6"/>
        <v>5026.7669999999998</v>
      </c>
      <c r="AM68" s="70">
        <f t="shared" si="7"/>
        <v>804.28272000000004</v>
      </c>
      <c r="AN68" s="70">
        <f t="shared" si="8"/>
        <v>5831.04972</v>
      </c>
    </row>
    <row r="69" spans="1:40" s="75" customFormat="1" ht="15" x14ac:dyDescent="0.25">
      <c r="A69" s="75" t="s">
        <v>291</v>
      </c>
      <c r="B69" s="75" t="s">
        <v>292</v>
      </c>
      <c r="C69" s="75">
        <v>15</v>
      </c>
      <c r="D69" s="75">
        <v>0</v>
      </c>
      <c r="E69" s="75">
        <v>166.67</v>
      </c>
      <c r="F69" s="75">
        <v>174.2</v>
      </c>
      <c r="G69" s="75">
        <v>2500.0500000000002</v>
      </c>
      <c r="H69" s="75">
        <v>0</v>
      </c>
      <c r="I69" s="75">
        <v>0</v>
      </c>
      <c r="J69" s="75">
        <v>2500.0500000000002</v>
      </c>
      <c r="K69" s="75">
        <v>0</v>
      </c>
      <c r="L69" s="75">
        <v>0</v>
      </c>
      <c r="M69" s="75">
        <v>0</v>
      </c>
      <c r="N69" s="76">
        <v>-9.6199999999999992</v>
      </c>
      <c r="O69" s="75">
        <v>0</v>
      </c>
      <c r="P69" s="75">
        <v>66.2</v>
      </c>
      <c r="Q69" s="75">
        <v>0</v>
      </c>
      <c r="R69" s="75">
        <v>0</v>
      </c>
      <c r="S69" s="75">
        <v>7.0000000000000007E-2</v>
      </c>
      <c r="T69" s="75">
        <v>56.65</v>
      </c>
      <c r="U69" s="75">
        <v>2443.4</v>
      </c>
      <c r="V69" s="75">
        <v>48.78</v>
      </c>
      <c r="W69" s="75">
        <v>87.8</v>
      </c>
      <c r="X69" s="75">
        <v>324.56</v>
      </c>
      <c r="Y69" s="75">
        <v>244.02</v>
      </c>
      <c r="Z69" s="75">
        <v>50</v>
      </c>
      <c r="AA69" s="75">
        <v>22.2</v>
      </c>
      <c r="AB69" s="75">
        <v>461.14</v>
      </c>
      <c r="AC69" s="75">
        <v>139.36000000000001</v>
      </c>
      <c r="AD69" s="75">
        <v>216.14000000000001</v>
      </c>
      <c r="AE69" s="75">
        <v>110</v>
      </c>
      <c r="AF69" s="75">
        <f t="shared" si="9"/>
        <v>136.89902529843388</v>
      </c>
      <c r="AG69" s="70">
        <f t="shared" si="1"/>
        <v>2443.4</v>
      </c>
      <c r="AH69" s="70">
        <f t="shared" si="2"/>
        <v>48.868000000000002</v>
      </c>
      <c r="AI69" s="70">
        <f t="shared" si="3"/>
        <v>2492.268</v>
      </c>
      <c r="AJ69" s="70">
        <f t="shared" si="4"/>
        <v>1149.0600000000002</v>
      </c>
      <c r="AK69" s="70">
        <f t="shared" si="5"/>
        <v>50.001000000000005</v>
      </c>
      <c r="AL69" s="70">
        <f t="shared" si="6"/>
        <v>3691.3290000000006</v>
      </c>
      <c r="AM69" s="70">
        <f t="shared" si="7"/>
        <v>590.61264000000017</v>
      </c>
      <c r="AN69" s="70">
        <f t="shared" si="8"/>
        <v>4281.9416400000009</v>
      </c>
    </row>
    <row r="70" spans="1:40" s="75" customFormat="1" ht="15" x14ac:dyDescent="0.25">
      <c r="A70" s="75" t="s">
        <v>305</v>
      </c>
      <c r="B70" s="75" t="s">
        <v>306</v>
      </c>
      <c r="C70" s="75">
        <v>15</v>
      </c>
      <c r="D70" s="75">
        <v>0</v>
      </c>
      <c r="E70" s="75">
        <v>233.33</v>
      </c>
      <c r="F70" s="75">
        <v>243.88</v>
      </c>
      <c r="G70" s="75">
        <v>3499.95</v>
      </c>
      <c r="H70" s="75">
        <v>0</v>
      </c>
      <c r="I70" s="75">
        <v>0</v>
      </c>
      <c r="J70" s="75">
        <v>3499.95</v>
      </c>
      <c r="K70" s="75">
        <v>0</v>
      </c>
      <c r="L70" s="75">
        <v>0</v>
      </c>
      <c r="M70" s="75">
        <v>0</v>
      </c>
      <c r="N70" s="75">
        <v>0</v>
      </c>
      <c r="O70" s="75">
        <v>134.36000000000001</v>
      </c>
      <c r="P70" s="75">
        <v>92.68</v>
      </c>
      <c r="Q70" s="75">
        <v>0</v>
      </c>
      <c r="R70" s="75">
        <v>0</v>
      </c>
      <c r="S70" s="76">
        <v>0.11</v>
      </c>
      <c r="T70" s="75">
        <v>227.15</v>
      </c>
      <c r="U70" s="75">
        <v>3272.8</v>
      </c>
      <c r="V70" s="75">
        <v>68.290000000000006</v>
      </c>
      <c r="W70" s="75">
        <v>122.91</v>
      </c>
      <c r="X70" s="75">
        <v>344.06</v>
      </c>
      <c r="Y70" s="75">
        <v>266.31</v>
      </c>
      <c r="Z70" s="75">
        <v>70</v>
      </c>
      <c r="AA70" s="75">
        <v>31.08</v>
      </c>
      <c r="AB70" s="75">
        <v>535.26</v>
      </c>
      <c r="AC70" s="75">
        <v>195.1</v>
      </c>
      <c r="AD70" s="75">
        <v>227.29000000000002</v>
      </c>
      <c r="AE70" s="75">
        <v>110</v>
      </c>
      <c r="AF70" s="75">
        <f t="shared" si="9"/>
        <v>191.65206439601357</v>
      </c>
      <c r="AG70" s="70">
        <f t="shared" si="1"/>
        <v>3272.8</v>
      </c>
      <c r="AH70" s="70">
        <f t="shared" si="2"/>
        <v>65.456000000000003</v>
      </c>
      <c r="AI70" s="70">
        <f t="shared" si="3"/>
        <v>3338.2560000000003</v>
      </c>
      <c r="AJ70" s="70">
        <f t="shared" si="4"/>
        <v>1347.72</v>
      </c>
      <c r="AK70" s="70">
        <f t="shared" si="5"/>
        <v>69.998999999999995</v>
      </c>
      <c r="AL70" s="70">
        <f t="shared" si="6"/>
        <v>4755.9750000000004</v>
      </c>
      <c r="AM70" s="70">
        <f t="shared" si="7"/>
        <v>760.95600000000002</v>
      </c>
      <c r="AN70" s="70">
        <f t="shared" si="8"/>
        <v>5516.9310000000005</v>
      </c>
    </row>
    <row r="71" spans="1:40" s="75" customFormat="1" ht="15" x14ac:dyDescent="0.25">
      <c r="A71" s="75" t="s">
        <v>206</v>
      </c>
      <c r="B71" s="75" t="s">
        <v>207</v>
      </c>
      <c r="C71" s="75">
        <v>15</v>
      </c>
      <c r="D71" s="75">
        <v>0</v>
      </c>
      <c r="E71" s="75">
        <v>233.33</v>
      </c>
      <c r="F71" s="75">
        <v>247.46</v>
      </c>
      <c r="G71" s="75">
        <v>3499.95</v>
      </c>
      <c r="H71" s="75">
        <v>0</v>
      </c>
      <c r="I71" s="75">
        <v>0</v>
      </c>
      <c r="J71" s="75">
        <v>3499.95</v>
      </c>
      <c r="K71" s="75">
        <v>0</v>
      </c>
      <c r="L71" s="75">
        <v>1432.66</v>
      </c>
      <c r="M71" s="75">
        <v>0</v>
      </c>
      <c r="N71" s="75">
        <v>0</v>
      </c>
      <c r="O71" s="75">
        <v>134.36000000000001</v>
      </c>
      <c r="P71" s="75">
        <v>94.04</v>
      </c>
      <c r="Q71" s="75">
        <v>0</v>
      </c>
      <c r="R71" s="75">
        <v>0</v>
      </c>
      <c r="S71" s="75">
        <v>-0.11</v>
      </c>
      <c r="T71" s="75">
        <v>1660.95</v>
      </c>
      <c r="U71" s="75">
        <v>1839</v>
      </c>
      <c r="V71" s="75">
        <v>69.290000000000006</v>
      </c>
      <c r="W71" s="75">
        <v>124.72</v>
      </c>
      <c r="X71" s="75">
        <v>345.07</v>
      </c>
      <c r="Y71" s="75">
        <v>267.46000000000004</v>
      </c>
      <c r="Z71" s="75">
        <v>70</v>
      </c>
      <c r="AA71" s="75">
        <v>31.54</v>
      </c>
      <c r="AB71" s="75">
        <v>539.08000000000004</v>
      </c>
      <c r="AC71" s="75">
        <v>197.97</v>
      </c>
      <c r="AD71" s="75">
        <v>227.86</v>
      </c>
      <c r="AE71" s="75">
        <v>110</v>
      </c>
      <c r="AF71" s="75">
        <f t="shared" si="9"/>
        <v>191.65206439601357</v>
      </c>
      <c r="AG71" s="70">
        <f t="shared" si="1"/>
        <v>3271.66</v>
      </c>
      <c r="AH71" s="70">
        <f t="shared" si="2"/>
        <v>65.433199999999999</v>
      </c>
      <c r="AI71" s="70">
        <f t="shared" si="3"/>
        <v>3337.0931999999998</v>
      </c>
      <c r="AJ71" s="70">
        <f t="shared" si="4"/>
        <v>1357.9499999999998</v>
      </c>
      <c r="AK71" s="70">
        <f t="shared" si="5"/>
        <v>69.998999999999995</v>
      </c>
      <c r="AL71" s="70">
        <f t="shared" si="6"/>
        <v>4765.0421999999999</v>
      </c>
      <c r="AM71" s="70">
        <f t="shared" si="7"/>
        <v>762.40675199999998</v>
      </c>
      <c r="AN71" s="70">
        <f t="shared" si="8"/>
        <v>5527.4489519999997</v>
      </c>
    </row>
    <row r="72" spans="1:40" s="75" customFormat="1" ht="15" x14ac:dyDescent="0.25">
      <c r="A72" s="75" t="s">
        <v>285</v>
      </c>
      <c r="B72" s="75" t="s">
        <v>286</v>
      </c>
      <c r="C72" s="75">
        <v>15</v>
      </c>
      <c r="D72" s="75">
        <v>0</v>
      </c>
      <c r="E72" s="75">
        <v>210</v>
      </c>
      <c r="F72" s="75">
        <v>222.72</v>
      </c>
      <c r="G72" s="75">
        <v>3150</v>
      </c>
      <c r="H72" s="75">
        <v>0</v>
      </c>
      <c r="I72" s="75">
        <v>0</v>
      </c>
      <c r="J72" s="75">
        <v>3150</v>
      </c>
      <c r="K72" s="75">
        <v>0</v>
      </c>
      <c r="L72" s="75">
        <v>0</v>
      </c>
      <c r="M72" s="75">
        <v>0</v>
      </c>
      <c r="N72" s="75">
        <v>0</v>
      </c>
      <c r="O72" s="75">
        <v>96.29</v>
      </c>
      <c r="P72" s="75">
        <v>84.63</v>
      </c>
      <c r="Q72" s="75">
        <v>0</v>
      </c>
      <c r="R72" s="75">
        <v>0</v>
      </c>
      <c r="S72" s="75">
        <v>-0.12</v>
      </c>
      <c r="T72" s="75">
        <v>180.8</v>
      </c>
      <c r="U72" s="75">
        <v>2969.2</v>
      </c>
      <c r="V72" s="75">
        <v>62.36</v>
      </c>
      <c r="W72" s="75">
        <v>112.25</v>
      </c>
      <c r="X72" s="75">
        <v>338.14</v>
      </c>
      <c r="Y72" s="75">
        <v>259.54000000000002</v>
      </c>
      <c r="Z72" s="75">
        <v>63</v>
      </c>
      <c r="AA72" s="75">
        <v>28.39</v>
      </c>
      <c r="AB72" s="75">
        <v>512.75</v>
      </c>
      <c r="AC72" s="75">
        <v>178.18</v>
      </c>
      <c r="AD72" s="75">
        <v>223.91000000000003</v>
      </c>
      <c r="AE72" s="75">
        <v>110</v>
      </c>
      <c r="AF72" s="75">
        <f t="shared" si="9"/>
        <v>172.48932208958493</v>
      </c>
      <c r="AG72" s="70">
        <f t="shared" si="1"/>
        <v>2969.2</v>
      </c>
      <c r="AH72" s="70">
        <f t="shared" si="2"/>
        <v>59.384</v>
      </c>
      <c r="AI72" s="70">
        <f t="shared" si="3"/>
        <v>3028.5839999999998</v>
      </c>
      <c r="AJ72" s="70">
        <f t="shared" si="4"/>
        <v>1287.4000000000001</v>
      </c>
      <c r="AK72" s="70">
        <f t="shared" si="5"/>
        <v>63</v>
      </c>
      <c r="AL72" s="70">
        <f t="shared" si="6"/>
        <v>4378.9840000000004</v>
      </c>
      <c r="AM72" s="70">
        <f t="shared" si="7"/>
        <v>700.63744000000008</v>
      </c>
      <c r="AN72" s="70">
        <f t="shared" si="8"/>
        <v>5079.6214400000008</v>
      </c>
    </row>
    <row r="73" spans="1:40" s="75" customFormat="1" ht="15" x14ac:dyDescent="0.25">
      <c r="A73" s="75" t="s">
        <v>215</v>
      </c>
      <c r="B73" s="75" t="s">
        <v>216</v>
      </c>
      <c r="C73" s="75">
        <v>15</v>
      </c>
      <c r="D73" s="75">
        <v>0</v>
      </c>
      <c r="E73" s="75">
        <v>210</v>
      </c>
      <c r="F73" s="75">
        <v>222.72</v>
      </c>
      <c r="G73" s="75">
        <v>3150</v>
      </c>
      <c r="H73" s="75">
        <v>0</v>
      </c>
      <c r="I73" s="75">
        <v>0</v>
      </c>
      <c r="J73" s="75">
        <v>3150</v>
      </c>
      <c r="K73" s="75">
        <v>0</v>
      </c>
      <c r="L73" s="75">
        <v>0</v>
      </c>
      <c r="M73" s="75">
        <v>310.29000000000002</v>
      </c>
      <c r="N73" s="75">
        <v>0</v>
      </c>
      <c r="O73" s="75">
        <v>96.29</v>
      </c>
      <c r="P73" s="75">
        <v>84.63</v>
      </c>
      <c r="Q73" s="75">
        <v>0</v>
      </c>
      <c r="R73" s="75">
        <v>0</v>
      </c>
      <c r="S73" s="75">
        <v>-0.01</v>
      </c>
      <c r="T73" s="75">
        <v>491.2</v>
      </c>
      <c r="U73" s="75">
        <v>2658.8</v>
      </c>
      <c r="V73" s="75">
        <v>62.36</v>
      </c>
      <c r="W73" s="75">
        <v>112.25</v>
      </c>
      <c r="X73" s="75">
        <v>338.14</v>
      </c>
      <c r="Y73" s="75">
        <v>259.54000000000002</v>
      </c>
      <c r="Z73" s="75">
        <v>63</v>
      </c>
      <c r="AA73" s="75">
        <v>28.39</v>
      </c>
      <c r="AB73" s="75">
        <v>512.75</v>
      </c>
      <c r="AC73" s="75">
        <v>178.18</v>
      </c>
      <c r="AD73" s="75">
        <v>223.91000000000003</v>
      </c>
      <c r="AE73" s="75">
        <v>110</v>
      </c>
      <c r="AF73" s="75">
        <f t="shared" ref="AF73:AF88" si="10">((20/365.24)*15)*E73</f>
        <v>172.48932208958493</v>
      </c>
      <c r="AG73" s="70">
        <f t="shared" si="1"/>
        <v>2969.09</v>
      </c>
      <c r="AH73" s="70">
        <f t="shared" si="2"/>
        <v>59.381800000000005</v>
      </c>
      <c r="AI73" s="70">
        <f t="shared" si="3"/>
        <v>3028.4718000000003</v>
      </c>
      <c r="AJ73" s="70">
        <f t="shared" si="4"/>
        <v>1287.4000000000001</v>
      </c>
      <c r="AK73" s="70">
        <f t="shared" si="5"/>
        <v>63</v>
      </c>
      <c r="AL73" s="70">
        <f t="shared" si="6"/>
        <v>4378.8718000000008</v>
      </c>
      <c r="AM73" s="70">
        <f t="shared" si="7"/>
        <v>700.61948800000016</v>
      </c>
      <c r="AN73" s="70">
        <f t="shared" si="8"/>
        <v>5079.4912880000011</v>
      </c>
    </row>
    <row r="74" spans="1:40" s="75" customFormat="1" ht="15" x14ac:dyDescent="0.25">
      <c r="A74" s="75" t="s">
        <v>98</v>
      </c>
      <c r="B74" s="75" t="s">
        <v>99</v>
      </c>
      <c r="C74" s="75">
        <v>15</v>
      </c>
      <c r="D74" s="75">
        <v>0</v>
      </c>
      <c r="E74" s="75">
        <v>210</v>
      </c>
      <c r="F74" s="75">
        <v>222.72</v>
      </c>
      <c r="G74" s="75">
        <v>3150</v>
      </c>
      <c r="H74" s="75">
        <v>0</v>
      </c>
      <c r="I74" s="75">
        <v>0</v>
      </c>
      <c r="J74" s="75">
        <v>3150</v>
      </c>
      <c r="K74" s="75">
        <v>0</v>
      </c>
      <c r="L74" s="75">
        <v>0</v>
      </c>
      <c r="M74" s="75">
        <v>0</v>
      </c>
      <c r="N74" s="75">
        <v>0</v>
      </c>
      <c r="O74" s="75">
        <v>96.29</v>
      </c>
      <c r="P74" s="75">
        <v>84.63</v>
      </c>
      <c r="Q74" s="75">
        <v>0</v>
      </c>
      <c r="R74" s="75">
        <v>0</v>
      </c>
      <c r="S74" s="76">
        <v>-0.12</v>
      </c>
      <c r="T74" s="75">
        <v>180.8</v>
      </c>
      <c r="U74" s="75">
        <v>2969.2</v>
      </c>
      <c r="V74" s="75">
        <v>62.36</v>
      </c>
      <c r="W74" s="75">
        <v>112.25</v>
      </c>
      <c r="X74" s="75">
        <v>338.14</v>
      </c>
      <c r="Y74" s="75">
        <v>259.54000000000002</v>
      </c>
      <c r="Z74" s="75">
        <v>63</v>
      </c>
      <c r="AA74" s="75">
        <v>28.39</v>
      </c>
      <c r="AB74" s="75">
        <v>512.75</v>
      </c>
      <c r="AC74" s="75">
        <v>178.18</v>
      </c>
      <c r="AD74" s="75">
        <v>223.91000000000003</v>
      </c>
      <c r="AE74" s="75">
        <v>110</v>
      </c>
      <c r="AF74" s="75">
        <f t="shared" si="10"/>
        <v>172.48932208958493</v>
      </c>
      <c r="AG74" s="70">
        <f t="shared" ref="AG74:AG92" si="11">U74+R74+K74+L74+M74+Q74</f>
        <v>2969.2</v>
      </c>
      <c r="AH74" s="70">
        <f t="shared" ref="AH74:AH92" si="12">AG74*2%</f>
        <v>59.384</v>
      </c>
      <c r="AI74" s="70">
        <f t="shared" ref="AI74:AI92" si="13">AG74+AH74</f>
        <v>3028.5839999999998</v>
      </c>
      <c r="AJ74" s="70">
        <f t="shared" ref="AJ74:AJ92" si="14">P74+V74+W74+X74+Y74+AA74+AC74+AD74</f>
        <v>1287.4000000000001</v>
      </c>
      <c r="AK74" s="70">
        <f t="shared" ref="AK74:AK92" si="15">J74*2%</f>
        <v>63</v>
      </c>
      <c r="AL74" s="70">
        <f t="shared" ref="AL74:AL92" si="16">AI74+AJ74+AK74</f>
        <v>4378.9840000000004</v>
      </c>
      <c r="AM74" s="70">
        <f t="shared" ref="AM74:AM92" si="17">AL74*16%</f>
        <v>700.63744000000008</v>
      </c>
      <c r="AN74" s="70">
        <f t="shared" ref="AN74:AN92" si="18">AL74+AM74</f>
        <v>5079.6214400000008</v>
      </c>
    </row>
    <row r="75" spans="1:40" s="75" customFormat="1" ht="15" x14ac:dyDescent="0.25">
      <c r="A75" s="75" t="s">
        <v>117</v>
      </c>
      <c r="B75" s="75" t="s">
        <v>118</v>
      </c>
      <c r="C75" s="75">
        <v>15</v>
      </c>
      <c r="D75" s="75">
        <v>0</v>
      </c>
      <c r="E75" s="75">
        <v>210</v>
      </c>
      <c r="F75" s="75">
        <v>222.72</v>
      </c>
      <c r="G75" s="75">
        <v>3150</v>
      </c>
      <c r="H75" s="75">
        <v>0</v>
      </c>
      <c r="I75" s="75">
        <v>0</v>
      </c>
      <c r="J75" s="75">
        <v>3150</v>
      </c>
      <c r="K75" s="75">
        <v>0</v>
      </c>
      <c r="L75" s="75">
        <v>0</v>
      </c>
      <c r="M75" s="75">
        <v>963.28</v>
      </c>
      <c r="N75" s="75">
        <v>0</v>
      </c>
      <c r="O75" s="75">
        <v>96.29</v>
      </c>
      <c r="P75" s="75">
        <v>84.63</v>
      </c>
      <c r="Q75" s="75">
        <v>0</v>
      </c>
      <c r="R75" s="75">
        <v>0</v>
      </c>
      <c r="S75" s="75">
        <v>0</v>
      </c>
      <c r="T75" s="75">
        <v>1144.2</v>
      </c>
      <c r="U75" s="75">
        <v>2005.8</v>
      </c>
      <c r="V75" s="75">
        <v>62.36</v>
      </c>
      <c r="W75" s="75">
        <v>112.25</v>
      </c>
      <c r="X75" s="75">
        <v>338.14</v>
      </c>
      <c r="Y75" s="75">
        <v>259.54000000000002</v>
      </c>
      <c r="Z75" s="75">
        <v>63</v>
      </c>
      <c r="AA75" s="75">
        <v>28.39</v>
      </c>
      <c r="AB75" s="75">
        <v>512.75</v>
      </c>
      <c r="AC75" s="75">
        <v>178.18</v>
      </c>
      <c r="AD75" s="75">
        <v>223.91000000000003</v>
      </c>
      <c r="AE75" s="75">
        <v>110</v>
      </c>
      <c r="AF75" s="75">
        <f t="shared" si="10"/>
        <v>172.48932208958493</v>
      </c>
      <c r="AG75" s="70">
        <f t="shared" si="11"/>
        <v>2969.08</v>
      </c>
      <c r="AH75" s="70">
        <f t="shared" si="12"/>
        <v>59.381599999999999</v>
      </c>
      <c r="AI75" s="70">
        <f t="shared" si="13"/>
        <v>3028.4616000000001</v>
      </c>
      <c r="AJ75" s="70">
        <f t="shared" si="14"/>
        <v>1287.4000000000001</v>
      </c>
      <c r="AK75" s="70">
        <f t="shared" si="15"/>
        <v>63</v>
      </c>
      <c r="AL75" s="70">
        <f t="shared" si="16"/>
        <v>4378.8616000000002</v>
      </c>
      <c r="AM75" s="70">
        <f t="shared" si="17"/>
        <v>700.61785600000007</v>
      </c>
      <c r="AN75" s="70">
        <f t="shared" si="18"/>
        <v>5079.479456</v>
      </c>
    </row>
    <row r="76" spans="1:40" s="75" customFormat="1" ht="15" x14ac:dyDescent="0.25">
      <c r="A76" s="75" t="s">
        <v>160</v>
      </c>
      <c r="B76" s="75" t="s">
        <v>161</v>
      </c>
      <c r="C76" s="75">
        <v>15</v>
      </c>
      <c r="D76" s="75">
        <v>0</v>
      </c>
      <c r="E76" s="75">
        <v>200</v>
      </c>
      <c r="F76" s="75">
        <v>209.04</v>
      </c>
      <c r="G76" s="75">
        <v>3000</v>
      </c>
      <c r="H76" s="75">
        <v>0</v>
      </c>
      <c r="I76" s="75">
        <v>0</v>
      </c>
      <c r="J76" s="75">
        <v>3000</v>
      </c>
      <c r="K76" s="75">
        <v>0</v>
      </c>
      <c r="L76" s="75">
        <v>0</v>
      </c>
      <c r="M76" s="75">
        <v>1610.6</v>
      </c>
      <c r="N76" s="75">
        <v>0</v>
      </c>
      <c r="O76" s="75">
        <v>59.69</v>
      </c>
      <c r="P76" s="75">
        <v>79.430000000000007</v>
      </c>
      <c r="Q76" s="75">
        <v>0</v>
      </c>
      <c r="R76" s="75">
        <v>0</v>
      </c>
      <c r="S76" s="75">
        <v>0.08</v>
      </c>
      <c r="T76" s="75">
        <v>1749.8</v>
      </c>
      <c r="U76" s="75">
        <v>1250.2</v>
      </c>
      <c r="V76" s="75">
        <v>58.53</v>
      </c>
      <c r="W76" s="75">
        <v>105.36</v>
      </c>
      <c r="X76" s="75">
        <v>334.31</v>
      </c>
      <c r="Y76" s="75">
        <v>255.16000000000003</v>
      </c>
      <c r="Z76" s="75">
        <v>60</v>
      </c>
      <c r="AA76" s="75">
        <v>26.64</v>
      </c>
      <c r="AB76" s="75">
        <v>498.2</v>
      </c>
      <c r="AC76" s="75">
        <v>167.23</v>
      </c>
      <c r="AD76" s="75">
        <v>221.72000000000003</v>
      </c>
      <c r="AE76" s="75">
        <v>110</v>
      </c>
      <c r="AF76" s="75">
        <f t="shared" si="10"/>
        <v>164.27554484722373</v>
      </c>
      <c r="AG76" s="70">
        <f t="shared" si="11"/>
        <v>2860.8</v>
      </c>
      <c r="AH76" s="70">
        <f t="shared" si="12"/>
        <v>57.216000000000008</v>
      </c>
      <c r="AI76" s="70">
        <f t="shared" si="13"/>
        <v>2918.0160000000001</v>
      </c>
      <c r="AJ76" s="70">
        <f t="shared" si="14"/>
        <v>1248.3799999999999</v>
      </c>
      <c r="AK76" s="70">
        <f t="shared" si="15"/>
        <v>60</v>
      </c>
      <c r="AL76" s="70">
        <f t="shared" si="16"/>
        <v>4226.3959999999997</v>
      </c>
      <c r="AM76" s="70">
        <f t="shared" si="17"/>
        <v>676.22335999999996</v>
      </c>
      <c r="AN76" s="70">
        <f t="shared" si="18"/>
        <v>4902.6193599999997</v>
      </c>
    </row>
    <row r="77" spans="1:40" s="75" customFormat="1" ht="15" x14ac:dyDescent="0.25">
      <c r="A77" s="75" t="s">
        <v>184</v>
      </c>
      <c r="B77" s="75" t="s">
        <v>185</v>
      </c>
      <c r="C77" s="75">
        <v>15</v>
      </c>
      <c r="D77" s="75">
        <v>0</v>
      </c>
      <c r="E77" s="75">
        <v>200</v>
      </c>
      <c r="F77" s="75">
        <v>209.04</v>
      </c>
      <c r="G77" s="75">
        <v>3000</v>
      </c>
      <c r="H77" s="75">
        <v>0</v>
      </c>
      <c r="I77" s="75">
        <v>0</v>
      </c>
      <c r="J77" s="75">
        <v>3000</v>
      </c>
      <c r="K77" s="75">
        <v>0</v>
      </c>
      <c r="L77" s="75">
        <v>0</v>
      </c>
      <c r="M77" s="75">
        <v>0</v>
      </c>
      <c r="N77" s="75">
        <v>0</v>
      </c>
      <c r="O77" s="75">
        <v>59.69</v>
      </c>
      <c r="P77" s="75">
        <v>79.430000000000007</v>
      </c>
      <c r="Q77" s="75">
        <v>0</v>
      </c>
      <c r="R77" s="113">
        <v>472.5</v>
      </c>
      <c r="S77" s="75">
        <v>-0.02</v>
      </c>
      <c r="T77" s="75">
        <v>611.6</v>
      </c>
      <c r="U77" s="75">
        <v>2388.4</v>
      </c>
      <c r="V77" s="75">
        <v>58.53</v>
      </c>
      <c r="W77" s="75">
        <v>105.36</v>
      </c>
      <c r="X77" s="75">
        <v>334.31</v>
      </c>
      <c r="Y77" s="75">
        <v>255.16000000000003</v>
      </c>
      <c r="Z77" s="75">
        <v>60</v>
      </c>
      <c r="AA77" s="75">
        <v>26.64</v>
      </c>
      <c r="AB77" s="75">
        <v>498.2</v>
      </c>
      <c r="AC77" s="75">
        <v>167.23</v>
      </c>
      <c r="AD77" s="75">
        <v>221.72000000000003</v>
      </c>
      <c r="AE77" s="75">
        <v>110</v>
      </c>
      <c r="AF77" s="75">
        <f t="shared" si="10"/>
        <v>164.27554484722373</v>
      </c>
      <c r="AG77" s="70">
        <f t="shared" si="11"/>
        <v>2860.9</v>
      </c>
      <c r="AH77" s="70">
        <f t="shared" si="12"/>
        <v>57.218000000000004</v>
      </c>
      <c r="AI77" s="70">
        <f t="shared" si="13"/>
        <v>2918.1179999999999</v>
      </c>
      <c r="AJ77" s="70">
        <f t="shared" si="14"/>
        <v>1248.3799999999999</v>
      </c>
      <c r="AK77" s="70">
        <f t="shared" si="15"/>
        <v>60</v>
      </c>
      <c r="AL77" s="70">
        <f t="shared" si="16"/>
        <v>4226.4979999999996</v>
      </c>
      <c r="AM77" s="70">
        <f t="shared" si="17"/>
        <v>676.23967999999991</v>
      </c>
      <c r="AN77" s="70">
        <f t="shared" si="18"/>
        <v>4902.7376799999993</v>
      </c>
    </row>
    <row r="78" spans="1:40" s="75" customFormat="1" ht="15" x14ac:dyDescent="0.25">
      <c r="A78" s="75" t="s">
        <v>101</v>
      </c>
      <c r="B78" s="75" t="s">
        <v>102</v>
      </c>
      <c r="C78" s="75">
        <v>15</v>
      </c>
      <c r="D78" s="75">
        <v>0</v>
      </c>
      <c r="E78" s="75">
        <v>200</v>
      </c>
      <c r="F78" s="75">
        <v>212.11</v>
      </c>
      <c r="G78" s="75">
        <v>3000</v>
      </c>
      <c r="H78" s="75">
        <v>0</v>
      </c>
      <c r="I78" s="75">
        <v>0</v>
      </c>
      <c r="J78" s="75">
        <v>3000</v>
      </c>
      <c r="K78" s="75">
        <v>0</v>
      </c>
      <c r="L78" s="75">
        <v>0</v>
      </c>
      <c r="M78" s="75">
        <v>476.65</v>
      </c>
      <c r="N78" s="75">
        <v>0</v>
      </c>
      <c r="O78" s="75">
        <v>59.69</v>
      </c>
      <c r="P78" s="75">
        <v>80.599999999999994</v>
      </c>
      <c r="Q78" s="75">
        <v>0</v>
      </c>
      <c r="R78" s="75">
        <v>0</v>
      </c>
      <c r="S78" s="75">
        <v>0.06</v>
      </c>
      <c r="T78" s="75">
        <v>617</v>
      </c>
      <c r="U78" s="75">
        <v>2383</v>
      </c>
      <c r="V78" s="75">
        <v>59.39</v>
      </c>
      <c r="W78" s="75">
        <v>106.9</v>
      </c>
      <c r="X78" s="75">
        <v>335.17</v>
      </c>
      <c r="Y78" s="75">
        <v>256.14999999999998</v>
      </c>
      <c r="Z78" s="75">
        <v>60</v>
      </c>
      <c r="AA78" s="75">
        <v>27.03</v>
      </c>
      <c r="AB78" s="75">
        <v>501.46</v>
      </c>
      <c r="AC78" s="75">
        <v>169.69</v>
      </c>
      <c r="AD78" s="75">
        <v>222.21</v>
      </c>
      <c r="AE78" s="75">
        <v>110</v>
      </c>
      <c r="AF78" s="75">
        <f t="shared" si="10"/>
        <v>164.27554484722373</v>
      </c>
      <c r="AG78" s="70">
        <f t="shared" si="11"/>
        <v>2859.65</v>
      </c>
      <c r="AH78" s="70">
        <f t="shared" si="12"/>
        <v>57.193000000000005</v>
      </c>
      <c r="AI78" s="70">
        <f t="shared" si="13"/>
        <v>2916.8430000000003</v>
      </c>
      <c r="AJ78" s="70">
        <f t="shared" si="14"/>
        <v>1257.1400000000001</v>
      </c>
      <c r="AK78" s="70">
        <f t="shared" si="15"/>
        <v>60</v>
      </c>
      <c r="AL78" s="70">
        <f t="shared" si="16"/>
        <v>4233.9830000000002</v>
      </c>
      <c r="AM78" s="70">
        <f t="shared" si="17"/>
        <v>677.43727999999999</v>
      </c>
      <c r="AN78" s="70">
        <f t="shared" si="18"/>
        <v>4911.4202800000003</v>
      </c>
    </row>
    <row r="79" spans="1:40" s="75" customFormat="1" ht="15" x14ac:dyDescent="0.25">
      <c r="A79" s="75" t="s">
        <v>203</v>
      </c>
      <c r="B79" s="75" t="s">
        <v>204</v>
      </c>
      <c r="C79" s="75">
        <v>15</v>
      </c>
      <c r="D79" s="75">
        <v>0</v>
      </c>
      <c r="E79" s="75">
        <v>116.67</v>
      </c>
      <c r="F79" s="75">
        <v>123.73</v>
      </c>
      <c r="G79" s="75">
        <v>1750.05</v>
      </c>
      <c r="H79" s="75">
        <v>0</v>
      </c>
      <c r="I79" s="75">
        <v>0</v>
      </c>
      <c r="J79" s="75">
        <v>1750.05</v>
      </c>
      <c r="K79" s="75">
        <v>0</v>
      </c>
      <c r="L79" s="75">
        <v>0</v>
      </c>
      <c r="M79" s="75">
        <v>855.09</v>
      </c>
      <c r="N79" s="76">
        <v>-89.5</v>
      </c>
      <c r="O79" s="75">
        <v>0</v>
      </c>
      <c r="P79" s="75">
        <v>47.01</v>
      </c>
      <c r="Q79" s="75">
        <v>0</v>
      </c>
      <c r="R79" s="75">
        <v>0</v>
      </c>
      <c r="S79" s="76">
        <v>0.05</v>
      </c>
      <c r="T79" s="75">
        <v>812.65</v>
      </c>
      <c r="U79" s="75">
        <v>937.4</v>
      </c>
      <c r="V79" s="75">
        <v>34.64</v>
      </c>
      <c r="W79" s="75">
        <v>62.36</v>
      </c>
      <c r="X79" s="75">
        <v>310.43</v>
      </c>
      <c r="Y79" s="75">
        <v>227.86</v>
      </c>
      <c r="Z79" s="75">
        <v>35</v>
      </c>
      <c r="AA79" s="75">
        <v>15.77</v>
      </c>
      <c r="AB79" s="75">
        <v>407.43</v>
      </c>
      <c r="AC79" s="75">
        <v>98.98</v>
      </c>
      <c r="AD79" s="75">
        <v>208.07000000000002</v>
      </c>
      <c r="AE79" s="75">
        <v>110</v>
      </c>
      <c r="AF79" s="75">
        <f t="shared" si="10"/>
        <v>95.830139086627966</v>
      </c>
      <c r="AG79" s="70">
        <f t="shared" si="11"/>
        <v>1792.49</v>
      </c>
      <c r="AH79" s="70">
        <f t="shared" si="12"/>
        <v>35.849800000000002</v>
      </c>
      <c r="AI79" s="70">
        <f t="shared" si="13"/>
        <v>1828.3398</v>
      </c>
      <c r="AJ79" s="70">
        <f t="shared" si="14"/>
        <v>1005.12</v>
      </c>
      <c r="AK79" s="70">
        <f t="shared" si="15"/>
        <v>35.000999999999998</v>
      </c>
      <c r="AL79" s="70">
        <f t="shared" si="16"/>
        <v>2868.4608000000003</v>
      </c>
      <c r="AM79" s="70">
        <f t="shared" si="17"/>
        <v>458.95372800000007</v>
      </c>
      <c r="AN79" s="70">
        <f t="shared" si="18"/>
        <v>3327.4145280000002</v>
      </c>
    </row>
    <row r="80" spans="1:40" s="75" customFormat="1" ht="15" x14ac:dyDescent="0.25">
      <c r="A80" s="75" t="s">
        <v>314</v>
      </c>
      <c r="B80" s="75" t="s">
        <v>315</v>
      </c>
      <c r="C80" s="75">
        <v>15</v>
      </c>
      <c r="D80" s="75">
        <v>0</v>
      </c>
      <c r="E80" s="75">
        <v>116.67</v>
      </c>
      <c r="F80" s="75">
        <v>123.73</v>
      </c>
      <c r="G80" s="75">
        <v>1750.05</v>
      </c>
      <c r="H80" s="75">
        <v>0</v>
      </c>
      <c r="I80" s="75">
        <v>0</v>
      </c>
      <c r="J80" s="75">
        <v>1750.05</v>
      </c>
      <c r="K80" s="75">
        <v>0</v>
      </c>
      <c r="L80" s="75">
        <v>911.41</v>
      </c>
      <c r="M80" s="75">
        <v>0</v>
      </c>
      <c r="N80" s="76">
        <v>-89.5</v>
      </c>
      <c r="O80" s="75">
        <v>0</v>
      </c>
      <c r="P80" s="75">
        <v>47.01</v>
      </c>
      <c r="Q80" s="75">
        <v>0</v>
      </c>
      <c r="R80" s="75">
        <v>0</v>
      </c>
      <c r="S80" s="76">
        <v>-7.0000000000000007E-2</v>
      </c>
      <c r="T80" s="75">
        <v>868.85</v>
      </c>
      <c r="U80" s="75">
        <v>881.2</v>
      </c>
      <c r="V80" s="75">
        <v>34.64</v>
      </c>
      <c r="W80" s="75">
        <v>62.36</v>
      </c>
      <c r="X80" s="75">
        <v>310.43</v>
      </c>
      <c r="Y80" s="75">
        <v>227.86</v>
      </c>
      <c r="Z80" s="75">
        <v>35</v>
      </c>
      <c r="AA80" s="75">
        <v>15.77</v>
      </c>
      <c r="AB80" s="75">
        <v>407.43</v>
      </c>
      <c r="AC80" s="75">
        <v>98.98</v>
      </c>
      <c r="AD80" s="75">
        <v>208.07000000000002</v>
      </c>
      <c r="AE80" s="75">
        <v>110</v>
      </c>
      <c r="AF80" s="75">
        <f t="shared" si="10"/>
        <v>95.830139086627966</v>
      </c>
      <c r="AG80" s="70">
        <f t="shared" si="11"/>
        <v>1792.6100000000001</v>
      </c>
      <c r="AH80" s="70">
        <f t="shared" si="12"/>
        <v>35.852200000000003</v>
      </c>
      <c r="AI80" s="70">
        <f t="shared" si="13"/>
        <v>1828.4622000000002</v>
      </c>
      <c r="AJ80" s="70">
        <f t="shared" si="14"/>
        <v>1005.12</v>
      </c>
      <c r="AK80" s="70">
        <f t="shared" si="15"/>
        <v>35.000999999999998</v>
      </c>
      <c r="AL80" s="70">
        <f t="shared" si="16"/>
        <v>2868.5832000000005</v>
      </c>
      <c r="AM80" s="70">
        <f t="shared" si="17"/>
        <v>458.97331200000008</v>
      </c>
      <c r="AN80" s="70">
        <f t="shared" si="18"/>
        <v>3327.5565120000006</v>
      </c>
    </row>
    <row r="81" spans="1:40" s="75" customFormat="1" ht="15" x14ac:dyDescent="0.25">
      <c r="A81" s="75" t="s">
        <v>269</v>
      </c>
      <c r="B81" s="75" t="s">
        <v>270</v>
      </c>
      <c r="C81" s="75">
        <v>15</v>
      </c>
      <c r="D81" s="75">
        <v>0</v>
      </c>
      <c r="E81" s="75">
        <v>210</v>
      </c>
      <c r="F81" s="75">
        <v>222.72</v>
      </c>
      <c r="G81" s="75">
        <v>3150</v>
      </c>
      <c r="H81" s="75">
        <v>0</v>
      </c>
      <c r="I81" s="75">
        <v>0</v>
      </c>
      <c r="J81" s="75">
        <v>3150</v>
      </c>
      <c r="K81" s="75">
        <v>0</v>
      </c>
      <c r="L81" s="75">
        <v>0</v>
      </c>
      <c r="M81" s="75">
        <v>0</v>
      </c>
      <c r="N81" s="75">
        <v>0</v>
      </c>
      <c r="O81" s="75">
        <v>96.29</v>
      </c>
      <c r="P81" s="75">
        <v>84.63</v>
      </c>
      <c r="Q81" s="75">
        <v>0</v>
      </c>
      <c r="R81" s="75">
        <v>0</v>
      </c>
      <c r="S81" s="75">
        <v>-0.12</v>
      </c>
      <c r="T81" s="75">
        <v>180.8</v>
      </c>
      <c r="U81" s="75">
        <v>2969.2</v>
      </c>
      <c r="V81" s="75">
        <v>62.36</v>
      </c>
      <c r="W81" s="75">
        <v>112.25</v>
      </c>
      <c r="X81" s="75">
        <v>338.14</v>
      </c>
      <c r="Y81" s="75">
        <v>259.54000000000002</v>
      </c>
      <c r="Z81" s="75">
        <v>63</v>
      </c>
      <c r="AA81" s="75">
        <v>28.39</v>
      </c>
      <c r="AB81" s="75">
        <v>512.75</v>
      </c>
      <c r="AC81" s="75">
        <v>178.18</v>
      </c>
      <c r="AD81" s="75">
        <v>223.91000000000003</v>
      </c>
      <c r="AE81" s="75">
        <v>110</v>
      </c>
      <c r="AF81" s="75">
        <f t="shared" si="10"/>
        <v>172.48932208958493</v>
      </c>
      <c r="AG81" s="70">
        <f t="shared" si="11"/>
        <v>2969.2</v>
      </c>
      <c r="AH81" s="70">
        <f t="shared" si="12"/>
        <v>59.384</v>
      </c>
      <c r="AI81" s="70">
        <f t="shared" si="13"/>
        <v>3028.5839999999998</v>
      </c>
      <c r="AJ81" s="70">
        <f t="shared" si="14"/>
        <v>1287.4000000000001</v>
      </c>
      <c r="AK81" s="70">
        <f t="shared" si="15"/>
        <v>63</v>
      </c>
      <c r="AL81" s="70">
        <f t="shared" si="16"/>
        <v>4378.9840000000004</v>
      </c>
      <c r="AM81" s="70">
        <f t="shared" si="17"/>
        <v>700.63744000000008</v>
      </c>
      <c r="AN81" s="70">
        <f t="shared" si="18"/>
        <v>5079.6214400000008</v>
      </c>
    </row>
    <row r="82" spans="1:40" s="75" customFormat="1" ht="15" x14ac:dyDescent="0.25">
      <c r="A82" s="75" t="s">
        <v>136</v>
      </c>
      <c r="B82" s="75" t="s">
        <v>137</v>
      </c>
      <c r="C82" s="75">
        <v>15</v>
      </c>
      <c r="D82" s="75">
        <v>0</v>
      </c>
      <c r="E82" s="75">
        <v>233.33</v>
      </c>
      <c r="F82" s="75">
        <v>247.46</v>
      </c>
      <c r="G82" s="75">
        <v>3499.95</v>
      </c>
      <c r="H82" s="75">
        <v>0</v>
      </c>
      <c r="I82" s="75">
        <v>0</v>
      </c>
      <c r="J82" s="75">
        <v>3499.95</v>
      </c>
      <c r="K82" s="75">
        <v>0</v>
      </c>
      <c r="L82" s="75">
        <v>0</v>
      </c>
      <c r="M82" s="75">
        <v>0</v>
      </c>
      <c r="N82" s="75">
        <v>0</v>
      </c>
      <c r="O82" s="75">
        <v>134.36000000000001</v>
      </c>
      <c r="P82" s="75">
        <v>94.04</v>
      </c>
      <c r="Q82" s="75">
        <v>0</v>
      </c>
      <c r="R82" s="75">
        <v>0</v>
      </c>
      <c r="S82" s="75">
        <v>-0.05</v>
      </c>
      <c r="T82" s="75">
        <v>228.35</v>
      </c>
      <c r="U82" s="75">
        <v>3271.6</v>
      </c>
      <c r="V82" s="75">
        <v>69.290000000000006</v>
      </c>
      <c r="W82" s="75">
        <v>124.72</v>
      </c>
      <c r="X82" s="75">
        <v>345.07</v>
      </c>
      <c r="Y82" s="75">
        <v>267.46000000000004</v>
      </c>
      <c r="Z82" s="75">
        <v>70</v>
      </c>
      <c r="AA82" s="75">
        <v>31.54</v>
      </c>
      <c r="AB82" s="75">
        <v>539.08000000000004</v>
      </c>
      <c r="AC82" s="75">
        <v>197.97</v>
      </c>
      <c r="AD82" s="75">
        <v>227.86</v>
      </c>
      <c r="AE82" s="75">
        <v>110</v>
      </c>
      <c r="AF82" s="75">
        <f t="shared" si="10"/>
        <v>191.65206439601357</v>
      </c>
      <c r="AG82" s="70">
        <f t="shared" si="11"/>
        <v>3271.6</v>
      </c>
      <c r="AH82" s="70">
        <f t="shared" si="12"/>
        <v>65.432000000000002</v>
      </c>
      <c r="AI82" s="70">
        <f t="shared" si="13"/>
        <v>3337.0319999999997</v>
      </c>
      <c r="AJ82" s="70">
        <f t="shared" si="14"/>
        <v>1357.9499999999998</v>
      </c>
      <c r="AK82" s="70">
        <f t="shared" si="15"/>
        <v>69.998999999999995</v>
      </c>
      <c r="AL82" s="70">
        <f t="shared" si="16"/>
        <v>4764.9809999999998</v>
      </c>
      <c r="AM82" s="70">
        <f t="shared" si="17"/>
        <v>762.39695999999992</v>
      </c>
      <c r="AN82" s="70">
        <f t="shared" si="18"/>
        <v>5527.3779599999998</v>
      </c>
    </row>
    <row r="83" spans="1:40" s="75" customFormat="1" ht="15" x14ac:dyDescent="0.25">
      <c r="A83" s="75" t="s">
        <v>163</v>
      </c>
      <c r="B83" s="75" t="s">
        <v>164</v>
      </c>
      <c r="C83" s="75">
        <v>15</v>
      </c>
      <c r="D83" s="75">
        <v>0</v>
      </c>
      <c r="E83" s="75">
        <v>210</v>
      </c>
      <c r="F83" s="75">
        <v>219.49</v>
      </c>
      <c r="G83" s="75">
        <v>3150</v>
      </c>
      <c r="H83" s="75">
        <v>0</v>
      </c>
      <c r="I83" s="75">
        <v>0</v>
      </c>
      <c r="J83" s="75">
        <v>3150</v>
      </c>
      <c r="K83" s="75">
        <v>0</v>
      </c>
      <c r="L83" s="75">
        <v>1183.26</v>
      </c>
      <c r="M83" s="75">
        <v>0</v>
      </c>
      <c r="N83" s="75">
        <v>0</v>
      </c>
      <c r="O83" s="75">
        <v>96.29</v>
      </c>
      <c r="P83" s="75">
        <v>83.41</v>
      </c>
      <c r="Q83" s="75">
        <v>0</v>
      </c>
      <c r="R83" s="75">
        <v>0</v>
      </c>
      <c r="S83" s="76">
        <v>0.04</v>
      </c>
      <c r="T83" s="75">
        <v>1363</v>
      </c>
      <c r="U83" s="75">
        <v>1787</v>
      </c>
      <c r="V83" s="75">
        <v>61.46</v>
      </c>
      <c r="W83" s="75">
        <v>110.62</v>
      </c>
      <c r="X83" s="75">
        <v>337.23</v>
      </c>
      <c r="Y83" s="75">
        <v>258.51</v>
      </c>
      <c r="Z83" s="75">
        <v>63</v>
      </c>
      <c r="AA83" s="75">
        <v>27.98</v>
      </c>
      <c r="AB83" s="75">
        <v>509.31</v>
      </c>
      <c r="AC83" s="75">
        <v>175.59</v>
      </c>
      <c r="AD83" s="75">
        <v>223.39000000000001</v>
      </c>
      <c r="AE83" s="75">
        <v>110</v>
      </c>
      <c r="AF83" s="75">
        <f t="shared" si="10"/>
        <v>172.48932208958493</v>
      </c>
      <c r="AG83" s="70">
        <f t="shared" si="11"/>
        <v>2970.26</v>
      </c>
      <c r="AH83" s="70">
        <f t="shared" si="12"/>
        <v>59.405200000000008</v>
      </c>
      <c r="AI83" s="70">
        <f t="shared" si="13"/>
        <v>3029.6652000000004</v>
      </c>
      <c r="AJ83" s="70">
        <f t="shared" si="14"/>
        <v>1278.19</v>
      </c>
      <c r="AK83" s="70">
        <f t="shared" si="15"/>
        <v>63</v>
      </c>
      <c r="AL83" s="70">
        <f t="shared" si="16"/>
        <v>4370.8552</v>
      </c>
      <c r="AM83" s="70">
        <f t="shared" si="17"/>
        <v>699.33683199999996</v>
      </c>
      <c r="AN83" s="70">
        <f t="shared" si="18"/>
        <v>5070.1920319999999</v>
      </c>
    </row>
    <row r="84" spans="1:40" s="75" customFormat="1" ht="15" x14ac:dyDescent="0.25">
      <c r="A84" s="75" t="s">
        <v>93</v>
      </c>
      <c r="B84" s="75" t="s">
        <v>95</v>
      </c>
      <c r="C84" s="75">
        <v>15</v>
      </c>
      <c r="D84" s="75">
        <v>0</v>
      </c>
      <c r="E84" s="75">
        <v>200</v>
      </c>
      <c r="F84" s="75">
        <v>212.11</v>
      </c>
      <c r="G84" s="75">
        <v>3000</v>
      </c>
      <c r="H84" s="75">
        <v>0</v>
      </c>
      <c r="I84" s="75">
        <v>0</v>
      </c>
      <c r="J84" s="75">
        <v>3000</v>
      </c>
      <c r="K84" s="75">
        <v>0</v>
      </c>
      <c r="L84" s="75">
        <v>0</v>
      </c>
      <c r="M84" s="75">
        <v>0</v>
      </c>
      <c r="N84" s="75">
        <v>0</v>
      </c>
      <c r="O84" s="75">
        <v>59.69</v>
      </c>
      <c r="P84" s="75">
        <v>80.599999999999994</v>
      </c>
      <c r="Q84" s="75">
        <v>0</v>
      </c>
      <c r="R84" s="75">
        <v>0</v>
      </c>
      <c r="S84" s="76">
        <v>0.11</v>
      </c>
      <c r="T84" s="75">
        <v>140.4</v>
      </c>
      <c r="U84" s="75">
        <v>2859.6</v>
      </c>
      <c r="V84" s="75">
        <v>59.39</v>
      </c>
      <c r="W84" s="75">
        <v>106.9</v>
      </c>
      <c r="X84" s="75">
        <v>335.17</v>
      </c>
      <c r="Y84" s="75">
        <v>256.14999999999998</v>
      </c>
      <c r="Z84" s="75">
        <v>60</v>
      </c>
      <c r="AA84" s="75">
        <v>27.03</v>
      </c>
      <c r="AB84" s="75">
        <v>501.46</v>
      </c>
      <c r="AC84" s="75">
        <v>169.69</v>
      </c>
      <c r="AD84" s="75">
        <v>222.21</v>
      </c>
      <c r="AE84" s="75">
        <v>110</v>
      </c>
      <c r="AF84" s="75">
        <f t="shared" si="10"/>
        <v>164.27554484722373</v>
      </c>
      <c r="AG84" s="70">
        <f t="shared" si="11"/>
        <v>2859.6</v>
      </c>
      <c r="AH84" s="70">
        <f t="shared" si="12"/>
        <v>57.192</v>
      </c>
      <c r="AI84" s="70">
        <f t="shared" si="13"/>
        <v>2916.7919999999999</v>
      </c>
      <c r="AJ84" s="70">
        <f t="shared" si="14"/>
        <v>1257.1400000000001</v>
      </c>
      <c r="AK84" s="70">
        <f t="shared" si="15"/>
        <v>60</v>
      </c>
      <c r="AL84" s="70">
        <f t="shared" si="16"/>
        <v>4233.9319999999998</v>
      </c>
      <c r="AM84" s="70">
        <f t="shared" si="17"/>
        <v>677.42912000000001</v>
      </c>
      <c r="AN84" s="70">
        <f t="shared" si="18"/>
        <v>4911.3611199999996</v>
      </c>
    </row>
    <row r="85" spans="1:40" s="75" customFormat="1" ht="15" x14ac:dyDescent="0.25">
      <c r="A85" s="75" t="s">
        <v>335</v>
      </c>
      <c r="B85" s="75" t="s">
        <v>336</v>
      </c>
      <c r="C85" s="75">
        <v>15</v>
      </c>
      <c r="D85" s="75">
        <v>0</v>
      </c>
      <c r="E85" s="75">
        <v>200</v>
      </c>
      <c r="F85" s="75">
        <v>212.11</v>
      </c>
      <c r="G85" s="75">
        <v>3000</v>
      </c>
      <c r="H85" s="75">
        <v>0</v>
      </c>
      <c r="I85" s="75">
        <v>0</v>
      </c>
      <c r="J85" s="75">
        <v>3000</v>
      </c>
      <c r="K85" s="75">
        <v>0</v>
      </c>
      <c r="L85" s="75">
        <v>652.17999999999995</v>
      </c>
      <c r="M85" s="75">
        <v>0</v>
      </c>
      <c r="N85" s="75">
        <v>0</v>
      </c>
      <c r="O85" s="75">
        <v>59.69</v>
      </c>
      <c r="P85" s="75">
        <v>80.599999999999994</v>
      </c>
      <c r="Q85" s="75">
        <v>636.6</v>
      </c>
      <c r="R85" s="75">
        <v>0</v>
      </c>
      <c r="S85" s="76">
        <v>0.13</v>
      </c>
      <c r="T85" s="75">
        <v>1429.2</v>
      </c>
      <c r="U85" s="75">
        <v>1570.8</v>
      </c>
      <c r="V85" s="75">
        <v>59.39</v>
      </c>
      <c r="W85" s="75">
        <v>106.9</v>
      </c>
      <c r="X85" s="75">
        <v>335.17</v>
      </c>
      <c r="Y85" s="75">
        <v>256.14999999999998</v>
      </c>
      <c r="Z85" s="75">
        <v>60</v>
      </c>
      <c r="AA85" s="75">
        <v>27.03</v>
      </c>
      <c r="AB85" s="75">
        <v>501.46</v>
      </c>
      <c r="AC85" s="75">
        <v>169.69</v>
      </c>
      <c r="AD85" s="75">
        <v>222.21</v>
      </c>
      <c r="AE85" s="75">
        <v>110</v>
      </c>
      <c r="AF85" s="75">
        <f t="shared" si="10"/>
        <v>164.27554484722373</v>
      </c>
      <c r="AG85" s="70">
        <f t="shared" si="11"/>
        <v>2859.58</v>
      </c>
      <c r="AH85" s="70">
        <f t="shared" si="12"/>
        <v>57.191600000000001</v>
      </c>
      <c r="AI85" s="70">
        <f t="shared" si="13"/>
        <v>2916.7716</v>
      </c>
      <c r="AJ85" s="70">
        <f t="shared" si="14"/>
        <v>1257.1400000000001</v>
      </c>
      <c r="AK85" s="70">
        <f t="shared" si="15"/>
        <v>60</v>
      </c>
      <c r="AL85" s="70">
        <f t="shared" si="16"/>
        <v>4233.9116000000004</v>
      </c>
      <c r="AM85" s="70">
        <f t="shared" si="17"/>
        <v>677.42585600000007</v>
      </c>
      <c r="AN85" s="70">
        <f t="shared" si="18"/>
        <v>4911.3374560000002</v>
      </c>
    </row>
    <row r="86" spans="1:40" s="75" customFormat="1" ht="15" x14ac:dyDescent="0.25">
      <c r="A86" s="75" t="s">
        <v>374</v>
      </c>
      <c r="B86" s="75" t="s">
        <v>342</v>
      </c>
      <c r="C86" s="75">
        <v>15</v>
      </c>
      <c r="D86" s="75">
        <v>0</v>
      </c>
      <c r="E86" s="75">
        <v>166.67</v>
      </c>
      <c r="F86" s="75">
        <v>176.76</v>
      </c>
      <c r="G86" s="75">
        <v>2500.0500000000002</v>
      </c>
      <c r="H86" s="75">
        <v>0</v>
      </c>
      <c r="I86" s="75">
        <v>0</v>
      </c>
      <c r="J86" s="75">
        <v>2500.0500000000002</v>
      </c>
      <c r="K86" s="75">
        <v>0</v>
      </c>
      <c r="L86" s="75">
        <v>0</v>
      </c>
      <c r="M86" s="75">
        <v>0</v>
      </c>
      <c r="N86" s="76">
        <v>-9.6199999999999992</v>
      </c>
      <c r="O86" s="75">
        <v>0</v>
      </c>
      <c r="P86" s="75">
        <v>67.180000000000007</v>
      </c>
      <c r="Q86" s="75">
        <v>0</v>
      </c>
      <c r="R86" s="75">
        <v>1083.5999999999999</v>
      </c>
      <c r="S86" s="75">
        <v>-0.11</v>
      </c>
      <c r="T86" s="75">
        <v>1141.05</v>
      </c>
      <c r="U86" s="75">
        <v>1359</v>
      </c>
      <c r="V86" s="75">
        <v>49.49</v>
      </c>
      <c r="W86" s="75">
        <v>89.09</v>
      </c>
      <c r="X86" s="75">
        <v>325.27999999999997</v>
      </c>
      <c r="Y86" s="75">
        <v>244.83</v>
      </c>
      <c r="Z86" s="75">
        <v>50</v>
      </c>
      <c r="AA86" s="75">
        <v>22.53</v>
      </c>
      <c r="AB86" s="75">
        <v>463.86</v>
      </c>
      <c r="AC86" s="75">
        <v>141.41</v>
      </c>
      <c r="AD86" s="75">
        <v>216.55</v>
      </c>
      <c r="AE86" s="75">
        <v>110</v>
      </c>
      <c r="AF86" s="75">
        <f t="shared" si="10"/>
        <v>136.89902529843388</v>
      </c>
      <c r="AG86" s="70">
        <f t="shared" si="11"/>
        <v>2442.6</v>
      </c>
      <c r="AH86" s="70">
        <f t="shared" si="12"/>
        <v>48.851999999999997</v>
      </c>
      <c r="AI86" s="70">
        <f t="shared" si="13"/>
        <v>2491.4519999999998</v>
      </c>
      <c r="AJ86" s="70">
        <f t="shared" si="14"/>
        <v>1156.3599999999999</v>
      </c>
      <c r="AK86" s="70">
        <f t="shared" si="15"/>
        <v>50.001000000000005</v>
      </c>
      <c r="AL86" s="70">
        <f t="shared" si="16"/>
        <v>3697.8130000000001</v>
      </c>
      <c r="AM86" s="70">
        <f t="shared" si="17"/>
        <v>591.65008</v>
      </c>
      <c r="AN86" s="70">
        <f t="shared" si="18"/>
        <v>4289.4630800000004</v>
      </c>
    </row>
    <row r="87" spans="1:40" s="75" customFormat="1" ht="15" x14ac:dyDescent="0.25">
      <c r="A87" s="75" t="s">
        <v>375</v>
      </c>
      <c r="B87" s="75" t="s">
        <v>344</v>
      </c>
      <c r="C87" s="75">
        <v>14</v>
      </c>
      <c r="D87" s="75">
        <v>0</v>
      </c>
      <c r="E87" s="75">
        <v>200</v>
      </c>
      <c r="F87" s="75">
        <v>209.04</v>
      </c>
      <c r="G87" s="75">
        <v>2800</v>
      </c>
      <c r="H87" s="75">
        <v>0</v>
      </c>
      <c r="I87" s="75">
        <v>0</v>
      </c>
      <c r="J87" s="75">
        <v>2800</v>
      </c>
      <c r="K87" s="75">
        <v>0</v>
      </c>
      <c r="L87" s="75">
        <v>0</v>
      </c>
      <c r="M87" s="75">
        <v>0</v>
      </c>
      <c r="N87" s="75">
        <v>0</v>
      </c>
      <c r="O87" s="75">
        <v>37.93</v>
      </c>
      <c r="P87" s="75">
        <v>75.78</v>
      </c>
      <c r="Q87" s="75">
        <v>0</v>
      </c>
      <c r="R87" s="75">
        <v>0</v>
      </c>
      <c r="S87" s="75">
        <v>-0.11</v>
      </c>
      <c r="T87" s="75">
        <v>113.6</v>
      </c>
      <c r="U87" s="75">
        <v>2686.4</v>
      </c>
      <c r="V87" s="75">
        <v>58.53</v>
      </c>
      <c r="W87" s="75">
        <v>105.36</v>
      </c>
      <c r="X87" s="75">
        <v>334.31</v>
      </c>
      <c r="Y87" s="75">
        <v>255.16000000000003</v>
      </c>
      <c r="Z87" s="75">
        <v>56</v>
      </c>
      <c r="AA87" s="75">
        <v>26.64</v>
      </c>
      <c r="AB87" s="75">
        <v>498.2</v>
      </c>
      <c r="AC87" s="75">
        <v>167.23</v>
      </c>
      <c r="AD87" s="75">
        <v>221.72000000000003</v>
      </c>
      <c r="AE87" s="75">
        <v>110</v>
      </c>
      <c r="AF87" s="75">
        <f t="shared" si="10"/>
        <v>164.27554484722373</v>
      </c>
      <c r="AG87" s="70">
        <f t="shared" si="11"/>
        <v>2686.4</v>
      </c>
      <c r="AH87" s="70">
        <f t="shared" si="12"/>
        <v>53.728000000000002</v>
      </c>
      <c r="AI87" s="70">
        <f t="shared" si="13"/>
        <v>2740.1280000000002</v>
      </c>
      <c r="AJ87" s="70">
        <f t="shared" si="14"/>
        <v>1244.73</v>
      </c>
      <c r="AK87" s="70">
        <f t="shared" si="15"/>
        <v>56</v>
      </c>
      <c r="AL87" s="70">
        <f t="shared" si="16"/>
        <v>4040.8580000000002</v>
      </c>
      <c r="AM87" s="70">
        <f t="shared" si="17"/>
        <v>646.53728000000001</v>
      </c>
      <c r="AN87" s="70">
        <f t="shared" si="18"/>
        <v>4687.3952800000006</v>
      </c>
    </row>
    <row r="88" spans="1:40" s="75" customFormat="1" ht="15" x14ac:dyDescent="0.25">
      <c r="A88" s="75" t="s">
        <v>429</v>
      </c>
      <c r="B88" s="75" t="s">
        <v>430</v>
      </c>
      <c r="C88" s="75">
        <v>15</v>
      </c>
      <c r="D88" s="75">
        <v>0</v>
      </c>
      <c r="E88" s="75">
        <v>210</v>
      </c>
      <c r="F88" s="75">
        <v>219.83</v>
      </c>
      <c r="G88" s="75">
        <v>3150</v>
      </c>
      <c r="H88" s="75">
        <v>0</v>
      </c>
      <c r="I88" s="75">
        <v>0</v>
      </c>
      <c r="J88" s="75">
        <v>3150</v>
      </c>
      <c r="K88" s="75">
        <v>0</v>
      </c>
      <c r="L88" s="75">
        <v>0</v>
      </c>
      <c r="M88" s="75">
        <v>0</v>
      </c>
      <c r="N88" s="76">
        <v>0</v>
      </c>
      <c r="O88" s="75">
        <v>96.29</v>
      </c>
      <c r="P88" s="75">
        <v>83.53</v>
      </c>
      <c r="Q88" s="75">
        <v>0</v>
      </c>
      <c r="R88" s="75">
        <v>0</v>
      </c>
      <c r="S88" s="75">
        <v>-0.02</v>
      </c>
      <c r="T88" s="75">
        <v>179.8</v>
      </c>
      <c r="U88" s="75">
        <v>2970.2</v>
      </c>
      <c r="V88" s="75">
        <v>61.55</v>
      </c>
      <c r="W88" s="75">
        <v>110.79</v>
      </c>
      <c r="X88" s="75">
        <v>337.33</v>
      </c>
      <c r="Y88" s="75">
        <v>258.62</v>
      </c>
      <c r="Z88" s="75">
        <v>63</v>
      </c>
      <c r="AA88" s="75">
        <v>28.02</v>
      </c>
      <c r="AB88" s="75">
        <v>509.67</v>
      </c>
      <c r="AC88" s="75">
        <v>175.86</v>
      </c>
      <c r="AD88" s="75">
        <v>223.44</v>
      </c>
      <c r="AE88" s="75">
        <v>110</v>
      </c>
      <c r="AF88" s="75">
        <f t="shared" si="10"/>
        <v>172.48932208958493</v>
      </c>
      <c r="AG88" s="70">
        <f t="shared" si="11"/>
        <v>2970.2</v>
      </c>
      <c r="AH88" s="70">
        <f t="shared" si="12"/>
        <v>59.403999999999996</v>
      </c>
      <c r="AI88" s="70">
        <f t="shared" si="13"/>
        <v>3029.6039999999998</v>
      </c>
      <c r="AJ88" s="70">
        <f t="shared" si="14"/>
        <v>1279.1400000000001</v>
      </c>
      <c r="AK88" s="70">
        <f t="shared" si="15"/>
        <v>63</v>
      </c>
      <c r="AL88" s="70">
        <f t="shared" si="16"/>
        <v>4371.7439999999997</v>
      </c>
      <c r="AM88" s="70">
        <f t="shared" si="17"/>
        <v>699.47903999999994</v>
      </c>
      <c r="AN88" s="70">
        <f t="shared" si="18"/>
        <v>5071.2230399999999</v>
      </c>
    </row>
    <row r="89" spans="1:40" s="75" customFormat="1" ht="15" x14ac:dyDescent="0.25">
      <c r="A89" s="18" t="s">
        <v>431</v>
      </c>
      <c r="B89" s="18" t="s">
        <v>432</v>
      </c>
      <c r="C89" s="75">
        <v>4</v>
      </c>
      <c r="D89" s="75">
        <v>0</v>
      </c>
      <c r="E89" s="75">
        <v>210</v>
      </c>
      <c r="F89" s="75">
        <v>219.49</v>
      </c>
      <c r="G89" s="75">
        <v>840</v>
      </c>
      <c r="H89" s="75">
        <v>0</v>
      </c>
      <c r="I89" s="75">
        <v>0</v>
      </c>
      <c r="J89" s="75">
        <v>840</v>
      </c>
      <c r="K89" s="75">
        <v>0</v>
      </c>
      <c r="L89" s="75">
        <v>0</v>
      </c>
      <c r="M89" s="75">
        <v>0</v>
      </c>
      <c r="N89" s="76">
        <v>-159.86000000000001</v>
      </c>
      <c r="O89" s="75">
        <v>0</v>
      </c>
      <c r="P89" s="75">
        <v>26.07</v>
      </c>
      <c r="Q89" s="75">
        <v>0</v>
      </c>
      <c r="R89" s="75">
        <v>0</v>
      </c>
      <c r="S89" s="75">
        <v>-0.01</v>
      </c>
      <c r="T89" s="75">
        <v>-133.80000000000001</v>
      </c>
      <c r="U89" s="75">
        <v>973.8</v>
      </c>
      <c r="V89" s="75">
        <v>19.21</v>
      </c>
      <c r="W89" s="75">
        <v>34.57</v>
      </c>
      <c r="X89" s="75">
        <v>105.38</v>
      </c>
      <c r="Y89" s="75">
        <v>210.22</v>
      </c>
      <c r="Z89" s="75">
        <v>16.8</v>
      </c>
      <c r="AA89" s="75">
        <v>8.74</v>
      </c>
      <c r="AB89" s="75">
        <v>159.16</v>
      </c>
      <c r="AC89" s="75">
        <v>54.87</v>
      </c>
      <c r="AD89" s="75">
        <v>199.24</v>
      </c>
      <c r="AE89" s="90">
        <v>12</v>
      </c>
      <c r="AF89" s="75">
        <f t="shared" ref="AF89:AF91" si="19">((20/365.24)*15)*E89</f>
        <v>172.48932208958493</v>
      </c>
      <c r="AG89" s="70">
        <f t="shared" si="11"/>
        <v>973.8</v>
      </c>
      <c r="AH89" s="70">
        <f t="shared" si="12"/>
        <v>19.475999999999999</v>
      </c>
      <c r="AI89" s="70">
        <f t="shared" si="13"/>
        <v>993.27599999999995</v>
      </c>
      <c r="AJ89" s="70">
        <f t="shared" si="14"/>
        <v>658.3</v>
      </c>
      <c r="AK89" s="70">
        <f t="shared" si="15"/>
        <v>16.8</v>
      </c>
      <c r="AL89" s="70">
        <f t="shared" si="16"/>
        <v>1668.376</v>
      </c>
      <c r="AM89" s="70">
        <f t="shared" si="17"/>
        <v>266.94015999999999</v>
      </c>
      <c r="AN89" s="70">
        <f t="shared" si="18"/>
        <v>1935.3161599999999</v>
      </c>
    </row>
    <row r="90" spans="1:40" s="75" customFormat="1" ht="15" x14ac:dyDescent="0.25">
      <c r="A90" s="18" t="s">
        <v>433</v>
      </c>
      <c r="B90" s="18" t="s">
        <v>434</v>
      </c>
      <c r="C90" s="75">
        <v>9</v>
      </c>
      <c r="D90" s="75">
        <v>0</v>
      </c>
      <c r="E90" s="75">
        <v>200</v>
      </c>
      <c r="F90" s="75">
        <v>209.04</v>
      </c>
      <c r="G90" s="75">
        <v>1800</v>
      </c>
      <c r="H90" s="75">
        <v>0</v>
      </c>
      <c r="I90" s="75">
        <v>0</v>
      </c>
      <c r="J90" s="75">
        <v>1800</v>
      </c>
      <c r="K90" s="75">
        <v>0</v>
      </c>
      <c r="L90" s="75">
        <v>0</v>
      </c>
      <c r="M90" s="75">
        <v>0</v>
      </c>
      <c r="N90" s="76">
        <v>-86.3</v>
      </c>
      <c r="O90" s="75">
        <v>0</v>
      </c>
      <c r="P90" s="75">
        <v>49.66</v>
      </c>
      <c r="Q90" s="75">
        <v>0</v>
      </c>
      <c r="R90" s="75">
        <v>0</v>
      </c>
      <c r="S90" s="75">
        <v>0.04</v>
      </c>
      <c r="T90" s="75">
        <v>-36.6</v>
      </c>
      <c r="U90" s="75">
        <v>1836.6</v>
      </c>
      <c r="V90" s="75">
        <v>36.58</v>
      </c>
      <c r="W90" s="75">
        <v>65.849999999999994</v>
      </c>
      <c r="X90" s="75">
        <v>208.94</v>
      </c>
      <c r="Y90" s="75">
        <v>230.08</v>
      </c>
      <c r="Z90" s="75">
        <v>36</v>
      </c>
      <c r="AA90" s="75">
        <v>16.649999999999999</v>
      </c>
      <c r="AB90" s="75">
        <v>311.37</v>
      </c>
      <c r="AC90" s="75">
        <v>104.52</v>
      </c>
      <c r="AD90" s="75">
        <v>209.17000000000002</v>
      </c>
      <c r="AE90" s="90">
        <v>12</v>
      </c>
      <c r="AF90" s="75">
        <f t="shared" si="19"/>
        <v>164.27554484722373</v>
      </c>
      <c r="AG90" s="70">
        <f t="shared" si="11"/>
        <v>1836.6</v>
      </c>
      <c r="AH90" s="70">
        <f t="shared" si="12"/>
        <v>36.731999999999999</v>
      </c>
      <c r="AI90" s="70">
        <f t="shared" si="13"/>
        <v>1873.3319999999999</v>
      </c>
      <c r="AJ90" s="70">
        <f t="shared" si="14"/>
        <v>921.45</v>
      </c>
      <c r="AK90" s="70">
        <f t="shared" si="15"/>
        <v>36</v>
      </c>
      <c r="AL90" s="70">
        <f t="shared" si="16"/>
        <v>2830.7820000000002</v>
      </c>
      <c r="AM90" s="70">
        <f t="shared" si="17"/>
        <v>452.92512000000005</v>
      </c>
      <c r="AN90" s="70">
        <f t="shared" si="18"/>
        <v>3283.70712</v>
      </c>
    </row>
    <row r="91" spans="1:40" s="75" customFormat="1" ht="15" x14ac:dyDescent="0.25">
      <c r="A91" s="75" t="s">
        <v>156</v>
      </c>
      <c r="B91" s="75" t="s">
        <v>157</v>
      </c>
      <c r="C91" s="75">
        <v>15</v>
      </c>
      <c r="D91" s="75">
        <v>0</v>
      </c>
      <c r="E91" s="75">
        <v>266.67</v>
      </c>
      <c r="F91" s="75">
        <v>282.81</v>
      </c>
      <c r="G91" s="75">
        <v>4000.05</v>
      </c>
      <c r="H91" s="75">
        <v>0</v>
      </c>
      <c r="I91" s="75">
        <v>0</v>
      </c>
      <c r="J91" s="75">
        <v>4000.05</v>
      </c>
      <c r="K91" s="75">
        <v>0</v>
      </c>
      <c r="L91" s="75">
        <v>0</v>
      </c>
      <c r="M91" s="75">
        <v>0</v>
      </c>
      <c r="N91" s="75">
        <v>0</v>
      </c>
      <c r="O91" s="75">
        <v>313.87</v>
      </c>
      <c r="P91" s="75">
        <v>109.35</v>
      </c>
      <c r="Q91" s="75">
        <v>0</v>
      </c>
      <c r="R91" s="75">
        <v>0</v>
      </c>
      <c r="S91" s="76">
        <v>0.03</v>
      </c>
      <c r="T91" s="75">
        <v>423.25</v>
      </c>
      <c r="U91" s="75">
        <v>3576.8</v>
      </c>
      <c r="V91" s="75">
        <v>79.19</v>
      </c>
      <c r="W91" s="75">
        <v>142.54</v>
      </c>
      <c r="X91" s="75">
        <v>360.12</v>
      </c>
      <c r="Y91" s="75">
        <v>278.77</v>
      </c>
      <c r="Z91" s="75">
        <v>80</v>
      </c>
      <c r="AA91" s="75">
        <v>36.049999999999997</v>
      </c>
      <c r="AB91" s="75">
        <v>581.85</v>
      </c>
      <c r="AC91" s="75">
        <v>226.25</v>
      </c>
      <c r="AD91" s="75">
        <v>233.52</v>
      </c>
      <c r="AE91" s="75">
        <v>110</v>
      </c>
      <c r="AF91" s="75">
        <f t="shared" si="19"/>
        <v>219.03679772204578</v>
      </c>
      <c r="AG91" s="70">
        <f t="shared" si="11"/>
        <v>3576.8</v>
      </c>
      <c r="AH91" s="70">
        <f t="shared" si="12"/>
        <v>71.536000000000001</v>
      </c>
      <c r="AI91" s="70">
        <f t="shared" si="13"/>
        <v>3648.3360000000002</v>
      </c>
      <c r="AJ91" s="70">
        <f t="shared" si="14"/>
        <v>1465.79</v>
      </c>
      <c r="AK91" s="70">
        <f t="shared" si="15"/>
        <v>80.001000000000005</v>
      </c>
      <c r="AL91" s="70">
        <f t="shared" si="16"/>
        <v>5194.1270000000004</v>
      </c>
      <c r="AM91" s="70">
        <f t="shared" si="17"/>
        <v>831.06032000000005</v>
      </c>
      <c r="AN91" s="70">
        <f t="shared" si="18"/>
        <v>6025.1873200000009</v>
      </c>
    </row>
    <row r="92" spans="1:40" s="79" customFormat="1" ht="15" x14ac:dyDescent="0.25">
      <c r="C92" s="79" t="s">
        <v>74</v>
      </c>
      <c r="D92" s="79" t="s">
        <v>74</v>
      </c>
      <c r="E92" s="79" t="s">
        <v>74</v>
      </c>
      <c r="F92" s="79" t="s">
        <v>74</v>
      </c>
      <c r="G92" s="79" t="s">
        <v>74</v>
      </c>
      <c r="H92" s="79" t="s">
        <v>74</v>
      </c>
      <c r="I92" s="79" t="s">
        <v>74</v>
      </c>
      <c r="J92" s="79" t="s">
        <v>74</v>
      </c>
      <c r="K92" s="79" t="s">
        <v>74</v>
      </c>
      <c r="L92" s="79" t="s">
        <v>74</v>
      </c>
      <c r="M92" s="79" t="s">
        <v>74</v>
      </c>
      <c r="N92" s="79" t="s">
        <v>74</v>
      </c>
      <c r="O92" s="79" t="s">
        <v>74</v>
      </c>
      <c r="P92" s="79" t="s">
        <v>74</v>
      </c>
      <c r="Q92" s="79" t="s">
        <v>74</v>
      </c>
      <c r="R92" s="79" t="s">
        <v>74</v>
      </c>
      <c r="S92" s="79" t="s">
        <v>74</v>
      </c>
      <c r="T92" s="79" t="s">
        <v>74</v>
      </c>
      <c r="U92" s="79" t="s">
        <v>74</v>
      </c>
      <c r="V92" s="79" t="s">
        <v>74</v>
      </c>
      <c r="W92" s="79" t="s">
        <v>74</v>
      </c>
      <c r="X92" s="79" t="s">
        <v>74</v>
      </c>
      <c r="Y92" s="79" t="s">
        <v>74</v>
      </c>
      <c r="Z92" s="79" t="s">
        <v>74</v>
      </c>
      <c r="AA92" s="79" t="s">
        <v>74</v>
      </c>
      <c r="AB92" s="79" t="s">
        <v>74</v>
      </c>
      <c r="AC92" s="79" t="s">
        <v>74</v>
      </c>
      <c r="AD92" s="79" t="s">
        <v>74</v>
      </c>
      <c r="AE92" s="79" t="s">
        <v>74</v>
      </c>
      <c r="AF92" s="79" t="s">
        <v>74</v>
      </c>
      <c r="AG92" s="70"/>
      <c r="AH92" s="70"/>
      <c r="AI92" s="70"/>
      <c r="AJ92" s="70"/>
      <c r="AK92" s="70"/>
      <c r="AL92" s="70"/>
      <c r="AM92" s="70"/>
      <c r="AN92" s="70"/>
    </row>
    <row r="93" spans="1:40" s="75" customFormat="1" ht="12.75" x14ac:dyDescent="0.2">
      <c r="A93" s="80" t="s">
        <v>75</v>
      </c>
      <c r="B93" s="75" t="s">
        <v>76</v>
      </c>
      <c r="C93" s="81">
        <f t="shared" ref="C93:AE93" si="20">SUM(C9:C91)</f>
        <v>1198</v>
      </c>
      <c r="D93" s="81">
        <f t="shared" si="20"/>
        <v>28</v>
      </c>
      <c r="E93" s="81">
        <f t="shared" si="20"/>
        <v>19920.609999999993</v>
      </c>
      <c r="F93" s="81">
        <f t="shared" si="20"/>
        <v>21003.44000000001</v>
      </c>
      <c r="G93" s="81">
        <f t="shared" si="20"/>
        <v>288699.95999999996</v>
      </c>
      <c r="H93" s="81">
        <f t="shared" si="20"/>
        <v>6199.2900000000009</v>
      </c>
      <c r="I93" s="81">
        <f t="shared" si="20"/>
        <v>4094.87</v>
      </c>
      <c r="J93" s="81">
        <f t="shared" si="20"/>
        <v>298994.11999999994</v>
      </c>
      <c r="K93" s="81">
        <f t="shared" si="20"/>
        <v>15</v>
      </c>
      <c r="L93" s="81">
        <f t="shared" si="20"/>
        <v>20829.72</v>
      </c>
      <c r="M93" s="81">
        <f t="shared" si="20"/>
        <v>11863.15</v>
      </c>
      <c r="N93" s="81">
        <f t="shared" si="20"/>
        <v>-629.01</v>
      </c>
      <c r="O93" s="81">
        <f t="shared" si="20"/>
        <v>16882.80000000001</v>
      </c>
      <c r="P93" s="81">
        <f t="shared" si="20"/>
        <v>8025.9500000000035</v>
      </c>
      <c r="Q93" s="81">
        <f t="shared" si="20"/>
        <v>1236.5999999999999</v>
      </c>
      <c r="R93" s="81">
        <f>SUM(R9:R91)</f>
        <v>7050.27</v>
      </c>
      <c r="S93" s="81">
        <f t="shared" si="20"/>
        <v>0.24000000000000002</v>
      </c>
      <c r="T93" s="81">
        <f t="shared" si="20"/>
        <v>65274.720000000001</v>
      </c>
      <c r="U93" s="81">
        <f>SUM(U9:U91)</f>
        <v>233719.40000000005</v>
      </c>
      <c r="V93" s="81">
        <f t="shared" si="20"/>
        <v>5816.7999999999993</v>
      </c>
      <c r="W93" s="81">
        <f t="shared" si="20"/>
        <v>10470.250000000002</v>
      </c>
      <c r="X93" s="81">
        <f t="shared" si="20"/>
        <v>28795.670000000002</v>
      </c>
      <c r="Y93" s="81">
        <f t="shared" si="20"/>
        <v>22274.130000000012</v>
      </c>
      <c r="Z93" s="81">
        <f t="shared" si="20"/>
        <v>5974.6399999999994</v>
      </c>
      <c r="AA93" s="81">
        <f t="shared" si="20"/>
        <v>2647.7499999999982</v>
      </c>
      <c r="AB93" s="81">
        <f t="shared" si="20"/>
        <v>45082.720000000001</v>
      </c>
      <c r="AC93" s="81">
        <f t="shared" si="20"/>
        <v>16619.38</v>
      </c>
      <c r="AD93" s="81">
        <f t="shared" si="20"/>
        <v>18950.319999999996</v>
      </c>
      <c r="AE93" s="81">
        <f t="shared" si="20"/>
        <v>8934</v>
      </c>
      <c r="AF93" s="81">
        <f>SUM(AF9:AF91)</f>
        <v>16362.345307195257</v>
      </c>
    </row>
    <row r="94" spans="1:40" s="78" customFormat="1" ht="12.75" x14ac:dyDescent="0.2">
      <c r="A94" s="77"/>
    </row>
    <row r="95" spans="1:40" s="78" customFormat="1" ht="12.75" x14ac:dyDescent="0.2">
      <c r="A95" s="49">
        <v>82</v>
      </c>
      <c r="B95" s="49" t="s">
        <v>438</v>
      </c>
      <c r="G95" s="78" t="s">
        <v>76</v>
      </c>
      <c r="H95" s="78" t="s">
        <v>76</v>
      </c>
      <c r="I95" s="78" t="s">
        <v>76</v>
      </c>
      <c r="J95" s="78" t="s">
        <v>76</v>
      </c>
      <c r="K95" s="78" t="s">
        <v>76</v>
      </c>
      <c r="L95" s="78" t="s">
        <v>76</v>
      </c>
      <c r="M95" s="78" t="s">
        <v>76</v>
      </c>
      <c r="N95" s="78" t="s">
        <v>76</v>
      </c>
      <c r="O95" s="78" t="s">
        <v>76</v>
      </c>
      <c r="P95" s="78" t="s">
        <v>76</v>
      </c>
      <c r="Q95" s="78" t="s">
        <v>76</v>
      </c>
      <c r="R95" s="78" t="s">
        <v>76</v>
      </c>
      <c r="S95" s="78" t="s">
        <v>76</v>
      </c>
      <c r="T95" s="78" t="s">
        <v>76</v>
      </c>
      <c r="U95" s="78" t="s">
        <v>76</v>
      </c>
      <c r="V95" s="78" t="s">
        <v>76</v>
      </c>
      <c r="W95" s="78" t="s">
        <v>76</v>
      </c>
      <c r="X95" s="78" t="s">
        <v>76</v>
      </c>
      <c r="Y95" s="78" t="s">
        <v>76</v>
      </c>
      <c r="Z95" s="78" t="s">
        <v>76</v>
      </c>
      <c r="AA95" s="78" t="s">
        <v>76</v>
      </c>
      <c r="AB95" s="78" t="s">
        <v>76</v>
      </c>
      <c r="AC95" s="78" t="s">
        <v>76</v>
      </c>
      <c r="AD95" s="78" t="s">
        <v>76</v>
      </c>
      <c r="AE95" s="78" t="s">
        <v>76</v>
      </c>
    </row>
    <row r="96" spans="1:40" s="78" customFormat="1" ht="12.75" x14ac:dyDescent="0.2">
      <c r="A96" s="49">
        <v>2</v>
      </c>
      <c r="B96" s="49" t="s">
        <v>439</v>
      </c>
      <c r="G96" s="82"/>
      <c r="H96" s="82"/>
      <c r="I96" s="122" t="s">
        <v>411</v>
      </c>
      <c r="J96" s="12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</row>
    <row r="97" spans="1:13" s="78" customFormat="1" ht="12.75" x14ac:dyDescent="0.2">
      <c r="A97" s="49">
        <v>1</v>
      </c>
      <c r="B97" s="49" t="s">
        <v>440</v>
      </c>
      <c r="I97" s="71" t="s">
        <v>400</v>
      </c>
      <c r="J97" s="72">
        <f>+U93</f>
        <v>233719.40000000005</v>
      </c>
    </row>
    <row r="98" spans="1:13" s="78" customFormat="1" ht="12.75" x14ac:dyDescent="0.2">
      <c r="A98" s="49">
        <f>+A95+A96-A97</f>
        <v>83</v>
      </c>
      <c r="B98" s="49" t="s">
        <v>441</v>
      </c>
      <c r="D98" s="75"/>
      <c r="G98" s="18"/>
      <c r="I98" s="71" t="s">
        <v>401</v>
      </c>
      <c r="J98" s="72">
        <f>+R93-R77</f>
        <v>6577.77</v>
      </c>
      <c r="K98" s="111">
        <f>+J98-R86</f>
        <v>5494.17</v>
      </c>
      <c r="L98" s="112" t="s">
        <v>442</v>
      </c>
      <c r="M98" s="112"/>
    </row>
    <row r="99" spans="1:13" s="78" customFormat="1" ht="12.75" x14ac:dyDescent="0.2">
      <c r="A99" s="77"/>
      <c r="D99" s="75"/>
      <c r="G99" s="18"/>
      <c r="I99" s="71" t="s">
        <v>402</v>
      </c>
      <c r="J99" s="72">
        <f>+K93+L93+M93</f>
        <v>32707.870000000003</v>
      </c>
    </row>
    <row r="100" spans="1:13" s="78" customFormat="1" ht="12.75" x14ac:dyDescent="0.2">
      <c r="A100" s="77"/>
      <c r="G100" s="18"/>
      <c r="I100" s="71" t="s">
        <v>403</v>
      </c>
      <c r="J100" s="72">
        <v>0</v>
      </c>
    </row>
    <row r="101" spans="1:13" s="78" customFormat="1" ht="12.75" x14ac:dyDescent="0.2">
      <c r="A101" s="77"/>
      <c r="G101" s="18"/>
      <c r="I101" s="71" t="s">
        <v>404</v>
      </c>
      <c r="J101" s="72">
        <f>SUM(J97:J100)</f>
        <v>273005.04000000004</v>
      </c>
    </row>
    <row r="102" spans="1:13" s="78" customFormat="1" ht="12.75" x14ac:dyDescent="0.2">
      <c r="A102" s="77"/>
      <c r="G102" s="18"/>
      <c r="I102" s="71" t="s">
        <v>405</v>
      </c>
      <c r="J102" s="72">
        <f>+J101*2%</f>
        <v>5460.1008000000011</v>
      </c>
    </row>
    <row r="103" spans="1:13" s="78" customFormat="1" ht="12.75" x14ac:dyDescent="0.2">
      <c r="A103" s="77"/>
      <c r="G103" s="18"/>
      <c r="I103" s="71" t="s">
        <v>406</v>
      </c>
      <c r="J103" s="72">
        <f>+J101+J102</f>
        <v>278465.14080000005</v>
      </c>
    </row>
    <row r="104" spans="1:13" s="78" customFormat="1" ht="12.75" x14ac:dyDescent="0.2">
      <c r="A104" s="77"/>
      <c r="G104" s="18"/>
      <c r="I104" s="71" t="s">
        <v>407</v>
      </c>
      <c r="J104" s="72">
        <f>+P93+V93+W93+X93+Y93+AA93+AC93+AD93</f>
        <v>113600.25000000001</v>
      </c>
    </row>
    <row r="105" spans="1:13" s="78" customFormat="1" ht="12.75" x14ac:dyDescent="0.2">
      <c r="A105" s="77"/>
      <c r="G105" s="18"/>
      <c r="I105" s="71" t="s">
        <v>408</v>
      </c>
      <c r="J105" s="72">
        <f>+J93*2%</f>
        <v>5979.8823999999986</v>
      </c>
    </row>
    <row r="106" spans="1:13" s="78" customFormat="1" ht="12.75" x14ac:dyDescent="0.2">
      <c r="A106" s="77"/>
      <c r="G106" s="18"/>
      <c r="I106" s="71" t="s">
        <v>409</v>
      </c>
      <c r="J106" s="72">
        <f>+J103+J104+J105</f>
        <v>398045.27320000005</v>
      </c>
    </row>
    <row r="107" spans="1:13" s="78" customFormat="1" ht="12.75" x14ac:dyDescent="0.2">
      <c r="A107" s="77"/>
      <c r="G107" s="18"/>
      <c r="I107" s="71" t="s">
        <v>30</v>
      </c>
      <c r="J107" s="72">
        <f>+J106*16%</f>
        <v>63687.24371200001</v>
      </c>
    </row>
    <row r="108" spans="1:13" s="78" customFormat="1" ht="12.75" x14ac:dyDescent="0.2">
      <c r="A108" s="77"/>
      <c r="G108" s="18"/>
      <c r="I108" s="71" t="s">
        <v>87</v>
      </c>
      <c r="J108" s="72">
        <f>+J106+J107</f>
        <v>461732.51691200008</v>
      </c>
    </row>
    <row r="109" spans="1:13" s="78" customFormat="1" ht="12.75" x14ac:dyDescent="0.2">
      <c r="A109" s="77"/>
      <c r="G109" s="18"/>
      <c r="I109" s="18"/>
      <c r="J109" s="18"/>
    </row>
    <row r="110" spans="1:13" s="78" customFormat="1" ht="12.75" x14ac:dyDescent="0.2">
      <c r="A110" s="77"/>
      <c r="G110" s="18"/>
      <c r="I110" s="123" t="s">
        <v>410</v>
      </c>
      <c r="J110" s="123"/>
    </row>
    <row r="111" spans="1:13" s="78" customFormat="1" ht="12.75" x14ac:dyDescent="0.2">
      <c r="A111" s="77"/>
      <c r="G111" s="18"/>
      <c r="I111" s="114" t="s">
        <v>411</v>
      </c>
      <c r="J111" s="114"/>
    </row>
    <row r="112" spans="1:13" s="78" customFormat="1" ht="12.75" x14ac:dyDescent="0.2">
      <c r="A112" s="77"/>
      <c r="G112" s="18"/>
      <c r="I112" s="71" t="s">
        <v>404</v>
      </c>
      <c r="J112" s="72">
        <f>+AF93</f>
        <v>16362.345307195257</v>
      </c>
    </row>
    <row r="113" spans="1:10" s="78" customFormat="1" ht="12.75" x14ac:dyDescent="0.2">
      <c r="A113" s="77"/>
      <c r="G113" s="18"/>
      <c r="I113" s="71" t="s">
        <v>405</v>
      </c>
      <c r="J113" s="72">
        <f>+J112*2%</f>
        <v>327.24690614390516</v>
      </c>
    </row>
    <row r="114" spans="1:10" s="78" customFormat="1" ht="12.75" x14ac:dyDescent="0.2">
      <c r="A114" s="77"/>
      <c r="G114" s="18"/>
      <c r="I114" s="71" t="s">
        <v>406</v>
      </c>
      <c r="J114" s="72">
        <f>+J112+J113</f>
        <v>16689.592213339161</v>
      </c>
    </row>
    <row r="115" spans="1:10" s="78" customFormat="1" ht="12.75" x14ac:dyDescent="0.2">
      <c r="A115" s="77"/>
      <c r="G115" s="18"/>
      <c r="I115" s="71" t="s">
        <v>408</v>
      </c>
      <c r="J115" s="72">
        <f>+J112*2%</f>
        <v>327.24690614390516</v>
      </c>
    </row>
    <row r="116" spans="1:10" s="78" customFormat="1" ht="12.75" x14ac:dyDescent="0.2">
      <c r="A116" s="77"/>
      <c r="G116" s="18"/>
      <c r="I116" s="71" t="s">
        <v>409</v>
      </c>
      <c r="J116" s="72">
        <f>+J114+J115</f>
        <v>17016.839119483066</v>
      </c>
    </row>
    <row r="117" spans="1:10" s="78" customFormat="1" ht="12.75" x14ac:dyDescent="0.2">
      <c r="A117" s="77"/>
      <c r="G117" s="18"/>
      <c r="I117" s="71" t="s">
        <v>30</v>
      </c>
      <c r="J117" s="72">
        <f>+J116*16%</f>
        <v>2722.6942591172906</v>
      </c>
    </row>
    <row r="118" spans="1:10" s="78" customFormat="1" ht="12.75" x14ac:dyDescent="0.2">
      <c r="A118" s="77"/>
      <c r="G118" s="18"/>
      <c r="I118" s="71" t="s">
        <v>87</v>
      </c>
      <c r="J118" s="72">
        <f>+J116+J117</f>
        <v>19739.533378600358</v>
      </c>
    </row>
    <row r="119" spans="1:10" s="78" customFormat="1" ht="12.75" x14ac:dyDescent="0.2">
      <c r="A119" s="77"/>
      <c r="G119" s="18"/>
    </row>
    <row r="120" spans="1:10" s="78" customFormat="1" ht="12.75" x14ac:dyDescent="0.2">
      <c r="A120" s="77"/>
      <c r="G120" s="18"/>
    </row>
    <row r="121" spans="1:10" s="78" customFormat="1" ht="12.75" x14ac:dyDescent="0.2">
      <c r="A121" s="77"/>
      <c r="G121" s="18"/>
    </row>
    <row r="122" spans="1:10" s="78" customFormat="1" ht="12.75" x14ac:dyDescent="0.2">
      <c r="A122" s="77"/>
      <c r="G122" s="18"/>
    </row>
    <row r="123" spans="1:10" s="78" customFormat="1" ht="12.75" x14ac:dyDescent="0.2">
      <c r="A123" s="77"/>
      <c r="G123" s="18"/>
    </row>
    <row r="124" spans="1:10" s="78" customFormat="1" ht="12.75" x14ac:dyDescent="0.2">
      <c r="A124" s="77"/>
      <c r="G124" s="18"/>
    </row>
    <row r="125" spans="1:10" s="78" customFormat="1" ht="12.75" x14ac:dyDescent="0.2">
      <c r="A125" s="77"/>
      <c r="G125" s="18"/>
    </row>
    <row r="126" spans="1:10" s="78" customFormat="1" ht="12.75" x14ac:dyDescent="0.2">
      <c r="A126" s="77"/>
      <c r="G126" s="18"/>
    </row>
    <row r="127" spans="1:10" s="78" customFormat="1" ht="12.75" x14ac:dyDescent="0.2">
      <c r="A127" s="77"/>
      <c r="G127" s="18"/>
    </row>
    <row r="128" spans="1:10" s="78" customFormat="1" ht="12.75" x14ac:dyDescent="0.2">
      <c r="A128" s="77"/>
      <c r="G128" s="18"/>
    </row>
    <row r="129" spans="1:7" s="78" customFormat="1" ht="12.75" x14ac:dyDescent="0.2">
      <c r="A129" s="77"/>
      <c r="G129" s="18"/>
    </row>
    <row r="130" spans="1:7" s="78" customFormat="1" ht="12.75" x14ac:dyDescent="0.2">
      <c r="A130" s="77"/>
      <c r="G130" s="18"/>
    </row>
    <row r="131" spans="1:7" s="78" customFormat="1" ht="12.75" x14ac:dyDescent="0.2">
      <c r="A131" s="77"/>
      <c r="G131" s="18"/>
    </row>
    <row r="132" spans="1:7" s="78" customFormat="1" ht="12.75" x14ac:dyDescent="0.2">
      <c r="A132" s="77"/>
      <c r="G132" s="18"/>
    </row>
    <row r="133" spans="1:7" s="78" customFormat="1" ht="12.75" x14ac:dyDescent="0.2">
      <c r="A133" s="77"/>
      <c r="G133" s="18"/>
    </row>
    <row r="134" spans="1:7" s="78" customFormat="1" ht="12.75" x14ac:dyDescent="0.2">
      <c r="A134" s="77"/>
      <c r="G134" s="18"/>
    </row>
    <row r="135" spans="1:7" s="78" customFormat="1" ht="12.75" x14ac:dyDescent="0.2">
      <c r="A135" s="77"/>
      <c r="G135" s="18"/>
    </row>
    <row r="136" spans="1:7" s="78" customFormat="1" ht="12.75" x14ac:dyDescent="0.2">
      <c r="A136" s="77"/>
      <c r="G136" s="18"/>
    </row>
    <row r="137" spans="1:7" s="78" customFormat="1" ht="12.75" x14ac:dyDescent="0.2">
      <c r="A137" s="77"/>
      <c r="G137" s="18"/>
    </row>
    <row r="138" spans="1:7" s="78" customFormat="1" ht="12.75" x14ac:dyDescent="0.2">
      <c r="A138" s="77"/>
      <c r="G138" s="18"/>
    </row>
    <row r="139" spans="1:7" s="78" customFormat="1" ht="12.75" x14ac:dyDescent="0.2">
      <c r="A139" s="77"/>
      <c r="G139" s="18"/>
    </row>
    <row r="140" spans="1:7" s="78" customFormat="1" ht="12.75" x14ac:dyDescent="0.2">
      <c r="A140" s="77"/>
      <c r="G140" s="18"/>
    </row>
    <row r="141" spans="1:7" s="78" customFormat="1" ht="12.75" x14ac:dyDescent="0.2">
      <c r="A141" s="77"/>
      <c r="G141" s="18"/>
    </row>
    <row r="142" spans="1:7" s="78" customFormat="1" ht="12.75" x14ac:dyDescent="0.2">
      <c r="A142" s="77"/>
      <c r="G142" s="18"/>
    </row>
    <row r="143" spans="1:7" s="78" customFormat="1" ht="12.75" x14ac:dyDescent="0.2">
      <c r="A143" s="77"/>
      <c r="G143" s="18"/>
    </row>
    <row r="144" spans="1:7" s="78" customFormat="1" ht="12.75" x14ac:dyDescent="0.2">
      <c r="A144" s="77"/>
      <c r="G144" s="18"/>
    </row>
    <row r="145" spans="1:7" s="78" customFormat="1" ht="12.75" x14ac:dyDescent="0.2">
      <c r="A145" s="77"/>
      <c r="G145" s="18"/>
    </row>
    <row r="146" spans="1:7" s="78" customFormat="1" ht="12.75" x14ac:dyDescent="0.2">
      <c r="A146" s="77"/>
      <c r="G146" s="18"/>
    </row>
    <row r="147" spans="1:7" s="78" customFormat="1" ht="12.75" x14ac:dyDescent="0.2">
      <c r="A147" s="77"/>
      <c r="G147" s="18"/>
    </row>
    <row r="148" spans="1:7" s="78" customFormat="1" ht="12.75" x14ac:dyDescent="0.2">
      <c r="A148" s="77"/>
      <c r="G148" s="18"/>
    </row>
    <row r="149" spans="1:7" s="78" customFormat="1" ht="12.75" x14ac:dyDescent="0.2">
      <c r="A149" s="77"/>
      <c r="G149" s="18"/>
    </row>
    <row r="150" spans="1:7" s="78" customFormat="1" ht="12.75" x14ac:dyDescent="0.2">
      <c r="A150" s="77"/>
      <c r="G150" s="18"/>
    </row>
    <row r="151" spans="1:7" s="78" customFormat="1" ht="12.75" x14ac:dyDescent="0.2">
      <c r="A151" s="77"/>
      <c r="G151" s="18"/>
    </row>
    <row r="152" spans="1:7" s="78" customFormat="1" ht="12.75" x14ac:dyDescent="0.2">
      <c r="A152" s="77"/>
      <c r="G152" s="18"/>
    </row>
    <row r="153" spans="1:7" s="78" customFormat="1" ht="12.75" x14ac:dyDescent="0.2">
      <c r="A153" s="77"/>
      <c r="G153" s="18"/>
    </row>
    <row r="154" spans="1:7" s="78" customFormat="1" ht="12.75" x14ac:dyDescent="0.2">
      <c r="A154" s="77"/>
      <c r="G154" s="18"/>
    </row>
    <row r="155" spans="1:7" s="78" customFormat="1" ht="12.75" x14ac:dyDescent="0.2">
      <c r="A155" s="77"/>
      <c r="G155" s="18"/>
    </row>
    <row r="156" spans="1:7" s="78" customFormat="1" ht="12.75" x14ac:dyDescent="0.2">
      <c r="A156" s="77"/>
      <c r="G156" s="18"/>
    </row>
    <row r="157" spans="1:7" s="78" customFormat="1" ht="12.75" x14ac:dyDescent="0.2">
      <c r="A157" s="77"/>
      <c r="G157" s="18"/>
    </row>
    <row r="158" spans="1:7" s="78" customFormat="1" ht="12.75" x14ac:dyDescent="0.2">
      <c r="A158" s="77"/>
      <c r="G158" s="18"/>
    </row>
    <row r="159" spans="1:7" s="78" customFormat="1" ht="12.75" x14ac:dyDescent="0.2">
      <c r="A159" s="77"/>
      <c r="G159" s="18"/>
    </row>
    <row r="160" spans="1:7" s="78" customFormat="1" ht="12.75" x14ac:dyDescent="0.2">
      <c r="A160" s="77"/>
      <c r="G160" s="18"/>
    </row>
    <row r="161" spans="1:7" s="78" customFormat="1" ht="12.75" x14ac:dyDescent="0.2">
      <c r="A161" s="77"/>
      <c r="G161" s="18"/>
    </row>
    <row r="162" spans="1:7" s="78" customFormat="1" ht="12.75" x14ac:dyDescent="0.2">
      <c r="A162" s="77"/>
      <c r="G162" s="18"/>
    </row>
    <row r="163" spans="1:7" s="78" customFormat="1" ht="12.75" x14ac:dyDescent="0.2">
      <c r="A163" s="77"/>
      <c r="G163" s="18"/>
    </row>
    <row r="164" spans="1:7" s="78" customFormat="1" ht="12.75" x14ac:dyDescent="0.2">
      <c r="A164" s="77"/>
      <c r="G164" s="18"/>
    </row>
    <row r="165" spans="1:7" s="78" customFormat="1" ht="12.75" x14ac:dyDescent="0.2">
      <c r="A165" s="77"/>
      <c r="G165" s="18"/>
    </row>
    <row r="166" spans="1:7" s="78" customFormat="1" ht="12.75" x14ac:dyDescent="0.2">
      <c r="A166" s="77"/>
      <c r="G166" s="18"/>
    </row>
    <row r="167" spans="1:7" s="78" customFormat="1" ht="12.75" x14ac:dyDescent="0.2">
      <c r="A167" s="77"/>
      <c r="G167" s="18"/>
    </row>
    <row r="168" spans="1:7" s="78" customFormat="1" ht="12.75" x14ac:dyDescent="0.2">
      <c r="A168" s="77"/>
      <c r="G168" s="18"/>
    </row>
    <row r="169" spans="1:7" s="78" customFormat="1" ht="12.75" x14ac:dyDescent="0.2">
      <c r="A169" s="77"/>
      <c r="G169" s="18"/>
    </row>
    <row r="170" spans="1:7" s="78" customFormat="1" ht="12.75" x14ac:dyDescent="0.2">
      <c r="A170" s="77"/>
      <c r="G170" s="18"/>
    </row>
    <row r="171" spans="1:7" s="78" customFormat="1" ht="12.75" x14ac:dyDescent="0.2">
      <c r="A171" s="77"/>
      <c r="G171" s="18"/>
    </row>
    <row r="172" spans="1:7" s="78" customFormat="1" ht="12.75" x14ac:dyDescent="0.2">
      <c r="A172" s="77"/>
      <c r="G172" s="18"/>
    </row>
    <row r="173" spans="1:7" s="78" customFormat="1" ht="12.75" x14ac:dyDescent="0.2">
      <c r="A173" s="77"/>
      <c r="G173" s="18"/>
    </row>
    <row r="174" spans="1:7" s="78" customFormat="1" ht="12.75" x14ac:dyDescent="0.2">
      <c r="A174" s="77"/>
      <c r="G174" s="18"/>
    </row>
    <row r="175" spans="1:7" x14ac:dyDescent="0.2">
      <c r="G175" s="73"/>
    </row>
    <row r="176" spans="1:7" x14ac:dyDescent="0.2">
      <c r="G176" s="73"/>
    </row>
    <row r="177" spans="7:7" x14ac:dyDescent="0.2">
      <c r="G177" s="73"/>
    </row>
    <row r="178" spans="7:7" x14ac:dyDescent="0.2">
      <c r="G178" s="73"/>
    </row>
    <row r="179" spans="7:7" x14ac:dyDescent="0.2">
      <c r="G179" s="73"/>
    </row>
  </sheetData>
  <mergeCells count="7">
    <mergeCell ref="I111:J111"/>
    <mergeCell ref="B1:F1"/>
    <mergeCell ref="B2:F2"/>
    <mergeCell ref="B3:F3"/>
    <mergeCell ref="B4:F4"/>
    <mergeCell ref="I96:J96"/>
    <mergeCell ref="I110:J1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6"/>
  <sheetViews>
    <sheetView showGridLines="0" zoomScale="90" zoomScaleNormal="90" zoomScaleSheetLayoutView="50" workbookViewId="0">
      <pane xSplit="3" ySplit="2" topLeftCell="D21" activePane="bottomRight" state="frozen"/>
      <selection activeCell="E31" sqref="E31"/>
      <selection pane="topRight" activeCell="E31" sqref="E31"/>
      <selection pane="bottomLeft" activeCell="E31" sqref="E31"/>
      <selection pane="bottomRight" activeCell="C21" sqref="C21"/>
    </sheetView>
  </sheetViews>
  <sheetFormatPr baseColWidth="10" defaultColWidth="11.42578125" defaultRowHeight="12.75" x14ac:dyDescent="0.2"/>
  <cols>
    <col min="1" max="1" width="10.85546875" style="6" hidden="1" customWidth="1"/>
    <col min="2" max="2" width="15.28515625" style="6" customWidth="1"/>
    <col min="3" max="3" width="36.5703125" style="6" customWidth="1"/>
    <col min="4" max="7" width="15" style="6" customWidth="1"/>
    <col min="8" max="8" width="17.140625" style="6" customWidth="1"/>
    <col min="9" max="9" width="3.7109375" style="7" hidden="1" customWidth="1"/>
    <col min="10" max="10" width="16" style="6" hidden="1" customWidth="1"/>
    <col min="11" max="13" width="15.85546875" style="6" hidden="1" customWidth="1"/>
    <col min="14" max="14" width="19.140625" style="6" hidden="1" customWidth="1"/>
    <col min="15" max="17" width="0" style="6" hidden="1" customWidth="1"/>
    <col min="18" max="16384" width="11.42578125" style="6"/>
  </cols>
  <sheetData>
    <row r="1" spans="1:20" x14ac:dyDescent="0.2">
      <c r="D1" s="124" t="s">
        <v>78</v>
      </c>
      <c r="E1" s="124"/>
      <c r="F1" s="124"/>
      <c r="G1" s="124"/>
      <c r="H1" s="124"/>
      <c r="J1" s="124" t="s">
        <v>79</v>
      </c>
      <c r="K1" s="124"/>
      <c r="L1" s="124"/>
      <c r="M1" s="124"/>
      <c r="N1" s="124"/>
    </row>
    <row r="2" spans="1:20" ht="26.25" thickBot="1" x14ac:dyDescent="0.25">
      <c r="A2" s="8" t="s">
        <v>80</v>
      </c>
      <c r="B2" s="8" t="s">
        <v>81</v>
      </c>
      <c r="C2" s="8" t="s">
        <v>82</v>
      </c>
      <c r="D2" s="8" t="s">
        <v>83</v>
      </c>
      <c r="E2" s="8" t="s">
        <v>84</v>
      </c>
      <c r="F2" s="8" t="s">
        <v>85</v>
      </c>
      <c r="G2" s="8" t="s">
        <v>86</v>
      </c>
      <c r="H2" s="9" t="s">
        <v>87</v>
      </c>
      <c r="I2" s="10"/>
      <c r="J2" s="11" t="s">
        <v>88</v>
      </c>
      <c r="K2" s="8" t="s">
        <v>89</v>
      </c>
      <c r="L2" s="8" t="s">
        <v>90</v>
      </c>
      <c r="M2" s="8" t="s">
        <v>91</v>
      </c>
      <c r="N2" s="8" t="s">
        <v>92</v>
      </c>
      <c r="R2" s="6" t="s">
        <v>444</v>
      </c>
      <c r="S2" s="6" t="s">
        <v>453</v>
      </c>
      <c r="T2" s="6" t="s">
        <v>449</v>
      </c>
    </row>
    <row r="3" spans="1:20" ht="13.5" thickTop="1" x14ac:dyDescent="0.2">
      <c r="A3" s="14" t="s">
        <v>48</v>
      </c>
      <c r="B3" s="6" t="s">
        <v>107</v>
      </c>
      <c r="C3" s="6" t="s">
        <v>49</v>
      </c>
      <c r="D3" s="6">
        <v>1562.8199999999997</v>
      </c>
      <c r="E3" s="6">
        <v>480</v>
      </c>
      <c r="G3" s="6">
        <f t="shared" ref="G3:G20" si="0">+N3</f>
        <v>0</v>
      </c>
      <c r="H3" s="6">
        <f t="shared" ref="H3:H33" si="1">SUM(D3:G3)</f>
        <v>2042.8199999999997</v>
      </c>
      <c r="J3" s="6">
        <f>VLOOKUP($C3,'CPD PITSS'!$B$9:$V$26,3,0)</f>
        <v>0</v>
      </c>
      <c r="K3" s="13">
        <v>10150</v>
      </c>
      <c r="L3" s="6">
        <f t="shared" ref="L3:L33" si="2">(((+K3/30)*J3)*30%)</f>
        <v>0</v>
      </c>
      <c r="M3" s="6">
        <f>VLOOKUP($C3,'CPD PITSS'!$B$9:$V$26,8,0)</f>
        <v>0</v>
      </c>
      <c r="N3" s="6">
        <f t="shared" ref="N3:N33" si="3">+L3-M3</f>
        <v>0</v>
      </c>
      <c r="O3" s="6" t="s">
        <v>108</v>
      </c>
      <c r="P3" s="6">
        <f>VLOOKUP(C3,'RESUMEN PITS'!$C$3:$V$103,20,0)</f>
        <v>0</v>
      </c>
      <c r="Q3" s="6">
        <f>+D3+P3</f>
        <v>1562.8199999999997</v>
      </c>
      <c r="R3" s="6">
        <f>H3*2%</f>
        <v>40.856399999999994</v>
      </c>
      <c r="S3" s="6">
        <f>H3+R3</f>
        <v>2083.6763999999998</v>
      </c>
      <c r="T3" s="6">
        <f t="shared" ref="T3:T66" si="4">S3*16%</f>
        <v>333.38822399999998</v>
      </c>
    </row>
    <row r="4" spans="1:20" x14ac:dyDescent="0.2">
      <c r="A4" s="6" t="s">
        <v>58</v>
      </c>
      <c r="B4" s="6" t="s">
        <v>107</v>
      </c>
      <c r="C4" s="6" t="s">
        <v>59</v>
      </c>
      <c r="D4" s="6">
        <v>2108.920000000001</v>
      </c>
      <c r="G4" s="6">
        <f t="shared" si="0"/>
        <v>0</v>
      </c>
      <c r="H4" s="6">
        <f t="shared" si="1"/>
        <v>2108.920000000001</v>
      </c>
      <c r="J4" s="6">
        <v>0</v>
      </c>
      <c r="K4" s="13">
        <v>13000</v>
      </c>
      <c r="L4" s="6">
        <f t="shared" si="2"/>
        <v>0</v>
      </c>
      <c r="M4" s="6">
        <f>VLOOKUP($C4,'CPD PITSS'!$B$9:$V$26,8,0)</f>
        <v>0</v>
      </c>
      <c r="N4" s="6">
        <f t="shared" si="3"/>
        <v>0</v>
      </c>
      <c r="O4" s="6" t="s">
        <v>109</v>
      </c>
      <c r="P4" s="6">
        <f>VLOOKUP(C4,'RESUMEN PITS'!$C$3:$V$103,20,0)</f>
        <v>0</v>
      </c>
      <c r="Q4" s="6">
        <f t="shared" ref="Q4:Q67" si="5">+D4+P4</f>
        <v>2108.920000000001</v>
      </c>
      <c r="R4" s="6">
        <f t="shared" ref="R4:R67" si="6">H4*2%</f>
        <v>42.178400000000018</v>
      </c>
      <c r="S4" s="6">
        <f t="shared" ref="S4:S67" si="7">H4+R4</f>
        <v>2151.0984000000012</v>
      </c>
      <c r="T4" s="6">
        <f t="shared" si="4"/>
        <v>344.17574400000018</v>
      </c>
    </row>
    <row r="5" spans="1:20" x14ac:dyDescent="0.2">
      <c r="A5" s="6" t="s">
        <v>113</v>
      </c>
      <c r="B5" s="6" t="s">
        <v>107</v>
      </c>
      <c r="C5" s="15" t="s">
        <v>71</v>
      </c>
      <c r="D5" s="6">
        <v>16807.400000000001</v>
      </c>
      <c r="F5" s="12"/>
      <c r="G5" s="6">
        <f t="shared" si="0"/>
        <v>0</v>
      </c>
      <c r="H5" s="6">
        <f t="shared" si="1"/>
        <v>16807.400000000001</v>
      </c>
      <c r="J5" s="6">
        <f>VLOOKUP(C5,'CPD PITSS'!$B$9:$V$26,3,0)</f>
        <v>0</v>
      </c>
      <c r="K5" s="13">
        <v>40000</v>
      </c>
      <c r="L5" s="6">
        <f t="shared" si="2"/>
        <v>0</v>
      </c>
      <c r="M5" s="6">
        <f>VLOOKUP($C5,'CPD PITSS'!$B$9:$V$26,8,0)</f>
        <v>0</v>
      </c>
      <c r="N5" s="6">
        <f t="shared" si="3"/>
        <v>0</v>
      </c>
      <c r="O5" s="6" t="s">
        <v>114</v>
      </c>
      <c r="P5" s="6">
        <f>VLOOKUP(C5,'RESUMEN PITS'!$C$3:$V$103,20,0)</f>
        <v>0</v>
      </c>
      <c r="Q5" s="6">
        <f t="shared" si="5"/>
        <v>16807.400000000001</v>
      </c>
      <c r="R5" s="6">
        <f t="shared" si="6"/>
        <v>336.14800000000002</v>
      </c>
      <c r="S5" s="6">
        <f t="shared" si="7"/>
        <v>17143.548000000003</v>
      </c>
      <c r="T5" s="6">
        <f t="shared" si="4"/>
        <v>2742.9676800000007</v>
      </c>
    </row>
    <row r="6" spans="1:20" x14ac:dyDescent="0.2">
      <c r="A6" s="6" t="s">
        <v>52</v>
      </c>
      <c r="B6" s="6" t="s">
        <v>107</v>
      </c>
      <c r="C6" s="6" t="s">
        <v>53</v>
      </c>
      <c r="D6" s="6">
        <f>1801.62-238.8</f>
        <v>1562.82</v>
      </c>
      <c r="E6" s="6">
        <v>330</v>
      </c>
      <c r="F6" s="12"/>
      <c r="G6" s="6">
        <f t="shared" si="0"/>
        <v>0</v>
      </c>
      <c r="H6" s="6">
        <f t="shared" si="1"/>
        <v>1892.82</v>
      </c>
      <c r="J6" s="6">
        <f>VLOOKUP(C6,'CPD PITSS'!$B$9:$V$26,3,0)</f>
        <v>0</v>
      </c>
      <c r="K6" s="13">
        <v>10150</v>
      </c>
      <c r="L6" s="6">
        <f t="shared" si="2"/>
        <v>0</v>
      </c>
      <c r="M6" s="6">
        <f>VLOOKUP($C6,'CPD PITSS'!$B$9:$V$26,8,0)</f>
        <v>0</v>
      </c>
      <c r="N6" s="6">
        <f t="shared" si="3"/>
        <v>0</v>
      </c>
      <c r="O6" s="6" t="s">
        <v>115</v>
      </c>
      <c r="P6" s="6">
        <f>VLOOKUP(C6,'RESUMEN PITS'!$C$3:$V$103,20,0)</f>
        <v>0</v>
      </c>
      <c r="Q6" s="6">
        <f t="shared" si="5"/>
        <v>1562.82</v>
      </c>
      <c r="R6" s="6">
        <f t="shared" si="6"/>
        <v>37.856400000000001</v>
      </c>
      <c r="S6" s="6">
        <f t="shared" si="7"/>
        <v>1930.6763999999998</v>
      </c>
      <c r="T6" s="6">
        <f t="shared" si="4"/>
        <v>308.90822399999996</v>
      </c>
    </row>
    <row r="7" spans="1:20" x14ac:dyDescent="0.2">
      <c r="A7" s="6" t="s">
        <v>68</v>
      </c>
      <c r="B7" s="6" t="s">
        <v>107</v>
      </c>
      <c r="C7" s="6" t="s">
        <v>69</v>
      </c>
      <c r="D7" s="6">
        <v>1612.77</v>
      </c>
      <c r="E7" s="12">
        <v>270</v>
      </c>
      <c r="F7" s="12"/>
      <c r="G7" s="6">
        <f t="shared" si="0"/>
        <v>0</v>
      </c>
      <c r="H7" s="6">
        <f t="shared" si="1"/>
        <v>1882.77</v>
      </c>
      <c r="J7" s="6">
        <f>VLOOKUP(C7,'CPD PITSS'!$B$9:$V$26,3,0)</f>
        <v>0</v>
      </c>
      <c r="K7" s="13">
        <v>10250</v>
      </c>
      <c r="L7" s="6">
        <f t="shared" si="2"/>
        <v>0</v>
      </c>
      <c r="M7" s="6">
        <f>VLOOKUP($C7,'CPD PITSS'!$B$9:$V$26,8,0)</f>
        <v>0</v>
      </c>
      <c r="N7" s="6">
        <f t="shared" si="3"/>
        <v>0</v>
      </c>
      <c r="O7" s="6" t="s">
        <v>116</v>
      </c>
      <c r="P7" s="6">
        <f>VLOOKUP(C7,'RESUMEN PITS'!$C$3:$V$103,20,0)</f>
        <v>0</v>
      </c>
      <c r="Q7" s="6">
        <f t="shared" si="5"/>
        <v>1612.77</v>
      </c>
      <c r="R7" s="6">
        <f t="shared" si="6"/>
        <v>37.6554</v>
      </c>
      <c r="S7" s="6">
        <f t="shared" si="7"/>
        <v>1920.4254000000001</v>
      </c>
      <c r="T7" s="6">
        <f t="shared" si="4"/>
        <v>307.26806400000004</v>
      </c>
    </row>
    <row r="8" spans="1:20" x14ac:dyDescent="0.2">
      <c r="A8" s="6" t="s">
        <v>54</v>
      </c>
      <c r="B8" s="6" t="s">
        <v>107</v>
      </c>
      <c r="C8" s="15" t="s">
        <v>55</v>
      </c>
      <c r="D8" s="6">
        <v>1896.87</v>
      </c>
      <c r="F8" s="12"/>
      <c r="G8" s="6">
        <f t="shared" si="0"/>
        <v>0</v>
      </c>
      <c r="H8" s="6">
        <f t="shared" si="1"/>
        <v>1896.87</v>
      </c>
      <c r="J8" s="6">
        <f>VLOOKUP(C8,'CPD PITSS'!$B$9:$V$26,3,0)</f>
        <v>0</v>
      </c>
      <c r="K8" s="13">
        <v>12000</v>
      </c>
      <c r="L8" s="6">
        <f t="shared" si="2"/>
        <v>0</v>
      </c>
      <c r="M8" s="6">
        <f>VLOOKUP($C8,'CPD PITSS'!$B$9:$V$26,8,0)</f>
        <v>0</v>
      </c>
      <c r="N8" s="6">
        <f t="shared" si="3"/>
        <v>0</v>
      </c>
      <c r="O8" s="6" t="s">
        <v>120</v>
      </c>
      <c r="P8" s="6">
        <f>VLOOKUP(C8,'RESUMEN PITS'!$C$3:$V$103,20,0)</f>
        <v>0</v>
      </c>
      <c r="Q8" s="6">
        <f t="shared" si="5"/>
        <v>1896.87</v>
      </c>
      <c r="R8" s="6">
        <f t="shared" si="6"/>
        <v>37.937399999999997</v>
      </c>
      <c r="S8" s="6">
        <f t="shared" si="7"/>
        <v>1934.8073999999999</v>
      </c>
      <c r="T8" s="6">
        <f t="shared" si="4"/>
        <v>309.56918400000001</v>
      </c>
    </row>
    <row r="9" spans="1:20" x14ac:dyDescent="0.2">
      <c r="A9" s="6" t="s">
        <v>66</v>
      </c>
      <c r="B9" s="6" t="s">
        <v>107</v>
      </c>
      <c r="C9" s="6" t="s">
        <v>67</v>
      </c>
      <c r="D9" s="6">
        <v>1562.7999999999997</v>
      </c>
      <c r="E9" s="6">
        <v>270</v>
      </c>
      <c r="F9" s="12"/>
      <c r="G9" s="6">
        <f t="shared" si="0"/>
        <v>0</v>
      </c>
      <c r="H9" s="6">
        <f t="shared" si="1"/>
        <v>1832.7999999999997</v>
      </c>
      <c r="J9" s="6">
        <f>VLOOKUP(C9,'CPD PITSS'!$B$9:$V$26,3,0)</f>
        <v>0</v>
      </c>
      <c r="K9" s="13">
        <v>10150</v>
      </c>
      <c r="L9" s="6">
        <f t="shared" si="2"/>
        <v>0</v>
      </c>
      <c r="M9" s="6">
        <f>VLOOKUP($C9,'CPD PITSS'!$B$9:$V$26,8,0)</f>
        <v>0</v>
      </c>
      <c r="N9" s="6">
        <f t="shared" si="3"/>
        <v>0</v>
      </c>
      <c r="O9" s="6" t="s">
        <v>159</v>
      </c>
      <c r="P9" s="6">
        <f>VLOOKUP(C9,'RESUMEN PITS'!$C$3:$V$103,20,0)</f>
        <v>0</v>
      </c>
      <c r="Q9" s="6">
        <f t="shared" si="5"/>
        <v>1562.7999999999997</v>
      </c>
      <c r="R9" s="6">
        <f t="shared" si="6"/>
        <v>36.655999999999999</v>
      </c>
      <c r="S9" s="6">
        <f t="shared" si="7"/>
        <v>1869.4559999999997</v>
      </c>
      <c r="T9" s="6">
        <f t="shared" si="4"/>
        <v>299.11295999999993</v>
      </c>
    </row>
    <row r="10" spans="1:20" x14ac:dyDescent="0.2">
      <c r="A10" s="6" t="s">
        <v>50</v>
      </c>
      <c r="B10" s="6" t="s">
        <v>107</v>
      </c>
      <c r="C10" s="6" t="s">
        <v>51</v>
      </c>
      <c r="D10" s="6">
        <v>2607.2000000000003</v>
      </c>
      <c r="E10" s="6">
        <v>150</v>
      </c>
      <c r="F10" s="12">
        <v>2160</v>
      </c>
      <c r="G10" s="6">
        <f t="shared" si="0"/>
        <v>272</v>
      </c>
      <c r="H10" s="6">
        <f t="shared" si="1"/>
        <v>5189.2000000000007</v>
      </c>
      <c r="J10" s="6">
        <f>VLOOKUP(C10,'CPD PITSS'!$B$9:$V$26,3,0)</f>
        <v>4</v>
      </c>
      <c r="K10" s="13">
        <v>15000</v>
      </c>
      <c r="L10" s="6">
        <f t="shared" si="2"/>
        <v>600</v>
      </c>
      <c r="M10" s="6">
        <f>VLOOKUP($C10,'CPD PITSS'!$B$9:$V$26,8,0)</f>
        <v>328</v>
      </c>
      <c r="N10" s="6">
        <f t="shared" si="3"/>
        <v>272</v>
      </c>
      <c r="O10" s="6" t="s">
        <v>183</v>
      </c>
      <c r="P10" s="6">
        <f>VLOOKUP(C10,'RESUMEN PITS'!$C$3:$V$103,20,0)</f>
        <v>0</v>
      </c>
      <c r="Q10" s="6">
        <f t="shared" si="5"/>
        <v>2607.2000000000003</v>
      </c>
      <c r="R10" s="6">
        <f t="shared" si="6"/>
        <v>103.78400000000002</v>
      </c>
      <c r="S10" s="6">
        <f t="shared" si="7"/>
        <v>5292.9840000000004</v>
      </c>
      <c r="T10" s="6">
        <f t="shared" si="4"/>
        <v>846.87744000000009</v>
      </c>
    </row>
    <row r="11" spans="1:20" s="12" customFormat="1" x14ac:dyDescent="0.2">
      <c r="A11" s="6" t="s">
        <v>38</v>
      </c>
      <c r="B11" s="6" t="s">
        <v>107</v>
      </c>
      <c r="C11" s="6" t="s">
        <v>39</v>
      </c>
      <c r="D11" s="6">
        <v>1479.0000000000005</v>
      </c>
      <c r="E11" s="6">
        <v>100</v>
      </c>
      <c r="G11" s="6">
        <f t="shared" si="0"/>
        <v>255</v>
      </c>
      <c r="H11" s="6">
        <f t="shared" si="1"/>
        <v>1834.0000000000005</v>
      </c>
      <c r="I11" s="7"/>
      <c r="J11" s="6">
        <v>6</v>
      </c>
      <c r="K11" s="13">
        <v>8500</v>
      </c>
      <c r="L11" s="6">
        <f t="shared" si="2"/>
        <v>510</v>
      </c>
      <c r="M11" s="6">
        <f>VLOOKUP($C11,'CPD PITSS'!$B$9:$V$26,8,0)</f>
        <v>255</v>
      </c>
      <c r="N11" s="6">
        <f t="shared" si="3"/>
        <v>255</v>
      </c>
      <c r="O11" s="6" t="s">
        <v>195</v>
      </c>
      <c r="P11" s="6">
        <f>VLOOKUP(C11,'RESUMEN PITS'!$C$3:$V$103,20,0)</f>
        <v>0</v>
      </c>
      <c r="Q11" s="6">
        <f t="shared" si="5"/>
        <v>1479.0000000000005</v>
      </c>
      <c r="R11" s="6">
        <f t="shared" si="6"/>
        <v>36.680000000000007</v>
      </c>
      <c r="S11" s="6">
        <f t="shared" si="7"/>
        <v>1870.6800000000005</v>
      </c>
      <c r="T11" s="6">
        <f t="shared" si="4"/>
        <v>299.30880000000008</v>
      </c>
    </row>
    <row r="12" spans="1:20" x14ac:dyDescent="0.2">
      <c r="A12" s="6" t="s">
        <v>60</v>
      </c>
      <c r="B12" s="6" t="s">
        <v>107</v>
      </c>
      <c r="C12" s="6" t="s">
        <v>61</v>
      </c>
      <c r="D12" s="6">
        <v>2607.1999999999998</v>
      </c>
      <c r="E12" s="6">
        <v>337.5</v>
      </c>
      <c r="F12" s="12"/>
      <c r="G12" s="6">
        <f t="shared" si="0"/>
        <v>0</v>
      </c>
      <c r="H12" s="6">
        <f t="shared" si="1"/>
        <v>2944.7</v>
      </c>
      <c r="J12" s="6">
        <f>VLOOKUP(C12,'CPD PITSS'!$B$9:$V$26,3,0)</f>
        <v>0</v>
      </c>
      <c r="K12" s="13">
        <v>15000</v>
      </c>
      <c r="L12" s="6">
        <f t="shared" si="2"/>
        <v>0</v>
      </c>
      <c r="M12" s="6">
        <f>VLOOKUP($C12,'CPD PITSS'!$B$9:$V$26,8,0)</f>
        <v>0</v>
      </c>
      <c r="N12" s="6">
        <f t="shared" si="3"/>
        <v>0</v>
      </c>
      <c r="O12" s="6" t="s">
        <v>202</v>
      </c>
      <c r="P12" s="6">
        <f>VLOOKUP(C12,'RESUMEN PITS'!$C$3:$V$103,20,0)</f>
        <v>0</v>
      </c>
      <c r="Q12" s="6">
        <f t="shared" si="5"/>
        <v>2607.1999999999998</v>
      </c>
      <c r="R12" s="6">
        <f t="shared" si="6"/>
        <v>58.893999999999998</v>
      </c>
      <c r="S12" s="6">
        <f t="shared" si="7"/>
        <v>3003.5939999999996</v>
      </c>
      <c r="T12" s="6">
        <f t="shared" si="4"/>
        <v>480.57503999999994</v>
      </c>
    </row>
    <row r="13" spans="1:20" x14ac:dyDescent="0.2">
      <c r="A13" s="6" t="s">
        <v>56</v>
      </c>
      <c r="B13" s="6" t="s">
        <v>107</v>
      </c>
      <c r="C13" s="6" t="s">
        <v>57</v>
      </c>
      <c r="D13" s="6">
        <v>2757.6799999999994</v>
      </c>
      <c r="E13" s="6">
        <v>165</v>
      </c>
      <c r="F13" s="12"/>
      <c r="G13" s="6">
        <f t="shared" si="0"/>
        <v>0</v>
      </c>
      <c r="H13" s="6">
        <f t="shared" si="1"/>
        <v>2922.6799999999994</v>
      </c>
      <c r="J13" s="6">
        <f>VLOOKUP(C13,'CPD PITSS'!$B$9:$V$26,3,0)</f>
        <v>0</v>
      </c>
      <c r="K13" s="13">
        <v>15000</v>
      </c>
      <c r="L13" s="6">
        <f t="shared" si="2"/>
        <v>0</v>
      </c>
      <c r="M13" s="6">
        <f>VLOOKUP($C13,'CPD PITSS'!$B$9:$V$26,8,0)</f>
        <v>0</v>
      </c>
      <c r="N13" s="6">
        <f t="shared" si="3"/>
        <v>0</v>
      </c>
      <c r="O13" s="6" t="s">
        <v>227</v>
      </c>
      <c r="P13" s="6">
        <f>VLOOKUP(C13,'RESUMEN PITS'!$C$3:$V$103,20,0)</f>
        <v>0</v>
      </c>
      <c r="Q13" s="6">
        <f t="shared" si="5"/>
        <v>2757.6799999999994</v>
      </c>
      <c r="R13" s="6">
        <f t="shared" si="6"/>
        <v>58.453599999999987</v>
      </c>
      <c r="S13" s="6">
        <f t="shared" si="7"/>
        <v>2981.1335999999992</v>
      </c>
      <c r="T13" s="6">
        <f t="shared" si="4"/>
        <v>476.9813759999999</v>
      </c>
    </row>
    <row r="14" spans="1:20" x14ac:dyDescent="0.2">
      <c r="A14" s="6" t="s">
        <v>42</v>
      </c>
      <c r="B14" s="6" t="s">
        <v>107</v>
      </c>
      <c r="C14" s="6" t="s">
        <v>43</v>
      </c>
      <c r="D14" s="6">
        <v>2469.3999999999996</v>
      </c>
      <c r="E14" s="6">
        <v>1000</v>
      </c>
      <c r="F14" s="12"/>
      <c r="G14" s="6">
        <f t="shared" si="0"/>
        <v>0</v>
      </c>
      <c r="H14" s="6">
        <f t="shared" si="1"/>
        <v>3469.3999999999996</v>
      </c>
      <c r="J14" s="6">
        <f>VLOOKUP(C14,'CPD PITSS'!$B$9:$V$26,3,0)</f>
        <v>0</v>
      </c>
      <c r="K14" s="13">
        <v>13000</v>
      </c>
      <c r="L14" s="6">
        <f t="shared" si="2"/>
        <v>0</v>
      </c>
      <c r="M14" s="6">
        <f>VLOOKUP($C14,'CPD PITSS'!$B$9:$V$26,8,0)</f>
        <v>0</v>
      </c>
      <c r="N14" s="6">
        <f t="shared" si="3"/>
        <v>0</v>
      </c>
      <c r="O14" s="6" t="s">
        <v>268</v>
      </c>
      <c r="P14" s="6">
        <f>VLOOKUP(C14,'RESUMEN PITS'!$C$3:$V$103,20,0)</f>
        <v>0</v>
      </c>
      <c r="Q14" s="6">
        <f t="shared" si="5"/>
        <v>2469.3999999999996</v>
      </c>
      <c r="R14" s="6">
        <f t="shared" si="6"/>
        <v>69.387999999999991</v>
      </c>
      <c r="S14" s="6">
        <f t="shared" si="7"/>
        <v>3538.7879999999996</v>
      </c>
      <c r="T14" s="6">
        <f t="shared" si="4"/>
        <v>566.20607999999993</v>
      </c>
    </row>
    <row r="15" spans="1:20" x14ac:dyDescent="0.2">
      <c r="A15" s="6" t="s">
        <v>46</v>
      </c>
      <c r="B15" s="6" t="s">
        <v>107</v>
      </c>
      <c r="C15" s="6" t="s">
        <v>47</v>
      </c>
      <c r="D15" s="6">
        <f>2883.2-275.95</f>
        <v>2607.25</v>
      </c>
      <c r="E15" s="6">
        <v>337.5</v>
      </c>
      <c r="F15" s="12"/>
      <c r="G15" s="6">
        <f t="shared" si="0"/>
        <v>204</v>
      </c>
      <c r="H15" s="6">
        <f t="shared" si="1"/>
        <v>3148.75</v>
      </c>
      <c r="J15" s="6">
        <f>VLOOKUP(C15,'CPD PITSS'!$B$9:$V$26,3,0)</f>
        <v>3</v>
      </c>
      <c r="K15" s="13">
        <v>15000</v>
      </c>
      <c r="L15" s="6">
        <f t="shared" si="2"/>
        <v>450</v>
      </c>
      <c r="M15" s="6">
        <f>VLOOKUP($C15,'CPD PITSS'!$B$9:$V$26,8,0)</f>
        <v>246</v>
      </c>
      <c r="N15" s="6">
        <f t="shared" si="3"/>
        <v>204</v>
      </c>
      <c r="O15" s="6" t="s">
        <v>275</v>
      </c>
      <c r="P15" s="6">
        <f>VLOOKUP(C15,'RESUMEN PITS'!$C$3:$V$103,20,0)</f>
        <v>0</v>
      </c>
      <c r="Q15" s="6">
        <f t="shared" si="5"/>
        <v>2607.25</v>
      </c>
      <c r="R15" s="6">
        <f t="shared" si="6"/>
        <v>62.975000000000001</v>
      </c>
      <c r="S15" s="6">
        <f t="shared" si="7"/>
        <v>3211.7249999999999</v>
      </c>
      <c r="T15" s="6">
        <f t="shared" si="4"/>
        <v>513.87599999999998</v>
      </c>
    </row>
    <row r="16" spans="1:20" x14ac:dyDescent="0.2">
      <c r="A16" s="6" t="s">
        <v>62</v>
      </c>
      <c r="B16" s="6" t="s">
        <v>107</v>
      </c>
      <c r="C16" s="6" t="s">
        <v>63</v>
      </c>
      <c r="D16" s="6">
        <f>1784.75-297</f>
        <v>1487.75</v>
      </c>
      <c r="E16" s="6">
        <v>20</v>
      </c>
      <c r="F16" s="12"/>
      <c r="G16" s="6">
        <f t="shared" si="0"/>
        <v>0</v>
      </c>
      <c r="H16" s="6">
        <f t="shared" si="1"/>
        <v>1507.75</v>
      </c>
      <c r="J16" s="6">
        <f>VLOOKUP(C16,'CPD PITSS'!$B$9:$V$26,3,0)</f>
        <v>0</v>
      </c>
      <c r="K16" s="13">
        <v>10000</v>
      </c>
      <c r="L16" s="6">
        <f t="shared" si="2"/>
        <v>0</v>
      </c>
      <c r="M16" s="6">
        <f>VLOOKUP($C16,'CPD PITSS'!$B$9:$V$26,8,0)</f>
        <v>0</v>
      </c>
      <c r="N16" s="6">
        <f t="shared" si="3"/>
        <v>0</v>
      </c>
      <c r="O16" s="6" t="s">
        <v>284</v>
      </c>
      <c r="P16" s="6">
        <f>VLOOKUP(C16,'RESUMEN PITS'!$C$3:$V$103,20,0)</f>
        <v>0</v>
      </c>
      <c r="Q16" s="6">
        <f t="shared" si="5"/>
        <v>1487.75</v>
      </c>
      <c r="R16" s="6">
        <f t="shared" si="6"/>
        <v>30.155000000000001</v>
      </c>
      <c r="S16" s="6">
        <f t="shared" si="7"/>
        <v>1537.905</v>
      </c>
      <c r="T16" s="6">
        <f t="shared" si="4"/>
        <v>246.06479999999999</v>
      </c>
    </row>
    <row r="17" spans="1:20" x14ac:dyDescent="0.2">
      <c r="A17" s="6" t="s">
        <v>40</v>
      </c>
      <c r="B17" s="6" t="s">
        <v>107</v>
      </c>
      <c r="C17" s="6" t="s">
        <v>41</v>
      </c>
      <c r="D17" s="6">
        <v>1591.7999999999997</v>
      </c>
      <c r="E17" s="6">
        <v>400</v>
      </c>
      <c r="F17" s="12"/>
      <c r="G17" s="6">
        <f t="shared" si="0"/>
        <v>0</v>
      </c>
      <c r="H17" s="6">
        <f t="shared" si="1"/>
        <v>1991.7999999999997</v>
      </c>
      <c r="J17" s="6">
        <f>VLOOKUP(C17,'CPD PITSS'!$B$9:$V$26,3,0)</f>
        <v>0</v>
      </c>
      <c r="K17" s="13">
        <v>9000</v>
      </c>
      <c r="L17" s="6">
        <f t="shared" si="2"/>
        <v>0</v>
      </c>
      <c r="M17" s="6">
        <f>VLOOKUP($C17,'CPD PITSS'!$B$9:$V$26,8,0)</f>
        <v>0</v>
      </c>
      <c r="N17" s="6">
        <f t="shared" si="3"/>
        <v>0</v>
      </c>
      <c r="O17" s="6" t="s">
        <v>294</v>
      </c>
      <c r="P17" s="6">
        <f>VLOOKUP(C17,'RESUMEN PITS'!$C$3:$V$103,20,0)</f>
        <v>0</v>
      </c>
      <c r="Q17" s="6">
        <f t="shared" si="5"/>
        <v>1591.7999999999997</v>
      </c>
      <c r="R17" s="6">
        <f t="shared" si="6"/>
        <v>39.835999999999999</v>
      </c>
      <c r="S17" s="6">
        <f t="shared" si="7"/>
        <v>2031.6359999999997</v>
      </c>
      <c r="T17" s="6">
        <f t="shared" si="4"/>
        <v>325.06175999999999</v>
      </c>
    </row>
    <row r="18" spans="1:20" x14ac:dyDescent="0.2">
      <c r="A18" s="6" t="s">
        <v>64</v>
      </c>
      <c r="B18" s="6" t="s">
        <v>107</v>
      </c>
      <c r="C18" s="6" t="s">
        <v>65</v>
      </c>
      <c r="D18" s="6">
        <v>12643.2</v>
      </c>
      <c r="F18" s="12"/>
      <c r="G18" s="6">
        <f t="shared" si="0"/>
        <v>0</v>
      </c>
      <c r="H18" s="6">
        <f t="shared" si="1"/>
        <v>12643.2</v>
      </c>
      <c r="J18" s="6">
        <f>VLOOKUP(C18,'CPD PITSS'!$B$9:$V$26,3,0)</f>
        <v>0</v>
      </c>
      <c r="K18" s="13">
        <v>60000</v>
      </c>
      <c r="L18" s="6">
        <f t="shared" si="2"/>
        <v>0</v>
      </c>
      <c r="M18" s="6">
        <f>VLOOKUP($C18,'CPD PITSS'!$B$9:$V$26,8,0)</f>
        <v>0</v>
      </c>
      <c r="N18" s="6">
        <f t="shared" si="3"/>
        <v>0</v>
      </c>
      <c r="O18" s="6" t="s">
        <v>304</v>
      </c>
      <c r="P18" s="6">
        <f>VLOOKUP(C18,'RESUMEN PITS'!$C$3:$V$103,20,0)</f>
        <v>0</v>
      </c>
      <c r="Q18" s="6">
        <f t="shared" si="5"/>
        <v>12643.2</v>
      </c>
      <c r="R18" s="6">
        <f t="shared" si="6"/>
        <v>252.86400000000003</v>
      </c>
      <c r="S18" s="6">
        <f t="shared" si="7"/>
        <v>12896.064</v>
      </c>
      <c r="T18" s="6">
        <f t="shared" si="4"/>
        <v>2063.3702400000002</v>
      </c>
    </row>
    <row r="19" spans="1:20" x14ac:dyDescent="0.2">
      <c r="A19" s="6" t="s">
        <v>72</v>
      </c>
      <c r="B19" s="6" t="s">
        <v>107</v>
      </c>
      <c r="C19" s="6" t="s">
        <v>73</v>
      </c>
      <c r="D19" s="6">
        <v>2469.3999999999996</v>
      </c>
      <c r="E19" s="6">
        <v>1000</v>
      </c>
      <c r="F19" s="12"/>
      <c r="G19" s="6">
        <f t="shared" si="0"/>
        <v>0</v>
      </c>
      <c r="H19" s="6">
        <f t="shared" si="1"/>
        <v>3469.3999999999996</v>
      </c>
      <c r="J19" s="6">
        <f>VLOOKUP(C19,'CPD PITSS'!$B$9:$V$26,3,0)</f>
        <v>0</v>
      </c>
      <c r="K19" s="13">
        <v>13000</v>
      </c>
      <c r="L19" s="6">
        <f t="shared" si="2"/>
        <v>0</v>
      </c>
      <c r="M19" s="6">
        <f>VLOOKUP($C19,'CPD PITSS'!$B$9:$V$26,8,0)</f>
        <v>0</v>
      </c>
      <c r="N19" s="6">
        <f t="shared" si="3"/>
        <v>0</v>
      </c>
      <c r="O19" s="6" t="s">
        <v>317</v>
      </c>
      <c r="P19" s="6">
        <f>VLOOKUP(C19,'RESUMEN PITS'!$C$3:$V$103,20,0)</f>
        <v>0</v>
      </c>
      <c r="Q19" s="6">
        <f t="shared" si="5"/>
        <v>2469.3999999999996</v>
      </c>
      <c r="R19" s="6">
        <f t="shared" si="6"/>
        <v>69.387999999999991</v>
      </c>
      <c r="S19" s="6">
        <f t="shared" si="7"/>
        <v>3538.7879999999996</v>
      </c>
      <c r="T19" s="6">
        <f t="shared" si="4"/>
        <v>566.20607999999993</v>
      </c>
    </row>
    <row r="20" spans="1:20" x14ac:dyDescent="0.2">
      <c r="A20" s="6" t="s">
        <v>44</v>
      </c>
      <c r="B20" s="6" t="s">
        <v>107</v>
      </c>
      <c r="C20" s="6" t="s">
        <v>45</v>
      </c>
      <c r="D20" s="6">
        <v>4183.2</v>
      </c>
      <c r="E20" s="6">
        <v>750</v>
      </c>
      <c r="F20" s="12"/>
      <c r="G20" s="6">
        <f t="shared" si="0"/>
        <v>0</v>
      </c>
      <c r="H20" s="6">
        <f t="shared" si="1"/>
        <v>4933.2</v>
      </c>
      <c r="J20" s="6">
        <f>VLOOKUP(C20,'CPD PITSS'!$B$9:$V$26,3,0)</f>
        <v>0</v>
      </c>
      <c r="K20" s="13">
        <v>18500</v>
      </c>
      <c r="L20" s="6">
        <f t="shared" si="2"/>
        <v>0</v>
      </c>
      <c r="M20" s="6">
        <f>VLOOKUP($C20,'CPD PITSS'!$B$9:$V$26,8,0)</f>
        <v>0</v>
      </c>
      <c r="N20" s="6">
        <f t="shared" si="3"/>
        <v>0</v>
      </c>
      <c r="O20" s="6" t="s">
        <v>338</v>
      </c>
      <c r="P20" s="6">
        <f>VLOOKUP(C20,'RESUMEN PITS'!$C$3:$V$103,20,0)</f>
        <v>0</v>
      </c>
      <c r="Q20" s="6">
        <f t="shared" si="5"/>
        <v>4183.2</v>
      </c>
      <c r="R20" s="6">
        <f t="shared" si="6"/>
        <v>98.664000000000001</v>
      </c>
      <c r="S20" s="6">
        <f t="shared" si="7"/>
        <v>5031.8639999999996</v>
      </c>
      <c r="T20" s="6">
        <f t="shared" si="4"/>
        <v>805.09823999999992</v>
      </c>
    </row>
    <row r="21" spans="1:20" x14ac:dyDescent="0.2">
      <c r="A21" s="6" t="s">
        <v>93</v>
      </c>
      <c r="B21" s="6" t="s">
        <v>94</v>
      </c>
      <c r="C21" s="6" t="s">
        <v>95</v>
      </c>
      <c r="D21" s="6">
        <v>140.40000000000009</v>
      </c>
      <c r="F21" s="12"/>
      <c r="H21" s="6">
        <f>SUM(D21:G21)</f>
        <v>140.40000000000009</v>
      </c>
      <c r="J21" s="6">
        <f>VLOOKUP(C21,'IP PITSS'!$B$9:$U$91,3,0)</f>
        <v>0</v>
      </c>
      <c r="K21" s="13">
        <v>6000</v>
      </c>
      <c r="L21" s="6">
        <f t="shared" si="2"/>
        <v>0</v>
      </c>
      <c r="M21" s="6">
        <f>VLOOKUP(C21,'IP PITSS'!$B$9:$I$91,8,0)</f>
        <v>0</v>
      </c>
      <c r="N21" s="6">
        <f t="shared" si="3"/>
        <v>0</v>
      </c>
      <c r="O21" s="6" t="s">
        <v>96</v>
      </c>
      <c r="P21" s="6">
        <f>VLOOKUP(C21,'RESUMEN PITS'!$C$3:$V$103,20,0)</f>
        <v>0</v>
      </c>
      <c r="Q21" s="6">
        <f t="shared" si="5"/>
        <v>140.40000000000009</v>
      </c>
      <c r="R21" s="6">
        <f t="shared" si="6"/>
        <v>2.808000000000002</v>
      </c>
      <c r="S21" s="6">
        <f t="shared" si="7"/>
        <v>143.20800000000008</v>
      </c>
      <c r="T21" s="6">
        <f t="shared" si="4"/>
        <v>22.913280000000015</v>
      </c>
    </row>
    <row r="22" spans="1:20" x14ac:dyDescent="0.2">
      <c r="A22" s="6" t="s">
        <v>98</v>
      </c>
      <c r="B22" s="6" t="s">
        <v>94</v>
      </c>
      <c r="C22" s="6" t="s">
        <v>99</v>
      </c>
      <c r="D22" s="6">
        <v>180.80000000000018</v>
      </c>
      <c r="E22" s="12">
        <v>1068.75</v>
      </c>
      <c r="F22" s="12"/>
      <c r="G22" s="6">
        <f t="shared" ref="G22:G51" si="8">+N22</f>
        <v>0</v>
      </c>
      <c r="H22" s="6">
        <f t="shared" si="1"/>
        <v>1249.5500000000002</v>
      </c>
      <c r="J22" s="6">
        <f>VLOOKUP(C22,'IP PITSS'!$B$9:$U$91,3,0)</f>
        <v>0</v>
      </c>
      <c r="K22" s="13">
        <v>6300</v>
      </c>
      <c r="L22" s="6">
        <f t="shared" si="2"/>
        <v>0</v>
      </c>
      <c r="M22" s="6">
        <f>VLOOKUP(C22,'IP PITSS'!$B$9:$I$91,8,0)</f>
        <v>0</v>
      </c>
      <c r="N22" s="6">
        <f t="shared" si="3"/>
        <v>0</v>
      </c>
      <c r="O22" s="6" t="s">
        <v>100</v>
      </c>
      <c r="P22" s="6">
        <f>VLOOKUP(C22,'RESUMEN PITS'!$C$3:$V$103,20,0)</f>
        <v>0</v>
      </c>
      <c r="Q22" s="6">
        <f t="shared" si="5"/>
        <v>180.80000000000018</v>
      </c>
      <c r="R22" s="6">
        <f t="shared" si="6"/>
        <v>24.991000000000003</v>
      </c>
      <c r="S22" s="6">
        <f t="shared" si="7"/>
        <v>1274.5410000000002</v>
      </c>
      <c r="T22" s="6">
        <f t="shared" si="4"/>
        <v>203.92656000000002</v>
      </c>
    </row>
    <row r="23" spans="1:20" x14ac:dyDescent="0.2">
      <c r="A23" s="6" t="s">
        <v>101</v>
      </c>
      <c r="B23" s="6" t="s">
        <v>94</v>
      </c>
      <c r="C23" s="6" t="s">
        <v>102</v>
      </c>
      <c r="D23" s="6">
        <v>3140.3500000000004</v>
      </c>
      <c r="E23" s="6">
        <v>750</v>
      </c>
      <c r="F23" s="12"/>
      <c r="G23" s="6">
        <f t="shared" si="8"/>
        <v>0</v>
      </c>
      <c r="H23" s="6">
        <f t="shared" si="1"/>
        <v>3890.3500000000004</v>
      </c>
      <c r="J23" s="6">
        <f>VLOOKUP(C23,'IP PITSS'!$B$9:$U$91,3,0)</f>
        <v>0</v>
      </c>
      <c r="K23" s="13">
        <v>12000</v>
      </c>
      <c r="L23" s="6">
        <f t="shared" si="2"/>
        <v>0</v>
      </c>
      <c r="M23" s="6">
        <f>VLOOKUP(C23,'IP PITSS'!$B$9:$I$91,8,0)</f>
        <v>0</v>
      </c>
      <c r="N23" s="6">
        <f t="shared" si="3"/>
        <v>0</v>
      </c>
      <c r="O23" s="6" t="s">
        <v>103</v>
      </c>
      <c r="P23" s="6">
        <f>VLOOKUP(C23,'RESUMEN PITS'!$C$3:$V$103,20,0)</f>
        <v>0</v>
      </c>
      <c r="Q23" s="6">
        <f t="shared" si="5"/>
        <v>3140.3500000000004</v>
      </c>
      <c r="R23" s="6">
        <f t="shared" si="6"/>
        <v>77.807000000000002</v>
      </c>
      <c r="S23" s="6">
        <f t="shared" si="7"/>
        <v>3968.1570000000002</v>
      </c>
      <c r="T23" s="6">
        <f t="shared" si="4"/>
        <v>634.90512000000001</v>
      </c>
    </row>
    <row r="24" spans="1:20" x14ac:dyDescent="0.2">
      <c r="A24" s="6" t="s">
        <v>104</v>
      </c>
      <c r="B24" s="6" t="s">
        <v>94</v>
      </c>
      <c r="C24" s="6" t="s">
        <v>105</v>
      </c>
      <c r="D24" s="6">
        <v>140.19999999999982</v>
      </c>
      <c r="E24" s="6">
        <v>1545</v>
      </c>
      <c r="F24" s="12"/>
      <c r="G24" s="6">
        <f t="shared" si="8"/>
        <v>0</v>
      </c>
      <c r="H24" s="6">
        <f t="shared" si="1"/>
        <v>1685.1999999999998</v>
      </c>
      <c r="J24" s="6">
        <f>VLOOKUP(C24,'IP PITSS'!$B$9:$U$91,3,0)</f>
        <v>0</v>
      </c>
      <c r="K24" s="13">
        <v>6000</v>
      </c>
      <c r="L24" s="6">
        <f t="shared" si="2"/>
        <v>0</v>
      </c>
      <c r="M24" s="6">
        <f>VLOOKUP(C24,'IP PITSS'!$B$9:$I$91,8,0)</f>
        <v>0</v>
      </c>
      <c r="N24" s="6">
        <f t="shared" si="3"/>
        <v>0</v>
      </c>
      <c r="O24" s="6" t="s">
        <v>106</v>
      </c>
      <c r="P24" s="6">
        <f>VLOOKUP(C24,'RESUMEN PITS'!$C$3:$V$103,20,0)</f>
        <v>0</v>
      </c>
      <c r="Q24" s="6">
        <f t="shared" si="5"/>
        <v>140.19999999999982</v>
      </c>
      <c r="R24" s="6">
        <f t="shared" si="6"/>
        <v>33.703999999999994</v>
      </c>
      <c r="S24" s="6">
        <f t="shared" si="7"/>
        <v>1718.9039999999998</v>
      </c>
      <c r="T24" s="6">
        <f t="shared" si="4"/>
        <v>275.02463999999998</v>
      </c>
    </row>
    <row r="25" spans="1:20" x14ac:dyDescent="0.2">
      <c r="A25" s="6" t="s">
        <v>110</v>
      </c>
      <c r="B25" s="6" t="s">
        <v>94</v>
      </c>
      <c r="C25" s="6" t="s">
        <v>111</v>
      </c>
      <c r="D25" s="6">
        <v>423</v>
      </c>
      <c r="E25" s="6">
        <v>480</v>
      </c>
      <c r="F25" s="12"/>
      <c r="G25" s="6">
        <f t="shared" si="8"/>
        <v>0</v>
      </c>
      <c r="H25" s="6">
        <f t="shared" si="1"/>
        <v>903</v>
      </c>
      <c r="J25" s="6">
        <f>VLOOKUP(C25,'IP PITSS'!$B$9:$U$91,3,0)</f>
        <v>0</v>
      </c>
      <c r="K25" s="13">
        <v>8000</v>
      </c>
      <c r="L25" s="6">
        <f t="shared" si="2"/>
        <v>0</v>
      </c>
      <c r="M25" s="6">
        <f>VLOOKUP(C25,'IP PITSS'!$B$9:$I$91,8,0)</f>
        <v>0</v>
      </c>
      <c r="N25" s="6">
        <f t="shared" si="3"/>
        <v>0</v>
      </c>
      <c r="O25" s="6" t="s">
        <v>112</v>
      </c>
      <c r="P25" s="6">
        <f>VLOOKUP(C25,'RESUMEN PITS'!$C$3:$V$103,20,0)</f>
        <v>0</v>
      </c>
      <c r="Q25" s="6">
        <f t="shared" si="5"/>
        <v>423</v>
      </c>
      <c r="R25" s="6">
        <f t="shared" si="6"/>
        <v>18.059999999999999</v>
      </c>
      <c r="S25" s="6">
        <f t="shared" si="7"/>
        <v>921.06</v>
      </c>
      <c r="T25" s="6">
        <f t="shared" si="4"/>
        <v>147.36959999999999</v>
      </c>
    </row>
    <row r="26" spans="1:20" x14ac:dyDescent="0.2">
      <c r="A26" s="6" t="s">
        <v>117</v>
      </c>
      <c r="B26" s="6" t="s">
        <v>94</v>
      </c>
      <c r="C26" s="6" t="s">
        <v>118</v>
      </c>
      <c r="D26" s="6">
        <v>180.92000000000007</v>
      </c>
      <c r="E26" s="12">
        <v>675</v>
      </c>
      <c r="F26" s="12"/>
      <c r="G26" s="6">
        <f t="shared" si="8"/>
        <v>0</v>
      </c>
      <c r="H26" s="6">
        <f t="shared" si="1"/>
        <v>855.92000000000007</v>
      </c>
      <c r="J26" s="6">
        <f>VLOOKUP(C26,'IP PITSS'!$B$9:$U$91,3,0)</f>
        <v>0</v>
      </c>
      <c r="K26" s="13">
        <v>6300</v>
      </c>
      <c r="L26" s="6">
        <f t="shared" si="2"/>
        <v>0</v>
      </c>
      <c r="M26" s="6">
        <f>VLOOKUP(C26,'IP PITSS'!$B$9:$I$91,8,0)</f>
        <v>0</v>
      </c>
      <c r="N26" s="6">
        <f t="shared" si="3"/>
        <v>0</v>
      </c>
      <c r="O26" s="6" t="s">
        <v>119</v>
      </c>
      <c r="P26" s="6">
        <f>VLOOKUP(C26,'RESUMEN PITS'!$C$3:$V$103,20,0)</f>
        <v>0</v>
      </c>
      <c r="Q26" s="6">
        <f t="shared" si="5"/>
        <v>180.92000000000007</v>
      </c>
      <c r="R26" s="6">
        <f t="shared" si="6"/>
        <v>17.118400000000001</v>
      </c>
      <c r="S26" s="6">
        <f t="shared" si="7"/>
        <v>873.03840000000002</v>
      </c>
      <c r="T26" s="6">
        <f t="shared" si="4"/>
        <v>139.68614400000001</v>
      </c>
    </row>
    <row r="27" spans="1:20" x14ac:dyDescent="0.2">
      <c r="A27" s="6" t="s">
        <v>121</v>
      </c>
      <c r="B27" s="6" t="s">
        <v>94</v>
      </c>
      <c r="C27" s="6" t="s">
        <v>122</v>
      </c>
      <c r="D27" s="6">
        <v>391.18499999999995</v>
      </c>
      <c r="E27" s="6">
        <v>135</v>
      </c>
      <c r="F27" s="12"/>
      <c r="G27" s="6">
        <f t="shared" si="8"/>
        <v>5.9899999999998954E-2</v>
      </c>
      <c r="H27" s="6">
        <f t="shared" si="1"/>
        <v>526.24489999999992</v>
      </c>
      <c r="J27" s="6">
        <f>VLOOKUP(C27,'IP PITSS'!$B$9:$U$91,3,0)</f>
        <v>1</v>
      </c>
      <c r="K27" s="13">
        <v>7505.99</v>
      </c>
      <c r="L27" s="6">
        <f t="shared" si="2"/>
        <v>75.059899999999999</v>
      </c>
      <c r="M27" s="6">
        <f>VLOOKUP(C27,'IP PITSS'!$B$9:$I$91,8,0)</f>
        <v>75</v>
      </c>
      <c r="N27" s="6">
        <f t="shared" si="3"/>
        <v>5.9899999999998954E-2</v>
      </c>
      <c r="O27" s="6" t="s">
        <v>123</v>
      </c>
      <c r="P27" s="6">
        <f>VLOOKUP(C27,'RESUMEN PITS'!$C$3:$V$103,20,0)</f>
        <v>0</v>
      </c>
      <c r="Q27" s="6">
        <f t="shared" si="5"/>
        <v>391.18499999999995</v>
      </c>
      <c r="R27" s="6">
        <f t="shared" si="6"/>
        <v>10.524897999999999</v>
      </c>
      <c r="S27" s="6">
        <f t="shared" si="7"/>
        <v>536.76979799999992</v>
      </c>
      <c r="T27" s="6">
        <f t="shared" si="4"/>
        <v>85.883167679999985</v>
      </c>
    </row>
    <row r="28" spans="1:20" x14ac:dyDescent="0.2">
      <c r="A28" s="12" t="s">
        <v>124</v>
      </c>
      <c r="B28" s="6" t="s">
        <v>94</v>
      </c>
      <c r="C28" s="12" t="s">
        <v>125</v>
      </c>
      <c r="D28" s="6">
        <v>140.40000000000009</v>
      </c>
      <c r="E28" s="6">
        <v>2250</v>
      </c>
      <c r="F28" s="12"/>
      <c r="G28" s="6">
        <f t="shared" si="8"/>
        <v>0</v>
      </c>
      <c r="H28" s="6">
        <f t="shared" si="1"/>
        <v>2390.4</v>
      </c>
      <c r="J28" s="6">
        <f>VLOOKUP(C28,'IP PITSS'!$B$9:$U$91,3,0)</f>
        <v>0</v>
      </c>
      <c r="K28" s="13">
        <v>6000</v>
      </c>
      <c r="L28" s="6">
        <f t="shared" si="2"/>
        <v>0</v>
      </c>
      <c r="M28" s="6">
        <f>VLOOKUP(C28,'IP PITSS'!$B$9:$I$91,8,0)</f>
        <v>0</v>
      </c>
      <c r="N28" s="6">
        <f t="shared" si="3"/>
        <v>0</v>
      </c>
      <c r="O28" s="6" t="s">
        <v>126</v>
      </c>
      <c r="P28" s="6">
        <f>VLOOKUP(C28,'RESUMEN PITS'!$C$3:$V$103,20,0)</f>
        <v>0</v>
      </c>
      <c r="Q28" s="6">
        <f t="shared" si="5"/>
        <v>140.40000000000009</v>
      </c>
      <c r="R28" s="6">
        <f t="shared" si="6"/>
        <v>47.808</v>
      </c>
      <c r="S28" s="6">
        <f t="shared" si="7"/>
        <v>2438.2080000000001</v>
      </c>
      <c r="T28" s="6">
        <f t="shared" si="4"/>
        <v>390.11328000000003</v>
      </c>
    </row>
    <row r="29" spans="1:20" s="12" customFormat="1" x14ac:dyDescent="0.2">
      <c r="A29" s="6" t="s">
        <v>127</v>
      </c>
      <c r="B29" s="6" t="s">
        <v>94</v>
      </c>
      <c r="C29" s="6" t="s">
        <v>128</v>
      </c>
      <c r="D29" s="6">
        <v>3727.2</v>
      </c>
      <c r="E29" s="6">
        <v>437.5</v>
      </c>
      <c r="G29" s="6">
        <f t="shared" si="8"/>
        <v>0</v>
      </c>
      <c r="H29" s="6">
        <f t="shared" si="1"/>
        <v>4164.7</v>
      </c>
      <c r="I29" s="7"/>
      <c r="J29" s="6">
        <f>VLOOKUP(C29,'IP PITSS'!$B$9:$U$91,3,0)</f>
        <v>0</v>
      </c>
      <c r="K29" s="13">
        <v>14000</v>
      </c>
      <c r="L29" s="6">
        <f t="shared" si="2"/>
        <v>0</v>
      </c>
      <c r="M29" s="6">
        <f>VLOOKUP(C29,'IP PITSS'!$B$9:$I$91,8,0)</f>
        <v>0</v>
      </c>
      <c r="N29" s="6">
        <f t="shared" si="3"/>
        <v>0</v>
      </c>
      <c r="O29" s="6" t="s">
        <v>129</v>
      </c>
      <c r="P29" s="6">
        <f>VLOOKUP(C29,'RESUMEN PITS'!$C$3:$V$103,20,0)</f>
        <v>0</v>
      </c>
      <c r="Q29" s="6">
        <f t="shared" si="5"/>
        <v>3727.2</v>
      </c>
      <c r="R29" s="6">
        <f t="shared" si="6"/>
        <v>83.293999999999997</v>
      </c>
      <c r="S29" s="6">
        <f t="shared" si="7"/>
        <v>4247.9939999999997</v>
      </c>
      <c r="T29" s="6">
        <f t="shared" si="4"/>
        <v>679.67903999999999</v>
      </c>
    </row>
    <row r="30" spans="1:20" x14ac:dyDescent="0.2">
      <c r="A30" s="6" t="s">
        <v>130</v>
      </c>
      <c r="B30" s="6" t="s">
        <v>94</v>
      </c>
      <c r="C30" s="6" t="s">
        <v>131</v>
      </c>
      <c r="D30" s="6">
        <v>2557.6000000000004</v>
      </c>
      <c r="E30" s="6">
        <v>400</v>
      </c>
      <c r="F30" s="12"/>
      <c r="G30" s="6">
        <f t="shared" si="8"/>
        <v>0</v>
      </c>
      <c r="H30" s="6">
        <f t="shared" si="1"/>
        <v>2957.6000000000004</v>
      </c>
      <c r="J30" s="6">
        <f>VLOOKUP(C30,'IP PITSS'!$B$9:$U$91,3,0)</f>
        <v>0</v>
      </c>
      <c r="K30" s="13">
        <v>10000</v>
      </c>
      <c r="L30" s="6">
        <f t="shared" si="2"/>
        <v>0</v>
      </c>
      <c r="M30" s="6">
        <f>VLOOKUP(C30,'IP PITSS'!$B$9:$I$91,8,0)</f>
        <v>0</v>
      </c>
      <c r="N30" s="6">
        <f t="shared" si="3"/>
        <v>0</v>
      </c>
      <c r="O30" s="6" t="s">
        <v>132</v>
      </c>
      <c r="P30" s="6">
        <f>VLOOKUP(C30,'RESUMEN PITS'!$C$3:$V$103,20,0)</f>
        <v>0</v>
      </c>
      <c r="Q30" s="6">
        <f t="shared" si="5"/>
        <v>2557.6000000000004</v>
      </c>
      <c r="R30" s="6">
        <f t="shared" si="6"/>
        <v>59.152000000000008</v>
      </c>
      <c r="S30" s="6">
        <f t="shared" si="7"/>
        <v>3016.7520000000004</v>
      </c>
      <c r="T30" s="6">
        <f t="shared" si="4"/>
        <v>482.68032000000005</v>
      </c>
    </row>
    <row r="31" spans="1:20" x14ac:dyDescent="0.2">
      <c r="A31" s="6" t="s">
        <v>133</v>
      </c>
      <c r="B31" s="6" t="s">
        <v>94</v>
      </c>
      <c r="C31" s="6" t="s">
        <v>134</v>
      </c>
      <c r="D31" s="6">
        <v>2673.38</v>
      </c>
      <c r="E31" s="6">
        <v>750</v>
      </c>
      <c r="F31" s="12"/>
      <c r="G31" s="6">
        <f t="shared" si="8"/>
        <v>725.22</v>
      </c>
      <c r="H31" s="6">
        <f t="shared" si="1"/>
        <v>4148.6000000000004</v>
      </c>
      <c r="J31" s="6">
        <f>VLOOKUP(C31,'IP PITSS'!$B$9:$U$91,3,0)</f>
        <v>15</v>
      </c>
      <c r="K31" s="13">
        <v>12000</v>
      </c>
      <c r="L31" s="6">
        <f t="shared" si="2"/>
        <v>1800</v>
      </c>
      <c r="M31" s="6">
        <f>VLOOKUP(C31,'IP PITSS'!$B$9:$I$91,8,0)</f>
        <v>1074.78</v>
      </c>
      <c r="N31" s="6">
        <f t="shared" si="3"/>
        <v>725.22</v>
      </c>
      <c r="O31" s="6" t="s">
        <v>135</v>
      </c>
      <c r="P31" s="6">
        <f>VLOOKUP(C31,'RESUMEN PITS'!$C$3:$V$103,20,0)</f>
        <v>0</v>
      </c>
      <c r="Q31" s="6">
        <f t="shared" si="5"/>
        <v>2673.38</v>
      </c>
      <c r="R31" s="6">
        <f t="shared" si="6"/>
        <v>82.972000000000008</v>
      </c>
      <c r="S31" s="6">
        <f t="shared" si="7"/>
        <v>4231.5720000000001</v>
      </c>
      <c r="T31" s="6">
        <f t="shared" si="4"/>
        <v>677.05151999999998</v>
      </c>
    </row>
    <row r="32" spans="1:20" x14ac:dyDescent="0.2">
      <c r="A32" s="6" t="s">
        <v>136</v>
      </c>
      <c r="B32" s="6" t="s">
        <v>94</v>
      </c>
      <c r="C32" s="6" t="s">
        <v>137</v>
      </c>
      <c r="D32" s="6">
        <v>228.40000000000009</v>
      </c>
      <c r="E32" s="6">
        <v>250</v>
      </c>
      <c r="F32" s="12"/>
      <c r="G32" s="6">
        <f t="shared" si="8"/>
        <v>0</v>
      </c>
      <c r="H32" s="6">
        <f t="shared" si="1"/>
        <v>478.40000000000009</v>
      </c>
      <c r="J32" s="6">
        <f>VLOOKUP(C32,'IP PITSS'!$B$9:$U$91,3,0)</f>
        <v>0</v>
      </c>
      <c r="K32" s="13">
        <v>7000</v>
      </c>
      <c r="L32" s="6">
        <f t="shared" si="2"/>
        <v>0</v>
      </c>
      <c r="M32" s="6">
        <f>VLOOKUP(C32,'IP PITSS'!$B$9:$I$91,8,0)</f>
        <v>0</v>
      </c>
      <c r="N32" s="6">
        <f t="shared" si="3"/>
        <v>0</v>
      </c>
      <c r="O32" s="6" t="s">
        <v>138</v>
      </c>
      <c r="P32" s="6">
        <f>VLOOKUP(C32,'RESUMEN PITS'!$C$3:$V$103,20,0)</f>
        <v>0</v>
      </c>
      <c r="Q32" s="6">
        <f t="shared" si="5"/>
        <v>228.40000000000009</v>
      </c>
      <c r="R32" s="6">
        <f t="shared" si="6"/>
        <v>9.5680000000000014</v>
      </c>
      <c r="S32" s="6">
        <f t="shared" si="7"/>
        <v>487.96800000000007</v>
      </c>
      <c r="T32" s="6">
        <f t="shared" si="4"/>
        <v>78.074880000000007</v>
      </c>
    </row>
    <row r="33" spans="1:20" x14ac:dyDescent="0.2">
      <c r="A33" s="6" t="s">
        <v>72</v>
      </c>
      <c r="B33" s="6" t="s">
        <v>94</v>
      </c>
      <c r="C33" s="6" t="s">
        <v>139</v>
      </c>
      <c r="D33" s="6">
        <v>1060.3999999999996</v>
      </c>
      <c r="E33" s="6">
        <v>687.5</v>
      </c>
      <c r="F33" s="12"/>
      <c r="G33" s="6">
        <f t="shared" si="8"/>
        <v>0</v>
      </c>
      <c r="H33" s="6">
        <f t="shared" si="1"/>
        <v>1747.8999999999996</v>
      </c>
      <c r="J33" s="6">
        <f>VLOOKUP(C33,'IP PITSS'!$B$9:$U$91,3,0)</f>
        <v>0</v>
      </c>
      <c r="K33" s="13">
        <v>14000</v>
      </c>
      <c r="L33" s="6">
        <f t="shared" si="2"/>
        <v>0</v>
      </c>
      <c r="M33" s="6">
        <f>VLOOKUP(C33,'IP PITSS'!$B$9:$I$91,8,0)</f>
        <v>0</v>
      </c>
      <c r="N33" s="6">
        <f t="shared" si="3"/>
        <v>0</v>
      </c>
      <c r="O33" s="6" t="s">
        <v>140</v>
      </c>
      <c r="P33" s="6">
        <f>VLOOKUP(C33,'RESUMEN PITS'!$C$3:$V$103,20,0)</f>
        <v>0</v>
      </c>
      <c r="Q33" s="6">
        <f t="shared" si="5"/>
        <v>1060.3999999999996</v>
      </c>
      <c r="R33" s="6">
        <f t="shared" si="6"/>
        <v>34.957999999999991</v>
      </c>
      <c r="S33" s="6">
        <f t="shared" si="7"/>
        <v>1782.8579999999997</v>
      </c>
      <c r="T33" s="6">
        <f t="shared" si="4"/>
        <v>285.25727999999998</v>
      </c>
    </row>
    <row r="34" spans="1:20" x14ac:dyDescent="0.2">
      <c r="A34" s="6" t="s">
        <v>141</v>
      </c>
      <c r="B34" s="6" t="s">
        <v>94</v>
      </c>
      <c r="C34" s="6" t="s">
        <v>142</v>
      </c>
      <c r="D34" s="6">
        <v>421.40000000000009</v>
      </c>
      <c r="E34" s="6">
        <v>1060</v>
      </c>
      <c r="F34" s="12"/>
      <c r="G34" s="6">
        <f t="shared" si="8"/>
        <v>0</v>
      </c>
      <c r="H34" s="6">
        <f t="shared" ref="H34:H64" si="9">SUM(D34:G34)</f>
        <v>1481.4</v>
      </c>
      <c r="J34" s="6">
        <f>VLOOKUP(C34,'IP PITSS'!$B$9:$U$91,3,0)</f>
        <v>0</v>
      </c>
      <c r="K34" s="13">
        <v>8000</v>
      </c>
      <c r="L34" s="6">
        <f t="shared" ref="L34:L64" si="10">(((+K34/30)*J34)*30%)</f>
        <v>0</v>
      </c>
      <c r="M34" s="6">
        <f>VLOOKUP(C34,'IP PITSS'!$B$9:$I$91,8,0)</f>
        <v>0</v>
      </c>
      <c r="N34" s="6">
        <f t="shared" ref="N34:N64" si="11">+L34-M34</f>
        <v>0</v>
      </c>
      <c r="O34" s="6" t="s">
        <v>143</v>
      </c>
      <c r="P34" s="6">
        <f>VLOOKUP(C34,'RESUMEN PITS'!$C$3:$V$103,20,0)</f>
        <v>0</v>
      </c>
      <c r="Q34" s="6">
        <f t="shared" si="5"/>
        <v>421.40000000000009</v>
      </c>
      <c r="R34" s="6">
        <f t="shared" si="6"/>
        <v>29.628000000000004</v>
      </c>
      <c r="S34" s="6">
        <f t="shared" si="7"/>
        <v>1511.028</v>
      </c>
      <c r="T34" s="6">
        <f t="shared" si="4"/>
        <v>241.76448000000002</v>
      </c>
    </row>
    <row r="35" spans="1:20" x14ac:dyDescent="0.2">
      <c r="A35" s="6" t="s">
        <v>144</v>
      </c>
      <c r="B35" s="6" t="s">
        <v>94</v>
      </c>
      <c r="C35" s="6" t="s">
        <v>145</v>
      </c>
      <c r="D35" s="6">
        <v>602.39999999999964</v>
      </c>
      <c r="E35" s="6">
        <v>110</v>
      </c>
      <c r="F35" s="12"/>
      <c r="G35" s="6">
        <f t="shared" si="8"/>
        <v>0</v>
      </c>
      <c r="H35" s="6">
        <f t="shared" si="9"/>
        <v>712.39999999999964</v>
      </c>
      <c r="J35" s="6">
        <f>VLOOKUP(C35,'IP PITSS'!$B$9:$U$91,3,0)</f>
        <v>0</v>
      </c>
      <c r="K35" s="13">
        <v>10000</v>
      </c>
      <c r="L35" s="6">
        <f t="shared" si="10"/>
        <v>0</v>
      </c>
      <c r="M35" s="6">
        <f>VLOOKUP(C35,'IP PITSS'!$B$9:$I$91,8,0)</f>
        <v>0</v>
      </c>
      <c r="N35" s="6">
        <f t="shared" si="11"/>
        <v>0</v>
      </c>
      <c r="O35" s="6" t="s">
        <v>146</v>
      </c>
      <c r="P35" s="6">
        <f>VLOOKUP(C35,'RESUMEN PITS'!$C$3:$V$103,20,0)</f>
        <v>0</v>
      </c>
      <c r="Q35" s="6">
        <f t="shared" si="5"/>
        <v>602.39999999999964</v>
      </c>
      <c r="R35" s="6">
        <f t="shared" si="6"/>
        <v>14.247999999999992</v>
      </c>
      <c r="S35" s="6">
        <f t="shared" si="7"/>
        <v>726.64799999999968</v>
      </c>
      <c r="T35" s="6">
        <f t="shared" si="4"/>
        <v>116.26367999999995</v>
      </c>
    </row>
    <row r="36" spans="1:20" x14ac:dyDescent="0.2">
      <c r="A36" s="6" t="s">
        <v>147</v>
      </c>
      <c r="B36" s="6" t="s">
        <v>94</v>
      </c>
      <c r="C36" s="6" t="s">
        <v>148</v>
      </c>
      <c r="D36" s="6">
        <v>139.19999999999982</v>
      </c>
      <c r="E36" s="6">
        <v>225</v>
      </c>
      <c r="F36" s="12"/>
      <c r="G36" s="6">
        <f t="shared" si="8"/>
        <v>0</v>
      </c>
      <c r="H36" s="6">
        <f t="shared" si="9"/>
        <v>364.19999999999982</v>
      </c>
      <c r="J36" s="6">
        <f>VLOOKUP(C36,'IP PITSS'!$B$9:$U$91,3,0)</f>
        <v>0</v>
      </c>
      <c r="K36" s="13">
        <v>6000</v>
      </c>
      <c r="L36" s="6">
        <f t="shared" si="10"/>
        <v>0</v>
      </c>
      <c r="M36" s="6">
        <f>VLOOKUP(C36,'IP PITSS'!$B$9:$I$91,8,0)</f>
        <v>0</v>
      </c>
      <c r="N36" s="6">
        <f t="shared" si="11"/>
        <v>0</v>
      </c>
      <c r="O36" s="6" t="s">
        <v>149</v>
      </c>
      <c r="P36" s="6">
        <f>VLOOKUP(C36,'RESUMEN PITS'!$C$3:$V$103,20,0)</f>
        <v>0</v>
      </c>
      <c r="Q36" s="6">
        <f t="shared" si="5"/>
        <v>139.19999999999982</v>
      </c>
      <c r="R36" s="6">
        <f t="shared" si="6"/>
        <v>7.2839999999999963</v>
      </c>
      <c r="S36" s="6">
        <f t="shared" si="7"/>
        <v>371.48399999999981</v>
      </c>
      <c r="T36" s="6">
        <f t="shared" si="4"/>
        <v>59.437439999999974</v>
      </c>
    </row>
    <row r="37" spans="1:20" x14ac:dyDescent="0.2">
      <c r="A37" s="6" t="s">
        <v>150</v>
      </c>
      <c r="B37" s="6" t="s">
        <v>94</v>
      </c>
      <c r="C37" s="6" t="s">
        <v>151</v>
      </c>
      <c r="D37" s="6">
        <v>56.639999999999873</v>
      </c>
      <c r="E37" s="6">
        <v>250</v>
      </c>
      <c r="F37" s="12"/>
      <c r="G37" s="6">
        <f t="shared" si="8"/>
        <v>0</v>
      </c>
      <c r="H37" s="6">
        <f t="shared" si="9"/>
        <v>306.63999999999987</v>
      </c>
      <c r="J37" s="6">
        <f>VLOOKUP(C37,'IP PITSS'!$B$9:$U$91,3,0)</f>
        <v>3</v>
      </c>
      <c r="K37" s="13">
        <v>5000</v>
      </c>
      <c r="L37" s="6">
        <f t="shared" si="10"/>
        <v>150</v>
      </c>
      <c r="M37" s="6">
        <f>VLOOKUP(C37,'IP PITSS'!$B$9:$I$91,8,0)</f>
        <v>150</v>
      </c>
      <c r="N37" s="6">
        <f t="shared" si="11"/>
        <v>0</v>
      </c>
      <c r="O37" s="6" t="s">
        <v>152</v>
      </c>
      <c r="P37" s="6">
        <f>VLOOKUP(C37,'RESUMEN PITS'!$C$3:$V$103,20,0)</f>
        <v>0</v>
      </c>
      <c r="Q37" s="6">
        <f t="shared" si="5"/>
        <v>56.639999999999873</v>
      </c>
      <c r="R37" s="6">
        <f t="shared" si="6"/>
        <v>6.1327999999999978</v>
      </c>
      <c r="S37" s="6">
        <f t="shared" si="7"/>
        <v>312.77279999999985</v>
      </c>
      <c r="T37" s="6">
        <f t="shared" si="4"/>
        <v>50.043647999999976</v>
      </c>
    </row>
    <row r="38" spans="1:20" x14ac:dyDescent="0.2">
      <c r="A38" s="6" t="s">
        <v>153</v>
      </c>
      <c r="B38" s="6" t="s">
        <v>94</v>
      </c>
      <c r="C38" s="6" t="s">
        <v>154</v>
      </c>
      <c r="D38" s="6">
        <v>1673.4900000000007</v>
      </c>
      <c r="E38" s="6">
        <v>465</v>
      </c>
      <c r="F38" s="12"/>
      <c r="G38" s="6">
        <f t="shared" si="8"/>
        <v>0</v>
      </c>
      <c r="H38" s="6">
        <f t="shared" si="9"/>
        <v>2138.4900000000007</v>
      </c>
      <c r="J38" s="6">
        <f>VLOOKUP(C38,'IP PITSS'!$B$9:$U$91,3,0)</f>
        <v>0</v>
      </c>
      <c r="K38" s="13">
        <v>10000</v>
      </c>
      <c r="L38" s="6">
        <f t="shared" si="10"/>
        <v>0</v>
      </c>
      <c r="M38" s="6">
        <f>VLOOKUP(C38,'IP PITSS'!$B$9:$I$91,8,0)</f>
        <v>0</v>
      </c>
      <c r="N38" s="6">
        <f t="shared" si="11"/>
        <v>0</v>
      </c>
      <c r="O38" s="6" t="s">
        <v>155</v>
      </c>
      <c r="P38" s="6">
        <f>VLOOKUP(C38,'RESUMEN PITS'!$C$3:$V$103,20,0)</f>
        <v>0</v>
      </c>
      <c r="Q38" s="6">
        <f t="shared" si="5"/>
        <v>1673.4900000000007</v>
      </c>
      <c r="R38" s="6">
        <f t="shared" si="6"/>
        <v>42.769800000000018</v>
      </c>
      <c r="S38" s="6">
        <f t="shared" si="7"/>
        <v>2181.2598000000007</v>
      </c>
      <c r="T38" s="6">
        <f t="shared" si="4"/>
        <v>349.00156800000013</v>
      </c>
    </row>
    <row r="39" spans="1:20" x14ac:dyDescent="0.2">
      <c r="A39" s="6" t="s">
        <v>156</v>
      </c>
      <c r="B39" s="6" t="s">
        <v>94</v>
      </c>
      <c r="C39" s="6" t="s">
        <v>157</v>
      </c>
      <c r="D39" s="6">
        <v>423.19999999999982</v>
      </c>
      <c r="E39" s="6">
        <v>480</v>
      </c>
      <c r="F39" s="12"/>
      <c r="G39" s="6">
        <f t="shared" si="8"/>
        <v>0</v>
      </c>
      <c r="H39" s="6">
        <f t="shared" si="9"/>
        <v>903.19999999999982</v>
      </c>
      <c r="J39" s="6">
        <f>VLOOKUP(C39,'IP PITSS'!$B$9:$U$91,3,0)</f>
        <v>0</v>
      </c>
      <c r="K39" s="13">
        <v>8000</v>
      </c>
      <c r="L39" s="6">
        <f t="shared" si="10"/>
        <v>0</v>
      </c>
      <c r="M39" s="6">
        <f>VLOOKUP(C39,'IP PITSS'!$B$9:$I$91,8,0)</f>
        <v>0</v>
      </c>
      <c r="N39" s="6">
        <f t="shared" si="11"/>
        <v>0</v>
      </c>
      <c r="O39" s="6" t="s">
        <v>158</v>
      </c>
      <c r="P39" s="6">
        <f>VLOOKUP(C39,'RESUMEN PITS'!$C$3:$V$103,20,0)</f>
        <v>0</v>
      </c>
      <c r="Q39" s="6">
        <f t="shared" si="5"/>
        <v>423.19999999999982</v>
      </c>
      <c r="R39" s="6">
        <f t="shared" si="6"/>
        <v>18.063999999999997</v>
      </c>
      <c r="S39" s="6">
        <f t="shared" si="7"/>
        <v>921.26399999999978</v>
      </c>
      <c r="T39" s="6">
        <f t="shared" si="4"/>
        <v>147.40223999999998</v>
      </c>
    </row>
    <row r="40" spans="1:20" x14ac:dyDescent="0.2">
      <c r="A40" s="6" t="s">
        <v>160</v>
      </c>
      <c r="B40" s="6" t="s">
        <v>94</v>
      </c>
      <c r="C40" s="6" t="s">
        <v>161</v>
      </c>
      <c r="D40" s="6">
        <v>139.19999999999982</v>
      </c>
      <c r="E40" s="12">
        <v>225</v>
      </c>
      <c r="F40" s="12"/>
      <c r="G40" s="6">
        <f t="shared" si="8"/>
        <v>0</v>
      </c>
      <c r="H40" s="6">
        <f t="shared" si="9"/>
        <v>364.19999999999982</v>
      </c>
      <c r="J40" s="6">
        <f>VLOOKUP(C40,'IP PITSS'!$B$9:$U$91,3,0)</f>
        <v>0</v>
      </c>
      <c r="K40" s="13">
        <v>6000</v>
      </c>
      <c r="L40" s="6">
        <f t="shared" si="10"/>
        <v>0</v>
      </c>
      <c r="M40" s="6">
        <f>VLOOKUP(C40,'IP PITSS'!$B$9:$I$91,8,0)</f>
        <v>0</v>
      </c>
      <c r="N40" s="6">
        <f t="shared" si="11"/>
        <v>0</v>
      </c>
      <c r="O40" s="6" t="s">
        <v>162</v>
      </c>
      <c r="P40" s="6">
        <f>VLOOKUP(C40,'RESUMEN PITS'!$C$3:$V$103,20,0)</f>
        <v>0</v>
      </c>
      <c r="Q40" s="6">
        <f t="shared" si="5"/>
        <v>139.19999999999982</v>
      </c>
      <c r="R40" s="6">
        <f t="shared" si="6"/>
        <v>7.2839999999999963</v>
      </c>
      <c r="S40" s="6">
        <f t="shared" si="7"/>
        <v>371.48399999999981</v>
      </c>
      <c r="T40" s="6">
        <f t="shared" si="4"/>
        <v>59.437439999999974</v>
      </c>
    </row>
    <row r="41" spans="1:20" x14ac:dyDescent="0.2">
      <c r="A41" s="6" t="s">
        <v>163</v>
      </c>
      <c r="B41" s="6" t="s">
        <v>94</v>
      </c>
      <c r="C41" s="6" t="s">
        <v>164</v>
      </c>
      <c r="D41" s="6">
        <v>179.73999999999978</v>
      </c>
      <c r="E41" s="6">
        <v>590.63</v>
      </c>
      <c r="F41" s="12"/>
      <c r="G41" s="6">
        <f t="shared" si="8"/>
        <v>0</v>
      </c>
      <c r="H41" s="6">
        <f t="shared" si="9"/>
        <v>770.36999999999978</v>
      </c>
      <c r="J41" s="6">
        <f>VLOOKUP(C41,'IP PITSS'!$B$9:$U$91,3,0)</f>
        <v>0</v>
      </c>
      <c r="K41" s="13">
        <v>6300</v>
      </c>
      <c r="L41" s="6">
        <f t="shared" si="10"/>
        <v>0</v>
      </c>
      <c r="M41" s="6">
        <f>VLOOKUP(C41,'IP PITSS'!$B$9:$I$91,8,0)</f>
        <v>0</v>
      </c>
      <c r="N41" s="6">
        <f t="shared" si="11"/>
        <v>0</v>
      </c>
      <c r="O41" s="6" t="s">
        <v>165</v>
      </c>
      <c r="P41" s="6">
        <f>VLOOKUP(C41,'RESUMEN PITS'!$C$3:$V$103,20,0)</f>
        <v>0</v>
      </c>
      <c r="Q41" s="6">
        <f t="shared" si="5"/>
        <v>179.73999999999978</v>
      </c>
      <c r="R41" s="6">
        <f t="shared" si="6"/>
        <v>15.407399999999996</v>
      </c>
      <c r="S41" s="6">
        <f t="shared" si="7"/>
        <v>785.77739999999972</v>
      </c>
      <c r="T41" s="6">
        <f t="shared" si="4"/>
        <v>125.72438399999996</v>
      </c>
    </row>
    <row r="42" spans="1:20" x14ac:dyDescent="0.2">
      <c r="A42" s="6" t="s">
        <v>166</v>
      </c>
      <c r="B42" s="6" t="s">
        <v>94</v>
      </c>
      <c r="C42" s="6" t="s">
        <v>167</v>
      </c>
      <c r="D42" s="6">
        <v>1423.1999999999998</v>
      </c>
      <c r="E42" s="6">
        <v>718.75</v>
      </c>
      <c r="F42" s="12"/>
      <c r="G42" s="6">
        <f t="shared" si="8"/>
        <v>0</v>
      </c>
      <c r="H42" s="6">
        <f t="shared" si="9"/>
        <v>2141.9499999999998</v>
      </c>
      <c r="J42" s="6">
        <f>VLOOKUP(C42,'IP PITSS'!$B$9:$U$91,3,0)</f>
        <v>0</v>
      </c>
      <c r="K42" s="13">
        <v>10000</v>
      </c>
      <c r="L42" s="6">
        <f t="shared" si="10"/>
        <v>0</v>
      </c>
      <c r="M42" s="6">
        <f>VLOOKUP(C42,'IP PITSS'!$B$9:$I$91,8,0)</f>
        <v>0</v>
      </c>
      <c r="N42" s="6">
        <f t="shared" si="11"/>
        <v>0</v>
      </c>
      <c r="O42" s="6" t="s">
        <v>168</v>
      </c>
      <c r="P42" s="6">
        <f>VLOOKUP(C42,'RESUMEN PITS'!$C$3:$V$103,20,0)</f>
        <v>-6.9999999999708962E-2</v>
      </c>
      <c r="Q42" s="6">
        <f t="shared" si="5"/>
        <v>1423.13</v>
      </c>
      <c r="R42" s="6">
        <f t="shared" si="6"/>
        <v>42.838999999999999</v>
      </c>
      <c r="S42" s="6">
        <f t="shared" si="7"/>
        <v>2184.7889999999998</v>
      </c>
      <c r="T42" s="6">
        <f t="shared" si="4"/>
        <v>349.56623999999999</v>
      </c>
    </row>
    <row r="43" spans="1:20" x14ac:dyDescent="0.2">
      <c r="A43" s="6" t="s">
        <v>169</v>
      </c>
      <c r="B43" s="6" t="s">
        <v>94</v>
      </c>
      <c r="C43" s="6" t="s">
        <v>170</v>
      </c>
      <c r="D43" s="6">
        <f>314.8-200</f>
        <v>114.80000000000001</v>
      </c>
      <c r="E43" s="6">
        <v>455</v>
      </c>
      <c r="F43" s="12"/>
      <c r="G43" s="6">
        <f t="shared" si="8"/>
        <v>0</v>
      </c>
      <c r="H43" s="6">
        <f t="shared" si="9"/>
        <v>569.79999999999995</v>
      </c>
      <c r="J43" s="6">
        <f>VLOOKUP(C43,'IP PITSS'!$B$9:$U$91,3,0)</f>
        <v>0</v>
      </c>
      <c r="K43" s="13">
        <v>6000</v>
      </c>
      <c r="L43" s="6">
        <f t="shared" si="10"/>
        <v>0</v>
      </c>
      <c r="M43" s="6">
        <f>VLOOKUP(C43,'IP PITSS'!$B$9:$I$91,8,0)</f>
        <v>0</v>
      </c>
      <c r="N43" s="6">
        <f t="shared" si="11"/>
        <v>0</v>
      </c>
      <c r="O43" s="6" t="s">
        <v>171</v>
      </c>
      <c r="P43" s="6">
        <f>VLOOKUP(C43,'RESUMEN PITS'!$C$3:$V$103,20,0)</f>
        <v>200</v>
      </c>
      <c r="Q43" s="6">
        <f t="shared" si="5"/>
        <v>314.8</v>
      </c>
      <c r="R43" s="6">
        <f t="shared" si="6"/>
        <v>11.395999999999999</v>
      </c>
      <c r="S43" s="6">
        <f t="shared" si="7"/>
        <v>581.19599999999991</v>
      </c>
      <c r="T43" s="6">
        <f t="shared" si="4"/>
        <v>92.991359999999986</v>
      </c>
    </row>
    <row r="44" spans="1:20" x14ac:dyDescent="0.2">
      <c r="A44" s="6" t="s">
        <v>172</v>
      </c>
      <c r="B44" s="6" t="s">
        <v>94</v>
      </c>
      <c r="C44" s="6" t="s">
        <v>173</v>
      </c>
      <c r="D44" s="6">
        <v>3727.0000000000005</v>
      </c>
      <c r="E44" s="6">
        <v>375</v>
      </c>
      <c r="F44" s="12"/>
      <c r="G44" s="6">
        <f t="shared" si="8"/>
        <v>0</v>
      </c>
      <c r="H44" s="6">
        <f t="shared" si="9"/>
        <v>4102</v>
      </c>
      <c r="J44" s="6">
        <f>VLOOKUP(C44,'IP PITSS'!$B$9:$U$91,3,0)</f>
        <v>0</v>
      </c>
      <c r="K44" s="13">
        <v>14000</v>
      </c>
      <c r="L44" s="6">
        <f t="shared" si="10"/>
        <v>0</v>
      </c>
      <c r="M44" s="6">
        <f>VLOOKUP(C44,'IP PITSS'!$B$9:$I$91,8,0)</f>
        <v>0</v>
      </c>
      <c r="N44" s="6">
        <f t="shared" si="11"/>
        <v>0</v>
      </c>
      <c r="O44" s="6" t="s">
        <v>174</v>
      </c>
      <c r="P44" s="6">
        <f>VLOOKUP(C44,'RESUMEN PITS'!$C$3:$V$103,20,0)</f>
        <v>0</v>
      </c>
      <c r="Q44" s="6">
        <f t="shared" si="5"/>
        <v>3727.0000000000005</v>
      </c>
      <c r="R44" s="6">
        <f t="shared" si="6"/>
        <v>82.04</v>
      </c>
      <c r="S44" s="6">
        <f t="shared" si="7"/>
        <v>4184.04</v>
      </c>
      <c r="T44" s="6">
        <f t="shared" si="4"/>
        <v>669.44640000000004</v>
      </c>
    </row>
    <row r="45" spans="1:20" s="12" customFormat="1" x14ac:dyDescent="0.2">
      <c r="A45" s="6" t="s">
        <v>37</v>
      </c>
      <c r="B45" s="6" t="s">
        <v>94</v>
      </c>
      <c r="C45" s="6" t="s">
        <v>175</v>
      </c>
      <c r="D45" s="6">
        <v>423.19999999999982</v>
      </c>
      <c r="E45" s="16">
        <v>130</v>
      </c>
      <c r="G45" s="6">
        <f t="shared" si="8"/>
        <v>0</v>
      </c>
      <c r="H45" s="6">
        <f t="shared" si="9"/>
        <v>553.19999999999982</v>
      </c>
      <c r="I45" s="7"/>
      <c r="J45" s="6">
        <f>VLOOKUP(C45,'IP PITSS'!$B$9:$U$91,3,0)</f>
        <v>0</v>
      </c>
      <c r="K45" s="13">
        <v>8000</v>
      </c>
      <c r="L45" s="6">
        <f t="shared" si="10"/>
        <v>0</v>
      </c>
      <c r="M45" s="6">
        <f>VLOOKUP(C45,'IP PITSS'!$B$9:$I$91,8,0)</f>
        <v>0</v>
      </c>
      <c r="N45" s="6">
        <f t="shared" si="11"/>
        <v>0</v>
      </c>
      <c r="O45" s="6" t="s">
        <v>176</v>
      </c>
      <c r="P45" s="6">
        <f>VLOOKUP(C45,'RESUMEN PITS'!$C$3:$V$103,20,0)</f>
        <v>0</v>
      </c>
      <c r="Q45" s="6">
        <f t="shared" si="5"/>
        <v>423.19999999999982</v>
      </c>
      <c r="R45" s="6">
        <f t="shared" si="6"/>
        <v>11.063999999999997</v>
      </c>
      <c r="S45" s="6">
        <f t="shared" si="7"/>
        <v>564.26399999999978</v>
      </c>
      <c r="T45" s="6">
        <f t="shared" si="4"/>
        <v>90.282239999999973</v>
      </c>
    </row>
    <row r="46" spans="1:20" x14ac:dyDescent="0.2">
      <c r="A46" s="6" t="s">
        <v>177</v>
      </c>
      <c r="B46" s="6" t="s">
        <v>94</v>
      </c>
      <c r="C46" s="6" t="s">
        <v>178</v>
      </c>
      <c r="D46" s="6">
        <v>458.20499999999993</v>
      </c>
      <c r="E46" s="6">
        <v>412.5</v>
      </c>
      <c r="F46" s="12"/>
      <c r="G46" s="6">
        <f t="shared" si="8"/>
        <v>0</v>
      </c>
      <c r="H46" s="6">
        <f t="shared" si="9"/>
        <v>870.70499999999993</v>
      </c>
      <c r="J46" s="6">
        <f>VLOOKUP(C46,'IP PITSS'!$B$9:$U$91,3,0)</f>
        <v>0</v>
      </c>
      <c r="K46" s="13">
        <v>8500.01</v>
      </c>
      <c r="L46" s="6">
        <f t="shared" si="10"/>
        <v>0</v>
      </c>
      <c r="M46" s="6">
        <f>VLOOKUP(C46,'IP PITSS'!$B$9:$I$91,8,0)</f>
        <v>0</v>
      </c>
      <c r="N46" s="6">
        <f t="shared" si="11"/>
        <v>0</v>
      </c>
      <c r="O46" s="6" t="s">
        <v>179</v>
      </c>
      <c r="P46" s="6">
        <f>VLOOKUP(C46,'RESUMEN PITS'!$C$3:$V$103,20,0)</f>
        <v>0</v>
      </c>
      <c r="Q46" s="6">
        <f t="shared" si="5"/>
        <v>458.20499999999993</v>
      </c>
      <c r="R46" s="6">
        <f t="shared" si="6"/>
        <v>17.414099999999998</v>
      </c>
      <c r="S46" s="6">
        <f t="shared" si="7"/>
        <v>888.11909999999989</v>
      </c>
      <c r="T46" s="6">
        <f t="shared" si="4"/>
        <v>142.09905599999999</v>
      </c>
    </row>
    <row r="47" spans="1:20" x14ac:dyDescent="0.2">
      <c r="A47" s="6" t="s">
        <v>180</v>
      </c>
      <c r="B47" s="6" t="s">
        <v>94</v>
      </c>
      <c r="C47" s="6" t="s">
        <v>181</v>
      </c>
      <c r="D47" s="6">
        <v>3140.2</v>
      </c>
      <c r="E47" s="6">
        <v>225</v>
      </c>
      <c r="F47" s="12"/>
      <c r="G47" s="6">
        <f t="shared" si="8"/>
        <v>0</v>
      </c>
      <c r="H47" s="6">
        <f t="shared" si="9"/>
        <v>3365.2</v>
      </c>
      <c r="J47" s="6">
        <f>VLOOKUP(C47,'IP PITSS'!$B$9:$U$91,3,0)</f>
        <v>0</v>
      </c>
      <c r="K47" s="13">
        <v>12000</v>
      </c>
      <c r="L47" s="6">
        <f t="shared" si="10"/>
        <v>0</v>
      </c>
      <c r="M47" s="6">
        <f>VLOOKUP(C47,'IP PITSS'!$B$9:$I$91,8,0)</f>
        <v>0</v>
      </c>
      <c r="N47" s="6">
        <f t="shared" si="11"/>
        <v>0</v>
      </c>
      <c r="O47" s="6" t="s">
        <v>182</v>
      </c>
      <c r="P47" s="6">
        <f>VLOOKUP(C47,'RESUMEN PITS'!$C$3:$V$103,20,0)</f>
        <v>0</v>
      </c>
      <c r="Q47" s="6">
        <f t="shared" si="5"/>
        <v>3140.2</v>
      </c>
      <c r="R47" s="6">
        <f t="shared" si="6"/>
        <v>67.304000000000002</v>
      </c>
      <c r="S47" s="6">
        <f t="shared" si="7"/>
        <v>3432.5039999999999</v>
      </c>
      <c r="T47" s="6">
        <f t="shared" si="4"/>
        <v>549.20064000000002</v>
      </c>
    </row>
    <row r="48" spans="1:20" x14ac:dyDescent="0.2">
      <c r="A48" s="6" t="s">
        <v>184</v>
      </c>
      <c r="B48" s="6" t="s">
        <v>94</v>
      </c>
      <c r="C48" s="6" t="s">
        <v>185</v>
      </c>
      <c r="D48" s="6">
        <v>139.09999999999991</v>
      </c>
      <c r="E48" s="6">
        <v>130</v>
      </c>
      <c r="F48" s="12"/>
      <c r="G48" s="6">
        <f t="shared" si="8"/>
        <v>0</v>
      </c>
      <c r="H48" s="6">
        <f t="shared" si="9"/>
        <v>269.09999999999991</v>
      </c>
      <c r="J48" s="6">
        <f>VLOOKUP(C48,'IP PITSS'!$B$9:$U$91,3,0)</f>
        <v>0</v>
      </c>
      <c r="K48" s="13">
        <v>6000</v>
      </c>
      <c r="L48" s="6">
        <f t="shared" si="10"/>
        <v>0</v>
      </c>
      <c r="M48" s="6">
        <f>VLOOKUP(C48,'IP PITSS'!$B$9:$I$91,8,0)</f>
        <v>0</v>
      </c>
      <c r="N48" s="6">
        <f t="shared" si="11"/>
        <v>0</v>
      </c>
      <c r="O48" s="6" t="s">
        <v>186</v>
      </c>
      <c r="P48" s="6">
        <f>VLOOKUP(C48,'RESUMEN PITS'!$C$3:$V$103,20,0)</f>
        <v>0</v>
      </c>
      <c r="Q48" s="6">
        <f t="shared" si="5"/>
        <v>139.09999999999991</v>
      </c>
      <c r="R48" s="6">
        <f t="shared" si="6"/>
        <v>5.3819999999999979</v>
      </c>
      <c r="S48" s="6">
        <f t="shared" si="7"/>
        <v>274.48199999999991</v>
      </c>
      <c r="T48" s="6">
        <f t="shared" si="4"/>
        <v>43.91711999999999</v>
      </c>
    </row>
    <row r="49" spans="1:20" x14ac:dyDescent="0.2">
      <c r="A49" s="6" t="s">
        <v>187</v>
      </c>
      <c r="B49" s="6" t="s">
        <v>94</v>
      </c>
      <c r="C49" s="6" t="s">
        <v>188</v>
      </c>
      <c r="D49" s="6">
        <v>0</v>
      </c>
      <c r="E49" s="6">
        <v>390.63</v>
      </c>
      <c r="F49" s="12"/>
      <c r="G49" s="6">
        <f t="shared" si="8"/>
        <v>0</v>
      </c>
      <c r="H49" s="6">
        <f t="shared" si="9"/>
        <v>390.63</v>
      </c>
      <c r="J49" s="6">
        <f>VLOOKUP(C49,'IP PITSS'!$B$9:$U$91,3,0)</f>
        <v>0</v>
      </c>
      <c r="K49" s="17">
        <v>13125</v>
      </c>
      <c r="L49" s="6">
        <f t="shared" si="10"/>
        <v>0</v>
      </c>
      <c r="M49" s="6">
        <f>VLOOKUP(C49,'IP PITSS'!$B$9:$I$91,8,0)</f>
        <v>0</v>
      </c>
      <c r="N49" s="6">
        <f t="shared" si="11"/>
        <v>0</v>
      </c>
      <c r="O49" s="6" t="s">
        <v>189</v>
      </c>
      <c r="P49" s="6">
        <f>VLOOKUP(C49,'RESUMEN PITS'!$C$3:$V$103,20,0)</f>
        <v>-0.1000000000003638</v>
      </c>
      <c r="Q49" s="6">
        <f t="shared" si="5"/>
        <v>-0.1000000000003638</v>
      </c>
      <c r="R49" s="6">
        <f t="shared" si="6"/>
        <v>7.8125999999999998</v>
      </c>
      <c r="S49" s="6">
        <f t="shared" si="7"/>
        <v>398.44259999999997</v>
      </c>
      <c r="T49" s="6">
        <f t="shared" si="4"/>
        <v>63.750815999999993</v>
      </c>
    </row>
    <row r="50" spans="1:20" x14ac:dyDescent="0.2">
      <c r="A50" s="6" t="s">
        <v>190</v>
      </c>
      <c r="B50" s="6" t="s">
        <v>94</v>
      </c>
      <c r="C50" s="6" t="s">
        <v>191</v>
      </c>
      <c r="D50" s="6">
        <v>423.19999999999982</v>
      </c>
      <c r="E50" s="6">
        <v>275</v>
      </c>
      <c r="F50" s="12"/>
      <c r="G50" s="6">
        <f t="shared" si="8"/>
        <v>0</v>
      </c>
      <c r="H50" s="6">
        <f t="shared" si="9"/>
        <v>698.19999999999982</v>
      </c>
      <c r="J50" s="6">
        <f>VLOOKUP(C50,'IP PITSS'!$B$9:$U$91,3,0)</f>
        <v>0</v>
      </c>
      <c r="K50" s="13">
        <v>8000</v>
      </c>
      <c r="L50" s="6">
        <f t="shared" si="10"/>
        <v>0</v>
      </c>
      <c r="M50" s="6">
        <f>VLOOKUP(C50,'IP PITSS'!$B$9:$I$91,8,0)</f>
        <v>0</v>
      </c>
      <c r="N50" s="6">
        <f t="shared" si="11"/>
        <v>0</v>
      </c>
      <c r="O50" s="6" t="s">
        <v>192</v>
      </c>
      <c r="P50" s="6">
        <f>VLOOKUP(C50,'RESUMEN PITS'!$C$3:$V$103,20,0)</f>
        <v>0</v>
      </c>
      <c r="Q50" s="6">
        <f t="shared" si="5"/>
        <v>423.19999999999982</v>
      </c>
      <c r="R50" s="6">
        <f t="shared" si="6"/>
        <v>13.963999999999997</v>
      </c>
      <c r="S50" s="6">
        <f t="shared" si="7"/>
        <v>712.16399999999976</v>
      </c>
      <c r="T50" s="6">
        <f t="shared" si="4"/>
        <v>113.94623999999996</v>
      </c>
    </row>
    <row r="51" spans="1:20" x14ac:dyDescent="0.2">
      <c r="A51" s="6" t="s">
        <v>193</v>
      </c>
      <c r="B51" s="6" t="s">
        <v>94</v>
      </c>
      <c r="C51" s="75" t="s">
        <v>428</v>
      </c>
      <c r="D51" s="6">
        <v>289.23</v>
      </c>
      <c r="E51" s="6">
        <v>281.25</v>
      </c>
      <c r="F51" s="12"/>
      <c r="G51" s="6">
        <f t="shared" si="8"/>
        <v>63</v>
      </c>
      <c r="H51" s="6">
        <f t="shared" si="9"/>
        <v>633.48</v>
      </c>
      <c r="J51" s="6">
        <f>'IP PITSS'!$D$65</f>
        <v>1</v>
      </c>
      <c r="K51" s="13">
        <v>6300</v>
      </c>
      <c r="L51" s="6">
        <f t="shared" si="10"/>
        <v>63</v>
      </c>
      <c r="M51" s="6">
        <v>0</v>
      </c>
      <c r="N51" s="6">
        <f t="shared" si="11"/>
        <v>63</v>
      </c>
      <c r="O51" s="6" t="s">
        <v>194</v>
      </c>
      <c r="P51" s="6">
        <f>VLOOKUP(C51,'RESUMEN PITS'!$C$3:$V$103,20,0)</f>
        <v>0</v>
      </c>
      <c r="Q51" s="6">
        <f t="shared" si="5"/>
        <v>289.23</v>
      </c>
      <c r="R51" s="6">
        <f t="shared" si="6"/>
        <v>12.669600000000001</v>
      </c>
      <c r="S51" s="6">
        <f t="shared" si="7"/>
        <v>646.14959999999996</v>
      </c>
      <c r="T51" s="6">
        <f t="shared" si="4"/>
        <v>103.38393599999999</v>
      </c>
    </row>
    <row r="52" spans="1:20" x14ac:dyDescent="0.2">
      <c r="A52" s="6" t="s">
        <v>196</v>
      </c>
      <c r="B52" s="6" t="s">
        <v>94</v>
      </c>
      <c r="C52" s="6" t="s">
        <v>197</v>
      </c>
      <c r="D52" s="6">
        <v>2890.6699999999983</v>
      </c>
      <c r="E52" s="6">
        <v>225</v>
      </c>
      <c r="F52" s="12"/>
      <c r="G52" s="6">
        <f t="shared" ref="G52:G74" si="12">+N52</f>
        <v>913.77</v>
      </c>
      <c r="H52" s="6">
        <f t="shared" si="9"/>
        <v>4029.4399999999982</v>
      </c>
      <c r="J52" s="6">
        <v>17</v>
      </c>
      <c r="K52" s="13">
        <v>12000</v>
      </c>
      <c r="L52" s="6">
        <f t="shared" si="10"/>
        <v>2040</v>
      </c>
      <c r="M52" s="6">
        <f>VLOOKUP(C52,'IP PITSS'!$B$9:$I$91,8,0)</f>
        <v>1126.23</v>
      </c>
      <c r="N52" s="6">
        <f t="shared" si="11"/>
        <v>913.77</v>
      </c>
      <c r="O52" s="6" t="s">
        <v>198</v>
      </c>
      <c r="P52" s="6">
        <f>VLOOKUP(C52,'RESUMEN PITS'!$C$3:$V$103,20,0)</f>
        <v>0</v>
      </c>
      <c r="Q52" s="6">
        <f t="shared" si="5"/>
        <v>2890.6699999999983</v>
      </c>
      <c r="R52" s="6">
        <f t="shared" si="6"/>
        <v>80.588799999999964</v>
      </c>
      <c r="S52" s="6">
        <f t="shared" si="7"/>
        <v>4110.0287999999982</v>
      </c>
      <c r="T52" s="6">
        <f t="shared" si="4"/>
        <v>657.60460799999976</v>
      </c>
    </row>
    <row r="53" spans="1:20" x14ac:dyDescent="0.2">
      <c r="A53" s="6" t="s">
        <v>199</v>
      </c>
      <c r="B53" s="6" t="s">
        <v>94</v>
      </c>
      <c r="C53" s="6" t="s">
        <v>200</v>
      </c>
      <c r="D53" s="6">
        <v>421.40000000000009</v>
      </c>
      <c r="E53" s="6">
        <v>120</v>
      </c>
      <c r="F53" s="12"/>
      <c r="G53" s="6">
        <f t="shared" si="12"/>
        <v>0</v>
      </c>
      <c r="H53" s="6">
        <f t="shared" si="9"/>
        <v>541.40000000000009</v>
      </c>
      <c r="J53" s="6">
        <f>VLOOKUP(C53,'IP PITSS'!$B$9:$U$91,3,0)</f>
        <v>0</v>
      </c>
      <c r="K53" s="13">
        <v>8000</v>
      </c>
      <c r="L53" s="6">
        <f t="shared" si="10"/>
        <v>0</v>
      </c>
      <c r="M53" s="6">
        <f>VLOOKUP(C53,'IP PITSS'!$B$9:$I$91,8,0)</f>
        <v>0</v>
      </c>
      <c r="N53" s="6">
        <f t="shared" si="11"/>
        <v>0</v>
      </c>
      <c r="O53" s="6" t="s">
        <v>201</v>
      </c>
      <c r="P53" s="6">
        <f>VLOOKUP(C53,'RESUMEN PITS'!$C$3:$V$103,20,0)</f>
        <v>0</v>
      </c>
      <c r="Q53" s="6">
        <f t="shared" si="5"/>
        <v>421.40000000000009</v>
      </c>
      <c r="R53" s="6">
        <f t="shared" si="6"/>
        <v>10.828000000000001</v>
      </c>
      <c r="S53" s="6">
        <f t="shared" si="7"/>
        <v>552.22800000000007</v>
      </c>
      <c r="T53" s="6">
        <f t="shared" si="4"/>
        <v>88.356480000000019</v>
      </c>
    </row>
    <row r="54" spans="1:20" s="12" customFormat="1" x14ac:dyDescent="0.2">
      <c r="A54" s="6" t="s">
        <v>203</v>
      </c>
      <c r="B54" s="6" t="s">
        <v>94</v>
      </c>
      <c r="C54" s="6" t="s">
        <v>204</v>
      </c>
      <c r="D54" s="6">
        <v>1707.5099999999998</v>
      </c>
      <c r="E54" s="6">
        <v>125</v>
      </c>
      <c r="G54" s="6">
        <f t="shared" si="12"/>
        <v>0</v>
      </c>
      <c r="H54" s="6">
        <f t="shared" si="9"/>
        <v>1832.5099999999998</v>
      </c>
      <c r="I54" s="7"/>
      <c r="J54" s="6">
        <f>VLOOKUP(C54,'IP PITSS'!$B$9:$U$91,3,0)</f>
        <v>0</v>
      </c>
      <c r="K54" s="13">
        <v>7000</v>
      </c>
      <c r="L54" s="6">
        <f t="shared" si="10"/>
        <v>0</v>
      </c>
      <c r="M54" s="6">
        <f>VLOOKUP(C54,'IP PITSS'!$B$9:$I$91,8,0)</f>
        <v>0</v>
      </c>
      <c r="N54" s="6">
        <f t="shared" si="11"/>
        <v>0</v>
      </c>
      <c r="O54" s="6" t="s">
        <v>205</v>
      </c>
      <c r="P54" s="6">
        <f>VLOOKUP(C54,'RESUMEN PITS'!$C$3:$V$103,20,0)</f>
        <v>0</v>
      </c>
      <c r="Q54" s="6">
        <f t="shared" si="5"/>
        <v>1707.5099999999998</v>
      </c>
      <c r="R54" s="6">
        <f t="shared" si="6"/>
        <v>36.650199999999998</v>
      </c>
      <c r="S54" s="6">
        <f t="shared" si="7"/>
        <v>1869.1601999999998</v>
      </c>
      <c r="T54" s="6">
        <f t="shared" si="4"/>
        <v>299.06563199999999</v>
      </c>
    </row>
    <row r="55" spans="1:20" x14ac:dyDescent="0.2">
      <c r="A55" s="6" t="s">
        <v>206</v>
      </c>
      <c r="B55" s="6" t="s">
        <v>94</v>
      </c>
      <c r="C55" s="6" t="s">
        <v>207</v>
      </c>
      <c r="D55" s="6">
        <v>228.34000000000015</v>
      </c>
      <c r="E55" s="12">
        <v>550</v>
      </c>
      <c r="F55" s="12"/>
      <c r="G55" s="6">
        <f t="shared" si="12"/>
        <v>0</v>
      </c>
      <c r="H55" s="6">
        <f t="shared" si="9"/>
        <v>778.34000000000015</v>
      </c>
      <c r="J55" s="6">
        <f>VLOOKUP(C55,'IP PITSS'!$B$9:$U$91,3,0)</f>
        <v>0</v>
      </c>
      <c r="K55" s="13">
        <v>7000</v>
      </c>
      <c r="L55" s="6">
        <f t="shared" si="10"/>
        <v>0</v>
      </c>
      <c r="M55" s="6">
        <f>VLOOKUP(C55,'IP PITSS'!$B$9:$I$91,8,0)</f>
        <v>0</v>
      </c>
      <c r="N55" s="6">
        <f t="shared" si="11"/>
        <v>0</v>
      </c>
      <c r="O55" s="6" t="s">
        <v>208</v>
      </c>
      <c r="P55" s="6">
        <f>VLOOKUP(C55,'RESUMEN PITS'!$C$3:$V$103,20,0)</f>
        <v>0</v>
      </c>
      <c r="Q55" s="6">
        <f t="shared" si="5"/>
        <v>228.34000000000015</v>
      </c>
      <c r="R55" s="6">
        <f t="shared" si="6"/>
        <v>15.566800000000002</v>
      </c>
      <c r="S55" s="6">
        <f t="shared" si="7"/>
        <v>793.9068000000002</v>
      </c>
      <c r="T55" s="6">
        <f t="shared" si="4"/>
        <v>127.02508800000004</v>
      </c>
    </row>
    <row r="56" spans="1:20" x14ac:dyDescent="0.2">
      <c r="A56" s="6" t="s">
        <v>209</v>
      </c>
      <c r="B56" s="6" t="s">
        <v>94</v>
      </c>
      <c r="C56" s="6" t="s">
        <v>210</v>
      </c>
      <c r="D56" s="6">
        <v>1458.25</v>
      </c>
      <c r="F56" s="12"/>
      <c r="G56" s="6">
        <f t="shared" si="12"/>
        <v>0</v>
      </c>
      <c r="H56" s="6">
        <f t="shared" si="9"/>
        <v>1458.25</v>
      </c>
      <c r="J56" s="6">
        <f>VLOOKUP(C56,'IP PITSS'!$B$9:$U$91,3,0)</f>
        <v>0</v>
      </c>
      <c r="K56" s="13">
        <v>8500.01</v>
      </c>
      <c r="L56" s="6">
        <f t="shared" si="10"/>
        <v>0</v>
      </c>
      <c r="M56" s="6">
        <f>VLOOKUP(C56,'IP PITSS'!$B$9:$I$91,8,0)</f>
        <v>0</v>
      </c>
      <c r="N56" s="6">
        <f t="shared" si="11"/>
        <v>0</v>
      </c>
      <c r="O56" s="6" t="s">
        <v>211</v>
      </c>
      <c r="P56" s="6">
        <f>VLOOKUP(C56,'RESUMEN PITS'!$C$3:$V$103,20,0)</f>
        <v>0</v>
      </c>
      <c r="Q56" s="6">
        <f t="shared" si="5"/>
        <v>1458.25</v>
      </c>
      <c r="R56" s="6">
        <f t="shared" si="6"/>
        <v>29.164999999999999</v>
      </c>
      <c r="S56" s="6">
        <f t="shared" si="7"/>
        <v>1487.415</v>
      </c>
      <c r="T56" s="6">
        <f t="shared" si="4"/>
        <v>237.9864</v>
      </c>
    </row>
    <row r="57" spans="1:20" x14ac:dyDescent="0.2">
      <c r="A57" s="6" t="s">
        <v>212</v>
      </c>
      <c r="B57" s="6" t="s">
        <v>94</v>
      </c>
      <c r="C57" s="6" t="s">
        <v>213</v>
      </c>
      <c r="D57" s="6">
        <v>57.199999999999818</v>
      </c>
      <c r="E57" s="6">
        <v>160</v>
      </c>
      <c r="F57" s="12"/>
      <c r="G57" s="6">
        <f t="shared" si="12"/>
        <v>0</v>
      </c>
      <c r="H57" s="6">
        <f t="shared" si="9"/>
        <v>217.19999999999982</v>
      </c>
      <c r="J57" s="6">
        <f>VLOOKUP(C57,'IP PITSS'!$B$9:$U$91,3,0)</f>
        <v>0</v>
      </c>
      <c r="K57" s="13">
        <v>5000</v>
      </c>
      <c r="L57" s="6">
        <f t="shared" si="10"/>
        <v>0</v>
      </c>
      <c r="M57" s="6">
        <f>VLOOKUP(C57,'IP PITSS'!$B$9:$I$91,8,0)</f>
        <v>0</v>
      </c>
      <c r="N57" s="6">
        <f t="shared" si="11"/>
        <v>0</v>
      </c>
      <c r="O57" s="6" t="s">
        <v>214</v>
      </c>
      <c r="P57" s="6">
        <f>VLOOKUP(C57,'RESUMEN PITS'!$C$3:$V$103,20,0)</f>
        <v>0</v>
      </c>
      <c r="Q57" s="6">
        <f t="shared" si="5"/>
        <v>57.199999999999818</v>
      </c>
      <c r="R57" s="6">
        <f t="shared" si="6"/>
        <v>4.3439999999999968</v>
      </c>
      <c r="S57" s="6">
        <f t="shared" si="7"/>
        <v>221.54399999999981</v>
      </c>
      <c r="T57" s="6">
        <f t="shared" si="4"/>
        <v>35.447039999999973</v>
      </c>
    </row>
    <row r="58" spans="1:20" x14ac:dyDescent="0.2">
      <c r="A58" s="6" t="s">
        <v>215</v>
      </c>
      <c r="B58" s="6" t="s">
        <v>94</v>
      </c>
      <c r="C58" s="6" t="s">
        <v>216</v>
      </c>
      <c r="D58" s="6">
        <v>180.90999999999985</v>
      </c>
      <c r="E58" s="12"/>
      <c r="F58" s="12"/>
      <c r="G58" s="6">
        <f t="shared" si="12"/>
        <v>0</v>
      </c>
      <c r="H58" s="6">
        <f t="shared" si="9"/>
        <v>180.90999999999985</v>
      </c>
      <c r="J58" s="6">
        <f>VLOOKUP(C58,'IP PITSS'!$B$9:$U$91,3,0)</f>
        <v>0</v>
      </c>
      <c r="K58" s="13">
        <v>6300</v>
      </c>
      <c r="L58" s="6">
        <f t="shared" si="10"/>
        <v>0</v>
      </c>
      <c r="M58" s="6">
        <f>VLOOKUP(C58,'IP PITSS'!$B$9:$I$91,8,0)</f>
        <v>0</v>
      </c>
      <c r="N58" s="6">
        <f t="shared" si="11"/>
        <v>0</v>
      </c>
      <c r="O58" s="6" t="s">
        <v>217</v>
      </c>
      <c r="P58" s="6">
        <f>VLOOKUP(C58,'RESUMEN PITS'!$C$3:$V$103,20,0)</f>
        <v>0</v>
      </c>
      <c r="Q58" s="6">
        <f t="shared" si="5"/>
        <v>180.90999999999985</v>
      </c>
      <c r="R58" s="6">
        <f t="shared" si="6"/>
        <v>3.6181999999999972</v>
      </c>
      <c r="S58" s="6">
        <f t="shared" si="7"/>
        <v>184.52819999999986</v>
      </c>
      <c r="T58" s="6">
        <f t="shared" si="4"/>
        <v>29.524511999999977</v>
      </c>
    </row>
    <row r="59" spans="1:20" x14ac:dyDescent="0.2">
      <c r="A59" s="12" t="s">
        <v>218</v>
      </c>
      <c r="B59" s="6" t="s">
        <v>94</v>
      </c>
      <c r="C59" s="12" t="s">
        <v>219</v>
      </c>
      <c r="D59" s="6">
        <v>1060.3999999999996</v>
      </c>
      <c r="E59" s="12">
        <v>562.5</v>
      </c>
      <c r="F59" s="12"/>
      <c r="G59" s="6">
        <f t="shared" si="12"/>
        <v>0</v>
      </c>
      <c r="H59" s="6">
        <f t="shared" si="9"/>
        <v>1622.8999999999996</v>
      </c>
      <c r="J59" s="6">
        <f>VLOOKUP(C59,'IP PITSS'!$B$9:$U$91,3,0)</f>
        <v>0</v>
      </c>
      <c r="K59" s="13">
        <v>14000</v>
      </c>
      <c r="L59" s="12">
        <f t="shared" si="10"/>
        <v>0</v>
      </c>
      <c r="M59" s="6">
        <f>VLOOKUP(C59,'IP PITSS'!$B$9:$I$91,8,0)</f>
        <v>0</v>
      </c>
      <c r="N59" s="6">
        <f t="shared" si="11"/>
        <v>0</v>
      </c>
      <c r="O59" s="6" t="s">
        <v>220</v>
      </c>
      <c r="P59" s="6">
        <f>VLOOKUP(C59,'RESUMEN PITS'!$C$3:$V$103,20,0)</f>
        <v>0</v>
      </c>
      <c r="Q59" s="6">
        <f t="shared" si="5"/>
        <v>1060.3999999999996</v>
      </c>
      <c r="R59" s="6">
        <f t="shared" si="6"/>
        <v>32.457999999999991</v>
      </c>
      <c r="S59" s="6">
        <f t="shared" si="7"/>
        <v>1655.3579999999997</v>
      </c>
      <c r="T59" s="6">
        <f t="shared" si="4"/>
        <v>264.85727999999995</v>
      </c>
    </row>
    <row r="60" spans="1:20" x14ac:dyDescent="0.2">
      <c r="A60" s="6" t="s">
        <v>221</v>
      </c>
      <c r="B60" s="6" t="s">
        <v>94</v>
      </c>
      <c r="C60" s="12" t="s">
        <v>222</v>
      </c>
      <c r="D60" s="6">
        <v>6527.2000000000007</v>
      </c>
      <c r="E60" s="6">
        <v>1938</v>
      </c>
      <c r="F60" s="12"/>
      <c r="G60" s="6">
        <f t="shared" si="12"/>
        <v>0</v>
      </c>
      <c r="H60" s="6">
        <f t="shared" si="9"/>
        <v>8465.2000000000007</v>
      </c>
      <c r="J60" s="6">
        <f>VLOOKUP(C60,'IP PITSS'!$B$9:$U$91,3,0)</f>
        <v>0</v>
      </c>
      <c r="K60" s="13">
        <v>19950</v>
      </c>
      <c r="L60" s="6">
        <f t="shared" si="10"/>
        <v>0</v>
      </c>
      <c r="M60" s="6">
        <f>VLOOKUP(C60,'IP PITSS'!$B$9:$I$91,8,0)</f>
        <v>0</v>
      </c>
      <c r="N60" s="6">
        <f t="shared" si="11"/>
        <v>0</v>
      </c>
      <c r="O60" s="6" t="s">
        <v>223</v>
      </c>
      <c r="P60" s="6">
        <f>VLOOKUP(C60,'RESUMEN PITS'!$C$3:$V$103,20,0)</f>
        <v>0</v>
      </c>
      <c r="Q60" s="6">
        <f t="shared" si="5"/>
        <v>6527.2000000000007</v>
      </c>
      <c r="R60" s="6">
        <f t="shared" si="6"/>
        <v>169.30400000000003</v>
      </c>
      <c r="S60" s="6">
        <f t="shared" si="7"/>
        <v>8634.5040000000008</v>
      </c>
      <c r="T60" s="6">
        <f t="shared" si="4"/>
        <v>1381.5206400000002</v>
      </c>
    </row>
    <row r="61" spans="1:20" x14ac:dyDescent="0.2">
      <c r="A61" s="6" t="s">
        <v>224</v>
      </c>
      <c r="B61" s="6" t="s">
        <v>94</v>
      </c>
      <c r="C61" s="15" t="s">
        <v>225</v>
      </c>
      <c r="D61" s="6">
        <v>421.40000000000009</v>
      </c>
      <c r="E61" s="6">
        <v>165</v>
      </c>
      <c r="F61" s="12"/>
      <c r="G61" s="6">
        <f t="shared" si="12"/>
        <v>0</v>
      </c>
      <c r="H61" s="6">
        <f t="shared" si="9"/>
        <v>586.40000000000009</v>
      </c>
      <c r="J61" s="6">
        <v>5</v>
      </c>
      <c r="K61" s="13">
        <v>8000</v>
      </c>
      <c r="L61" s="6">
        <f t="shared" si="10"/>
        <v>400.00000000000006</v>
      </c>
      <c r="M61" s="6">
        <f>VLOOKUP(C61,'IP PITSS'!$B$9:$I$91,8,0)</f>
        <v>400</v>
      </c>
      <c r="N61" s="6">
        <f t="shared" si="11"/>
        <v>0</v>
      </c>
      <c r="O61" s="6" t="s">
        <v>226</v>
      </c>
      <c r="P61" s="6">
        <f>VLOOKUP(C61,'RESUMEN PITS'!$C$3:$V$103,20,0)</f>
        <v>0</v>
      </c>
      <c r="Q61" s="6">
        <f t="shared" si="5"/>
        <v>421.40000000000009</v>
      </c>
      <c r="R61" s="6">
        <f t="shared" si="6"/>
        <v>11.728000000000002</v>
      </c>
      <c r="S61" s="6">
        <f t="shared" si="7"/>
        <v>598.12800000000004</v>
      </c>
      <c r="T61" s="6">
        <f t="shared" si="4"/>
        <v>95.700480000000013</v>
      </c>
    </row>
    <row r="62" spans="1:20" x14ac:dyDescent="0.2">
      <c r="A62" s="12" t="s">
        <v>228</v>
      </c>
      <c r="B62" s="6" t="s">
        <v>94</v>
      </c>
      <c r="C62" s="12" t="s">
        <v>229</v>
      </c>
      <c r="D62" s="6">
        <v>423</v>
      </c>
      <c r="E62" s="6">
        <v>120</v>
      </c>
      <c r="F62" s="12"/>
      <c r="G62" s="6">
        <f t="shared" si="12"/>
        <v>0</v>
      </c>
      <c r="H62" s="6">
        <f t="shared" si="9"/>
        <v>543</v>
      </c>
      <c r="J62" s="6">
        <f>VLOOKUP(C62,'IP PITSS'!$B$9:$U$91,3,0)</f>
        <v>1</v>
      </c>
      <c r="K62" s="13">
        <v>8000</v>
      </c>
      <c r="L62" s="6">
        <f t="shared" si="10"/>
        <v>80</v>
      </c>
      <c r="M62" s="6">
        <f>VLOOKUP(C62,'IP PITSS'!$B$9:$I$91,8,0)</f>
        <v>80</v>
      </c>
      <c r="N62" s="6">
        <f t="shared" si="11"/>
        <v>0</v>
      </c>
      <c r="O62" s="6" t="s">
        <v>230</v>
      </c>
      <c r="P62" s="6">
        <f>VLOOKUP(C62,'RESUMEN PITS'!$C$3:$V$103,20,0)</f>
        <v>0</v>
      </c>
      <c r="Q62" s="6">
        <f t="shared" si="5"/>
        <v>423</v>
      </c>
      <c r="R62" s="6">
        <f t="shared" si="6"/>
        <v>10.86</v>
      </c>
      <c r="S62" s="6">
        <f t="shared" si="7"/>
        <v>553.86</v>
      </c>
      <c r="T62" s="6">
        <f t="shared" si="4"/>
        <v>88.61760000000001</v>
      </c>
    </row>
    <row r="63" spans="1:20" s="15" customFormat="1" x14ac:dyDescent="0.2">
      <c r="A63" s="6" t="s">
        <v>231</v>
      </c>
      <c r="B63" s="6" t="s">
        <v>94</v>
      </c>
      <c r="C63" s="6" t="s">
        <v>232</v>
      </c>
      <c r="D63" s="6">
        <v>423.19999999999982</v>
      </c>
      <c r="E63" s="6">
        <v>240</v>
      </c>
      <c r="F63" s="12"/>
      <c r="G63" s="6">
        <f t="shared" si="12"/>
        <v>0</v>
      </c>
      <c r="H63" s="6">
        <f t="shared" si="9"/>
        <v>663.19999999999982</v>
      </c>
      <c r="I63" s="7"/>
      <c r="J63" s="6">
        <f>VLOOKUP(C63,'IP PITSS'!$B$9:$U$91,3,0)</f>
        <v>0</v>
      </c>
      <c r="K63" s="13">
        <v>8000</v>
      </c>
      <c r="L63" s="6">
        <f t="shared" si="10"/>
        <v>0</v>
      </c>
      <c r="M63" s="6">
        <f>VLOOKUP(C63,'IP PITSS'!$B$9:$I$91,8,0)</f>
        <v>0</v>
      </c>
      <c r="N63" s="6">
        <f t="shared" si="11"/>
        <v>0</v>
      </c>
      <c r="O63" s="6" t="s">
        <v>233</v>
      </c>
      <c r="P63" s="6">
        <f>VLOOKUP(C63,'RESUMEN PITS'!$C$3:$V$103,20,0)</f>
        <v>0</v>
      </c>
      <c r="Q63" s="6">
        <f t="shared" si="5"/>
        <v>423.19999999999982</v>
      </c>
      <c r="R63" s="6">
        <f t="shared" si="6"/>
        <v>13.263999999999996</v>
      </c>
      <c r="S63" s="6">
        <f t="shared" si="7"/>
        <v>676.46399999999983</v>
      </c>
      <c r="T63" s="6">
        <f t="shared" si="4"/>
        <v>108.23423999999997</v>
      </c>
    </row>
    <row r="64" spans="1:20" x14ac:dyDescent="0.2">
      <c r="A64" s="6" t="s">
        <v>234</v>
      </c>
      <c r="B64" s="6" t="s">
        <v>94</v>
      </c>
      <c r="C64" s="6" t="s">
        <v>235</v>
      </c>
      <c r="D64" s="6">
        <v>1699.04</v>
      </c>
      <c r="E64" s="6">
        <v>225</v>
      </c>
      <c r="F64" s="12"/>
      <c r="G64" s="6">
        <f t="shared" si="12"/>
        <v>0</v>
      </c>
      <c r="H64" s="6">
        <f t="shared" si="9"/>
        <v>1924.04</v>
      </c>
      <c r="J64" s="6">
        <f>VLOOKUP(C64,'IP PITSS'!$B$9:$U$91,3,0)</f>
        <v>0</v>
      </c>
      <c r="K64" s="13">
        <v>9000</v>
      </c>
      <c r="L64" s="6">
        <f t="shared" si="10"/>
        <v>0</v>
      </c>
      <c r="M64" s="6">
        <f>VLOOKUP(C64,'IP PITSS'!$B$9:$I$91,8,0)</f>
        <v>0</v>
      </c>
      <c r="N64" s="6">
        <f t="shared" si="11"/>
        <v>0</v>
      </c>
      <c r="O64" s="6" t="s">
        <v>236</v>
      </c>
      <c r="P64" s="6">
        <f>VLOOKUP(C64,'RESUMEN PITS'!$C$3:$V$103,20,0)</f>
        <v>0</v>
      </c>
      <c r="Q64" s="6">
        <f t="shared" si="5"/>
        <v>1699.04</v>
      </c>
      <c r="R64" s="6">
        <f t="shared" si="6"/>
        <v>38.480800000000002</v>
      </c>
      <c r="S64" s="6">
        <f t="shared" si="7"/>
        <v>1962.5208</v>
      </c>
      <c r="T64" s="6">
        <f t="shared" si="4"/>
        <v>314.00332800000001</v>
      </c>
    </row>
    <row r="65" spans="1:20" x14ac:dyDescent="0.2">
      <c r="A65" s="6" t="s">
        <v>237</v>
      </c>
      <c r="B65" s="6" t="s">
        <v>94</v>
      </c>
      <c r="C65" s="6" t="s">
        <v>238</v>
      </c>
      <c r="D65" s="6">
        <v>1060.6000000000004</v>
      </c>
      <c r="E65" s="19">
        <v>125</v>
      </c>
      <c r="F65" s="12"/>
      <c r="G65" s="6">
        <f t="shared" si="12"/>
        <v>0</v>
      </c>
      <c r="H65" s="6">
        <f t="shared" ref="H65:H72" si="13">SUM(D65:G65)</f>
        <v>1185.6000000000004</v>
      </c>
      <c r="J65" s="6">
        <f>VLOOKUP(C65,'IP PITSS'!$B$9:$U$91,3,0)</f>
        <v>0</v>
      </c>
      <c r="K65" s="13">
        <v>14000</v>
      </c>
      <c r="L65" s="6">
        <f t="shared" ref="L65:L79" si="14">(((+K65/30)*J65)*30%)</f>
        <v>0</v>
      </c>
      <c r="M65" s="6">
        <f>VLOOKUP(C65,'IP PITSS'!$B$9:$I$91,8,0)</f>
        <v>0</v>
      </c>
      <c r="N65" s="6">
        <f t="shared" ref="N65:N79" si="15">+L65-M65</f>
        <v>0</v>
      </c>
      <c r="O65" s="6" t="s">
        <v>239</v>
      </c>
      <c r="P65" s="6">
        <f>VLOOKUP(C65,'RESUMEN PITS'!$C$3:$V$103,20,0)</f>
        <v>0</v>
      </c>
      <c r="Q65" s="6">
        <f t="shared" si="5"/>
        <v>1060.6000000000004</v>
      </c>
      <c r="R65" s="6">
        <f t="shared" si="6"/>
        <v>23.712000000000007</v>
      </c>
      <c r="S65" s="6">
        <f t="shared" si="7"/>
        <v>1209.3120000000004</v>
      </c>
      <c r="T65" s="6">
        <f t="shared" si="4"/>
        <v>193.48992000000007</v>
      </c>
    </row>
    <row r="66" spans="1:20" x14ac:dyDescent="0.2">
      <c r="A66" s="6" t="s">
        <v>240</v>
      </c>
      <c r="B66" s="6" t="s">
        <v>94</v>
      </c>
      <c r="C66" s="6" t="s">
        <v>241</v>
      </c>
      <c r="D66" s="6">
        <v>3347.4100000000008</v>
      </c>
      <c r="E66" s="6">
        <v>412.5</v>
      </c>
      <c r="F66" s="12"/>
      <c r="G66" s="6">
        <f t="shared" si="12"/>
        <v>56.14</v>
      </c>
      <c r="H66" s="6">
        <f t="shared" si="13"/>
        <v>3816.0500000000006</v>
      </c>
      <c r="J66" s="6">
        <v>1</v>
      </c>
      <c r="K66" s="13">
        <v>15000</v>
      </c>
      <c r="L66" s="6">
        <f t="shared" si="14"/>
        <v>150</v>
      </c>
      <c r="M66" s="6">
        <f>VLOOKUP(C66,'IP PITSS'!$B$9:$I$91,8,0)</f>
        <v>93.86</v>
      </c>
      <c r="N66" s="6">
        <f t="shared" si="15"/>
        <v>56.14</v>
      </c>
      <c r="O66" s="6" t="s">
        <v>242</v>
      </c>
      <c r="P66" s="6">
        <f>VLOOKUP(C66,'RESUMEN PITS'!$C$3:$V$103,20,0)</f>
        <v>0</v>
      </c>
      <c r="Q66" s="6">
        <f t="shared" si="5"/>
        <v>3347.4100000000008</v>
      </c>
      <c r="R66" s="6">
        <f t="shared" si="6"/>
        <v>76.321000000000012</v>
      </c>
      <c r="S66" s="6">
        <f t="shared" si="7"/>
        <v>3892.3710000000005</v>
      </c>
      <c r="T66" s="6">
        <f t="shared" si="4"/>
        <v>622.77936000000011</v>
      </c>
    </row>
    <row r="67" spans="1:20" x14ac:dyDescent="0.2">
      <c r="A67" s="6" t="s">
        <v>243</v>
      </c>
      <c r="B67" s="6" t="s">
        <v>94</v>
      </c>
      <c r="C67" s="6" t="s">
        <v>244</v>
      </c>
      <c r="D67" s="6">
        <v>2556.3999999999996</v>
      </c>
      <c r="E67" s="6">
        <v>160</v>
      </c>
      <c r="F67" s="12"/>
      <c r="G67" s="6">
        <f t="shared" si="12"/>
        <v>0</v>
      </c>
      <c r="H67" s="6">
        <f t="shared" si="13"/>
        <v>2716.3999999999996</v>
      </c>
      <c r="J67" s="6">
        <f>VLOOKUP(C67,'IP PITSS'!$B$9:$U$91,3,0)</f>
        <v>0</v>
      </c>
      <c r="K67" s="13">
        <v>10000</v>
      </c>
      <c r="L67" s="6">
        <f t="shared" si="14"/>
        <v>0</v>
      </c>
      <c r="M67" s="6">
        <f>VLOOKUP(C67,'IP PITSS'!$B$9:$I$91,8,0)</f>
        <v>0</v>
      </c>
      <c r="N67" s="6">
        <f t="shared" si="15"/>
        <v>0</v>
      </c>
      <c r="O67" s="6" t="s">
        <v>245</v>
      </c>
      <c r="P67" s="6">
        <f>VLOOKUP(C67,'RESUMEN PITS'!$C$3:$V$103,20,0)</f>
        <v>0</v>
      </c>
      <c r="Q67" s="6">
        <f t="shared" si="5"/>
        <v>2556.3999999999996</v>
      </c>
      <c r="R67" s="6">
        <f t="shared" si="6"/>
        <v>54.327999999999996</v>
      </c>
      <c r="S67" s="6">
        <f t="shared" si="7"/>
        <v>2770.7279999999996</v>
      </c>
      <c r="T67" s="6">
        <f t="shared" ref="T67:T103" si="16">S67*16%</f>
        <v>443.31647999999996</v>
      </c>
    </row>
    <row r="68" spans="1:20" x14ac:dyDescent="0.2">
      <c r="A68" s="6" t="s">
        <v>246</v>
      </c>
      <c r="B68" s="6" t="s">
        <v>94</v>
      </c>
      <c r="C68" s="6" t="s">
        <v>247</v>
      </c>
      <c r="D68" s="6">
        <v>558.47500000000036</v>
      </c>
      <c r="E68" s="6">
        <v>625</v>
      </c>
      <c r="F68" s="12"/>
      <c r="G68" s="6">
        <f t="shared" si="12"/>
        <v>0</v>
      </c>
      <c r="H68" s="6">
        <f t="shared" si="13"/>
        <v>1183.4750000000004</v>
      </c>
      <c r="J68" s="6">
        <f>VLOOKUP(C68,'IP PITSS'!$B$9:$U$91,3,0)</f>
        <v>0</v>
      </c>
      <c r="K68" s="13">
        <v>9550.01</v>
      </c>
      <c r="L68" s="6">
        <f t="shared" si="14"/>
        <v>0</v>
      </c>
      <c r="M68" s="6">
        <f>VLOOKUP(C68,'IP PITSS'!$B$9:$I$91,8,0)</f>
        <v>0</v>
      </c>
      <c r="N68" s="6">
        <f t="shared" si="15"/>
        <v>0</v>
      </c>
      <c r="O68" s="6" t="s">
        <v>248</v>
      </c>
      <c r="P68" s="6">
        <f>VLOOKUP(C68,'RESUMEN PITS'!$C$3:$V$103,20,0)</f>
        <v>0</v>
      </c>
      <c r="Q68" s="6">
        <f t="shared" ref="Q68:Q103" si="17">+D68+P68</f>
        <v>558.47500000000036</v>
      </c>
      <c r="R68" s="6">
        <f t="shared" ref="R68:R103" si="18">H68*2%</f>
        <v>23.669500000000006</v>
      </c>
      <c r="S68" s="6">
        <f t="shared" ref="S68:S103" si="19">H68+R68</f>
        <v>1207.1445000000003</v>
      </c>
      <c r="T68" s="6">
        <f t="shared" si="16"/>
        <v>193.14312000000007</v>
      </c>
    </row>
    <row r="69" spans="1:20" x14ac:dyDescent="0.2">
      <c r="A69" s="6" t="s">
        <v>249</v>
      </c>
      <c r="B69" s="6" t="s">
        <v>94</v>
      </c>
      <c r="C69" s="6" t="s">
        <v>250</v>
      </c>
      <c r="D69" s="6">
        <v>4347.63</v>
      </c>
      <c r="E69" s="6">
        <v>281.25</v>
      </c>
      <c r="F69" s="12"/>
      <c r="G69" s="6">
        <f t="shared" si="12"/>
        <v>0</v>
      </c>
      <c r="H69" s="6">
        <f t="shared" si="13"/>
        <v>4628.88</v>
      </c>
      <c r="J69" s="6">
        <f>VLOOKUP(C69,'IP PITSS'!$B$9:$U$91,3,0)</f>
        <v>0</v>
      </c>
      <c r="K69" s="13">
        <v>17000</v>
      </c>
      <c r="L69" s="6">
        <f t="shared" si="14"/>
        <v>0</v>
      </c>
      <c r="M69" s="6">
        <f>VLOOKUP(C69,'IP PITSS'!$B$9:$I$91,8,0)</f>
        <v>0</v>
      </c>
      <c r="N69" s="6">
        <f t="shared" si="15"/>
        <v>0</v>
      </c>
      <c r="O69" s="6" t="s">
        <v>251</v>
      </c>
      <c r="P69" s="6">
        <f>VLOOKUP(C69,'RESUMEN PITS'!$C$3:$V$103,20,0)</f>
        <v>0</v>
      </c>
      <c r="Q69" s="6">
        <f t="shared" si="17"/>
        <v>4347.63</v>
      </c>
      <c r="R69" s="6">
        <f t="shared" si="18"/>
        <v>92.577600000000004</v>
      </c>
      <c r="S69" s="6">
        <f t="shared" si="19"/>
        <v>4721.4575999999997</v>
      </c>
      <c r="T69" s="6">
        <f t="shared" si="16"/>
        <v>755.43321600000002</v>
      </c>
    </row>
    <row r="70" spans="1:20" x14ac:dyDescent="0.2">
      <c r="A70" s="6" t="s">
        <v>252</v>
      </c>
      <c r="B70" s="6" t="s">
        <v>94</v>
      </c>
      <c r="C70" s="75" t="s">
        <v>427</v>
      </c>
      <c r="D70" s="6">
        <v>3557.3999999999996</v>
      </c>
      <c r="E70" s="6">
        <v>500</v>
      </c>
      <c r="F70" s="12"/>
      <c r="G70" s="6">
        <f t="shared" si="12"/>
        <v>0</v>
      </c>
      <c r="H70" s="6">
        <f t="shared" si="13"/>
        <v>4057.3999999999996</v>
      </c>
      <c r="J70" s="6">
        <f>'IP PITSS'!$D$63</f>
        <v>0</v>
      </c>
      <c r="K70" s="13">
        <v>12000</v>
      </c>
      <c r="L70" s="6">
        <f t="shared" si="14"/>
        <v>0</v>
      </c>
      <c r="M70" s="6">
        <v>0</v>
      </c>
      <c r="N70" s="6">
        <f t="shared" si="15"/>
        <v>0</v>
      </c>
      <c r="O70" s="6" t="s">
        <v>253</v>
      </c>
      <c r="P70" s="6">
        <f>VLOOKUP(C70,'RESUMEN PITS'!$C$3:$V$103,20,0)</f>
        <v>0</v>
      </c>
      <c r="Q70" s="6">
        <f t="shared" si="17"/>
        <v>3557.3999999999996</v>
      </c>
      <c r="R70" s="6">
        <f t="shared" si="18"/>
        <v>81.147999999999996</v>
      </c>
      <c r="S70" s="6">
        <f t="shared" si="19"/>
        <v>4138.5479999999998</v>
      </c>
      <c r="T70" s="6">
        <f t="shared" si="16"/>
        <v>662.16768000000002</v>
      </c>
    </row>
    <row r="71" spans="1:20" x14ac:dyDescent="0.2">
      <c r="A71" s="6" t="s">
        <v>254</v>
      </c>
      <c r="B71" s="6" t="s">
        <v>94</v>
      </c>
      <c r="C71" s="6" t="s">
        <v>255</v>
      </c>
      <c r="D71" s="6">
        <v>56.569999999999709</v>
      </c>
      <c r="E71" s="6">
        <v>310</v>
      </c>
      <c r="F71" s="12"/>
      <c r="G71" s="6">
        <f t="shared" si="12"/>
        <v>0</v>
      </c>
      <c r="H71" s="6">
        <f t="shared" si="13"/>
        <v>366.56999999999971</v>
      </c>
      <c r="J71" s="6">
        <f>VLOOKUP(C71,'IP PITSS'!$B$9:$U$91,3,0)</f>
        <v>0</v>
      </c>
      <c r="K71" s="13">
        <v>5000</v>
      </c>
      <c r="L71" s="6">
        <f t="shared" si="14"/>
        <v>0</v>
      </c>
      <c r="M71" s="6">
        <f>VLOOKUP(C71,'IP PITSS'!$B$9:$I$91,8,0)</f>
        <v>0</v>
      </c>
      <c r="N71" s="6">
        <f t="shared" si="15"/>
        <v>0</v>
      </c>
      <c r="O71" s="6" t="s">
        <v>256</v>
      </c>
      <c r="P71" s="6">
        <f>VLOOKUP(C71,'RESUMEN PITS'!$C$3:$V$103,20,0)</f>
        <v>0</v>
      </c>
      <c r="Q71" s="6">
        <f t="shared" si="17"/>
        <v>56.569999999999709</v>
      </c>
      <c r="R71" s="6">
        <f t="shared" si="18"/>
        <v>7.3313999999999941</v>
      </c>
      <c r="S71" s="6">
        <f t="shared" si="19"/>
        <v>373.90139999999968</v>
      </c>
      <c r="T71" s="6">
        <f t="shared" si="16"/>
        <v>59.824223999999951</v>
      </c>
    </row>
    <row r="72" spans="1:20" x14ac:dyDescent="0.2">
      <c r="A72" s="6" t="s">
        <v>257</v>
      </c>
      <c r="B72" s="6" t="s">
        <v>94</v>
      </c>
      <c r="C72" s="6" t="s">
        <v>258</v>
      </c>
      <c r="D72" s="6">
        <v>2266</v>
      </c>
      <c r="F72" s="12"/>
      <c r="G72" s="6">
        <f t="shared" si="12"/>
        <v>0</v>
      </c>
      <c r="H72" s="6">
        <f t="shared" si="13"/>
        <v>2266</v>
      </c>
      <c r="J72" s="6">
        <f>VLOOKUP(C72,'IP PITSS'!$B$9:$U$91,3,0)</f>
        <v>0</v>
      </c>
      <c r="K72" s="13">
        <v>9000</v>
      </c>
      <c r="L72" s="6">
        <f t="shared" si="14"/>
        <v>0</v>
      </c>
      <c r="M72" s="6">
        <f>VLOOKUP(C72,'IP PITSS'!$B$9:$I$91,8,0)</f>
        <v>0</v>
      </c>
      <c r="N72" s="6">
        <f t="shared" si="15"/>
        <v>0</v>
      </c>
      <c r="O72" s="6" t="s">
        <v>259</v>
      </c>
      <c r="P72" s="6">
        <f>VLOOKUP(C72,'RESUMEN PITS'!$C$3:$V$103,20,0)</f>
        <v>0</v>
      </c>
      <c r="Q72" s="6">
        <f t="shared" si="17"/>
        <v>2266</v>
      </c>
      <c r="R72" s="6">
        <f t="shared" si="18"/>
        <v>45.32</v>
      </c>
      <c r="S72" s="6">
        <f t="shared" si="19"/>
        <v>2311.3200000000002</v>
      </c>
      <c r="T72" s="6">
        <f t="shared" si="16"/>
        <v>369.81120000000004</v>
      </c>
    </row>
    <row r="73" spans="1:20" x14ac:dyDescent="0.2">
      <c r="B73" s="6" t="s">
        <v>94</v>
      </c>
      <c r="C73" s="6" t="s">
        <v>260</v>
      </c>
      <c r="D73" s="6">
        <v>713.80000000000018</v>
      </c>
      <c r="E73" s="12">
        <v>500</v>
      </c>
      <c r="F73" s="12"/>
      <c r="G73" s="6">
        <f t="shared" si="12"/>
        <v>0</v>
      </c>
      <c r="H73" s="12">
        <f>+D73+E73+F73+G73</f>
        <v>1213.8000000000002</v>
      </c>
      <c r="J73" s="6">
        <f>VLOOKUP(C73,'IP PITSS'!$B$9:$U$91,3,0)</f>
        <v>0</v>
      </c>
      <c r="K73" s="21">
        <v>8800</v>
      </c>
      <c r="L73" s="6">
        <f t="shared" si="14"/>
        <v>0</v>
      </c>
      <c r="M73" s="6">
        <f>VLOOKUP(C73,'IP PITSS'!$B$9:$I$91,8,0)</f>
        <v>0</v>
      </c>
      <c r="N73" s="6">
        <f t="shared" si="15"/>
        <v>0</v>
      </c>
      <c r="O73" s="6" t="s">
        <v>261</v>
      </c>
      <c r="P73" s="6">
        <f>VLOOKUP(C73,'RESUMEN PITS'!$C$3:$V$103,20,0)</f>
        <v>0</v>
      </c>
      <c r="Q73" s="6">
        <f t="shared" si="17"/>
        <v>713.80000000000018</v>
      </c>
      <c r="R73" s="6">
        <f t="shared" si="18"/>
        <v>24.276000000000003</v>
      </c>
      <c r="S73" s="6">
        <f t="shared" si="19"/>
        <v>1238.0760000000002</v>
      </c>
      <c r="T73" s="6">
        <f t="shared" si="16"/>
        <v>198.09216000000004</v>
      </c>
    </row>
    <row r="74" spans="1:20" x14ac:dyDescent="0.2">
      <c r="A74" s="6" t="s">
        <v>262</v>
      </c>
      <c r="B74" s="6" t="s">
        <v>94</v>
      </c>
      <c r="C74" s="6" t="s">
        <v>263</v>
      </c>
      <c r="D74" s="6">
        <v>2265.9700000000003</v>
      </c>
      <c r="E74" s="6">
        <v>300</v>
      </c>
      <c r="F74" s="12"/>
      <c r="G74" s="6">
        <f t="shared" si="12"/>
        <v>315</v>
      </c>
      <c r="H74" s="6">
        <f t="shared" ref="H74:H100" si="20">SUM(D74:G74)</f>
        <v>2880.9700000000003</v>
      </c>
      <c r="J74" s="6">
        <f>VLOOKUP(C74,'IP PITSS'!$B$9:$U$91,3,0)+3</f>
        <v>7</v>
      </c>
      <c r="K74" s="13">
        <v>9000</v>
      </c>
      <c r="L74" s="6">
        <f t="shared" si="14"/>
        <v>630</v>
      </c>
      <c r="M74" s="6">
        <f>VLOOKUP(C74,'IP PITSS'!$B$9:$I$91,8,0)</f>
        <v>315</v>
      </c>
      <c r="N74" s="6">
        <f t="shared" si="15"/>
        <v>315</v>
      </c>
      <c r="O74" s="6" t="s">
        <v>264</v>
      </c>
      <c r="P74" s="6">
        <f>VLOOKUP(C74,'RESUMEN PITS'!$C$3:$V$103,20,0)</f>
        <v>0</v>
      </c>
      <c r="Q74" s="6">
        <f t="shared" si="17"/>
        <v>2265.9700000000003</v>
      </c>
      <c r="R74" s="6">
        <f t="shared" si="18"/>
        <v>57.619400000000006</v>
      </c>
      <c r="S74" s="6">
        <f t="shared" si="19"/>
        <v>2938.5894000000003</v>
      </c>
      <c r="T74" s="6">
        <f t="shared" si="16"/>
        <v>470.17430400000006</v>
      </c>
    </row>
    <row r="75" spans="1:20" x14ac:dyDescent="0.2">
      <c r="A75" s="6" t="s">
        <v>265</v>
      </c>
      <c r="B75" s="6" t="s">
        <v>94</v>
      </c>
      <c r="C75" s="15" t="s">
        <v>266</v>
      </c>
      <c r="D75" s="6">
        <v>421.19999999999982</v>
      </c>
      <c r="E75" s="6">
        <v>225</v>
      </c>
      <c r="F75" s="12"/>
      <c r="G75" s="6">
        <v>0</v>
      </c>
      <c r="H75" s="6">
        <f t="shared" si="20"/>
        <v>646.19999999999982</v>
      </c>
      <c r="J75" s="6">
        <f>VLOOKUP(C75,'IP PITSS'!$B$9:$U$91,3,0)</f>
        <v>1</v>
      </c>
      <c r="K75" s="13">
        <v>8000</v>
      </c>
      <c r="L75" s="6">
        <f t="shared" si="14"/>
        <v>80</v>
      </c>
      <c r="M75" s="6">
        <f>VLOOKUP(C75,'IP PITSS'!$B$9:$I$91,8,0)</f>
        <v>80</v>
      </c>
      <c r="N75" s="6">
        <f t="shared" si="15"/>
        <v>0</v>
      </c>
      <c r="O75" s="6" t="s">
        <v>267</v>
      </c>
      <c r="P75" s="6">
        <f>VLOOKUP(C75,'RESUMEN PITS'!$C$3:$V$103,20,0)</f>
        <v>0</v>
      </c>
      <c r="Q75" s="6">
        <f t="shared" si="17"/>
        <v>421.19999999999982</v>
      </c>
      <c r="R75" s="6">
        <f t="shared" si="18"/>
        <v>12.923999999999996</v>
      </c>
      <c r="S75" s="6">
        <f t="shared" si="19"/>
        <v>659.1239999999998</v>
      </c>
      <c r="T75" s="6">
        <f t="shared" si="16"/>
        <v>105.45983999999997</v>
      </c>
    </row>
    <row r="76" spans="1:20" x14ac:dyDescent="0.2">
      <c r="A76" s="6" t="s">
        <v>269</v>
      </c>
      <c r="B76" s="6" t="s">
        <v>94</v>
      </c>
      <c r="C76" s="6" t="s">
        <v>270</v>
      </c>
      <c r="D76" s="6">
        <v>180.80000000000018</v>
      </c>
      <c r="E76" s="6">
        <v>843.75</v>
      </c>
      <c r="F76" s="12"/>
      <c r="G76" s="6">
        <f t="shared" ref="G76:G100" si="21">+N76</f>
        <v>0</v>
      </c>
      <c r="H76" s="6">
        <f t="shared" si="20"/>
        <v>1024.5500000000002</v>
      </c>
      <c r="J76" s="6">
        <f>VLOOKUP(C76,'IP PITSS'!$B$9:$U$91,3,0)</f>
        <v>0</v>
      </c>
      <c r="K76" s="13">
        <v>6300</v>
      </c>
      <c r="L76" s="6">
        <f t="shared" si="14"/>
        <v>0</v>
      </c>
      <c r="M76" s="6">
        <f>VLOOKUP(C76,'IP PITSS'!$B$9:$I$91,8,0)</f>
        <v>0</v>
      </c>
      <c r="N76" s="6">
        <f t="shared" si="15"/>
        <v>0</v>
      </c>
      <c r="O76" s="6" t="s">
        <v>271</v>
      </c>
      <c r="P76" s="6">
        <f>VLOOKUP(C76,'RESUMEN PITS'!$C$3:$V$103,20,0)</f>
        <v>0</v>
      </c>
      <c r="Q76" s="6">
        <f t="shared" si="17"/>
        <v>180.80000000000018</v>
      </c>
      <c r="R76" s="6">
        <f t="shared" si="18"/>
        <v>20.491000000000003</v>
      </c>
      <c r="S76" s="6">
        <f t="shared" si="19"/>
        <v>1045.0410000000002</v>
      </c>
      <c r="T76" s="6">
        <f t="shared" si="16"/>
        <v>167.20656000000002</v>
      </c>
    </row>
    <row r="77" spans="1:20" x14ac:dyDescent="0.2">
      <c r="A77" s="6" t="s">
        <v>272</v>
      </c>
      <c r="B77" s="6" t="s">
        <v>94</v>
      </c>
      <c r="C77" s="6" t="s">
        <v>273</v>
      </c>
      <c r="D77" s="6">
        <v>423.19999999999982</v>
      </c>
      <c r="E77" s="6">
        <v>1500</v>
      </c>
      <c r="F77" s="12"/>
      <c r="G77" s="6">
        <f t="shared" si="21"/>
        <v>0</v>
      </c>
      <c r="H77" s="6">
        <f t="shared" si="20"/>
        <v>1923.1999999999998</v>
      </c>
      <c r="J77" s="6">
        <f>VLOOKUP(C77,'IP PITSS'!$B$9:$U$91,3,0)</f>
        <v>1</v>
      </c>
      <c r="K77" s="13">
        <v>8000</v>
      </c>
      <c r="L77" s="6">
        <f t="shared" si="14"/>
        <v>80</v>
      </c>
      <c r="M77" s="6">
        <f>VLOOKUP(C77,'IP PITSS'!$B$9:$I$91,8,0)</f>
        <v>80</v>
      </c>
      <c r="N77" s="6">
        <f t="shared" si="15"/>
        <v>0</v>
      </c>
      <c r="O77" s="6" t="s">
        <v>274</v>
      </c>
      <c r="P77" s="6">
        <f>VLOOKUP(C77,'RESUMEN PITS'!$C$3:$V$103,20,0)</f>
        <v>0</v>
      </c>
      <c r="Q77" s="6">
        <f t="shared" si="17"/>
        <v>423.19999999999982</v>
      </c>
      <c r="R77" s="6">
        <f t="shared" si="18"/>
        <v>38.463999999999999</v>
      </c>
      <c r="S77" s="6">
        <f t="shared" si="19"/>
        <v>1961.6639999999998</v>
      </c>
      <c r="T77" s="6">
        <f t="shared" si="16"/>
        <v>313.86623999999995</v>
      </c>
    </row>
    <row r="78" spans="1:20" x14ac:dyDescent="0.2">
      <c r="A78" s="6" t="s">
        <v>276</v>
      </c>
      <c r="B78" s="6" t="s">
        <v>94</v>
      </c>
      <c r="C78" s="6" t="s">
        <v>277</v>
      </c>
      <c r="D78" s="6">
        <v>421.36000000000013</v>
      </c>
      <c r="E78" s="6">
        <v>200</v>
      </c>
      <c r="F78" s="12"/>
      <c r="G78" s="6">
        <f t="shared" si="21"/>
        <v>0</v>
      </c>
      <c r="H78" s="6">
        <f t="shared" si="20"/>
        <v>621.36000000000013</v>
      </c>
      <c r="J78" s="6">
        <v>6</v>
      </c>
      <c r="K78" s="13">
        <v>8000</v>
      </c>
      <c r="L78" s="6">
        <f t="shared" si="14"/>
        <v>480</v>
      </c>
      <c r="M78" s="6">
        <f>VLOOKUP(C78,'IP PITSS'!$B$9:$I$91,8,0)</f>
        <v>480</v>
      </c>
      <c r="N78" s="6">
        <f t="shared" si="15"/>
        <v>0</v>
      </c>
      <c r="O78" s="6" t="s">
        <v>278</v>
      </c>
      <c r="P78" s="6">
        <f>VLOOKUP(C78,'RESUMEN PITS'!$C$3:$V$103,20,0)</f>
        <v>0</v>
      </c>
      <c r="Q78" s="6">
        <f t="shared" si="17"/>
        <v>421.36000000000013</v>
      </c>
      <c r="R78" s="6">
        <f t="shared" si="18"/>
        <v>12.427200000000003</v>
      </c>
      <c r="S78" s="6">
        <f t="shared" si="19"/>
        <v>633.7872000000001</v>
      </c>
      <c r="T78" s="6">
        <f t="shared" si="16"/>
        <v>101.40595200000001</v>
      </c>
    </row>
    <row r="79" spans="1:20" x14ac:dyDescent="0.2">
      <c r="A79" s="6" t="s">
        <v>279</v>
      </c>
      <c r="B79" s="6" t="s">
        <v>94</v>
      </c>
      <c r="C79" s="6" t="s">
        <v>280</v>
      </c>
      <c r="D79" s="6">
        <v>602.39999999999964</v>
      </c>
      <c r="E79" s="6">
        <v>90</v>
      </c>
      <c r="F79" s="12"/>
      <c r="G79" s="6">
        <f t="shared" si="21"/>
        <v>0</v>
      </c>
      <c r="H79" s="6">
        <f t="shared" si="20"/>
        <v>692.39999999999964</v>
      </c>
      <c r="J79" s="6">
        <f>VLOOKUP(C79,'IP PITSS'!$B$9:$U$91,3,0)</f>
        <v>0</v>
      </c>
      <c r="K79" s="13">
        <v>10000</v>
      </c>
      <c r="L79" s="6">
        <f t="shared" si="14"/>
        <v>0</v>
      </c>
      <c r="M79" s="6">
        <f>VLOOKUP(C79,'IP PITSS'!$B$9:$I$91,8,0)</f>
        <v>0</v>
      </c>
      <c r="N79" s="6">
        <f t="shared" si="15"/>
        <v>0</v>
      </c>
      <c r="O79" s="6" t="s">
        <v>281</v>
      </c>
      <c r="P79" s="6">
        <f>VLOOKUP(C79,'RESUMEN PITS'!$C$3:$V$103,20,0)</f>
        <v>0</v>
      </c>
      <c r="Q79" s="6">
        <f t="shared" si="17"/>
        <v>602.39999999999964</v>
      </c>
      <c r="R79" s="6">
        <f t="shared" si="18"/>
        <v>13.847999999999994</v>
      </c>
      <c r="S79" s="6">
        <f t="shared" si="19"/>
        <v>706.24799999999959</v>
      </c>
      <c r="T79" s="6">
        <f t="shared" si="16"/>
        <v>112.99967999999994</v>
      </c>
    </row>
    <row r="80" spans="1:20" x14ac:dyDescent="0.2">
      <c r="B80" s="6" t="s">
        <v>94</v>
      </c>
      <c r="C80" s="6" t="s">
        <v>282</v>
      </c>
      <c r="D80" s="6">
        <v>211.42999999999984</v>
      </c>
      <c r="E80" s="6">
        <v>2642.92</v>
      </c>
      <c r="F80" s="12"/>
      <c r="G80" s="6">
        <f t="shared" si="21"/>
        <v>0</v>
      </c>
      <c r="H80" s="6">
        <f t="shared" si="20"/>
        <v>2854.35</v>
      </c>
      <c r="J80" s="6">
        <f>VLOOKUP(C80,'IP PITSS'!$B$9:$U$91,3,0)</f>
        <v>0</v>
      </c>
      <c r="K80" s="13">
        <v>5000</v>
      </c>
      <c r="M80" s="6">
        <f>VLOOKUP(C80,'IP PITSS'!$B$9:$I$91,8,0)</f>
        <v>0</v>
      </c>
      <c r="O80" s="6" t="s">
        <v>283</v>
      </c>
      <c r="P80" s="6">
        <f>VLOOKUP(C80,'RESUMEN PITS'!$C$3:$V$103,20,0)</f>
        <v>0</v>
      </c>
      <c r="Q80" s="6">
        <f t="shared" si="17"/>
        <v>211.42999999999984</v>
      </c>
      <c r="R80" s="6">
        <f t="shared" si="18"/>
        <v>57.086999999999996</v>
      </c>
      <c r="S80" s="6">
        <f t="shared" si="19"/>
        <v>2911.4369999999999</v>
      </c>
      <c r="T80" s="6">
        <f t="shared" si="16"/>
        <v>465.82992000000002</v>
      </c>
    </row>
    <row r="81" spans="1:20" x14ac:dyDescent="0.2">
      <c r="A81" s="6" t="s">
        <v>285</v>
      </c>
      <c r="B81" s="6" t="s">
        <v>94</v>
      </c>
      <c r="C81" s="6" t="s">
        <v>286</v>
      </c>
      <c r="D81" s="6">
        <v>180.80000000000018</v>
      </c>
      <c r="E81" s="12">
        <v>900</v>
      </c>
      <c r="F81" s="12"/>
      <c r="G81" s="6">
        <f t="shared" si="21"/>
        <v>0</v>
      </c>
      <c r="H81" s="6">
        <f t="shared" si="20"/>
        <v>1080.8000000000002</v>
      </c>
      <c r="J81" s="6">
        <f>VLOOKUP(C81,'IP PITSS'!$B$9:$U$91,3,0)</f>
        <v>0</v>
      </c>
      <c r="K81" s="13">
        <v>6300</v>
      </c>
      <c r="L81" s="6">
        <f t="shared" ref="L81:L100" si="22">(((+K81/30)*J81)*30%)</f>
        <v>0</v>
      </c>
      <c r="M81" s="6">
        <f>VLOOKUP(C81,'IP PITSS'!$B$9:$I$91,8,0)</f>
        <v>0</v>
      </c>
      <c r="N81" s="6">
        <f t="shared" ref="N81:N100" si="23">+L81-M81</f>
        <v>0</v>
      </c>
      <c r="O81" s="6" t="s">
        <v>287</v>
      </c>
      <c r="P81" s="6">
        <f>VLOOKUP(C81,'RESUMEN PITS'!$C$3:$V$103,20,0)</f>
        <v>0</v>
      </c>
      <c r="Q81" s="6">
        <f t="shared" si="17"/>
        <v>180.80000000000018</v>
      </c>
      <c r="R81" s="6">
        <f t="shared" si="18"/>
        <v>21.616000000000003</v>
      </c>
      <c r="S81" s="6">
        <f t="shared" si="19"/>
        <v>1102.4160000000002</v>
      </c>
      <c r="T81" s="6">
        <f t="shared" si="16"/>
        <v>176.38656000000003</v>
      </c>
    </row>
    <row r="82" spans="1:20" x14ac:dyDescent="0.2">
      <c r="A82" s="6" t="s">
        <v>288</v>
      </c>
      <c r="B82" s="6" t="s">
        <v>94</v>
      </c>
      <c r="C82" s="6" t="s">
        <v>289</v>
      </c>
      <c r="D82" s="6">
        <v>423</v>
      </c>
      <c r="E82" s="6">
        <v>330</v>
      </c>
      <c r="F82" s="12"/>
      <c r="G82" s="6">
        <f t="shared" si="21"/>
        <v>0</v>
      </c>
      <c r="H82" s="6">
        <f t="shared" si="20"/>
        <v>753</v>
      </c>
      <c r="J82" s="6">
        <f>VLOOKUP(C82,'IP PITSS'!$B$9:$U$91,3,0)</f>
        <v>0</v>
      </c>
      <c r="K82" s="13">
        <v>8000</v>
      </c>
      <c r="L82" s="6">
        <f t="shared" si="22"/>
        <v>0</v>
      </c>
      <c r="M82" s="6">
        <f>VLOOKUP(C82,'IP PITSS'!$B$9:$I$91,8,0)</f>
        <v>0</v>
      </c>
      <c r="N82" s="6">
        <f t="shared" si="23"/>
        <v>0</v>
      </c>
      <c r="O82" s="6" t="s">
        <v>290</v>
      </c>
      <c r="P82" s="6">
        <f>VLOOKUP(C82,'RESUMEN PITS'!$C$3:$V$103,20,0)</f>
        <v>0</v>
      </c>
      <c r="Q82" s="6">
        <f t="shared" si="17"/>
        <v>423</v>
      </c>
      <c r="R82" s="6">
        <f t="shared" si="18"/>
        <v>15.06</v>
      </c>
      <c r="S82" s="6">
        <f t="shared" si="19"/>
        <v>768.06</v>
      </c>
      <c r="T82" s="6">
        <f t="shared" si="16"/>
        <v>122.88959999999999</v>
      </c>
    </row>
    <row r="83" spans="1:20" x14ac:dyDescent="0.2">
      <c r="A83" s="6" t="s">
        <v>291</v>
      </c>
      <c r="B83" s="6" t="s">
        <v>94</v>
      </c>
      <c r="C83" s="12" t="s">
        <v>292</v>
      </c>
      <c r="D83" s="6">
        <v>56.599999999999909</v>
      </c>
      <c r="E83" s="12">
        <v>70</v>
      </c>
      <c r="F83" s="12"/>
      <c r="G83" s="6">
        <f t="shared" si="21"/>
        <v>0</v>
      </c>
      <c r="H83" s="6">
        <f t="shared" si="20"/>
        <v>126.59999999999991</v>
      </c>
      <c r="J83" s="6">
        <f>VLOOKUP(C83,'IP PITSS'!$B$9:$U$91,3,0)</f>
        <v>0</v>
      </c>
      <c r="K83" s="13">
        <v>5000</v>
      </c>
      <c r="L83" s="6">
        <f t="shared" si="22"/>
        <v>0</v>
      </c>
      <c r="M83" s="6">
        <f>VLOOKUP(C83,'IP PITSS'!$B$9:$I$91,8,0)</f>
        <v>0</v>
      </c>
      <c r="N83" s="6">
        <f t="shared" si="23"/>
        <v>0</v>
      </c>
      <c r="O83" s="6" t="s">
        <v>293</v>
      </c>
      <c r="P83" s="6">
        <f>VLOOKUP(C83,'RESUMEN PITS'!$C$3:$V$103,20,0)</f>
        <v>0</v>
      </c>
      <c r="Q83" s="6">
        <f t="shared" si="17"/>
        <v>56.599999999999909</v>
      </c>
      <c r="R83" s="6">
        <f t="shared" si="18"/>
        <v>2.5319999999999983</v>
      </c>
      <c r="S83" s="6">
        <f t="shared" si="19"/>
        <v>129.13199999999992</v>
      </c>
      <c r="T83" s="6">
        <f t="shared" si="16"/>
        <v>20.661119999999986</v>
      </c>
    </row>
    <row r="84" spans="1:20" x14ac:dyDescent="0.2">
      <c r="A84" s="6" t="s">
        <v>295</v>
      </c>
      <c r="B84" s="6" t="s">
        <v>94</v>
      </c>
      <c r="C84" s="6" t="s">
        <v>296</v>
      </c>
      <c r="D84" s="6">
        <v>2199.04</v>
      </c>
      <c r="E84" s="6">
        <v>110</v>
      </c>
      <c r="F84" s="12"/>
      <c r="G84" s="6">
        <f t="shared" si="21"/>
        <v>0</v>
      </c>
      <c r="H84" s="6">
        <f t="shared" si="20"/>
        <v>2309.04</v>
      </c>
      <c r="J84" s="6">
        <f>VLOOKUP(C84,'IP PITSS'!$B$9:$U$91,3,0)</f>
        <v>0</v>
      </c>
      <c r="K84" s="13">
        <v>10000</v>
      </c>
      <c r="L84" s="6">
        <f t="shared" si="22"/>
        <v>0</v>
      </c>
      <c r="M84" s="6">
        <f>VLOOKUP(C84,'IP PITSS'!$B$9:$I$91,8,0)</f>
        <v>0</v>
      </c>
      <c r="N84" s="6">
        <f t="shared" si="23"/>
        <v>0</v>
      </c>
      <c r="O84" s="6" t="s">
        <v>297</v>
      </c>
      <c r="P84" s="6">
        <f>VLOOKUP(C84,'RESUMEN PITS'!$C$3:$V$103,20,0)</f>
        <v>2.0000000000436557E-2</v>
      </c>
      <c r="Q84" s="6">
        <f t="shared" si="17"/>
        <v>2199.0600000000004</v>
      </c>
      <c r="R84" s="6">
        <f t="shared" si="18"/>
        <v>46.180799999999998</v>
      </c>
      <c r="S84" s="6">
        <f t="shared" si="19"/>
        <v>2355.2208000000001</v>
      </c>
      <c r="T84" s="6">
        <f t="shared" si="16"/>
        <v>376.835328</v>
      </c>
    </row>
    <row r="85" spans="1:20" x14ac:dyDescent="0.2">
      <c r="A85" s="6" t="s">
        <v>298</v>
      </c>
      <c r="B85" s="6" t="s">
        <v>94</v>
      </c>
      <c r="C85" s="6" t="s">
        <v>299</v>
      </c>
      <c r="D85" s="6">
        <v>423.19999999999982</v>
      </c>
      <c r="E85" s="6">
        <v>60</v>
      </c>
      <c r="F85" s="12"/>
      <c r="G85" s="6">
        <f t="shared" si="21"/>
        <v>0</v>
      </c>
      <c r="H85" s="6">
        <f t="shared" si="20"/>
        <v>483.19999999999982</v>
      </c>
      <c r="J85" s="6">
        <f>VLOOKUP(C85,'IP PITSS'!$B$9:$U$91,3,0)</f>
        <v>0</v>
      </c>
      <c r="K85" s="13">
        <v>8000</v>
      </c>
      <c r="L85" s="6">
        <f t="shared" si="22"/>
        <v>0</v>
      </c>
      <c r="M85" s="6">
        <f>VLOOKUP(C85,'IP PITSS'!$B$9:$I$91,8,0)</f>
        <v>0</v>
      </c>
      <c r="N85" s="6">
        <f t="shared" si="23"/>
        <v>0</v>
      </c>
      <c r="O85" s="6" t="s">
        <v>300</v>
      </c>
      <c r="P85" s="6">
        <f>VLOOKUP(C85,'RESUMEN PITS'!$C$3:$V$103,20,0)</f>
        <v>0</v>
      </c>
      <c r="Q85" s="6">
        <f t="shared" si="17"/>
        <v>423.19999999999982</v>
      </c>
      <c r="R85" s="6">
        <f t="shared" si="18"/>
        <v>9.6639999999999961</v>
      </c>
      <c r="S85" s="6">
        <f t="shared" si="19"/>
        <v>492.86399999999981</v>
      </c>
      <c r="T85" s="6">
        <f t="shared" si="16"/>
        <v>78.858239999999967</v>
      </c>
    </row>
    <row r="86" spans="1:20" x14ac:dyDescent="0.2">
      <c r="A86" s="6" t="s">
        <v>301</v>
      </c>
      <c r="B86" s="6" t="s">
        <v>94</v>
      </c>
      <c r="C86" s="6" t="s">
        <v>302</v>
      </c>
      <c r="D86" s="6">
        <v>228.40000000000009</v>
      </c>
      <c r="E86" s="12">
        <v>75</v>
      </c>
      <c r="F86" s="12"/>
      <c r="G86" s="6">
        <f t="shared" si="21"/>
        <v>0</v>
      </c>
      <c r="H86" s="6">
        <f t="shared" si="20"/>
        <v>303.40000000000009</v>
      </c>
      <c r="J86" s="6">
        <f>VLOOKUP(C86,'IP PITSS'!$B$9:$U$91,3,0)</f>
        <v>0</v>
      </c>
      <c r="K86" s="13">
        <v>7000</v>
      </c>
      <c r="L86" s="6">
        <f t="shared" si="22"/>
        <v>0</v>
      </c>
      <c r="M86" s="6">
        <f>VLOOKUP(C86,'IP PITSS'!$B$9:$I$91,8,0)</f>
        <v>0</v>
      </c>
      <c r="N86" s="6">
        <f t="shared" si="23"/>
        <v>0</v>
      </c>
      <c r="O86" s="6" t="s">
        <v>303</v>
      </c>
      <c r="P86" s="6">
        <f>VLOOKUP(C86,'RESUMEN PITS'!$C$3:$V$103,20,0)</f>
        <v>0</v>
      </c>
      <c r="Q86" s="6">
        <f t="shared" si="17"/>
        <v>228.40000000000009</v>
      </c>
      <c r="R86" s="6">
        <f t="shared" si="18"/>
        <v>6.0680000000000023</v>
      </c>
      <c r="S86" s="6">
        <f t="shared" si="19"/>
        <v>309.46800000000007</v>
      </c>
      <c r="T86" s="6">
        <f t="shared" si="16"/>
        <v>49.514880000000012</v>
      </c>
    </row>
    <row r="87" spans="1:20" x14ac:dyDescent="0.2">
      <c r="A87" s="6" t="s">
        <v>305</v>
      </c>
      <c r="B87" s="6" t="s">
        <v>94</v>
      </c>
      <c r="C87" s="6" t="s">
        <v>306</v>
      </c>
      <c r="D87" s="6">
        <v>227.19999999999982</v>
      </c>
      <c r="E87" s="12"/>
      <c r="F87" s="12"/>
      <c r="G87" s="6">
        <f t="shared" si="21"/>
        <v>0</v>
      </c>
      <c r="H87" s="6">
        <f t="shared" si="20"/>
        <v>227.19999999999982</v>
      </c>
      <c r="J87" s="6">
        <f>VLOOKUP(C87,'IP PITSS'!$B$9:$U$91,3,0)</f>
        <v>0</v>
      </c>
      <c r="K87" s="13">
        <v>7000</v>
      </c>
      <c r="L87" s="6">
        <f t="shared" si="22"/>
        <v>0</v>
      </c>
      <c r="M87" s="6">
        <f>VLOOKUP(C87,'IP PITSS'!$B$9:$I$91,8,0)</f>
        <v>0</v>
      </c>
      <c r="N87" s="6">
        <f t="shared" si="23"/>
        <v>0</v>
      </c>
      <c r="O87" s="6" t="s">
        <v>307</v>
      </c>
      <c r="P87" s="6">
        <f>VLOOKUP(C87,'RESUMEN PITS'!$C$3:$V$103,20,0)</f>
        <v>0</v>
      </c>
      <c r="Q87" s="6">
        <f t="shared" si="17"/>
        <v>227.19999999999982</v>
      </c>
      <c r="R87" s="6">
        <f t="shared" si="18"/>
        <v>4.543999999999996</v>
      </c>
      <c r="S87" s="6">
        <f t="shared" si="19"/>
        <v>231.7439999999998</v>
      </c>
      <c r="T87" s="6">
        <f t="shared" si="16"/>
        <v>37.079039999999971</v>
      </c>
    </row>
    <row r="88" spans="1:20" x14ac:dyDescent="0.2">
      <c r="A88" s="6" t="s">
        <v>308</v>
      </c>
      <c r="B88" s="6" t="s">
        <v>94</v>
      </c>
      <c r="C88" s="6" t="s">
        <v>309</v>
      </c>
      <c r="D88" s="6">
        <v>423.19999999999982</v>
      </c>
      <c r="E88" s="6">
        <v>180</v>
      </c>
      <c r="F88" s="12"/>
      <c r="G88" s="6">
        <f t="shared" si="21"/>
        <v>0</v>
      </c>
      <c r="H88" s="6">
        <f t="shared" si="20"/>
        <v>603.19999999999982</v>
      </c>
      <c r="J88" s="6">
        <f>VLOOKUP(C88,'IP PITSS'!$B$9:$U$91,3,0)</f>
        <v>1</v>
      </c>
      <c r="K88" s="13">
        <v>8000</v>
      </c>
      <c r="L88" s="6">
        <f t="shared" si="22"/>
        <v>80</v>
      </c>
      <c r="M88" s="6">
        <f>VLOOKUP(C88,'IP PITSS'!$B$9:$I$91,8,0)</f>
        <v>80</v>
      </c>
      <c r="N88" s="6">
        <f t="shared" si="23"/>
        <v>0</v>
      </c>
      <c r="O88" s="6" t="s">
        <v>310</v>
      </c>
      <c r="P88" s="6">
        <f>VLOOKUP(C88,'RESUMEN PITS'!$C$3:$V$103,20,0)</f>
        <v>0</v>
      </c>
      <c r="Q88" s="6">
        <f t="shared" si="17"/>
        <v>423.19999999999982</v>
      </c>
      <c r="R88" s="6">
        <f t="shared" si="18"/>
        <v>12.063999999999997</v>
      </c>
      <c r="S88" s="6">
        <f t="shared" si="19"/>
        <v>615.26399999999978</v>
      </c>
      <c r="T88" s="6">
        <f t="shared" si="16"/>
        <v>98.44223999999997</v>
      </c>
    </row>
    <row r="89" spans="1:20" x14ac:dyDescent="0.2">
      <c r="A89" s="6" t="s">
        <v>311</v>
      </c>
      <c r="B89" s="6" t="s">
        <v>94</v>
      </c>
      <c r="C89" s="6" t="s">
        <v>312</v>
      </c>
      <c r="D89" s="6">
        <v>421.40000000000009</v>
      </c>
      <c r="E89" s="6">
        <v>480</v>
      </c>
      <c r="F89" s="12"/>
      <c r="G89" s="6">
        <f t="shared" si="21"/>
        <v>0</v>
      </c>
      <c r="H89" s="6">
        <f t="shared" si="20"/>
        <v>901.40000000000009</v>
      </c>
      <c r="J89" s="6">
        <f>VLOOKUP(C89,'IP PITSS'!$B$9:$U$91,3,0)</f>
        <v>0</v>
      </c>
      <c r="K89" s="13">
        <v>8000</v>
      </c>
      <c r="L89" s="6">
        <f t="shared" si="22"/>
        <v>0</v>
      </c>
      <c r="M89" s="6">
        <f>VLOOKUP(C89,'IP PITSS'!$B$9:$I$91,8,0)</f>
        <v>0</v>
      </c>
      <c r="N89" s="6">
        <f t="shared" si="23"/>
        <v>0</v>
      </c>
      <c r="O89" s="6" t="s">
        <v>313</v>
      </c>
      <c r="P89" s="6">
        <f>VLOOKUP(C89,'RESUMEN PITS'!$C$3:$V$103,20,0)</f>
        <v>0</v>
      </c>
      <c r="Q89" s="6">
        <f t="shared" si="17"/>
        <v>421.40000000000009</v>
      </c>
      <c r="R89" s="6">
        <f t="shared" si="18"/>
        <v>18.028000000000002</v>
      </c>
      <c r="S89" s="6">
        <f t="shared" si="19"/>
        <v>919.42800000000011</v>
      </c>
      <c r="T89" s="6">
        <f t="shared" si="16"/>
        <v>147.10848000000001</v>
      </c>
    </row>
    <row r="90" spans="1:20" x14ac:dyDescent="0.2">
      <c r="A90" s="6" t="s">
        <v>314</v>
      </c>
      <c r="B90" s="6" t="s">
        <v>94</v>
      </c>
      <c r="C90" s="6" t="s">
        <v>315</v>
      </c>
      <c r="D90" s="6">
        <v>1707.3899999999999</v>
      </c>
      <c r="E90" s="6">
        <v>750</v>
      </c>
      <c r="F90" s="12"/>
      <c r="G90" s="6">
        <f t="shared" si="21"/>
        <v>0</v>
      </c>
      <c r="H90" s="6">
        <f t="shared" si="20"/>
        <v>2457.39</v>
      </c>
      <c r="J90" s="6">
        <f>VLOOKUP(C90,'IP PITSS'!$B$9:$U$91,3,0)</f>
        <v>0</v>
      </c>
      <c r="K90" s="13">
        <v>7000</v>
      </c>
      <c r="L90" s="6">
        <f t="shared" si="22"/>
        <v>0</v>
      </c>
      <c r="M90" s="6">
        <f>VLOOKUP(C90,'IP PITSS'!$B$9:$I$91,8,0)</f>
        <v>0</v>
      </c>
      <c r="N90" s="6">
        <f t="shared" si="23"/>
        <v>0</v>
      </c>
      <c r="O90" s="6" t="s">
        <v>316</v>
      </c>
      <c r="P90" s="6">
        <f>VLOOKUP(C90,'RESUMEN PITS'!$C$3:$V$103,20,0)</f>
        <v>0</v>
      </c>
      <c r="Q90" s="6">
        <f t="shared" si="17"/>
        <v>1707.3899999999999</v>
      </c>
      <c r="R90" s="6">
        <f t="shared" si="18"/>
        <v>49.147799999999997</v>
      </c>
      <c r="S90" s="6">
        <f t="shared" si="19"/>
        <v>2506.5378000000001</v>
      </c>
      <c r="T90" s="6">
        <f t="shared" si="16"/>
        <v>401.04604800000004</v>
      </c>
    </row>
    <row r="91" spans="1:20" x14ac:dyDescent="0.2">
      <c r="A91" s="6" t="s">
        <v>318</v>
      </c>
      <c r="B91" s="6" t="s">
        <v>94</v>
      </c>
      <c r="C91" s="6" t="s">
        <v>319</v>
      </c>
      <c r="D91" s="6">
        <v>1673.4799999999991</v>
      </c>
      <c r="E91" s="6">
        <v>165</v>
      </c>
      <c r="F91" s="12"/>
      <c r="G91" s="6">
        <f t="shared" si="21"/>
        <v>0</v>
      </c>
      <c r="H91" s="6">
        <f t="shared" si="20"/>
        <v>1838.4799999999991</v>
      </c>
      <c r="J91" s="6">
        <f>VLOOKUP(C91,'IP PITSS'!$B$9:$U$91,3,0)</f>
        <v>0</v>
      </c>
      <c r="K91" s="13">
        <v>10000</v>
      </c>
      <c r="L91" s="6">
        <f t="shared" si="22"/>
        <v>0</v>
      </c>
      <c r="M91" s="6">
        <f>VLOOKUP(C91,'IP PITSS'!$B$9:$I$91,8,0)</f>
        <v>0</v>
      </c>
      <c r="N91" s="6">
        <f t="shared" si="23"/>
        <v>0</v>
      </c>
      <c r="O91" s="6" t="s">
        <v>320</v>
      </c>
      <c r="P91" s="6">
        <f>VLOOKUP(C91,'RESUMEN PITS'!$C$3:$V$103,20,0)</f>
        <v>0</v>
      </c>
      <c r="Q91" s="6">
        <f t="shared" si="17"/>
        <v>1673.4799999999991</v>
      </c>
      <c r="R91" s="6">
        <f t="shared" si="18"/>
        <v>36.769599999999983</v>
      </c>
      <c r="S91" s="6">
        <f t="shared" si="19"/>
        <v>1875.2495999999992</v>
      </c>
      <c r="T91" s="6">
        <f t="shared" si="16"/>
        <v>300.0399359999999</v>
      </c>
    </row>
    <row r="92" spans="1:20" x14ac:dyDescent="0.2">
      <c r="A92" s="6" t="s">
        <v>321</v>
      </c>
      <c r="B92" s="6" t="s">
        <v>94</v>
      </c>
      <c r="C92" s="6" t="s">
        <v>322</v>
      </c>
      <c r="D92" s="6">
        <v>1923.3999999999996</v>
      </c>
      <c r="E92" s="6">
        <v>1200</v>
      </c>
      <c r="F92" s="12"/>
      <c r="G92" s="6">
        <f t="shared" si="21"/>
        <v>0</v>
      </c>
      <c r="H92" s="6">
        <f t="shared" si="20"/>
        <v>3123.3999999999996</v>
      </c>
      <c r="J92" s="6">
        <f>VLOOKUP(C92,'IP PITSS'!$B$9:$U$91,3,0)</f>
        <v>0</v>
      </c>
      <c r="K92" s="13">
        <v>10500</v>
      </c>
      <c r="L92" s="6">
        <f t="shared" si="22"/>
        <v>0</v>
      </c>
      <c r="M92" s="6">
        <f>VLOOKUP(C92,'IP PITSS'!$B$9:$I$91,8,0)</f>
        <v>0</v>
      </c>
      <c r="N92" s="6">
        <f t="shared" si="23"/>
        <v>0</v>
      </c>
      <c r="O92" s="6" t="s">
        <v>323</v>
      </c>
      <c r="P92" s="6">
        <f>VLOOKUP(C92,'RESUMEN PITS'!$C$3:$V$103,20,0)</f>
        <v>0</v>
      </c>
      <c r="Q92" s="6">
        <f t="shared" si="17"/>
        <v>1923.3999999999996</v>
      </c>
      <c r="R92" s="6">
        <f t="shared" si="18"/>
        <v>62.467999999999996</v>
      </c>
      <c r="S92" s="6">
        <f t="shared" si="19"/>
        <v>3185.8679999999995</v>
      </c>
      <c r="T92" s="6">
        <f t="shared" si="16"/>
        <v>509.73887999999994</v>
      </c>
    </row>
    <row r="93" spans="1:20" x14ac:dyDescent="0.2">
      <c r="A93" s="6" t="s">
        <v>36</v>
      </c>
      <c r="B93" s="6" t="s">
        <v>94</v>
      </c>
      <c r="C93" s="6" t="s">
        <v>324</v>
      </c>
      <c r="D93" s="6">
        <v>421.40000000000009</v>
      </c>
      <c r="E93" s="6">
        <v>225</v>
      </c>
      <c r="F93" s="12"/>
      <c r="G93" s="6">
        <f t="shared" si="21"/>
        <v>0</v>
      </c>
      <c r="H93" s="6">
        <f t="shared" si="20"/>
        <v>646.40000000000009</v>
      </c>
      <c r="J93" s="6">
        <f>VLOOKUP(C93,'IP PITSS'!$B$9:$U$91,3,0)</f>
        <v>0</v>
      </c>
      <c r="K93" s="13">
        <v>8000</v>
      </c>
      <c r="L93" s="6">
        <f t="shared" si="22"/>
        <v>0</v>
      </c>
      <c r="M93" s="6">
        <f>VLOOKUP(C93,'IP PITSS'!$B$9:$I$91,8,0)</f>
        <v>0</v>
      </c>
      <c r="N93" s="6">
        <f t="shared" si="23"/>
        <v>0</v>
      </c>
      <c r="O93" s="6" t="s">
        <v>325</v>
      </c>
      <c r="P93" s="6">
        <f>VLOOKUP(C93,'RESUMEN PITS'!$C$3:$V$103,20,0)</f>
        <v>0</v>
      </c>
      <c r="Q93" s="6">
        <f t="shared" si="17"/>
        <v>421.40000000000009</v>
      </c>
      <c r="R93" s="6">
        <f t="shared" si="18"/>
        <v>12.928000000000003</v>
      </c>
      <c r="S93" s="6">
        <f t="shared" si="19"/>
        <v>659.32800000000009</v>
      </c>
      <c r="T93" s="6">
        <f t="shared" si="16"/>
        <v>105.49248000000001</v>
      </c>
    </row>
    <row r="94" spans="1:20" x14ac:dyDescent="0.2">
      <c r="A94" s="6" t="s">
        <v>326</v>
      </c>
      <c r="B94" s="6" t="s">
        <v>94</v>
      </c>
      <c r="C94" s="6" t="s">
        <v>327</v>
      </c>
      <c r="D94" s="6">
        <v>423.19999999999982</v>
      </c>
      <c r="E94" s="6">
        <v>510</v>
      </c>
      <c r="F94" s="12"/>
      <c r="G94" s="6">
        <f t="shared" si="21"/>
        <v>0</v>
      </c>
      <c r="H94" s="6">
        <f t="shared" si="20"/>
        <v>933.19999999999982</v>
      </c>
      <c r="J94" s="6">
        <f>VLOOKUP(C94,'IP PITSS'!$B$9:$U$91,3,0)</f>
        <v>0</v>
      </c>
      <c r="K94" s="13">
        <v>8000</v>
      </c>
      <c r="L94" s="6">
        <f t="shared" si="22"/>
        <v>0</v>
      </c>
      <c r="M94" s="6">
        <f>VLOOKUP(C94,'IP PITSS'!$B$9:$I$91,8,0)</f>
        <v>0</v>
      </c>
      <c r="N94" s="6">
        <f t="shared" si="23"/>
        <v>0</v>
      </c>
      <c r="O94" s="6" t="s">
        <v>328</v>
      </c>
      <c r="P94" s="6">
        <f>VLOOKUP(C94,'RESUMEN PITS'!$C$3:$V$103,20,0)</f>
        <v>0</v>
      </c>
      <c r="Q94" s="6">
        <f t="shared" si="17"/>
        <v>423.19999999999982</v>
      </c>
      <c r="R94" s="6">
        <f t="shared" si="18"/>
        <v>18.663999999999998</v>
      </c>
      <c r="S94" s="6">
        <f t="shared" si="19"/>
        <v>951.86399999999981</v>
      </c>
      <c r="T94" s="6">
        <f t="shared" si="16"/>
        <v>152.29823999999996</v>
      </c>
    </row>
    <row r="95" spans="1:20" x14ac:dyDescent="0.2">
      <c r="A95" s="6" t="s">
        <v>329</v>
      </c>
      <c r="B95" s="6" t="s">
        <v>94</v>
      </c>
      <c r="C95" s="6" t="s">
        <v>330</v>
      </c>
      <c r="D95" s="6">
        <v>2673.5399999999995</v>
      </c>
      <c r="F95" s="12"/>
      <c r="G95" s="6">
        <f t="shared" si="21"/>
        <v>0</v>
      </c>
      <c r="H95" s="6">
        <f t="shared" si="20"/>
        <v>2673.5399999999995</v>
      </c>
      <c r="J95" s="6">
        <f>VLOOKUP(C95,'IP PITSS'!$B$9:$U$91,3,0)</f>
        <v>0</v>
      </c>
      <c r="K95" s="13">
        <v>12000</v>
      </c>
      <c r="L95" s="6">
        <f t="shared" si="22"/>
        <v>0</v>
      </c>
      <c r="M95" s="6">
        <f>VLOOKUP(C95,'IP PITSS'!$B$9:$I$91,8,0)</f>
        <v>0</v>
      </c>
      <c r="N95" s="6">
        <f t="shared" si="23"/>
        <v>0</v>
      </c>
      <c r="O95" s="6" t="s">
        <v>331</v>
      </c>
      <c r="P95" s="6">
        <f>VLOOKUP(C95,'RESUMEN PITS'!$C$3:$V$103,20,0)</f>
        <v>0</v>
      </c>
      <c r="Q95" s="6">
        <f t="shared" si="17"/>
        <v>2673.5399999999995</v>
      </c>
      <c r="R95" s="6">
        <f t="shared" si="18"/>
        <v>53.47079999999999</v>
      </c>
      <c r="S95" s="6">
        <f t="shared" si="19"/>
        <v>2727.0107999999996</v>
      </c>
      <c r="T95" s="6">
        <f t="shared" si="16"/>
        <v>436.32172799999995</v>
      </c>
    </row>
    <row r="96" spans="1:20" ht="14.25" customHeight="1" x14ac:dyDescent="0.2">
      <c r="A96" s="6" t="s">
        <v>332</v>
      </c>
      <c r="B96" s="6" t="s">
        <v>94</v>
      </c>
      <c r="C96" s="6" t="s">
        <v>333</v>
      </c>
      <c r="D96" s="6">
        <v>423.21000000000004</v>
      </c>
      <c r="E96" s="6">
        <v>270</v>
      </c>
      <c r="F96" s="12"/>
      <c r="G96" s="6">
        <f t="shared" si="21"/>
        <v>0</v>
      </c>
      <c r="H96" s="6">
        <f t="shared" si="20"/>
        <v>693.21</v>
      </c>
      <c r="J96" s="6">
        <f>VLOOKUP(C96,'IP PITSS'!$B$9:$U$91,3,0)</f>
        <v>0</v>
      </c>
      <c r="K96" s="13">
        <v>8000</v>
      </c>
      <c r="L96" s="6">
        <f t="shared" si="22"/>
        <v>0</v>
      </c>
      <c r="M96" s="6">
        <f>VLOOKUP(C96,'IP PITSS'!$B$9:$I$91,8,0)</f>
        <v>0</v>
      </c>
      <c r="N96" s="6">
        <f t="shared" si="23"/>
        <v>0</v>
      </c>
      <c r="O96" s="6" t="s">
        <v>334</v>
      </c>
      <c r="P96" s="6">
        <f>VLOOKUP(C96,'RESUMEN PITS'!$C$3:$V$103,20,0)</f>
        <v>0</v>
      </c>
      <c r="Q96" s="6">
        <f t="shared" si="17"/>
        <v>423.21000000000004</v>
      </c>
      <c r="R96" s="6">
        <f t="shared" si="18"/>
        <v>13.8642</v>
      </c>
      <c r="S96" s="6">
        <f t="shared" si="19"/>
        <v>707.07420000000002</v>
      </c>
      <c r="T96" s="6">
        <f t="shared" si="16"/>
        <v>113.131872</v>
      </c>
    </row>
    <row r="97" spans="1:20" ht="14.25" customHeight="1" x14ac:dyDescent="0.2">
      <c r="A97" s="6" t="s">
        <v>335</v>
      </c>
      <c r="B97" s="6" t="s">
        <v>94</v>
      </c>
      <c r="C97" s="6" t="s">
        <v>336</v>
      </c>
      <c r="D97" s="6">
        <v>140.42000000000007</v>
      </c>
      <c r="F97" s="12"/>
      <c r="G97" s="6">
        <f t="shared" si="21"/>
        <v>0</v>
      </c>
      <c r="H97" s="6">
        <f t="shared" si="20"/>
        <v>140.42000000000007</v>
      </c>
      <c r="J97" s="6">
        <f>VLOOKUP(C97,'IP PITSS'!$B$9:$U$91,3,0)</f>
        <v>0</v>
      </c>
      <c r="K97" s="13">
        <v>6000</v>
      </c>
      <c r="L97" s="6">
        <f t="shared" si="22"/>
        <v>0</v>
      </c>
      <c r="M97" s="6">
        <f>VLOOKUP(C97,'IP PITSS'!$B$9:$I$91,8,0)</f>
        <v>0</v>
      </c>
      <c r="N97" s="6">
        <f t="shared" si="23"/>
        <v>0</v>
      </c>
      <c r="O97" s="6" t="s">
        <v>337</v>
      </c>
      <c r="P97" s="6">
        <f>VLOOKUP(C97,'RESUMEN PITS'!$C$3:$V$103,20,0)</f>
        <v>0</v>
      </c>
      <c r="Q97" s="6">
        <f t="shared" si="17"/>
        <v>140.42000000000007</v>
      </c>
      <c r="R97" s="6">
        <f t="shared" si="18"/>
        <v>2.8084000000000016</v>
      </c>
      <c r="S97" s="6">
        <f t="shared" si="19"/>
        <v>143.22840000000008</v>
      </c>
      <c r="T97" s="6">
        <f t="shared" si="16"/>
        <v>22.916544000000012</v>
      </c>
    </row>
    <row r="98" spans="1:20" ht="14.25" customHeight="1" x14ac:dyDescent="0.2">
      <c r="A98" s="6" t="s">
        <v>339</v>
      </c>
      <c r="B98" s="6" t="s">
        <v>94</v>
      </c>
      <c r="C98" s="6" t="s">
        <v>340</v>
      </c>
      <c r="D98" s="6">
        <v>1140.3000000000002</v>
      </c>
      <c r="F98" s="12"/>
      <c r="G98" s="6">
        <f t="shared" si="21"/>
        <v>0</v>
      </c>
      <c r="H98" s="6">
        <f t="shared" si="20"/>
        <v>1140.3000000000002</v>
      </c>
      <c r="J98" s="6">
        <f>VLOOKUP(C98,'IP PITSS'!$B$9:$U$91,3,0)</f>
        <v>0</v>
      </c>
      <c r="K98" s="13">
        <v>8000</v>
      </c>
      <c r="L98" s="6">
        <f t="shared" si="22"/>
        <v>0</v>
      </c>
      <c r="M98" s="6">
        <f>VLOOKUP(C98,'IP PITSS'!$B$9:$I$91,8,0)</f>
        <v>0</v>
      </c>
      <c r="N98" s="6">
        <f t="shared" si="23"/>
        <v>0</v>
      </c>
      <c r="O98" s="6" t="s">
        <v>341</v>
      </c>
      <c r="P98" s="6">
        <f>VLOOKUP(C98,'RESUMEN PITS'!$C$3:$V$103,20,0)</f>
        <v>0</v>
      </c>
      <c r="Q98" s="6">
        <f t="shared" si="17"/>
        <v>1140.3000000000002</v>
      </c>
      <c r="R98" s="6">
        <f t="shared" si="18"/>
        <v>22.806000000000004</v>
      </c>
      <c r="S98" s="6">
        <f t="shared" si="19"/>
        <v>1163.1060000000002</v>
      </c>
      <c r="T98" s="6">
        <f t="shared" si="16"/>
        <v>186.09696000000005</v>
      </c>
    </row>
    <row r="99" spans="1:20" ht="14.25" customHeight="1" x14ac:dyDescent="0.2">
      <c r="B99" s="6" t="s">
        <v>94</v>
      </c>
      <c r="C99" s="6" t="s">
        <v>342</v>
      </c>
      <c r="D99" s="6">
        <v>57.400000000000091</v>
      </c>
      <c r="F99" s="12"/>
      <c r="G99" s="6">
        <f t="shared" si="21"/>
        <v>0</v>
      </c>
      <c r="H99" s="6">
        <f t="shared" si="20"/>
        <v>57.400000000000091</v>
      </c>
      <c r="J99" s="6">
        <f>VLOOKUP(C99,'IP PITSS'!$B$9:$U$91,3,0)</f>
        <v>0</v>
      </c>
      <c r="K99" s="13">
        <v>5000</v>
      </c>
      <c r="L99" s="6">
        <f t="shared" si="22"/>
        <v>0</v>
      </c>
      <c r="M99" s="6">
        <f>VLOOKUP(C99,'IP PITSS'!$B$9:$I$91,8,0)</f>
        <v>0</v>
      </c>
      <c r="N99" s="6">
        <f t="shared" si="23"/>
        <v>0</v>
      </c>
      <c r="O99" s="6" t="s">
        <v>343</v>
      </c>
      <c r="P99" s="6">
        <f>VLOOKUP(C99,'RESUMEN PITS'!$C$3:$V$103,20,0)</f>
        <v>0</v>
      </c>
      <c r="Q99" s="6">
        <f t="shared" si="17"/>
        <v>57.400000000000091</v>
      </c>
      <c r="R99" s="6">
        <f t="shared" si="18"/>
        <v>1.1480000000000019</v>
      </c>
      <c r="S99" s="6">
        <f t="shared" si="19"/>
        <v>58.548000000000094</v>
      </c>
      <c r="T99" s="6">
        <f t="shared" si="16"/>
        <v>9.367680000000016</v>
      </c>
    </row>
    <row r="100" spans="1:20" ht="14.25" customHeight="1" x14ac:dyDescent="0.2">
      <c r="B100" s="21" t="s">
        <v>94</v>
      </c>
      <c r="C100" s="6" t="s">
        <v>344</v>
      </c>
      <c r="D100" s="6">
        <f>313.6-200</f>
        <v>113.60000000000002</v>
      </c>
      <c r="E100" s="6">
        <v>325</v>
      </c>
      <c r="F100" s="12"/>
      <c r="G100" s="6">
        <f t="shared" si="21"/>
        <v>0</v>
      </c>
      <c r="H100" s="6">
        <f t="shared" si="20"/>
        <v>438.6</v>
      </c>
      <c r="J100" s="6">
        <f>VLOOKUP(C100,'IP PITSS'!$B$9:$U$91,3,0)</f>
        <v>0</v>
      </c>
      <c r="K100" s="13">
        <v>6000</v>
      </c>
      <c r="L100" s="6">
        <f t="shared" si="22"/>
        <v>0</v>
      </c>
      <c r="M100" s="6">
        <f>VLOOKUP(C100,'IP PITSS'!$B$9:$I$91,8,0)</f>
        <v>0</v>
      </c>
      <c r="N100" s="6">
        <f t="shared" si="23"/>
        <v>0</v>
      </c>
      <c r="O100" s="6" t="s">
        <v>345</v>
      </c>
      <c r="P100" s="6">
        <f>VLOOKUP(C100,'RESUMEN PITS'!$C$3:$V$103,20,0)</f>
        <v>200</v>
      </c>
      <c r="Q100" s="6">
        <f t="shared" si="17"/>
        <v>313.60000000000002</v>
      </c>
      <c r="R100" s="6">
        <f t="shared" si="18"/>
        <v>8.7720000000000002</v>
      </c>
      <c r="S100" s="6">
        <f t="shared" si="19"/>
        <v>447.37200000000001</v>
      </c>
      <c r="T100" s="6">
        <f t="shared" si="16"/>
        <v>71.579520000000002</v>
      </c>
    </row>
    <row r="101" spans="1:20" ht="14.25" customHeight="1" x14ac:dyDescent="0.2">
      <c r="B101" s="21" t="s">
        <v>94</v>
      </c>
      <c r="C101" s="6" t="s">
        <v>430</v>
      </c>
      <c r="D101" s="6">
        <v>179.8</v>
      </c>
      <c r="F101" s="12"/>
      <c r="G101" s="6">
        <f t="shared" ref="G101:G103" si="24">+N101</f>
        <v>0</v>
      </c>
      <c r="H101" s="6">
        <f t="shared" ref="H101:H103" si="25">SUM(D101:G101)</f>
        <v>179.8</v>
      </c>
      <c r="J101" s="6">
        <f>VLOOKUP(C101,'IP PITSS'!$B$9:$U$91,3,0)</f>
        <v>0</v>
      </c>
      <c r="K101" s="13">
        <v>6300</v>
      </c>
      <c r="L101" s="6">
        <f t="shared" ref="L101:L103" si="26">(((+K101/30)*J101)*30%)</f>
        <v>0</v>
      </c>
      <c r="M101" s="6">
        <f>VLOOKUP(C101,'IP PITSS'!$B$9:$I$91,8,0)</f>
        <v>0</v>
      </c>
      <c r="N101" s="6">
        <f t="shared" ref="N101:N103" si="27">+L101-M101</f>
        <v>0</v>
      </c>
      <c r="P101" s="6">
        <f>VLOOKUP(C101,'RESUMEN PITS'!$C$3:$V$103,20,0)</f>
        <v>0</v>
      </c>
      <c r="Q101" s="6">
        <f t="shared" si="17"/>
        <v>179.8</v>
      </c>
      <c r="R101" s="6">
        <f t="shared" si="18"/>
        <v>3.5960000000000001</v>
      </c>
      <c r="S101" s="6">
        <f t="shared" si="19"/>
        <v>183.39600000000002</v>
      </c>
      <c r="T101" s="6">
        <f t="shared" si="16"/>
        <v>29.343360000000004</v>
      </c>
    </row>
    <row r="102" spans="1:20" ht="14.25" customHeight="1" x14ac:dyDescent="0.2">
      <c r="B102" s="21" t="s">
        <v>94</v>
      </c>
      <c r="C102" s="18" t="s">
        <v>432</v>
      </c>
      <c r="D102" s="6">
        <v>0</v>
      </c>
      <c r="F102" s="12"/>
      <c r="G102" s="6">
        <f t="shared" si="24"/>
        <v>0</v>
      </c>
      <c r="H102" s="6">
        <f t="shared" si="25"/>
        <v>0</v>
      </c>
      <c r="J102" s="6">
        <f>VLOOKUP(C102,'IP PITSS'!$B$9:$U$91,3,0)</f>
        <v>0</v>
      </c>
      <c r="K102" s="13">
        <v>6300</v>
      </c>
      <c r="L102" s="6">
        <f t="shared" si="26"/>
        <v>0</v>
      </c>
      <c r="M102" s="6">
        <f>VLOOKUP(C102,'IP PITSS'!$B$9:$I$91,8,0)</f>
        <v>0</v>
      </c>
      <c r="N102" s="6">
        <f t="shared" si="27"/>
        <v>0</v>
      </c>
      <c r="P102" s="6">
        <f>VLOOKUP(C102,'RESUMEN PITS'!$C$3:$V$103,20,0)</f>
        <v>2176.1999999999998</v>
      </c>
      <c r="Q102" s="6">
        <f t="shared" si="17"/>
        <v>2176.1999999999998</v>
      </c>
      <c r="R102" s="6">
        <f t="shared" si="18"/>
        <v>0</v>
      </c>
      <c r="S102" s="6">
        <f t="shared" si="19"/>
        <v>0</v>
      </c>
      <c r="T102" s="6">
        <f t="shared" si="16"/>
        <v>0</v>
      </c>
    </row>
    <row r="103" spans="1:20" ht="14.25" customHeight="1" x14ac:dyDescent="0.2">
      <c r="B103" s="21" t="s">
        <v>94</v>
      </c>
      <c r="C103" s="18" t="s">
        <v>434</v>
      </c>
      <c r="D103" s="6">
        <v>0</v>
      </c>
      <c r="F103" s="12"/>
      <c r="G103" s="6">
        <f t="shared" si="24"/>
        <v>0</v>
      </c>
      <c r="H103" s="6">
        <f t="shared" si="25"/>
        <v>0</v>
      </c>
      <c r="J103" s="6">
        <f>VLOOKUP(C103,'IP PITSS'!$B$9:$U$91,3,0)</f>
        <v>0</v>
      </c>
      <c r="K103" s="13">
        <v>6000</v>
      </c>
      <c r="L103" s="6">
        <f t="shared" si="26"/>
        <v>0</v>
      </c>
      <c r="M103" s="6">
        <f>VLOOKUP(C103,'IP PITSS'!$B$9:$I$91,8,0)</f>
        <v>0</v>
      </c>
      <c r="N103" s="6">
        <f t="shared" si="27"/>
        <v>0</v>
      </c>
      <c r="P103" s="6">
        <f>VLOOKUP(C103,'RESUMEN PITS'!$C$3:$V$103,20,0)</f>
        <v>1163.4000000000001</v>
      </c>
      <c r="Q103" s="6">
        <f t="shared" si="17"/>
        <v>1163.4000000000001</v>
      </c>
      <c r="R103" s="6">
        <f t="shared" si="18"/>
        <v>0</v>
      </c>
      <c r="S103" s="6">
        <f t="shared" si="19"/>
        <v>0</v>
      </c>
      <c r="T103" s="6">
        <f t="shared" si="16"/>
        <v>0</v>
      </c>
    </row>
    <row r="104" spans="1:20" ht="13.5" customHeight="1" x14ac:dyDescent="0.2">
      <c r="D104" s="16">
        <f>SUBTOTAL(9,D3:D103)</f>
        <v>148724.26499999996</v>
      </c>
      <c r="E104" s="16">
        <f t="shared" ref="E104:O104" si="28">SUBTOTAL(9,E3:E103)</f>
        <v>40633.43</v>
      </c>
      <c r="F104" s="16">
        <f t="shared" si="28"/>
        <v>2160</v>
      </c>
      <c r="G104" s="16">
        <f t="shared" si="28"/>
        <v>2804.1898999999999</v>
      </c>
      <c r="H104" s="16">
        <f t="shared" si="28"/>
        <v>194321.8849</v>
      </c>
      <c r="I104" s="16">
        <f t="shared" si="28"/>
        <v>0</v>
      </c>
      <c r="J104" s="16">
        <f>SUBTOTAL(9,J3:J103)</f>
        <v>73</v>
      </c>
      <c r="K104" s="16">
        <f t="shared" si="28"/>
        <v>1013831.02</v>
      </c>
      <c r="L104" s="16">
        <f t="shared" si="28"/>
        <v>7668.0599000000002</v>
      </c>
      <c r="M104" s="16">
        <f t="shared" si="28"/>
        <v>4863.87</v>
      </c>
      <c r="N104" s="16">
        <f t="shared" si="28"/>
        <v>2804.1898999999999</v>
      </c>
      <c r="O104" s="16">
        <f t="shared" si="28"/>
        <v>0</v>
      </c>
    </row>
    <row r="105" spans="1:20" ht="13.5" customHeight="1" x14ac:dyDescent="0.2">
      <c r="D105" s="16"/>
      <c r="E105" s="16"/>
      <c r="F105" s="16"/>
      <c r="G105" s="16"/>
      <c r="H105" s="16"/>
      <c r="J105" s="16"/>
      <c r="K105" s="16"/>
      <c r="L105" s="16"/>
      <c r="M105" s="16"/>
      <c r="N105" s="16"/>
    </row>
    <row r="106" spans="1:20" x14ac:dyDescent="0.2">
      <c r="B106" s="22"/>
      <c r="D106" s="23"/>
      <c r="E106" s="23"/>
      <c r="G106" s="91" t="s">
        <v>416</v>
      </c>
      <c r="H106" s="24">
        <f>+H104</f>
        <v>194321.8849</v>
      </c>
    </row>
    <row r="107" spans="1:20" x14ac:dyDescent="0.2">
      <c r="A107" s="22"/>
      <c r="B107" s="22"/>
      <c r="C107" s="22"/>
      <c r="G107" s="24" t="s">
        <v>412</v>
      </c>
      <c r="H107" s="25">
        <v>0</v>
      </c>
    </row>
    <row r="108" spans="1:20" x14ac:dyDescent="0.2">
      <c r="A108" s="22"/>
      <c r="C108" s="22"/>
      <c r="G108" s="24" t="s">
        <v>396</v>
      </c>
      <c r="H108" s="24">
        <f>+H106+H107</f>
        <v>194321.8849</v>
      </c>
    </row>
    <row r="109" spans="1:20" x14ac:dyDescent="0.2">
      <c r="A109" s="22"/>
      <c r="B109" s="22"/>
      <c r="C109" s="22"/>
      <c r="G109" s="24" t="s">
        <v>85</v>
      </c>
      <c r="H109" s="24">
        <f>+H108*2%</f>
        <v>3886.4376980000002</v>
      </c>
    </row>
    <row r="110" spans="1:20" x14ac:dyDescent="0.2">
      <c r="A110" s="22"/>
      <c r="B110" s="22"/>
      <c r="C110" s="22"/>
      <c r="D110" s="6">
        <v>0</v>
      </c>
      <c r="G110" s="24" t="s">
        <v>413</v>
      </c>
      <c r="H110" s="24">
        <f>+H108+H109</f>
        <v>198208.322598</v>
      </c>
    </row>
    <row r="111" spans="1:20" x14ac:dyDescent="0.2">
      <c r="B111" s="22"/>
      <c r="G111" s="24"/>
      <c r="H111" s="25"/>
    </row>
    <row r="112" spans="1:20" x14ac:dyDescent="0.2">
      <c r="B112" s="22"/>
      <c r="G112" s="24"/>
      <c r="H112" s="25"/>
    </row>
    <row r="113" spans="7:8" x14ac:dyDescent="0.2">
      <c r="G113" s="24" t="s">
        <v>414</v>
      </c>
      <c r="H113" s="24">
        <f>+H110</f>
        <v>198208.322598</v>
      </c>
    </row>
    <row r="114" spans="7:8" x14ac:dyDescent="0.2">
      <c r="G114" s="24" t="s">
        <v>30</v>
      </c>
      <c r="H114" s="25">
        <f>+H113*16%</f>
        <v>31713.331615679999</v>
      </c>
    </row>
    <row r="115" spans="7:8" x14ac:dyDescent="0.2">
      <c r="G115" s="24" t="s">
        <v>415</v>
      </c>
      <c r="H115" s="24">
        <f>+H113+H114</f>
        <v>229921.65421368001</v>
      </c>
    </row>
    <row r="116" spans="7:8" ht="15.75" customHeight="1" x14ac:dyDescent="0.2"/>
  </sheetData>
  <autoFilter ref="A2:N110" xr:uid="{00000000-0009-0000-0000-000002000000}"/>
  <sortState xmlns:xlrd2="http://schemas.microsoft.com/office/spreadsheetml/2017/richdata2" ref="A3:Q102">
    <sortCondition ref="B3:B102"/>
  </sortState>
  <mergeCells count="2">
    <mergeCell ref="D1:H1"/>
    <mergeCell ref="J1:N1"/>
  </mergeCells>
  <pageMargins left="0.7" right="0.7" top="0.75" bottom="0.75" header="0.3" footer="0.3"/>
  <pageSetup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J107"/>
  <sheetViews>
    <sheetView showGridLines="0" tabSelected="1" zoomScale="90" zoomScaleNormal="90" workbookViewId="0">
      <pane xSplit="3" ySplit="2" topLeftCell="Q85" activePane="bottomRight" state="frozen"/>
      <selection activeCell="E31" sqref="E31"/>
      <selection pane="topRight" activeCell="E31" sqref="E31"/>
      <selection pane="bottomLeft" activeCell="E31" sqref="E31"/>
      <selection pane="bottomRight" activeCell="Y3" sqref="Y3:Y104"/>
    </sheetView>
  </sheetViews>
  <sheetFormatPr baseColWidth="10" defaultColWidth="11.42578125" defaultRowHeight="12.75" x14ac:dyDescent="0.2"/>
  <cols>
    <col min="1" max="1" width="11.42578125" style="18"/>
    <col min="2" max="2" width="15.5703125" style="18" customWidth="1"/>
    <col min="3" max="3" width="46.28515625" style="51" customWidth="1"/>
    <col min="4" max="4" width="17.7109375" style="18" customWidth="1"/>
    <col min="5" max="5" width="4" style="26" customWidth="1"/>
    <col min="6" max="9" width="16.140625" style="18" customWidth="1"/>
    <col min="10" max="10" width="3.5703125" style="26" customWidth="1"/>
    <col min="11" max="11" width="19.5703125" style="18" customWidth="1"/>
    <col min="12" max="12" width="22.5703125" style="18" customWidth="1"/>
    <col min="13" max="13" width="19.5703125" style="18" customWidth="1"/>
    <col min="14" max="14" width="3.7109375" style="26" customWidth="1"/>
    <col min="15" max="19" width="13.28515625" style="18" customWidth="1"/>
    <col min="20" max="20" width="3.140625" style="26" customWidth="1"/>
    <col min="21" max="21" width="16.7109375" style="18" customWidth="1"/>
    <col min="22" max="22" width="13.85546875" style="20" customWidth="1"/>
    <col min="23" max="23" width="21" style="28" bestFit="1" customWidth="1"/>
    <col min="24" max="36" width="11.42578125" style="29" customWidth="1"/>
    <col min="37" max="244" width="11.42578125" style="29"/>
    <col min="245" max="16384" width="11.42578125" style="18"/>
  </cols>
  <sheetData>
    <row r="1" spans="1:244" s="27" customFormat="1" x14ac:dyDescent="0.2">
      <c r="A1" s="125"/>
      <c r="B1" s="125"/>
      <c r="C1" s="125"/>
      <c r="D1" s="125"/>
      <c r="E1" s="26"/>
      <c r="F1" s="125" t="s">
        <v>78</v>
      </c>
      <c r="G1" s="125"/>
      <c r="H1" s="125"/>
      <c r="I1" s="125"/>
      <c r="J1" s="26"/>
      <c r="K1" s="125"/>
      <c r="L1" s="125"/>
      <c r="M1" s="125"/>
      <c r="N1" s="26"/>
      <c r="O1" s="125"/>
      <c r="P1" s="125"/>
      <c r="Q1" s="125"/>
      <c r="R1" s="125"/>
      <c r="S1" s="125"/>
      <c r="T1" s="26"/>
      <c r="V1" s="20"/>
      <c r="W1" s="28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</row>
    <row r="2" spans="1:244" ht="39" thickBot="1" x14ac:dyDescent="0.25">
      <c r="A2" s="30" t="s">
        <v>80</v>
      </c>
      <c r="B2" s="30" t="s">
        <v>81</v>
      </c>
      <c r="C2" s="30" t="s">
        <v>82</v>
      </c>
      <c r="D2" s="30" t="s">
        <v>436</v>
      </c>
      <c r="E2" s="31"/>
      <c r="F2" s="32" t="s">
        <v>346</v>
      </c>
      <c r="G2" s="32" t="s">
        <v>84</v>
      </c>
      <c r="H2" s="32" t="s">
        <v>85</v>
      </c>
      <c r="I2" s="32" t="s">
        <v>347</v>
      </c>
      <c r="J2" s="31" t="s">
        <v>348</v>
      </c>
      <c r="K2" s="33" t="s">
        <v>349</v>
      </c>
      <c r="L2" s="30" t="s">
        <v>350</v>
      </c>
      <c r="M2" s="34" t="s">
        <v>351</v>
      </c>
      <c r="N2" s="31" t="s">
        <v>352</v>
      </c>
      <c r="O2" s="30" t="s">
        <v>353</v>
      </c>
      <c r="P2" s="30" t="s">
        <v>354</v>
      </c>
      <c r="Q2" s="30" t="s">
        <v>355</v>
      </c>
      <c r="R2" s="30" t="s">
        <v>356</v>
      </c>
      <c r="S2" s="30" t="s">
        <v>357</v>
      </c>
      <c r="T2" s="31" t="s">
        <v>358</v>
      </c>
      <c r="U2" s="35" t="s">
        <v>359</v>
      </c>
      <c r="V2" s="35" t="s">
        <v>360</v>
      </c>
      <c r="W2" s="36" t="s">
        <v>361</v>
      </c>
      <c r="Y2" s="29" t="s">
        <v>450</v>
      </c>
    </row>
    <row r="3" spans="1:244" s="29" customFormat="1" ht="13.5" thickTop="1" x14ac:dyDescent="0.2">
      <c r="A3" s="13" t="s">
        <v>38</v>
      </c>
      <c r="B3" s="13" t="s">
        <v>107</v>
      </c>
      <c r="C3" s="37" t="s">
        <v>39</v>
      </c>
      <c r="D3" s="13">
        <f>VLOOKUP(C3,'CPD PITSS'!B9:V26,21,0)</f>
        <v>3026</v>
      </c>
      <c r="E3" s="38"/>
      <c r="F3" s="29">
        <f>VLOOKUP(C3,'SIND PITS'!$C$3:$H$104,2,0)</f>
        <v>1479.0000000000005</v>
      </c>
      <c r="G3" s="29">
        <f>VLOOKUP(C3,'SIND PITS'!$C$3:$E$104,3,0)</f>
        <v>100</v>
      </c>
      <c r="H3" s="29">
        <f>VLOOKUP(C3,'SIND PITS'!$C$3:$F$104,4,0)</f>
        <v>0</v>
      </c>
      <c r="I3" s="29">
        <f>VLOOKUP(C3,'SIND PITS'!$C$3:$G$104,5,0)</f>
        <v>255</v>
      </c>
      <c r="J3" s="26"/>
      <c r="K3" s="29">
        <f>SUM(D3:I3)</f>
        <v>4860</v>
      </c>
      <c r="L3" s="29">
        <v>8500</v>
      </c>
      <c r="M3" s="29">
        <f>+L3/2</f>
        <v>4250</v>
      </c>
      <c r="N3" s="26"/>
      <c r="O3" s="29">
        <f>VLOOKUP($C3,'CPD PITSS'!$B$9:$V$26,8,0)</f>
        <v>255</v>
      </c>
      <c r="P3" s="29">
        <f>+G3+H3+I3</f>
        <v>355</v>
      </c>
      <c r="Q3" s="29">
        <f>(VLOOKUP($C3,'CPD PITSS'!$B$9:$V$26,13,0))+(VLOOKUP($C3,'CPD PITSS'!$B$9:$V$26,14,0))</f>
        <v>0</v>
      </c>
      <c r="S3" s="29">
        <f>VLOOKUP(C3,'CPD PITSS'!$B$9:$S$26,18,0)</f>
        <v>0</v>
      </c>
      <c r="T3" s="26"/>
      <c r="U3" s="29">
        <f>+K3-O3-P3+Q3+R3+S3</f>
        <v>4250</v>
      </c>
      <c r="V3" s="20">
        <f t="shared" ref="V3:V65" si="0">+M3-U3</f>
        <v>0</v>
      </c>
      <c r="W3" s="20"/>
      <c r="X3" s="29" t="s">
        <v>195</v>
      </c>
      <c r="Y3" s="20">
        <f ca="1">IFERROR(OFFSET('CPD PITSS'!$AN$8,MATCH('RESUMEN PITS'!C3,'CPD PITSS'!$B$9:$B$26,0),0),0)+IFERROR(OFFSET('IP PITSS'!$AL$8,MATCH('RESUMEN PITS'!C3,'IP PITSS'!$B$9:$B$91,0),0),0)+IFERROR(OFFSET('SIND PITS'!$S$2,MATCH('RESUMEN PITS'!C3,'SIND PITS'!$C$3:$C$103,0),0),0)</f>
        <v>5951.496000000001</v>
      </c>
    </row>
    <row r="4" spans="1:244" s="29" customFormat="1" x14ac:dyDescent="0.2">
      <c r="A4" s="13" t="s">
        <v>40</v>
      </c>
      <c r="B4" s="13" t="s">
        <v>107</v>
      </c>
      <c r="C4" s="37" t="s">
        <v>41</v>
      </c>
      <c r="D4" s="13">
        <f>VLOOKUP(C4,'CPD PITSS'!B10:V27,21,0)</f>
        <v>2908.2</v>
      </c>
      <c r="E4" s="38"/>
      <c r="F4" s="29">
        <f>VLOOKUP(C4,'SIND PITS'!$C$3:$H$104,2,0)</f>
        <v>1591.7999999999997</v>
      </c>
      <c r="G4" s="29">
        <f>VLOOKUP(C4,'SIND PITS'!$C$3:$E$104,3,0)</f>
        <v>400</v>
      </c>
      <c r="H4" s="29">
        <f>VLOOKUP(C4,'SIND PITS'!$C$3:$F$104,4,0)</f>
        <v>0</v>
      </c>
      <c r="I4" s="29">
        <f>VLOOKUP(C4,'SIND PITS'!$C$3:$G$104,5,0)</f>
        <v>0</v>
      </c>
      <c r="J4" s="26"/>
      <c r="K4" s="29">
        <f t="shared" ref="K4:K66" si="1">SUM(D4:I4)</f>
        <v>4900</v>
      </c>
      <c r="L4" s="29">
        <v>9000</v>
      </c>
      <c r="M4" s="29">
        <f t="shared" ref="M4:M67" si="2">+L4/2</f>
        <v>4500</v>
      </c>
      <c r="N4" s="26"/>
      <c r="O4" s="29">
        <f>VLOOKUP($C4,'CPD PITSS'!$B$9:$V$26,8,0)</f>
        <v>0</v>
      </c>
      <c r="P4" s="29">
        <f t="shared" ref="P4:P20" si="3">+G4+H4+I4</f>
        <v>400</v>
      </c>
      <c r="Q4" s="29">
        <f>(VLOOKUP($C4,'CPD PITSS'!$B$9:$V$26,13,0))+(VLOOKUP($C4,'CPD PITSS'!$B$9:$V$26,14,0))</f>
        <v>0</v>
      </c>
      <c r="S4" s="29">
        <f>VLOOKUP(C4,'CPD PITSS'!$B$9:$S$26,18,0)</f>
        <v>0</v>
      </c>
      <c r="T4" s="26"/>
      <c r="U4" s="29">
        <f t="shared" ref="U4:U20" si="4">+K4-O4-P4+Q4+R4+S4</f>
        <v>4500</v>
      </c>
      <c r="V4" s="20">
        <f t="shared" si="0"/>
        <v>0</v>
      </c>
      <c r="W4" s="20"/>
      <c r="X4" s="29" t="s">
        <v>294</v>
      </c>
      <c r="Y4" s="20">
        <f ca="1">IFERROR(OFFSET('CPD PITSS'!$AN$8,MATCH('RESUMEN PITS'!C4,'CPD PITSS'!$B$9:$B$26,0),0),0)+IFERROR(OFFSET('IP PITSS'!$AL$8,MATCH('RESUMEN PITS'!C4,'IP PITSS'!$B$9:$B$91,0),0),0)+IFERROR(OFFSET('SIND PITS'!$S$2,MATCH('RESUMEN PITS'!C4,'SIND PITS'!$C$3:$C$103,0),0),0)</f>
        <v>6017.5001999999995</v>
      </c>
    </row>
    <row r="5" spans="1:244" s="29" customFormat="1" x14ac:dyDescent="0.2">
      <c r="A5" s="13" t="s">
        <v>42</v>
      </c>
      <c r="B5" s="13" t="s">
        <v>107</v>
      </c>
      <c r="C5" s="37" t="s">
        <v>43</v>
      </c>
      <c r="D5" s="13">
        <f>VLOOKUP(C5,'CPD PITSS'!B11:V28,21,0)</f>
        <v>4030.6</v>
      </c>
      <c r="E5" s="38"/>
      <c r="F5" s="29">
        <f>VLOOKUP(C5,'SIND PITS'!$C$3:$H$104,2,0)</f>
        <v>2469.3999999999996</v>
      </c>
      <c r="G5" s="29">
        <f>VLOOKUP(C5,'SIND PITS'!$C$3:$E$104,3,0)</f>
        <v>1000</v>
      </c>
      <c r="H5" s="29">
        <f>VLOOKUP(C5,'SIND PITS'!$C$3:$F$104,4,0)</f>
        <v>0</v>
      </c>
      <c r="I5" s="29">
        <f>VLOOKUP(C5,'SIND PITS'!$C$3:$G$104,5,0)</f>
        <v>0</v>
      </c>
      <c r="J5" s="26"/>
      <c r="K5" s="29">
        <f t="shared" si="1"/>
        <v>7500</v>
      </c>
      <c r="L5" s="29">
        <v>13000</v>
      </c>
      <c r="M5" s="29">
        <f t="shared" si="2"/>
        <v>6500</v>
      </c>
      <c r="N5" s="26"/>
      <c r="O5" s="29">
        <f>VLOOKUP($C5,'CPD PITSS'!$B$9:$V$26,8,0)</f>
        <v>0</v>
      </c>
      <c r="P5" s="29">
        <f t="shared" si="3"/>
        <v>1000</v>
      </c>
      <c r="Q5" s="29">
        <f>(VLOOKUP($C5,'CPD PITSS'!$B$9:$V$26,13,0))+(VLOOKUP($C5,'CPD PITSS'!$B$9:$V$26,14,0))</f>
        <v>0</v>
      </c>
      <c r="S5" s="29">
        <f>VLOOKUP(C5,'CPD PITSS'!$B$9:$S$26,18,0)</f>
        <v>0</v>
      </c>
      <c r="T5" s="26"/>
      <c r="U5" s="29">
        <f t="shared" si="4"/>
        <v>6500</v>
      </c>
      <c r="V5" s="20">
        <f t="shared" si="0"/>
        <v>0</v>
      </c>
      <c r="W5" s="20"/>
      <c r="X5" s="29" t="s">
        <v>268</v>
      </c>
      <c r="Y5" s="20">
        <f ca="1">IFERROR(OFFSET('CPD PITSS'!$AN$8,MATCH('RESUMEN PITS'!C5,'CPD PITSS'!$B$9:$B$26,0),0),0)+IFERROR(OFFSET('IP PITSS'!$AL$8,MATCH('RESUMEN PITS'!C5,'IP PITSS'!$B$9:$B$91,0),0),0)+IFERROR(OFFSET('SIND PITS'!$S$2,MATCH('RESUMEN PITS'!C5,'SIND PITS'!$C$3:$C$103,0),0),0)</f>
        <v>8871.7559999999994</v>
      </c>
    </row>
    <row r="6" spans="1:244" s="29" customFormat="1" x14ac:dyDescent="0.2">
      <c r="A6" s="13" t="s">
        <v>44</v>
      </c>
      <c r="B6" s="13" t="s">
        <v>107</v>
      </c>
      <c r="C6" s="37" t="s">
        <v>45</v>
      </c>
      <c r="D6" s="13">
        <f>VLOOKUP(C6,'CPD PITSS'!B12:V29,21,0)</f>
        <v>5066.8</v>
      </c>
      <c r="E6" s="38"/>
      <c r="F6" s="29">
        <f>VLOOKUP(C6,'SIND PITS'!$C$3:$H$104,2,0)</f>
        <v>4183.2</v>
      </c>
      <c r="G6" s="29">
        <f>VLOOKUP(C6,'SIND PITS'!$C$3:$E$104,3,0)</f>
        <v>750</v>
      </c>
      <c r="H6" s="29">
        <f>VLOOKUP(C6,'SIND PITS'!$C$3:$F$104,4,0)</f>
        <v>0</v>
      </c>
      <c r="I6" s="29">
        <f>VLOOKUP(C6,'SIND PITS'!$C$3:$G$104,5,0)</f>
        <v>0</v>
      </c>
      <c r="J6" s="26"/>
      <c r="K6" s="29">
        <f t="shared" si="1"/>
        <v>10000</v>
      </c>
      <c r="L6" s="29">
        <v>18500</v>
      </c>
      <c r="M6" s="29">
        <f t="shared" si="2"/>
        <v>9250</v>
      </c>
      <c r="N6" s="26"/>
      <c r="O6" s="29">
        <f>VLOOKUP($C6,'CPD PITSS'!$B$9:$V$26,8,0)</f>
        <v>0</v>
      </c>
      <c r="P6" s="29">
        <f t="shared" si="3"/>
        <v>750</v>
      </c>
      <c r="Q6" s="29">
        <f>(VLOOKUP($C6,'CPD PITSS'!$B$9:$V$26,13,0))+(VLOOKUP($C6,'CPD PITSS'!$B$9:$V$26,14,0))</f>
        <v>0</v>
      </c>
      <c r="S6" s="29">
        <f>VLOOKUP(C6,'CPD PITSS'!$B$9:$S$26,18,0)</f>
        <v>0</v>
      </c>
      <c r="T6" s="26"/>
      <c r="U6" s="29">
        <f t="shared" si="4"/>
        <v>9250</v>
      </c>
      <c r="V6" s="20">
        <f t="shared" si="0"/>
        <v>0</v>
      </c>
      <c r="W6" s="20"/>
      <c r="X6" s="29" t="s">
        <v>338</v>
      </c>
      <c r="Y6" s="20">
        <f ca="1">IFERROR(OFFSET('CPD PITSS'!$AN$8,MATCH('RESUMEN PITS'!C6,'CPD PITSS'!$B$9:$B$26,0),0),0)+IFERROR(OFFSET('IP PITSS'!$AL$8,MATCH('RESUMEN PITS'!C6,'IP PITSS'!$B$9:$B$91,0),0),0)+IFERROR(OFFSET('SIND PITS'!$S$2,MATCH('RESUMEN PITS'!C6,'SIND PITS'!$C$3:$C$103,0),0),0)</f>
        <v>11635.496999999999</v>
      </c>
    </row>
    <row r="7" spans="1:244" s="29" customFormat="1" x14ac:dyDescent="0.2">
      <c r="A7" s="13" t="s">
        <v>46</v>
      </c>
      <c r="B7" s="13" t="s">
        <v>107</v>
      </c>
      <c r="C7" s="37" t="s">
        <v>47</v>
      </c>
      <c r="D7" s="13">
        <f>VLOOKUP(C7,'CPD PITSS'!B13:V30,21,0)</f>
        <v>4862.8</v>
      </c>
      <c r="E7" s="38"/>
      <c r="F7" s="29">
        <f>VLOOKUP(C7,'SIND PITS'!$C$3:$H$104,2,0)</f>
        <v>2607.25</v>
      </c>
      <c r="G7" s="29">
        <f>VLOOKUP(C7,'SIND PITS'!$C$3:$E$104,3,0)</f>
        <v>337.5</v>
      </c>
      <c r="H7" s="29">
        <f>VLOOKUP(C7,'SIND PITS'!$C$3:$F$104,4,0)</f>
        <v>0</v>
      </c>
      <c r="I7" s="29">
        <f>VLOOKUP(C7,'SIND PITS'!$C$3:$G$104,5,0)</f>
        <v>204</v>
      </c>
      <c r="J7" s="26"/>
      <c r="K7" s="29">
        <f t="shared" si="1"/>
        <v>8011.55</v>
      </c>
      <c r="L7" s="29">
        <v>15000</v>
      </c>
      <c r="M7" s="29">
        <f t="shared" si="2"/>
        <v>7500</v>
      </c>
      <c r="N7" s="26"/>
      <c r="O7" s="29">
        <f>VLOOKUP($C7,'CPD PITSS'!$B$9:$V$26,8,0)</f>
        <v>246</v>
      </c>
      <c r="P7" s="29">
        <f t="shared" si="3"/>
        <v>541.5</v>
      </c>
      <c r="Q7" s="29">
        <f>(VLOOKUP($C7,'CPD PITSS'!$B$9:$V$26,13,0))+(VLOOKUP($C7,'CPD PITSS'!$B$9:$V$26,14,0))</f>
        <v>0</v>
      </c>
      <c r="S7" s="29">
        <f>VLOOKUP(C7,'CPD PITSS'!$B$9:$S$26,18,0)</f>
        <v>275.95</v>
      </c>
      <c r="T7" s="26"/>
      <c r="U7" s="29">
        <f t="shared" si="4"/>
        <v>7500</v>
      </c>
      <c r="V7" s="20">
        <f t="shared" si="0"/>
        <v>0</v>
      </c>
      <c r="W7" s="20"/>
      <c r="X7" s="29" t="s">
        <v>275</v>
      </c>
      <c r="Y7" s="20">
        <f ca="1">IFERROR(OFFSET('CPD PITSS'!$AN$8,MATCH('RESUMEN PITS'!C7,'CPD PITSS'!$B$9:$B$26,0),0),0)+IFERROR(OFFSET('IP PITSS'!$AL$8,MATCH('RESUMEN PITS'!C7,'IP PITSS'!$B$9:$B$91,0),0),0)+IFERROR(OFFSET('SIND PITS'!$S$2,MATCH('RESUMEN PITS'!C7,'SIND PITS'!$C$3:$C$103,0),0),0)</f>
        <v>9855.7602000000006</v>
      </c>
    </row>
    <row r="8" spans="1:244" s="29" customFormat="1" x14ac:dyDescent="0.2">
      <c r="A8" s="13" t="s">
        <v>48</v>
      </c>
      <c r="B8" s="13" t="s">
        <v>107</v>
      </c>
      <c r="C8" s="37" t="s">
        <v>49</v>
      </c>
      <c r="D8" s="13">
        <f>VLOOKUP(C8,'CPD PITSS'!B14:V31,21,0)</f>
        <v>1970.4</v>
      </c>
      <c r="E8" s="38"/>
      <c r="F8" s="29">
        <f>VLOOKUP(C8,'SIND PITS'!$C$3:$H$104,2,0)</f>
        <v>1562.8199999999997</v>
      </c>
      <c r="G8" s="29">
        <f>VLOOKUP(C8,'SIND PITS'!$C$3:$E$104,3,0)</f>
        <v>480</v>
      </c>
      <c r="H8" s="29">
        <f>VLOOKUP(C8,'SIND PITS'!$C$3:$F$104,4,0)</f>
        <v>0</v>
      </c>
      <c r="I8" s="29">
        <f>VLOOKUP(C8,'SIND PITS'!$C$3:$G$104,5,0)</f>
        <v>0</v>
      </c>
      <c r="J8" s="26"/>
      <c r="K8" s="29">
        <f t="shared" si="1"/>
        <v>4013.22</v>
      </c>
      <c r="L8" s="29">
        <v>10150</v>
      </c>
      <c r="M8" s="29">
        <f t="shared" si="2"/>
        <v>5075</v>
      </c>
      <c r="N8" s="26"/>
      <c r="O8" s="29">
        <f>VLOOKUP($C8,'CPD PITSS'!$B$9:$V$26,8,0)</f>
        <v>0</v>
      </c>
      <c r="P8" s="29">
        <f t="shared" si="3"/>
        <v>480</v>
      </c>
      <c r="Q8" s="29">
        <f>(VLOOKUP($C8,'CPD PITSS'!$B$9:$V$26,13,0))+(VLOOKUP($C8,'CPD PITSS'!$B$9:$V$26,14,0))</f>
        <v>1541.78</v>
      </c>
      <c r="S8" s="29">
        <f>VLOOKUP(C8,'CPD PITSS'!$B$9:$S$26,18,0)</f>
        <v>0</v>
      </c>
      <c r="T8" s="26"/>
      <c r="U8" s="29">
        <f t="shared" si="4"/>
        <v>5075</v>
      </c>
      <c r="V8" s="20">
        <f t="shared" si="0"/>
        <v>0</v>
      </c>
      <c r="W8" s="20"/>
      <c r="X8" s="29" t="s">
        <v>108</v>
      </c>
      <c r="Y8" s="20">
        <f ca="1">IFERROR(OFFSET('CPD PITSS'!$AN$8,MATCH('RESUMEN PITS'!C8,'CPD PITSS'!$B$9:$B$26,0),0),0)+IFERROR(OFFSET('IP PITSS'!$AL$8,MATCH('RESUMEN PITS'!C8,'IP PITSS'!$B$9:$B$91,0),0),0)+IFERROR(OFFSET('SIND PITS'!$S$2,MATCH('RESUMEN PITS'!C8,'SIND PITS'!$C$3:$C$103,0),0),0)</f>
        <v>6794.2811999999994</v>
      </c>
    </row>
    <row r="9" spans="1:244" s="29" customFormat="1" x14ac:dyDescent="0.2">
      <c r="A9" s="13" t="s">
        <v>50</v>
      </c>
      <c r="B9" s="13" t="s">
        <v>107</v>
      </c>
      <c r="C9" s="37" t="s">
        <v>51</v>
      </c>
      <c r="D9" s="13">
        <f>VLOOKUP(C9,'CPD PITSS'!B15:V32,21,0)</f>
        <v>5220.8</v>
      </c>
      <c r="E9" s="38"/>
      <c r="F9" s="29">
        <f>VLOOKUP(C9,'SIND PITS'!$C$3:$H$104,2,0)</f>
        <v>2607.2000000000003</v>
      </c>
      <c r="G9" s="29">
        <f>VLOOKUP(C9,'SIND PITS'!$C$3:$E$104,3,0)</f>
        <v>150</v>
      </c>
      <c r="H9" s="29">
        <f>VLOOKUP(C9,'SIND PITS'!$C$3:$F$104,4,0)</f>
        <v>2160</v>
      </c>
      <c r="I9" s="29">
        <f>VLOOKUP(C9,'SIND PITS'!$C$3:$G$104,5,0)</f>
        <v>272</v>
      </c>
      <c r="J9" s="26"/>
      <c r="K9" s="29">
        <f t="shared" si="1"/>
        <v>10410</v>
      </c>
      <c r="L9" s="29">
        <v>15000</v>
      </c>
      <c r="M9" s="29">
        <f t="shared" si="2"/>
        <v>7500</v>
      </c>
      <c r="N9" s="26"/>
      <c r="O9" s="29">
        <f>VLOOKUP($C9,'CPD PITSS'!$B$9:$V$26,8,0)</f>
        <v>328</v>
      </c>
      <c r="P9" s="29">
        <f t="shared" si="3"/>
        <v>2582</v>
      </c>
      <c r="Q9" s="29">
        <f>(VLOOKUP($C9,'CPD PITSS'!$B$9:$V$26,13,0))+(VLOOKUP($C9,'CPD PITSS'!$B$9:$V$26,14,0))</f>
        <v>0</v>
      </c>
      <c r="S9" s="29">
        <f>VLOOKUP(C9,'CPD PITSS'!$B$9:$S$26,18,0)</f>
        <v>0</v>
      </c>
      <c r="T9" s="26"/>
      <c r="U9" s="29">
        <f t="shared" si="4"/>
        <v>7500</v>
      </c>
      <c r="V9" s="20">
        <f t="shared" si="0"/>
        <v>0</v>
      </c>
      <c r="W9" s="20"/>
      <c r="X9" s="29" t="s">
        <v>183</v>
      </c>
      <c r="Y9" s="20">
        <f ca="1">IFERROR(OFFSET('CPD PITSS'!$AN$8,MATCH('RESUMEN PITS'!C9,'CPD PITSS'!$B$9:$B$26,0),0),0)+IFERROR(OFFSET('IP PITSS'!$AL$8,MATCH('RESUMEN PITS'!C9,'IP PITSS'!$B$9:$B$91,0),0),0)+IFERROR(OFFSET('SIND PITS'!$S$2,MATCH('RESUMEN PITS'!C9,'SIND PITS'!$C$3:$C$103,0),0),0)</f>
        <v>12020.710200000001</v>
      </c>
    </row>
    <row r="10" spans="1:244" s="29" customFormat="1" x14ac:dyDescent="0.2">
      <c r="A10" s="13" t="s">
        <v>52</v>
      </c>
      <c r="B10" s="13" t="s">
        <v>107</v>
      </c>
      <c r="C10" s="37" t="s">
        <v>53</v>
      </c>
      <c r="D10" s="13">
        <f>VLOOKUP(C10,'CPD PITSS'!B16:V33,21,0)</f>
        <v>1484</v>
      </c>
      <c r="E10" s="38"/>
      <c r="F10" s="29">
        <f>VLOOKUP(C10,'SIND PITS'!$C$3:$H$104,2,0)</f>
        <v>1562.82</v>
      </c>
      <c r="G10" s="29">
        <f>VLOOKUP(C10,'SIND PITS'!$C$3:$E$104,3,0)</f>
        <v>330</v>
      </c>
      <c r="H10" s="29">
        <f>VLOOKUP(C10,'SIND PITS'!$C$3:$F$104,4,0)</f>
        <v>0</v>
      </c>
      <c r="I10" s="29">
        <f>VLOOKUP(C10,'SIND PITS'!$C$3:$G$104,5,0)</f>
        <v>0</v>
      </c>
      <c r="J10" s="26"/>
      <c r="K10" s="29">
        <f t="shared" si="1"/>
        <v>3376.8199999999997</v>
      </c>
      <c r="L10" s="29">
        <v>10150</v>
      </c>
      <c r="M10" s="29">
        <f t="shared" si="2"/>
        <v>5075</v>
      </c>
      <c r="N10" s="26"/>
      <c r="O10" s="29">
        <f>VLOOKUP($C10,'CPD PITSS'!$B$9:$V$26,8,0)</f>
        <v>0</v>
      </c>
      <c r="P10" s="29">
        <f t="shared" si="3"/>
        <v>330</v>
      </c>
      <c r="Q10" s="29">
        <f>(VLOOKUP($C10,'CPD PITSS'!$B$9:$V$26,13,0))+(VLOOKUP($C10,'CPD PITSS'!$B$9:$V$26,14,0))</f>
        <v>1789.38</v>
      </c>
      <c r="S10" s="29">
        <f>VLOOKUP(C10,'CPD PITSS'!$B$9:$S$26,18,0)</f>
        <v>238.8</v>
      </c>
      <c r="T10" s="26"/>
      <c r="U10" s="29">
        <f t="shared" si="4"/>
        <v>5075</v>
      </c>
      <c r="V10" s="20">
        <f t="shared" si="0"/>
        <v>0</v>
      </c>
      <c r="W10" s="20"/>
      <c r="X10" s="29" t="s">
        <v>115</v>
      </c>
      <c r="Y10" s="20">
        <f ca="1">IFERROR(OFFSET('CPD PITSS'!$AN$8,MATCH('RESUMEN PITS'!C10,'CPD PITSS'!$B$9:$B$26,0),0),0)+IFERROR(OFFSET('IP PITSS'!$AL$8,MATCH('RESUMEN PITS'!C10,'IP PITSS'!$B$9:$B$91,0),0),0)+IFERROR(OFFSET('SIND PITS'!$S$2,MATCH('RESUMEN PITS'!C10,'SIND PITS'!$C$3:$C$103,0),0),0)</f>
        <v>6641.2811999999994</v>
      </c>
    </row>
    <row r="11" spans="1:244" s="29" customFormat="1" x14ac:dyDescent="0.2">
      <c r="A11" s="13" t="s">
        <v>54</v>
      </c>
      <c r="B11" s="13" t="s">
        <v>107</v>
      </c>
      <c r="C11" s="37" t="s">
        <v>55</v>
      </c>
      <c r="D11" s="13">
        <f>VLOOKUP(C11,'CPD PITSS'!B17:V34,21,0)</f>
        <v>3208.2</v>
      </c>
      <c r="E11" s="38"/>
      <c r="F11" s="29">
        <f>VLOOKUP(C11,'SIND PITS'!$C$3:$H$104,2,0)</f>
        <v>1896.87</v>
      </c>
      <c r="G11" s="29">
        <f>VLOOKUP(C11,'SIND PITS'!$C$3:$E$104,3,0)</f>
        <v>0</v>
      </c>
      <c r="H11" s="29">
        <f>VLOOKUP(C11,'SIND PITS'!$C$3:$F$104,4,0)</f>
        <v>0</v>
      </c>
      <c r="I11" s="29">
        <f>VLOOKUP(C11,'SIND PITS'!$C$3:$G$104,5,0)</f>
        <v>0</v>
      </c>
      <c r="J11" s="26"/>
      <c r="K11" s="29">
        <f t="shared" si="1"/>
        <v>5105.07</v>
      </c>
      <c r="L11" s="29">
        <v>12000</v>
      </c>
      <c r="M11" s="29">
        <f t="shared" si="2"/>
        <v>6000</v>
      </c>
      <c r="N11" s="26"/>
      <c r="O11" s="29">
        <f>VLOOKUP($C11,'CPD PITSS'!$B$9:$V$26,8,0)</f>
        <v>0</v>
      </c>
      <c r="P11" s="29">
        <f t="shared" si="3"/>
        <v>0</v>
      </c>
      <c r="Q11" s="29">
        <f>(VLOOKUP($C11,'CPD PITSS'!$B$9:$V$26,13,0))+(VLOOKUP($C11,'CPD PITSS'!$B$9:$V$26,14,0))</f>
        <v>894.93</v>
      </c>
      <c r="S11" s="29">
        <f>VLOOKUP(C11,'CPD PITSS'!$B$9:$S$26,18,0)</f>
        <v>0</v>
      </c>
      <c r="T11" s="26"/>
      <c r="U11" s="29">
        <f t="shared" si="4"/>
        <v>6000</v>
      </c>
      <c r="V11" s="20">
        <f t="shared" si="0"/>
        <v>0</v>
      </c>
      <c r="W11" s="20"/>
      <c r="X11" s="29" t="s">
        <v>120</v>
      </c>
      <c r="Y11" s="20">
        <f ca="1">IFERROR(OFFSET('CPD PITSS'!$AN$8,MATCH('RESUMEN PITS'!C11,'CPD PITSS'!$B$9:$B$26,0),0),0)+IFERROR(OFFSET('IP PITSS'!$AL$8,MATCH('RESUMEN PITS'!C11,'IP PITSS'!$B$9:$B$91,0),0),0)+IFERROR(OFFSET('SIND PITS'!$S$2,MATCH('RESUMEN PITS'!C11,'SIND PITS'!$C$3:$C$103,0),0),0)</f>
        <v>7354.3427999999994</v>
      </c>
    </row>
    <row r="12" spans="1:244" s="29" customFormat="1" x14ac:dyDescent="0.2">
      <c r="A12" s="21" t="s">
        <v>56</v>
      </c>
      <c r="B12" s="13" t="s">
        <v>107</v>
      </c>
      <c r="C12" s="39" t="s">
        <v>57</v>
      </c>
      <c r="D12" s="13">
        <f>VLOOKUP(C12,'CPD PITSS'!B18:V35,21,0)</f>
        <v>3102.6</v>
      </c>
      <c r="E12" s="38"/>
      <c r="F12" s="29">
        <f>VLOOKUP(C12,'SIND PITS'!$C$3:$H$104,2,0)</f>
        <v>2757.6799999999994</v>
      </c>
      <c r="G12" s="29">
        <f>VLOOKUP(C12,'SIND PITS'!$C$3:$E$104,3,0)</f>
        <v>165</v>
      </c>
      <c r="H12" s="29">
        <f>VLOOKUP(C12,'SIND PITS'!$C$3:$F$104,4,0)</f>
        <v>0</v>
      </c>
      <c r="I12" s="29">
        <f>VLOOKUP(C12,'SIND PITS'!$C$3:$G$104,5,0)</f>
        <v>0</v>
      </c>
      <c r="J12" s="26"/>
      <c r="K12" s="29">
        <f t="shared" si="1"/>
        <v>6025.2799999999988</v>
      </c>
      <c r="L12" s="20">
        <v>15000</v>
      </c>
      <c r="M12" s="29">
        <f t="shared" si="2"/>
        <v>7500</v>
      </c>
      <c r="N12" s="26"/>
      <c r="O12" s="29">
        <f>VLOOKUP($C12,'CPD PITSS'!$B$9:$V$26,8,0)</f>
        <v>0</v>
      </c>
      <c r="P12" s="29">
        <f t="shared" si="3"/>
        <v>165</v>
      </c>
      <c r="Q12" s="29">
        <f>(VLOOKUP($C12,'CPD PITSS'!$B$9:$V$26,13,0))+(VLOOKUP($C12,'CPD PITSS'!$B$9:$V$26,14,0))</f>
        <v>1639.72</v>
      </c>
      <c r="S12" s="29">
        <f>VLOOKUP(C12,'CPD PITSS'!$B$9:$S$26,18,0)</f>
        <v>0</v>
      </c>
      <c r="T12" s="26"/>
      <c r="U12" s="29">
        <f t="shared" si="4"/>
        <v>7499.9999999999991</v>
      </c>
      <c r="V12" s="20">
        <f t="shared" si="0"/>
        <v>0</v>
      </c>
      <c r="W12" s="20"/>
      <c r="X12" s="29" t="s">
        <v>227</v>
      </c>
      <c r="Y12" s="20">
        <f ca="1">IFERROR(OFFSET('CPD PITSS'!$AN$8,MATCH('RESUMEN PITS'!C12,'CPD PITSS'!$B$9:$B$26,0),0),0)+IFERROR(OFFSET('IP PITSS'!$AL$8,MATCH('RESUMEN PITS'!C12,'IP PITSS'!$B$9:$B$91,0),0),0)+IFERROR(OFFSET('SIND PITS'!$S$2,MATCH('RESUMEN PITS'!C12,'SIND PITS'!$C$3:$C$103,0),0),0)</f>
        <v>9179.4186000000009</v>
      </c>
    </row>
    <row r="13" spans="1:244" s="20" customFormat="1" x14ac:dyDescent="0.2">
      <c r="A13" s="13" t="s">
        <v>58</v>
      </c>
      <c r="B13" s="13" t="s">
        <v>107</v>
      </c>
      <c r="C13" s="37" t="s">
        <v>59</v>
      </c>
      <c r="D13" s="13">
        <f>VLOOKUP(C13,'CPD PITSS'!B19:V36,21,0)</f>
        <v>2733.2</v>
      </c>
      <c r="E13" s="38"/>
      <c r="F13" s="29">
        <f>VLOOKUP(C13,'SIND PITS'!$C$3:$H$104,2,0)</f>
        <v>2108.920000000001</v>
      </c>
      <c r="G13" s="29">
        <f>VLOOKUP(C13,'SIND PITS'!$C$3:$E$104,3,0)</f>
        <v>0</v>
      </c>
      <c r="H13" s="29">
        <f>VLOOKUP(C13,'SIND PITS'!$C$3:$F$104,4,0)</f>
        <v>0</v>
      </c>
      <c r="I13" s="29">
        <f>VLOOKUP(C13,'SIND PITS'!$C$3:$G$104,5,0)</f>
        <v>0</v>
      </c>
      <c r="J13" s="26"/>
      <c r="K13" s="29">
        <f t="shared" si="1"/>
        <v>4842.1200000000008</v>
      </c>
      <c r="L13" s="29">
        <v>13000</v>
      </c>
      <c r="M13" s="29">
        <f t="shared" si="2"/>
        <v>6500</v>
      </c>
      <c r="N13" s="26"/>
      <c r="O13" s="29">
        <f>VLOOKUP($C13,'CPD PITSS'!$B$9:$V$26,8,0)</f>
        <v>0</v>
      </c>
      <c r="P13" s="29">
        <f t="shared" si="3"/>
        <v>0</v>
      </c>
      <c r="Q13" s="29">
        <f>(VLOOKUP($C13,'CPD PITSS'!$B$9:$V$26,13,0))+(VLOOKUP($C13,'CPD PITSS'!$B$9:$V$26,14,0))</f>
        <v>1402.48</v>
      </c>
      <c r="R13" s="29"/>
      <c r="S13" s="29">
        <f>VLOOKUP(C13,'CPD PITSS'!$B$9:$S$26,18,0)</f>
        <v>255.4</v>
      </c>
      <c r="T13" s="26"/>
      <c r="U13" s="29">
        <f t="shared" si="4"/>
        <v>6500</v>
      </c>
      <c r="V13" s="20">
        <f t="shared" si="0"/>
        <v>0</v>
      </c>
      <c r="X13" s="29" t="s">
        <v>109</v>
      </c>
      <c r="Y13" s="20">
        <f ca="1">IFERROR(OFFSET('CPD PITSS'!$AN$8,MATCH('RESUMEN PITS'!C13,'CPD PITSS'!$B$9:$B$26,0),0),0)+IFERROR(OFFSET('IP PITSS'!$AL$8,MATCH('RESUMEN PITS'!C13,'IP PITSS'!$B$9:$B$91,0),0),0)+IFERROR(OFFSET('SIND PITS'!$S$2,MATCH('RESUMEN PITS'!C13,'SIND PITS'!$C$3:$C$103,0),0),0)</f>
        <v>7917.4236000000019</v>
      </c>
    </row>
    <row r="14" spans="1:244" s="29" customFormat="1" x14ac:dyDescent="0.2">
      <c r="A14" s="13" t="s">
        <v>60</v>
      </c>
      <c r="B14" s="13" t="s">
        <v>107</v>
      </c>
      <c r="C14" s="39" t="s">
        <v>61</v>
      </c>
      <c r="D14" s="13">
        <f>VLOOKUP(C14,'CPD PITSS'!B20:V37,21,0)</f>
        <v>4892.8</v>
      </c>
      <c r="E14" s="40"/>
      <c r="F14" s="29">
        <f>VLOOKUP(C14,'SIND PITS'!$C$3:$H$104,2,0)</f>
        <v>2607.1999999999998</v>
      </c>
      <c r="G14" s="29">
        <f>VLOOKUP(C14,'SIND PITS'!$C$3:$E$104,3,0)</f>
        <v>337.5</v>
      </c>
      <c r="H14" s="29">
        <f>VLOOKUP(C14,'SIND PITS'!$C$3:$F$104,4,0)</f>
        <v>0</v>
      </c>
      <c r="I14" s="29">
        <f>VLOOKUP(C14,'SIND PITS'!$C$3:$G$104,5,0)</f>
        <v>0</v>
      </c>
      <c r="J14" s="26"/>
      <c r="K14" s="29">
        <f t="shared" si="1"/>
        <v>7837.5</v>
      </c>
      <c r="L14" s="29">
        <v>15000</v>
      </c>
      <c r="M14" s="29">
        <f t="shared" si="2"/>
        <v>7500</v>
      </c>
      <c r="N14" s="26"/>
      <c r="O14" s="29">
        <f>VLOOKUP($C14,'CPD PITSS'!$B$9:$V$26,8,0)</f>
        <v>0</v>
      </c>
      <c r="P14" s="29">
        <f t="shared" si="3"/>
        <v>337.5</v>
      </c>
      <c r="Q14" s="29">
        <f>(VLOOKUP($C14,'CPD PITSS'!$B$9:$V$26,13,0))+(VLOOKUP($C14,'CPD PITSS'!$B$9:$V$26,14,0))</f>
        <v>0</v>
      </c>
      <c r="S14" s="29">
        <f>VLOOKUP(C14,'CPD PITSS'!$B$9:$S$26,18,0)</f>
        <v>0</v>
      </c>
      <c r="T14" s="26"/>
      <c r="U14" s="29">
        <f t="shared" si="4"/>
        <v>7500</v>
      </c>
      <c r="V14" s="20">
        <f t="shared" si="0"/>
        <v>0</v>
      </c>
      <c r="W14" s="20"/>
      <c r="X14" s="29" t="s">
        <v>202</v>
      </c>
      <c r="Y14" s="20">
        <f ca="1">IFERROR(OFFSET('CPD PITSS'!$AN$8,MATCH('RESUMEN PITS'!C14,'CPD PITSS'!$B$9:$B$26,0),0),0)+IFERROR(OFFSET('IP PITSS'!$AL$8,MATCH('RESUMEN PITS'!C14,'IP PITSS'!$B$9:$B$91,0),0),0)+IFERROR(OFFSET('SIND PITS'!$S$2,MATCH('RESUMEN PITS'!C14,'SIND PITS'!$C$3:$C$103,0),0),0)</f>
        <v>9396.7602000000006</v>
      </c>
    </row>
    <row r="15" spans="1:244" s="29" customFormat="1" x14ac:dyDescent="0.2">
      <c r="A15" s="13" t="s">
        <v>62</v>
      </c>
      <c r="B15" s="13" t="s">
        <v>107</v>
      </c>
      <c r="C15" s="37" t="s">
        <v>63</v>
      </c>
      <c r="D15" s="13">
        <f>VLOOKUP(C15,'CPD PITSS'!B21:V38,21,0)</f>
        <v>1089</v>
      </c>
      <c r="E15" s="40"/>
      <c r="F15" s="29">
        <f>VLOOKUP(C15,'SIND PITS'!$C$3:$H$104,2,0)</f>
        <v>1487.75</v>
      </c>
      <c r="G15" s="29">
        <f>VLOOKUP(C15,'SIND PITS'!$C$3:$E$104,3,0)</f>
        <v>20</v>
      </c>
      <c r="H15" s="29">
        <f>VLOOKUP(C15,'SIND PITS'!$C$3:$F$104,4,0)</f>
        <v>0</v>
      </c>
      <c r="I15" s="29">
        <f>VLOOKUP(C15,'SIND PITS'!$C$3:$G$104,5,0)</f>
        <v>0</v>
      </c>
      <c r="J15" s="26"/>
      <c r="K15" s="29">
        <f t="shared" si="1"/>
        <v>2596.75</v>
      </c>
      <c r="L15" s="29">
        <v>10000</v>
      </c>
      <c r="M15" s="29">
        <f t="shared" si="2"/>
        <v>5000</v>
      </c>
      <c r="N15" s="26"/>
      <c r="O15" s="29">
        <f>VLOOKUP($C15,'CPD PITSS'!$B$9:$V$26,8,0)</f>
        <v>0</v>
      </c>
      <c r="P15" s="29">
        <f t="shared" si="3"/>
        <v>20</v>
      </c>
      <c r="Q15" s="29">
        <f>(VLOOKUP($C15,'CPD PITSS'!$B$9:$V$26,13,0))+(VLOOKUP($C15,'CPD PITSS'!$B$9:$V$26,14,0))</f>
        <v>2126.25</v>
      </c>
      <c r="S15" s="29">
        <f>VLOOKUP(C15,'CPD PITSS'!$B$9:$S$26,18,0)</f>
        <v>297</v>
      </c>
      <c r="T15" s="26"/>
      <c r="U15" s="29">
        <f t="shared" si="4"/>
        <v>5000</v>
      </c>
      <c r="V15" s="20">
        <f t="shared" si="0"/>
        <v>0</v>
      </c>
      <c r="W15" s="20"/>
      <c r="X15" s="29" t="s">
        <v>284</v>
      </c>
      <c r="Y15" s="20">
        <f ca="1">IFERROR(OFFSET('CPD PITSS'!$AN$8,MATCH('RESUMEN PITS'!C15,'CPD PITSS'!$B$9:$B$26,0),0),0)+IFERROR(OFFSET('IP PITSS'!$AL$8,MATCH('RESUMEN PITS'!C15,'IP PITSS'!$B$9:$B$91,0),0),0)+IFERROR(OFFSET('SIND PITS'!$S$2,MATCH('RESUMEN PITS'!C15,'SIND PITS'!$C$3:$C$103,0),0),0)</f>
        <v>6248.5811999999996</v>
      </c>
    </row>
    <row r="16" spans="1:244" s="29" customFormat="1" x14ac:dyDescent="0.2">
      <c r="A16" s="13" t="s">
        <v>64</v>
      </c>
      <c r="B16" s="13" t="s">
        <v>107</v>
      </c>
      <c r="C16" s="37" t="s">
        <v>65</v>
      </c>
      <c r="D16" s="13">
        <f>VLOOKUP(C16,'CPD PITSS'!B22:V39,21,0)</f>
        <v>17356.8</v>
      </c>
      <c r="E16" s="40"/>
      <c r="F16" s="29">
        <f>VLOOKUP(C16,'SIND PITS'!$C$3:$H$104,2,0)</f>
        <v>12643.2</v>
      </c>
      <c r="G16" s="29">
        <f>VLOOKUP(C16,'SIND PITS'!$C$3:$E$104,3,0)</f>
        <v>0</v>
      </c>
      <c r="H16" s="29">
        <f>VLOOKUP(C16,'SIND PITS'!$C$3:$F$104,4,0)</f>
        <v>0</v>
      </c>
      <c r="I16" s="29">
        <f>VLOOKUP(C16,'SIND PITS'!$C$3:$G$104,5,0)</f>
        <v>0</v>
      </c>
      <c r="J16" s="26"/>
      <c r="K16" s="29">
        <f t="shared" si="1"/>
        <v>30000</v>
      </c>
      <c r="L16" s="29">
        <v>60000</v>
      </c>
      <c r="M16" s="29">
        <f t="shared" si="2"/>
        <v>30000</v>
      </c>
      <c r="N16" s="26"/>
      <c r="O16" s="29">
        <f>VLOOKUP($C16,'CPD PITSS'!$B$9:$V$26,8,0)</f>
        <v>0</v>
      </c>
      <c r="P16" s="29">
        <f t="shared" si="3"/>
        <v>0</v>
      </c>
      <c r="Q16" s="29">
        <f>(VLOOKUP($C16,'CPD PITSS'!$B$9:$V$26,13,0))+(VLOOKUP($C16,'CPD PITSS'!$B$9:$V$26,14,0))</f>
        <v>0</v>
      </c>
      <c r="S16" s="29">
        <f>VLOOKUP(C16,'CPD PITSS'!$B$9:$S$26,18,0)</f>
        <v>0</v>
      </c>
      <c r="T16" s="26"/>
      <c r="U16" s="29">
        <f t="shared" si="4"/>
        <v>30000</v>
      </c>
      <c r="V16" s="20">
        <f t="shared" si="0"/>
        <v>0</v>
      </c>
      <c r="W16" s="20"/>
      <c r="X16" s="29" t="s">
        <v>304</v>
      </c>
      <c r="Y16" s="20">
        <f ca="1">IFERROR(OFFSET('CPD PITSS'!$AN$8,MATCH('RESUMEN PITS'!C16,'CPD PITSS'!$B$9:$B$26,0),0),0)+IFERROR(OFFSET('IP PITSS'!$AL$8,MATCH('RESUMEN PITS'!C16,'IP PITSS'!$B$9:$B$91,0),0),0)+IFERROR(OFFSET('SIND PITS'!$S$2,MATCH('RESUMEN PITS'!C16,'SIND PITS'!$C$3:$C$103,0),0),0)</f>
        <v>34595.676599999999</v>
      </c>
    </row>
    <row r="17" spans="1:25" s="29" customFormat="1" x14ac:dyDescent="0.2">
      <c r="A17" s="13" t="s">
        <v>66</v>
      </c>
      <c r="B17" s="13" t="s">
        <v>107</v>
      </c>
      <c r="C17" s="37" t="s">
        <v>67</v>
      </c>
      <c r="D17" s="13">
        <f>VLOOKUP(C17,'CPD PITSS'!B23:V40,21,0)</f>
        <v>3512.2</v>
      </c>
      <c r="E17" s="40"/>
      <c r="F17" s="29">
        <f>VLOOKUP(C17,'SIND PITS'!$C$3:$H$104,2,0)</f>
        <v>1562.7999999999997</v>
      </c>
      <c r="G17" s="29">
        <f>VLOOKUP(C17,'SIND PITS'!$C$3:$E$104,3,0)</f>
        <v>270</v>
      </c>
      <c r="H17" s="29">
        <f>VLOOKUP(C17,'SIND PITS'!$C$3:$F$104,4,0)</f>
        <v>0</v>
      </c>
      <c r="I17" s="29">
        <f>VLOOKUP(C17,'SIND PITS'!$C$3:$G$104,5,0)</f>
        <v>0</v>
      </c>
      <c r="J17" s="26"/>
      <c r="K17" s="29">
        <f t="shared" si="1"/>
        <v>5345</v>
      </c>
      <c r="L17" s="29">
        <v>10150</v>
      </c>
      <c r="M17" s="29">
        <f t="shared" si="2"/>
        <v>5075</v>
      </c>
      <c r="N17" s="26"/>
      <c r="O17" s="29">
        <f>VLOOKUP($C17,'CPD PITSS'!$B$9:$V$26,8,0)</f>
        <v>0</v>
      </c>
      <c r="P17" s="29">
        <f t="shared" si="3"/>
        <v>270</v>
      </c>
      <c r="Q17" s="29">
        <f>(VLOOKUP($C17,'CPD PITSS'!$B$9:$V$26,13,0))+(VLOOKUP($C17,'CPD PITSS'!$B$9:$V$26,14,0))</f>
        <v>0</v>
      </c>
      <c r="S17" s="29">
        <f>VLOOKUP(C17,'CPD PITSS'!$B$9:$S$26,18,0)</f>
        <v>0</v>
      </c>
      <c r="T17" s="26"/>
      <c r="U17" s="29">
        <f t="shared" si="4"/>
        <v>5075</v>
      </c>
      <c r="V17" s="20">
        <f t="shared" si="0"/>
        <v>0</v>
      </c>
      <c r="W17" s="20"/>
      <c r="X17" s="29" t="s">
        <v>159</v>
      </c>
      <c r="Y17" s="20">
        <f ca="1">IFERROR(OFFSET('CPD PITSS'!$AN$8,MATCH('RESUMEN PITS'!C17,'CPD PITSS'!$B$9:$B$26,0),0),0)+IFERROR(OFFSET('IP PITSS'!$AL$8,MATCH('RESUMEN PITS'!C17,'IP PITSS'!$B$9:$B$91,0),0),0)+IFERROR(OFFSET('SIND PITS'!$S$2,MATCH('RESUMEN PITS'!C17,'SIND PITS'!$C$3:$C$103,0),0),0)</f>
        <v>6580.0811999999987</v>
      </c>
    </row>
    <row r="18" spans="1:25" s="29" customFormat="1" x14ac:dyDescent="0.2">
      <c r="A18" s="13" t="s">
        <v>68</v>
      </c>
      <c r="B18" s="13" t="s">
        <v>107</v>
      </c>
      <c r="C18" s="37" t="s">
        <v>69</v>
      </c>
      <c r="D18" s="13">
        <f>VLOOKUP(C18,'CPD PITSS'!B24:V41,21,0)</f>
        <v>2037</v>
      </c>
      <c r="E18" s="40"/>
      <c r="F18" s="29">
        <f>VLOOKUP(C18,'SIND PITS'!$C$3:$H$104,2,0)</f>
        <v>1612.77</v>
      </c>
      <c r="G18" s="29">
        <f>VLOOKUP(C18,'SIND PITS'!$C$3:$E$104,3,0)</f>
        <v>270</v>
      </c>
      <c r="H18" s="29">
        <f>VLOOKUP(C18,'SIND PITS'!$C$3:$F$104,4,0)</f>
        <v>0</v>
      </c>
      <c r="I18" s="29">
        <f>VLOOKUP(C18,'SIND PITS'!$C$3:$G$104,5,0)</f>
        <v>0</v>
      </c>
      <c r="J18" s="26"/>
      <c r="K18" s="29">
        <f t="shared" si="1"/>
        <v>3919.77</v>
      </c>
      <c r="L18" s="29">
        <v>10250</v>
      </c>
      <c r="M18" s="29">
        <f t="shared" si="2"/>
        <v>5125</v>
      </c>
      <c r="N18" s="26"/>
      <c r="O18" s="29">
        <f>VLOOKUP($C18,'CPD PITSS'!$B$9:$V$26,8,0)</f>
        <v>0</v>
      </c>
      <c r="P18" s="29">
        <f t="shared" si="3"/>
        <v>270</v>
      </c>
      <c r="Q18" s="29">
        <f>(VLOOKUP($C18,'CPD PITSS'!$B$9:$V$26,13,0))+(VLOOKUP($C18,'CPD PITSS'!$B$9:$V$26,14,0))</f>
        <v>1475.23</v>
      </c>
      <c r="S18" s="29">
        <f>VLOOKUP(C18,'CPD PITSS'!$B$9:$S$26,18,0)</f>
        <v>0</v>
      </c>
      <c r="T18" s="26"/>
      <c r="U18" s="29">
        <f t="shared" si="4"/>
        <v>5125</v>
      </c>
      <c r="V18" s="20">
        <f t="shared" si="0"/>
        <v>0</v>
      </c>
      <c r="W18" s="20"/>
      <c r="X18" s="29" t="s">
        <v>116</v>
      </c>
      <c r="Y18" s="20">
        <f ca="1">IFERROR(OFFSET('CPD PITSS'!$AN$8,MATCH('RESUMEN PITS'!C18,'CPD PITSS'!$B$9:$B$26,0),0),0)+IFERROR(OFFSET('IP PITSS'!$AL$8,MATCH('RESUMEN PITS'!C18,'IP PITSS'!$B$9:$B$91,0),0),0)+IFERROR(OFFSET('SIND PITS'!$S$2,MATCH('RESUMEN PITS'!C18,'SIND PITS'!$C$3:$C$103,0),0),0)</f>
        <v>6631.0811999999996</v>
      </c>
    </row>
    <row r="19" spans="1:25" s="29" customFormat="1" x14ac:dyDescent="0.2">
      <c r="A19" s="12" t="s">
        <v>70</v>
      </c>
      <c r="B19" s="13" t="s">
        <v>107</v>
      </c>
      <c r="C19" s="12" t="s">
        <v>71</v>
      </c>
      <c r="D19" s="13">
        <f>VLOOKUP(C19,'CPD PITSS'!B25:V42,21,0)</f>
        <v>3192.6</v>
      </c>
      <c r="E19" s="40"/>
      <c r="F19" s="29">
        <f>VLOOKUP(C19,'SIND PITS'!$C$3:$H$104,2,0)</f>
        <v>16807.400000000001</v>
      </c>
      <c r="G19" s="29">
        <f>VLOOKUP(C19,'SIND PITS'!$C$3:$E$104,3,0)</f>
        <v>0</v>
      </c>
      <c r="H19" s="29">
        <f>VLOOKUP(C19,'SIND PITS'!$C$3:$F$104,4,0)</f>
        <v>0</v>
      </c>
      <c r="I19" s="29">
        <f>VLOOKUP(C19,'SIND PITS'!$C$3:$G$104,5,0)</f>
        <v>0</v>
      </c>
      <c r="J19" s="26"/>
      <c r="K19" s="29">
        <f t="shared" si="1"/>
        <v>20000</v>
      </c>
      <c r="L19" s="20">
        <v>40000</v>
      </c>
      <c r="M19" s="29">
        <f t="shared" si="2"/>
        <v>20000</v>
      </c>
      <c r="N19" s="26"/>
      <c r="O19" s="29">
        <f>VLOOKUP($C19,'CPD PITSS'!$B$9:$V$26,8,0)</f>
        <v>0</v>
      </c>
      <c r="P19" s="29">
        <f t="shared" si="3"/>
        <v>0</v>
      </c>
      <c r="Q19" s="29">
        <f>(VLOOKUP($C19,'CPD PITSS'!$B$9:$V$26,13,0))+(VLOOKUP($C19,'CPD PITSS'!$B$9:$V$26,14,0))</f>
        <v>0</v>
      </c>
      <c r="S19" s="29">
        <f>VLOOKUP(C19,'CPD PITSS'!$B$9:$S$26,18,0)</f>
        <v>0</v>
      </c>
      <c r="T19" s="26"/>
      <c r="U19" s="29">
        <f t="shared" si="4"/>
        <v>20000</v>
      </c>
      <c r="V19" s="20">
        <f t="shared" si="0"/>
        <v>0</v>
      </c>
      <c r="W19" s="20"/>
      <c r="X19" s="29" t="s">
        <v>114</v>
      </c>
      <c r="Y19" s="20">
        <f ca="1">IFERROR(OFFSET('CPD PITSS'!$AN$8,MATCH('RESUMEN PITS'!C19,'CPD PITSS'!$B$9:$B$26,0),0),0)+IFERROR(OFFSET('IP PITSS'!$AL$8,MATCH('RESUMEN PITS'!C19,'IP PITSS'!$B$9:$B$91,0),0),0)+IFERROR(OFFSET('SIND PITS'!$S$2,MATCH('RESUMEN PITS'!C19,'SIND PITS'!$C$3:$C$103,0),0),0)</f>
        <v>21470.1126</v>
      </c>
    </row>
    <row r="20" spans="1:25" s="29" customFormat="1" x14ac:dyDescent="0.2">
      <c r="A20" s="6" t="s">
        <v>72</v>
      </c>
      <c r="B20" s="13" t="s">
        <v>107</v>
      </c>
      <c r="C20" s="6" t="s">
        <v>73</v>
      </c>
      <c r="D20" s="13">
        <f>VLOOKUP(C20,'CPD PITSS'!B26:V43,21,0)</f>
        <v>4030.6</v>
      </c>
      <c r="E20" s="40"/>
      <c r="F20" s="29">
        <f>VLOOKUP(C20,'SIND PITS'!$C$3:$H$104,2,0)</f>
        <v>2469.3999999999996</v>
      </c>
      <c r="G20" s="29">
        <f>VLOOKUP(C20,'SIND PITS'!$C$3:$E$104,3,0)</f>
        <v>1000</v>
      </c>
      <c r="H20" s="29">
        <f>VLOOKUP(C20,'SIND PITS'!$C$3:$F$104,4,0)</f>
        <v>0</v>
      </c>
      <c r="I20" s="29">
        <f>VLOOKUP(C20,'SIND PITS'!$C$3:$G$104,5,0)</f>
        <v>0</v>
      </c>
      <c r="J20" s="26"/>
      <c r="K20" s="29">
        <f t="shared" si="1"/>
        <v>7500</v>
      </c>
      <c r="L20" s="29">
        <v>13000</v>
      </c>
      <c r="M20" s="29">
        <f t="shared" si="2"/>
        <v>6500</v>
      </c>
      <c r="N20" s="26"/>
      <c r="O20" s="29">
        <f>VLOOKUP($C20,'CPD PITSS'!$B$9:$V$26,8,0)</f>
        <v>0</v>
      </c>
      <c r="P20" s="29">
        <f t="shared" si="3"/>
        <v>1000</v>
      </c>
      <c r="Q20" s="29">
        <f>(VLOOKUP($C20,'CPD PITSS'!$B$9:$V$26,13,0))+(VLOOKUP($C20,'CPD PITSS'!$B$9:$V$26,14,0))</f>
        <v>0</v>
      </c>
      <c r="S20" s="29">
        <f>VLOOKUP(C20,'CPD PITSS'!$B$9:$S$26,18,0)</f>
        <v>0</v>
      </c>
      <c r="T20" s="26"/>
      <c r="U20" s="29">
        <f t="shared" si="4"/>
        <v>6500</v>
      </c>
      <c r="V20" s="20">
        <f t="shared" si="0"/>
        <v>0</v>
      </c>
      <c r="W20" s="42"/>
      <c r="X20" s="29" t="s">
        <v>317</v>
      </c>
      <c r="Y20" s="20">
        <f ca="1">IFERROR(OFFSET('CPD PITSS'!$AN$8,MATCH('RESUMEN PITS'!C20,'CPD PITSS'!$B$9:$B$26,0),0),0)+IFERROR(OFFSET('IP PITSS'!$AL$8,MATCH('RESUMEN PITS'!C20,'IP PITSS'!$B$9:$B$91,0),0),0)+IFERROR(OFFSET('SIND PITS'!$S$2,MATCH('RESUMEN PITS'!C20,'SIND PITS'!$C$3:$C$103,0),0),0)</f>
        <v>8871.7559999999994</v>
      </c>
    </row>
    <row r="21" spans="1:25" s="94" customFormat="1" x14ac:dyDescent="0.2">
      <c r="A21" s="95" t="s">
        <v>36</v>
      </c>
      <c r="B21" s="21" t="s">
        <v>94</v>
      </c>
      <c r="C21" s="95" t="s">
        <v>324</v>
      </c>
      <c r="D21" s="21">
        <f>VLOOKUP(C21,'IP PITSS'!$B$9:$U$91,20,0)</f>
        <v>3578.6</v>
      </c>
      <c r="E21" s="96"/>
      <c r="F21" s="97">
        <f>VLOOKUP(C21,'SIND PITS'!$C$3:$H$104,2,0)</f>
        <v>421.40000000000009</v>
      </c>
      <c r="G21" s="97">
        <f>VLOOKUP(C21,'SIND PITS'!$C$3:$E$104,3,0)</f>
        <v>225</v>
      </c>
      <c r="H21" s="97">
        <f>VLOOKUP(C21,'SIND PITS'!$C$3:$F$104,4,0)</f>
        <v>0</v>
      </c>
      <c r="I21" s="97">
        <f>VLOOKUP(C21,'SIND PITS'!$C$3:$G$104,5,0)</f>
        <v>0</v>
      </c>
      <c r="J21" s="98"/>
      <c r="K21" s="99">
        <f t="shared" si="1"/>
        <v>4225</v>
      </c>
      <c r="L21" s="99">
        <v>8000</v>
      </c>
      <c r="M21" s="97">
        <f t="shared" si="2"/>
        <v>4000</v>
      </c>
      <c r="N21" s="100"/>
      <c r="O21" s="99">
        <f>VLOOKUP(C21,'IP PITSS'!$B$9:$I$91,8,0)</f>
        <v>0</v>
      </c>
      <c r="P21" s="99">
        <f t="shared" ref="P21:P66" si="5">+G21+H21+I21</f>
        <v>225</v>
      </c>
      <c r="Q21" s="99">
        <f>VLOOKUP(C21,'IP PITSS'!$B$9:$K$91,10,0)+VLOOKUP('RESUMEN PITS'!C21,'IP PITSS'!$B$9:$L$91,11,0)+VLOOKUP('RESUMEN PITS'!C21,'IP PITSS'!$B$9:$M$91,12,0)</f>
        <v>0</v>
      </c>
      <c r="R21" s="99">
        <f>VLOOKUP(C21,'IP PITSS'!$B$9:$Q$91,16,0)</f>
        <v>0</v>
      </c>
      <c r="S21" s="99">
        <f>VLOOKUP(C21,'IP PITSS'!$B$9:$R$91,17,0)</f>
        <v>0</v>
      </c>
      <c r="T21" s="100"/>
      <c r="U21" s="99">
        <f>+K21-O21-P21+Q21+R21+S21</f>
        <v>4000</v>
      </c>
      <c r="V21" s="99">
        <f t="shared" si="0"/>
        <v>0</v>
      </c>
      <c r="X21" s="93" t="s">
        <v>325</v>
      </c>
      <c r="Y21" s="20">
        <f ca="1">IFERROR(OFFSET('CPD PITSS'!$AN$8,MATCH('RESUMEN PITS'!C21,'CPD PITSS'!$B$9:$B$26,0),0),0)+IFERROR(OFFSET('IP PITSS'!$AL$8,MATCH('RESUMEN PITS'!C21,'IP PITSS'!$B$9:$B$91,0),0),0)+IFERROR(OFFSET('SIND PITS'!$S$2,MATCH('RESUMEN PITS'!C21,'SIND PITS'!$C$3:$C$103,0),0),0)</f>
        <v>5842.6510000000007</v>
      </c>
    </row>
    <row r="22" spans="1:25" s="29" customFormat="1" x14ac:dyDescent="0.2">
      <c r="A22" s="101" t="s">
        <v>265</v>
      </c>
      <c r="B22" s="21" t="s">
        <v>94</v>
      </c>
      <c r="C22" s="102" t="s">
        <v>266</v>
      </c>
      <c r="D22" s="21">
        <f>VLOOKUP(C22,'IP PITSS'!$B$9:$U$91,20,0)</f>
        <v>3658.8</v>
      </c>
      <c r="E22" s="103"/>
      <c r="F22" s="97">
        <f>VLOOKUP(C22,'SIND PITS'!$C$3:$H$104,2,0)</f>
        <v>421.19999999999982</v>
      </c>
      <c r="G22" s="97">
        <f>VLOOKUP(C22,'SIND PITS'!$C$3:$E$104,3,0)</f>
        <v>225</v>
      </c>
      <c r="H22" s="97">
        <f>VLOOKUP(C22,'SIND PITS'!$C$3:$F$104,4,0)</f>
        <v>0</v>
      </c>
      <c r="I22" s="97">
        <f>VLOOKUP(C22,'SIND PITS'!$C$3:$G$104,5,0)</f>
        <v>0</v>
      </c>
      <c r="J22" s="100"/>
      <c r="K22" s="97">
        <f t="shared" si="1"/>
        <v>4305</v>
      </c>
      <c r="L22" s="97">
        <v>8000</v>
      </c>
      <c r="M22" s="97">
        <f t="shared" si="2"/>
        <v>4000</v>
      </c>
      <c r="N22" s="100"/>
      <c r="O22" s="99">
        <f>VLOOKUP(C22,'IP PITSS'!$B$9:$I$91,8,0)</f>
        <v>80</v>
      </c>
      <c r="P22" s="97">
        <f t="shared" si="5"/>
        <v>225</v>
      </c>
      <c r="Q22" s="99">
        <f>VLOOKUP(C22,'IP PITSS'!$B$9:$K$91,10,0)+VLOOKUP('RESUMEN PITS'!C22,'IP PITSS'!$B$9:$L$91,11,0)+VLOOKUP('RESUMEN PITS'!C22,'IP PITSS'!$B$9:$M$91,12,0)</f>
        <v>0</v>
      </c>
      <c r="R22" s="99">
        <f>VLOOKUP(C22,'IP PITSS'!$B$9:$Q$91,16,0)</f>
        <v>0</v>
      </c>
      <c r="S22" s="99">
        <f>VLOOKUP(C22,'IP PITSS'!$B$9:$R$91,17,0)</f>
        <v>0</v>
      </c>
      <c r="T22" s="100"/>
      <c r="U22" s="97">
        <f t="shared" ref="U22:U84" si="6">+K22-O22-P22+Q22+R22+S22</f>
        <v>4000</v>
      </c>
      <c r="V22" s="99">
        <f t="shared" si="0"/>
        <v>0</v>
      </c>
      <c r="W22" s="20"/>
      <c r="X22" s="29" t="s">
        <v>267</v>
      </c>
      <c r="Y22" s="20">
        <f ca="1">IFERROR(OFFSET('CPD PITSS'!$AN$8,MATCH('RESUMEN PITS'!C22,'CPD PITSS'!$B$9:$B$26,0),0),0)+IFERROR(OFFSET('IP PITSS'!$AL$8,MATCH('RESUMEN PITS'!C22,'IP PITSS'!$B$9:$B$91,0),0),0)+IFERROR(OFFSET('SIND PITS'!$S$2,MATCH('RESUMEN PITS'!C22,'SIND PITS'!$C$3:$C$103,0),0),0)</f>
        <v>5925.8509999999997</v>
      </c>
    </row>
    <row r="23" spans="1:25" s="20" customFormat="1" x14ac:dyDescent="0.2">
      <c r="A23" s="102" t="s">
        <v>276</v>
      </c>
      <c r="B23" s="21" t="s">
        <v>94</v>
      </c>
      <c r="C23" s="102" t="s">
        <v>277</v>
      </c>
      <c r="D23" s="21">
        <f>VLOOKUP(C23,'IP PITSS'!$B$9:$U$91,20,0)</f>
        <v>3190.2</v>
      </c>
      <c r="E23" s="103"/>
      <c r="F23" s="97">
        <f>VLOOKUP(C23,'SIND PITS'!$C$3:$H$104,2,0)</f>
        <v>421.36000000000013</v>
      </c>
      <c r="G23" s="97">
        <f>VLOOKUP(C23,'SIND PITS'!$C$3:$E$104,3,0)</f>
        <v>200</v>
      </c>
      <c r="H23" s="97">
        <f>VLOOKUP(C23,'SIND PITS'!$C$3:$F$104,4,0)</f>
        <v>0</v>
      </c>
      <c r="I23" s="97">
        <f>VLOOKUP(C23,'SIND PITS'!$C$3:$G$104,5,0)</f>
        <v>0</v>
      </c>
      <c r="J23" s="100"/>
      <c r="K23" s="97">
        <f t="shared" si="1"/>
        <v>3811.56</v>
      </c>
      <c r="L23" s="97">
        <v>8000</v>
      </c>
      <c r="M23" s="97">
        <f t="shared" si="2"/>
        <v>4000</v>
      </c>
      <c r="N23" s="100"/>
      <c r="O23" s="99">
        <f>VLOOKUP(C23,'IP PITSS'!$B$9:$I$91,8,0)</f>
        <v>480</v>
      </c>
      <c r="P23" s="97">
        <f t="shared" si="5"/>
        <v>200</v>
      </c>
      <c r="Q23" s="99">
        <f>VLOOKUP(C23,'IP PITSS'!$B$9:$K$91,10,0)+VLOOKUP('RESUMEN PITS'!C23,'IP PITSS'!$B$9:$L$91,11,0)+VLOOKUP('RESUMEN PITS'!C23,'IP PITSS'!$B$9:$M$91,12,0)</f>
        <v>868.44</v>
      </c>
      <c r="R23" s="99">
        <f>VLOOKUP(C23,'IP PITSS'!$B$9:$Q$91,16,0)</f>
        <v>0</v>
      </c>
      <c r="S23" s="99">
        <f>VLOOKUP(C23,'IP PITSS'!$B$9:$R$91,17,0)</f>
        <v>0</v>
      </c>
      <c r="T23" s="100"/>
      <c r="U23" s="97">
        <f t="shared" si="6"/>
        <v>4000</v>
      </c>
      <c r="V23" s="99">
        <f t="shared" si="0"/>
        <v>0</v>
      </c>
      <c r="X23" s="29" t="s">
        <v>278</v>
      </c>
      <c r="Y23" s="20">
        <f ca="1">IFERROR(OFFSET('CPD PITSS'!$AN$8,MATCH('RESUMEN PITS'!C23,'CPD PITSS'!$B$9:$B$26,0),0),0)+IFERROR(OFFSET('IP PITSS'!$AL$8,MATCH('RESUMEN PITS'!C23,'IP PITSS'!$B$9:$B$91,0),0),0)+IFERROR(OFFSET('SIND PITS'!$S$2,MATCH('RESUMEN PITS'!C23,'SIND PITS'!$C$3:$C$103,0),0),0)</f>
        <v>6316.3509999999987</v>
      </c>
    </row>
    <row r="24" spans="1:25" s="29" customFormat="1" x14ac:dyDescent="0.2">
      <c r="A24" s="102" t="s">
        <v>187</v>
      </c>
      <c r="B24" s="21" t="s">
        <v>94</v>
      </c>
      <c r="C24" s="102" t="s">
        <v>188</v>
      </c>
      <c r="D24" s="21">
        <f>VLOOKUP(C24,'IP PITSS'!$B$9:$U$91,20,0)</f>
        <v>6562.6</v>
      </c>
      <c r="E24" s="103"/>
      <c r="F24" s="97">
        <f>VLOOKUP(C24,'SIND PITS'!$C$3:$H$104,2,0)</f>
        <v>0</v>
      </c>
      <c r="G24" s="97">
        <f>VLOOKUP(C24,'SIND PITS'!$C$3:$E$104,3,0)</f>
        <v>390.63</v>
      </c>
      <c r="H24" s="97">
        <f>VLOOKUP(C24,'SIND PITS'!$C$3:$F$104,4,0)</f>
        <v>0</v>
      </c>
      <c r="I24" s="97">
        <f>VLOOKUP(C24,'SIND PITS'!$C$3:$G$104,5,0)</f>
        <v>0</v>
      </c>
      <c r="J24" s="100"/>
      <c r="K24" s="97">
        <f t="shared" si="1"/>
        <v>6953.2300000000005</v>
      </c>
      <c r="L24" s="104">
        <v>13125</v>
      </c>
      <c r="M24" s="97">
        <f t="shared" si="2"/>
        <v>6562.5</v>
      </c>
      <c r="N24" s="100"/>
      <c r="O24" s="99">
        <f>VLOOKUP(C24,'IP PITSS'!$B$9:$I$91,8,0)</f>
        <v>0</v>
      </c>
      <c r="P24" s="97">
        <f t="shared" si="5"/>
        <v>390.63</v>
      </c>
      <c r="Q24" s="99">
        <f>VLOOKUP(C24,'IP PITSS'!$B$9:$K$91,10,0)+VLOOKUP('RESUMEN PITS'!C24,'IP PITSS'!$B$9:$L$91,11,0)+VLOOKUP('RESUMEN PITS'!C24,'IP PITSS'!$B$9:$M$91,12,0)</f>
        <v>0</v>
      </c>
      <c r="R24" s="99">
        <f>VLOOKUP(C24,'IP PITSS'!$B$9:$Q$91,16,0)</f>
        <v>0</v>
      </c>
      <c r="S24" s="99">
        <f>VLOOKUP(C24,'IP PITSS'!$B$9:$R$91,17,0)</f>
        <v>0</v>
      </c>
      <c r="T24" s="100"/>
      <c r="U24" s="97">
        <f t="shared" si="6"/>
        <v>6562.6</v>
      </c>
      <c r="V24" s="99">
        <f t="shared" si="0"/>
        <v>-0.1000000000003638</v>
      </c>
      <c r="W24" s="20"/>
      <c r="X24" s="29" t="s">
        <v>189</v>
      </c>
      <c r="Y24" s="20">
        <f ca="1">IFERROR(OFFSET('CPD PITSS'!$AN$8,MATCH('RESUMEN PITS'!C24,'CPD PITSS'!$B$9:$B$26,0),0),0)+IFERROR(OFFSET('IP PITSS'!$AL$8,MATCH('RESUMEN PITS'!C24,'IP PITSS'!$B$9:$B$91,0),0),0)+IFERROR(OFFSET('SIND PITS'!$S$2,MATCH('RESUMEN PITS'!C24,'SIND PITS'!$C$3:$C$103,0),0),0)</f>
        <v>9550.588600000001</v>
      </c>
    </row>
    <row r="25" spans="1:25" s="29" customFormat="1" x14ac:dyDescent="0.2">
      <c r="A25" s="102" t="s">
        <v>224</v>
      </c>
      <c r="B25" s="21" t="s">
        <v>94</v>
      </c>
      <c r="C25" s="102" t="s">
        <v>225</v>
      </c>
      <c r="D25" s="21">
        <f>VLOOKUP(C25,'IP PITSS'!$B$9:$U$91,20,0)</f>
        <v>3978.6</v>
      </c>
      <c r="E25" s="103"/>
      <c r="F25" s="97">
        <f>VLOOKUP(C25,'SIND PITS'!$C$3:$H$104,2,0)</f>
        <v>421.40000000000009</v>
      </c>
      <c r="G25" s="97">
        <f>VLOOKUP(C25,'SIND PITS'!$C$3:$E$104,3,0)</f>
        <v>165</v>
      </c>
      <c r="H25" s="97">
        <f>VLOOKUP(C25,'SIND PITS'!$C$3:$F$104,4,0)</f>
        <v>0</v>
      </c>
      <c r="I25" s="97">
        <f>VLOOKUP(C25,'SIND PITS'!$C$3:$G$104,5,0)</f>
        <v>0</v>
      </c>
      <c r="J25" s="100"/>
      <c r="K25" s="97">
        <f t="shared" si="1"/>
        <v>4565</v>
      </c>
      <c r="L25" s="97">
        <v>8000</v>
      </c>
      <c r="M25" s="97">
        <f t="shared" si="2"/>
        <v>4000</v>
      </c>
      <c r="N25" s="100"/>
      <c r="O25" s="99">
        <f>VLOOKUP(C25,'IP PITSS'!$B$9:$I$91,8,0)</f>
        <v>400</v>
      </c>
      <c r="P25" s="97">
        <f t="shared" si="5"/>
        <v>165</v>
      </c>
      <c r="Q25" s="99">
        <f>VLOOKUP(C25,'IP PITSS'!$B$9:$K$91,10,0)+VLOOKUP('RESUMEN PITS'!C25,'IP PITSS'!$B$9:$L$91,11,0)+VLOOKUP('RESUMEN PITS'!C25,'IP PITSS'!$B$9:$M$91,12,0)</f>
        <v>0</v>
      </c>
      <c r="R25" s="99">
        <f>VLOOKUP(C25,'IP PITSS'!$B$9:$Q$91,16,0)</f>
        <v>0</v>
      </c>
      <c r="S25" s="99">
        <f>VLOOKUP(C25,'IP PITSS'!$B$9:$R$91,17,0)</f>
        <v>0</v>
      </c>
      <c r="T25" s="100"/>
      <c r="U25" s="97">
        <f t="shared" si="6"/>
        <v>4000</v>
      </c>
      <c r="V25" s="99">
        <f t="shared" si="0"/>
        <v>0</v>
      </c>
      <c r="W25" s="20"/>
      <c r="X25" s="29" t="s">
        <v>226</v>
      </c>
      <c r="Y25" s="20">
        <f ca="1">IFERROR(OFFSET('CPD PITSS'!$AN$8,MATCH('RESUMEN PITS'!C25,'CPD PITSS'!$B$9:$B$26,0),0),0)+IFERROR(OFFSET('IP PITSS'!$AL$8,MATCH('RESUMEN PITS'!C25,'IP PITSS'!$B$9:$B$91,0),0),0)+IFERROR(OFFSET('SIND PITS'!$S$2,MATCH('RESUMEN PITS'!C25,'SIND PITS'!$C$3:$C$103,0),0),0)</f>
        <v>6197.451</v>
      </c>
    </row>
    <row r="26" spans="1:25" s="29" customFormat="1" x14ac:dyDescent="0.2">
      <c r="A26" s="95" t="s">
        <v>339</v>
      </c>
      <c r="B26" s="21" t="s">
        <v>94</v>
      </c>
      <c r="C26" s="95" t="s">
        <v>340</v>
      </c>
      <c r="D26" s="21">
        <f>VLOOKUP(C26,'IP PITSS'!$B$9:$U$91,20,0)</f>
        <v>1512.6</v>
      </c>
      <c r="E26" s="103"/>
      <c r="F26" s="97">
        <f>VLOOKUP(C26,'SIND PITS'!$C$3:$H$104,2,0)</f>
        <v>1140.3000000000002</v>
      </c>
      <c r="G26" s="97">
        <f>VLOOKUP(C26,'SIND PITS'!$C$3:$E$104,3,0)</f>
        <v>0</v>
      </c>
      <c r="H26" s="97">
        <f>VLOOKUP(C26,'SIND PITS'!$C$3:$F$104,4,0)</f>
        <v>0</v>
      </c>
      <c r="I26" s="97">
        <f>VLOOKUP(C26,'SIND PITS'!$C$3:$G$104,5,0)</f>
        <v>0</v>
      </c>
      <c r="J26" s="100"/>
      <c r="K26" s="97">
        <f t="shared" si="1"/>
        <v>2652.9</v>
      </c>
      <c r="L26" s="99">
        <v>8000</v>
      </c>
      <c r="M26" s="97">
        <f t="shared" si="2"/>
        <v>4000</v>
      </c>
      <c r="N26" s="100"/>
      <c r="O26" s="99">
        <f>VLOOKUP(C26,'IP PITSS'!$B$9:$I$91,8,0)</f>
        <v>0</v>
      </c>
      <c r="P26" s="97">
        <f t="shared" si="5"/>
        <v>0</v>
      </c>
      <c r="Q26" s="99">
        <f>VLOOKUP(C26,'IP PITSS'!$B$9:$K$91,10,0)+VLOOKUP('RESUMEN PITS'!C26,'IP PITSS'!$B$9:$L$91,11,0)+VLOOKUP('RESUMEN PITS'!C26,'IP PITSS'!$B$9:$M$91,12,0)</f>
        <v>1347.1</v>
      </c>
      <c r="R26" s="99">
        <f>VLOOKUP(C26,'IP PITSS'!$B$9:$Q$91,16,0)</f>
        <v>0</v>
      </c>
      <c r="S26" s="99">
        <f>VLOOKUP(C26,'IP PITSS'!$B$9:$R$91,17,0)</f>
        <v>0</v>
      </c>
      <c r="T26" s="100"/>
      <c r="U26" s="97">
        <f t="shared" si="6"/>
        <v>4000</v>
      </c>
      <c r="V26" s="99">
        <f t="shared" si="0"/>
        <v>0</v>
      </c>
      <c r="W26" s="20"/>
      <c r="X26" s="29" t="s">
        <v>341</v>
      </c>
      <c r="Y26" s="20">
        <f ca="1">IFERROR(OFFSET('CPD PITSS'!$AN$8,MATCH('RESUMEN PITS'!C26,'CPD PITSS'!$B$9:$B$26,0),0),0)+IFERROR(OFFSET('IP PITSS'!$AL$8,MATCH('RESUMEN PITS'!C26,'IP PITSS'!$B$9:$B$91,0),0),0)+IFERROR(OFFSET('SIND PITS'!$S$2,MATCH('RESUMEN PITS'!C26,'SIND PITS'!$C$3:$C$103,0),0),0)</f>
        <v>5397.1200000000008</v>
      </c>
    </row>
    <row r="27" spans="1:25" s="29" customFormat="1" x14ac:dyDescent="0.2">
      <c r="A27" s="102" t="s">
        <v>279</v>
      </c>
      <c r="B27" s="21" t="s">
        <v>94</v>
      </c>
      <c r="C27" s="102" t="s">
        <v>280</v>
      </c>
      <c r="D27" s="21">
        <f>VLOOKUP(C27,'IP PITSS'!$B$9:$U$91,20,0)</f>
        <v>4397.6000000000004</v>
      </c>
      <c r="E27" s="103"/>
      <c r="F27" s="97">
        <f>VLOOKUP(C27,'SIND PITS'!$C$3:$H$104,2,0)</f>
        <v>602.39999999999964</v>
      </c>
      <c r="G27" s="97">
        <f>VLOOKUP(C27,'SIND PITS'!$C$3:$E$104,3,0)</f>
        <v>90</v>
      </c>
      <c r="H27" s="97">
        <f>VLOOKUP(C27,'SIND PITS'!$C$3:$F$104,4,0)</f>
        <v>0</v>
      </c>
      <c r="I27" s="97">
        <f>VLOOKUP(C27,'SIND PITS'!$C$3:$G$104,5,0)</f>
        <v>0</v>
      </c>
      <c r="J27" s="100"/>
      <c r="K27" s="97">
        <f t="shared" si="1"/>
        <v>5090</v>
      </c>
      <c r="L27" s="97">
        <v>10000</v>
      </c>
      <c r="M27" s="97">
        <f t="shared" si="2"/>
        <v>5000</v>
      </c>
      <c r="N27" s="100"/>
      <c r="O27" s="99">
        <f>VLOOKUP(C27,'IP PITSS'!$B$9:$I$91,8,0)</f>
        <v>0</v>
      </c>
      <c r="P27" s="97">
        <f t="shared" si="5"/>
        <v>90</v>
      </c>
      <c r="Q27" s="99">
        <f>VLOOKUP(C27,'IP PITSS'!$B$9:$K$91,10,0)+VLOOKUP('RESUMEN PITS'!C27,'IP PITSS'!$B$9:$L$91,11,0)+VLOOKUP('RESUMEN PITS'!C27,'IP PITSS'!$B$9:$M$91,12,0)</f>
        <v>0</v>
      </c>
      <c r="R27" s="99">
        <f>VLOOKUP(C27,'IP PITSS'!$B$9:$Q$91,16,0)</f>
        <v>0</v>
      </c>
      <c r="S27" s="99">
        <f>VLOOKUP(C27,'IP PITSS'!$B$9:$R$91,17,0)</f>
        <v>0</v>
      </c>
      <c r="T27" s="100"/>
      <c r="U27" s="97">
        <f t="shared" si="6"/>
        <v>5000</v>
      </c>
      <c r="V27" s="99">
        <f t="shared" si="0"/>
        <v>0</v>
      </c>
      <c r="W27" s="20"/>
      <c r="X27" s="29" t="s">
        <v>281</v>
      </c>
      <c r="Y27" s="20">
        <f ca="1">IFERROR(OFFSET('CPD PITSS'!$AN$8,MATCH('RESUMEN PITS'!C27,'CPD PITSS'!$B$9:$B$26,0),0),0)+IFERROR(OFFSET('IP PITSS'!$AL$8,MATCH('RESUMEN PITS'!C27,'IP PITSS'!$B$9:$B$91,0),0),0)+IFERROR(OFFSET('SIND PITS'!$S$2,MATCH('RESUMEN PITS'!C27,'SIND PITS'!$C$3:$C$103,0),0),0)</f>
        <v>6976.0990000000002</v>
      </c>
    </row>
    <row r="28" spans="1:25" s="29" customFormat="1" x14ac:dyDescent="0.2">
      <c r="A28" s="102" t="s">
        <v>301</v>
      </c>
      <c r="B28" s="21" t="s">
        <v>94</v>
      </c>
      <c r="C28" s="102" t="s">
        <v>302</v>
      </c>
      <c r="D28" s="21">
        <f>VLOOKUP(C28,'IP PITSS'!$B$9:$U$91,20,0)</f>
        <v>3271.6</v>
      </c>
      <c r="E28" s="103"/>
      <c r="F28" s="97">
        <f>VLOOKUP(C28,'SIND PITS'!$C$3:$H$104,2,0)</f>
        <v>228.40000000000009</v>
      </c>
      <c r="G28" s="97">
        <f>VLOOKUP(C28,'SIND PITS'!$C$3:$E$104,3,0)</f>
        <v>75</v>
      </c>
      <c r="H28" s="97">
        <f>VLOOKUP(C28,'SIND PITS'!$C$3:$F$104,4,0)</f>
        <v>0</v>
      </c>
      <c r="I28" s="97">
        <f>VLOOKUP(C28,'SIND PITS'!$C$3:$G$104,5,0)</f>
        <v>0</v>
      </c>
      <c r="J28" s="100"/>
      <c r="K28" s="97">
        <f t="shared" si="1"/>
        <v>3575</v>
      </c>
      <c r="L28" s="97">
        <v>7000</v>
      </c>
      <c r="M28" s="97">
        <f t="shared" si="2"/>
        <v>3500</v>
      </c>
      <c r="N28" s="100"/>
      <c r="O28" s="99">
        <f>VLOOKUP(C28,'IP PITSS'!$B$9:$I$91,8,0)</f>
        <v>0</v>
      </c>
      <c r="P28" s="97">
        <f t="shared" si="5"/>
        <v>75</v>
      </c>
      <c r="Q28" s="99">
        <f>VLOOKUP(C28,'IP PITSS'!$B$9:$K$91,10,0)+VLOOKUP('RESUMEN PITS'!C28,'IP PITSS'!$B$9:$L$91,11,0)+VLOOKUP('RESUMEN PITS'!C28,'IP PITSS'!$B$9:$M$91,12,0)</f>
        <v>0</v>
      </c>
      <c r="R28" s="99">
        <f>VLOOKUP(C28,'IP PITSS'!$B$9:$Q$91,16,0)</f>
        <v>0</v>
      </c>
      <c r="S28" s="99">
        <f>VLOOKUP(C28,'IP PITSS'!$B$9:$R$91,17,0)</f>
        <v>0</v>
      </c>
      <c r="T28" s="100"/>
      <c r="U28" s="97">
        <f t="shared" si="6"/>
        <v>3500</v>
      </c>
      <c r="V28" s="99">
        <f t="shared" si="0"/>
        <v>0</v>
      </c>
      <c r="W28" s="20"/>
      <c r="X28" s="29" t="s">
        <v>303</v>
      </c>
      <c r="Y28" s="20">
        <f ca="1">IFERROR(OFFSET('CPD PITSS'!$AN$8,MATCH('RESUMEN PITS'!C28,'CPD PITSS'!$B$9:$B$26,0),0),0)+IFERROR(OFFSET('IP PITSS'!$AL$8,MATCH('RESUMEN PITS'!C28,'IP PITSS'!$B$9:$B$91,0),0),0)+IFERROR(OFFSET('SIND PITS'!$S$2,MATCH('RESUMEN PITS'!C28,'SIND PITS'!$C$3:$C$103,0),0),0)</f>
        <v>5074.3889999999992</v>
      </c>
    </row>
    <row r="29" spans="1:25" s="20" customFormat="1" x14ac:dyDescent="0.2">
      <c r="A29" s="95" t="s">
        <v>104</v>
      </c>
      <c r="B29" s="21" t="s">
        <v>94</v>
      </c>
      <c r="C29" s="95" t="s">
        <v>105</v>
      </c>
      <c r="D29" s="21">
        <f>VLOOKUP(C29,'IP PITSS'!$B$9:$U$91,20,0)</f>
        <v>2259.8000000000002</v>
      </c>
      <c r="E29" s="96"/>
      <c r="F29" s="97">
        <f>VLOOKUP(C29,'SIND PITS'!$C$3:$H$104,2,0)</f>
        <v>140.19999999999982</v>
      </c>
      <c r="G29" s="97">
        <f>VLOOKUP(C29,'SIND PITS'!$C$3:$E$104,3,0)</f>
        <v>1545</v>
      </c>
      <c r="H29" s="97">
        <f>VLOOKUP(C29,'SIND PITS'!$C$3:$F$104,4,0)</f>
        <v>0</v>
      </c>
      <c r="I29" s="97">
        <f>VLOOKUP(C29,'SIND PITS'!$C$3:$G$104,5,0)</f>
        <v>0</v>
      </c>
      <c r="J29" s="98"/>
      <c r="K29" s="97">
        <f t="shared" si="1"/>
        <v>3945</v>
      </c>
      <c r="L29" s="99">
        <v>6000</v>
      </c>
      <c r="M29" s="97">
        <f t="shared" si="2"/>
        <v>3000</v>
      </c>
      <c r="N29" s="100"/>
      <c r="O29" s="99">
        <f>VLOOKUP(C29,'IP PITSS'!$B$9:$I$91,8,0)</f>
        <v>0</v>
      </c>
      <c r="P29" s="97">
        <f t="shared" si="5"/>
        <v>1545</v>
      </c>
      <c r="Q29" s="99">
        <f>VLOOKUP(C29,'IP PITSS'!$B$9:$K$91,10,0)+VLOOKUP('RESUMEN PITS'!C29,'IP PITSS'!$B$9:$L$91,11,0)+VLOOKUP('RESUMEN PITS'!C29,'IP PITSS'!$B$9:$M$91,12,0)</f>
        <v>0</v>
      </c>
      <c r="R29" s="99">
        <f>VLOOKUP(C29,'IP PITSS'!$B$9:$Q$91,16,0)</f>
        <v>600</v>
      </c>
      <c r="S29" s="99">
        <f>VLOOKUP(C29,'IP PITSS'!$B$9:$R$91,17,0)</f>
        <v>0</v>
      </c>
      <c r="T29" s="100"/>
      <c r="U29" s="97">
        <f t="shared" si="6"/>
        <v>3000</v>
      </c>
      <c r="V29" s="99">
        <f t="shared" si="0"/>
        <v>0</v>
      </c>
      <c r="W29" s="28"/>
      <c r="X29" s="29" t="s">
        <v>106</v>
      </c>
      <c r="Y29" s="20">
        <f ca="1">IFERROR(OFFSET('CPD PITSS'!$AN$8,MATCH('RESUMEN PITS'!C29,'CPD PITSS'!$B$9:$B$26,0),0),0)+IFERROR(OFFSET('IP PITSS'!$AL$8,MATCH('RESUMEN PITS'!C29,'IP PITSS'!$B$9:$B$91,0),0),0)+IFERROR(OFFSET('SIND PITS'!$S$2,MATCH('RESUMEN PITS'!C29,'SIND PITS'!$C$3:$C$103,0),0),0)</f>
        <v>5953.0199999999995</v>
      </c>
    </row>
    <row r="30" spans="1:25" s="29" customFormat="1" x14ac:dyDescent="0.2">
      <c r="A30" s="102" t="s">
        <v>166</v>
      </c>
      <c r="B30" s="21" t="s">
        <v>94</v>
      </c>
      <c r="C30" s="102" t="s">
        <v>167</v>
      </c>
      <c r="D30" s="21">
        <f>VLOOKUP(C30,'IP PITSS'!$B$9:$U$91,20,0)</f>
        <v>1910.2</v>
      </c>
      <c r="E30" s="103"/>
      <c r="F30" s="97">
        <f>VLOOKUP(C30,'SIND PITS'!$C$3:$H$104,2,0)</f>
        <v>1423.1999999999998</v>
      </c>
      <c r="G30" s="97">
        <f>VLOOKUP(C30,'SIND PITS'!$C$3:$E$104,3,0)</f>
        <v>718.75</v>
      </c>
      <c r="H30" s="97">
        <f>VLOOKUP(C30,'SIND PITS'!$C$3:$F$104,4,0)</f>
        <v>0</v>
      </c>
      <c r="I30" s="97">
        <f>VLOOKUP(C30,'SIND PITS'!$C$3:$G$104,5,0)</f>
        <v>0</v>
      </c>
      <c r="J30" s="100"/>
      <c r="K30" s="97">
        <f t="shared" si="1"/>
        <v>4052.1499999999996</v>
      </c>
      <c r="L30" s="97">
        <v>10000</v>
      </c>
      <c r="M30" s="97">
        <f t="shared" si="2"/>
        <v>5000</v>
      </c>
      <c r="N30" s="100"/>
      <c r="O30" s="99">
        <f>VLOOKUP(C30,'IP PITSS'!$B$9:$I$91,8,0)</f>
        <v>0</v>
      </c>
      <c r="P30" s="97">
        <f t="shared" si="5"/>
        <v>718.75</v>
      </c>
      <c r="Q30" s="99">
        <f>VLOOKUP(C30,'IP PITSS'!$B$9:$K$91,10,0)+VLOOKUP('RESUMEN PITS'!C30,'IP PITSS'!$B$9:$L$91,11,0)+VLOOKUP('RESUMEN PITS'!C30,'IP PITSS'!$B$9:$M$91,12,0)</f>
        <v>0</v>
      </c>
      <c r="R30" s="99">
        <f>VLOOKUP(C30,'IP PITSS'!$B$9:$Q$91,16,0)</f>
        <v>0</v>
      </c>
      <c r="S30" s="99">
        <f>VLOOKUP(C30,'IP PITSS'!$B$9:$R$91,17,0)</f>
        <v>1666.67</v>
      </c>
      <c r="T30" s="100"/>
      <c r="U30" s="97">
        <f t="shared" si="6"/>
        <v>5000.07</v>
      </c>
      <c r="V30" s="99">
        <f t="shared" si="0"/>
        <v>-6.9999999999708962E-2</v>
      </c>
      <c r="W30" s="20"/>
      <c r="X30" s="29" t="s">
        <v>168</v>
      </c>
      <c r="Y30" s="20">
        <f ca="1">IFERROR(OFFSET('CPD PITSS'!$AN$8,MATCH('RESUMEN PITS'!C30,'CPD PITSS'!$B$9:$B$26,0),0),0)+IFERROR(OFFSET('IP PITSS'!$AL$8,MATCH('RESUMEN PITS'!C30,'IP PITSS'!$B$9:$B$91,0),0),0)+IFERROR(OFFSET('SIND PITS'!$S$2,MATCH('RESUMEN PITS'!C30,'SIND PITS'!$C$3:$C$103,0),0),0)</f>
        <v>7378.9874</v>
      </c>
    </row>
    <row r="31" spans="1:25" s="29" customFormat="1" x14ac:dyDescent="0.2">
      <c r="A31" s="101" t="s">
        <v>150</v>
      </c>
      <c r="B31" s="21" t="s">
        <v>94</v>
      </c>
      <c r="C31" s="101" t="s">
        <v>151</v>
      </c>
      <c r="D31" s="21">
        <f>VLOOKUP(C31,'IP PITSS'!$B$9:$U$91,20,0)</f>
        <v>2255.8000000000002</v>
      </c>
      <c r="E31" s="103"/>
      <c r="F31" s="97">
        <f>VLOOKUP(C31,'SIND PITS'!$C$3:$H$104,2,0)</f>
        <v>56.639999999999873</v>
      </c>
      <c r="G31" s="97">
        <f>VLOOKUP(C31,'SIND PITS'!$C$3:$E$104,3,0)</f>
        <v>250</v>
      </c>
      <c r="H31" s="97">
        <f>VLOOKUP(C31,'SIND PITS'!$C$3:$F$104,4,0)</f>
        <v>0</v>
      </c>
      <c r="I31" s="97">
        <f>VLOOKUP(C31,'SIND PITS'!$C$3:$G$104,5,0)</f>
        <v>0</v>
      </c>
      <c r="J31" s="100"/>
      <c r="K31" s="97">
        <f t="shared" si="1"/>
        <v>2562.44</v>
      </c>
      <c r="L31" s="97">
        <v>5000</v>
      </c>
      <c r="M31" s="97">
        <f t="shared" si="2"/>
        <v>2500</v>
      </c>
      <c r="N31" s="100"/>
      <c r="O31" s="99">
        <f>VLOOKUP(C31,'IP PITSS'!$B$9:$I$91,8,0)</f>
        <v>150</v>
      </c>
      <c r="P31" s="97">
        <f t="shared" si="5"/>
        <v>250</v>
      </c>
      <c r="Q31" s="99">
        <f>VLOOKUP(C31,'IP PITSS'!$B$9:$K$91,10,0)+VLOOKUP('RESUMEN PITS'!C31,'IP PITSS'!$B$9:$L$91,11,0)+VLOOKUP('RESUMEN PITS'!C31,'IP PITSS'!$B$9:$M$91,12,0)</f>
        <v>0</v>
      </c>
      <c r="R31" s="99">
        <f>VLOOKUP(C31,'IP PITSS'!$B$9:$Q$91,16,0)</f>
        <v>0</v>
      </c>
      <c r="S31" s="99">
        <f>VLOOKUP(C31,'IP PITSS'!$B$9:$R$91,17,0)</f>
        <v>337.56</v>
      </c>
      <c r="T31" s="100"/>
      <c r="U31" s="97">
        <f t="shared" si="6"/>
        <v>2500</v>
      </c>
      <c r="V31" s="99">
        <f t="shared" si="0"/>
        <v>0</v>
      </c>
      <c r="W31" s="20"/>
      <c r="X31" s="29" t="s">
        <v>152</v>
      </c>
      <c r="Y31" s="20">
        <f ca="1">IFERROR(OFFSET('CPD PITSS'!$AN$8,MATCH('RESUMEN PITS'!C31,'CPD PITSS'!$B$9:$B$26,0),0),0)+IFERROR(OFFSET('IP PITSS'!$AL$8,MATCH('RESUMEN PITS'!C31,'IP PITSS'!$B$9:$B$91,0),0),0)+IFERROR(OFFSET('SIND PITS'!$S$2,MATCH('RESUMEN PITS'!C31,'SIND PITS'!$C$3:$C$103,0),0),0)</f>
        <v>4160.0610000000006</v>
      </c>
    </row>
    <row r="32" spans="1:25" s="29" customFormat="1" x14ac:dyDescent="0.2">
      <c r="A32" s="101" t="s">
        <v>362</v>
      </c>
      <c r="B32" s="13" t="s">
        <v>94</v>
      </c>
      <c r="C32" s="102" t="s">
        <v>260</v>
      </c>
      <c r="D32" s="21">
        <f>VLOOKUP(C32,'IP PITSS'!$B$9:$U$91,20,0)</f>
        <v>3686.2</v>
      </c>
      <c r="E32" s="103"/>
      <c r="F32" s="97">
        <f>VLOOKUP(C32,'SIND PITS'!$C$3:$H$104,2,0)</f>
        <v>713.80000000000018</v>
      </c>
      <c r="G32" s="97">
        <f>VLOOKUP(C32,'SIND PITS'!$C$3:$E$104,3,0)</f>
        <v>500</v>
      </c>
      <c r="H32" s="97">
        <f>VLOOKUP(C32,'SIND PITS'!$C$3:$F$104,4,0)</f>
        <v>0</v>
      </c>
      <c r="I32" s="97">
        <f>VLOOKUP(C32,'SIND PITS'!$C$3:$G$104,5,0)</f>
        <v>0</v>
      </c>
      <c r="J32" s="100"/>
      <c r="K32" s="97">
        <f t="shared" ref="K32" si="7">+D32+F32+G32+H32+I32</f>
        <v>4900</v>
      </c>
      <c r="L32" s="97">
        <v>8800</v>
      </c>
      <c r="M32" s="97">
        <f t="shared" si="2"/>
        <v>4400</v>
      </c>
      <c r="N32" s="100"/>
      <c r="O32" s="99">
        <f>VLOOKUP(C32,'IP PITSS'!$B$9:$I$91,8,0)</f>
        <v>0</v>
      </c>
      <c r="P32" s="97">
        <f t="shared" si="5"/>
        <v>500</v>
      </c>
      <c r="Q32" s="99">
        <f>VLOOKUP(C32,'IP PITSS'!$B$9:$K$91,10,0)+VLOOKUP('RESUMEN PITS'!C32,'IP PITSS'!$B$9:$L$91,11,0)+VLOOKUP('RESUMEN PITS'!C32,'IP PITSS'!$B$9:$M$91,12,0)</f>
        <v>0</v>
      </c>
      <c r="R32" s="99">
        <f>VLOOKUP(C32,'IP PITSS'!$B$9:$Q$91,16,0)</f>
        <v>0</v>
      </c>
      <c r="S32" s="99">
        <f>VLOOKUP(C32,'IP PITSS'!$B$9:$R$91,17,0)</f>
        <v>0</v>
      </c>
      <c r="T32" s="105"/>
      <c r="U32" s="97">
        <f t="shared" si="6"/>
        <v>4400</v>
      </c>
      <c r="V32" s="99">
        <f>+M32-U32</f>
        <v>0</v>
      </c>
      <c r="W32" s="20"/>
      <c r="Y32" s="20">
        <f ca="1">IFERROR(OFFSET('CPD PITSS'!$AN$8,MATCH('RESUMEN PITS'!C32,'CPD PITSS'!$B$9:$B$26,0),0),0)+IFERROR(OFFSET('IP PITSS'!$AL$8,MATCH('RESUMEN PITS'!C32,'IP PITSS'!$B$9:$B$91,0),0),0)+IFERROR(OFFSET('SIND PITS'!$S$2,MATCH('RESUMEN PITS'!C32,'SIND PITS'!$C$3:$C$103,0),0),0)</f>
        <v>6560.58</v>
      </c>
    </row>
    <row r="33" spans="1:25" s="29" customFormat="1" x14ac:dyDescent="0.2">
      <c r="A33" s="101" t="s">
        <v>288</v>
      </c>
      <c r="B33" s="21" t="s">
        <v>94</v>
      </c>
      <c r="C33" s="101" t="s">
        <v>289</v>
      </c>
      <c r="D33" s="21">
        <f>VLOOKUP(C33,'IP PITSS'!$B$9:$U$91,20,0)</f>
        <v>3577</v>
      </c>
      <c r="E33" s="103"/>
      <c r="F33" s="97">
        <f>VLOOKUP(C33,'SIND PITS'!$C$3:$H$104,2,0)</f>
        <v>423</v>
      </c>
      <c r="G33" s="97">
        <f>VLOOKUP(C33,'SIND PITS'!$C$3:$E$104,3,0)</f>
        <v>330</v>
      </c>
      <c r="H33" s="97">
        <f>VLOOKUP(C33,'SIND PITS'!$C$3:$F$104,4,0)</f>
        <v>0</v>
      </c>
      <c r="I33" s="97">
        <f>VLOOKUP(C33,'SIND PITS'!$C$3:$G$104,5,0)</f>
        <v>0</v>
      </c>
      <c r="J33" s="100"/>
      <c r="K33" s="97">
        <f t="shared" si="1"/>
        <v>4330</v>
      </c>
      <c r="L33" s="97">
        <v>8000</v>
      </c>
      <c r="M33" s="97">
        <f t="shared" si="2"/>
        <v>4000</v>
      </c>
      <c r="N33" s="100"/>
      <c r="O33" s="99">
        <f>VLOOKUP(C33,'IP PITSS'!$B$9:$I$91,8,0)</f>
        <v>0</v>
      </c>
      <c r="P33" s="97">
        <f t="shared" si="5"/>
        <v>330</v>
      </c>
      <c r="Q33" s="99">
        <f>VLOOKUP(C33,'IP PITSS'!$B$9:$K$91,10,0)+VLOOKUP('RESUMEN PITS'!C33,'IP PITSS'!$B$9:$L$91,11,0)+VLOOKUP('RESUMEN PITS'!C33,'IP PITSS'!$B$9:$M$91,12,0)</f>
        <v>0</v>
      </c>
      <c r="R33" s="99">
        <f>VLOOKUP(C33,'IP PITSS'!$B$9:$Q$91,16,0)</f>
        <v>0</v>
      </c>
      <c r="S33" s="99">
        <f>VLOOKUP(C33,'IP PITSS'!$B$9:$R$91,17,0)</f>
        <v>0</v>
      </c>
      <c r="T33" s="100"/>
      <c r="U33" s="97">
        <f t="shared" si="6"/>
        <v>4000</v>
      </c>
      <c r="V33" s="99">
        <f t="shared" si="0"/>
        <v>0</v>
      </c>
      <c r="W33" s="20"/>
      <c r="X33" s="29" t="s">
        <v>290</v>
      </c>
      <c r="Y33" s="20">
        <f ca="1">IFERROR(OFFSET('CPD PITSS'!$AN$8,MATCH('RESUMEN PITS'!C33,'CPD PITSS'!$B$9:$B$26,0),0),0)+IFERROR(OFFSET('IP PITSS'!$AL$8,MATCH('RESUMEN PITS'!C33,'IP PITSS'!$B$9:$B$91,0),0),0)+IFERROR(OFFSET('SIND PITS'!$S$2,MATCH('RESUMEN PITS'!C33,'SIND PITS'!$C$3:$C$103,0),0),0)</f>
        <v>5962.3909999999996</v>
      </c>
    </row>
    <row r="34" spans="1:25" s="29" customFormat="1" x14ac:dyDescent="0.2">
      <c r="A34" s="101" t="s">
        <v>231</v>
      </c>
      <c r="B34" s="21" t="s">
        <v>94</v>
      </c>
      <c r="C34" s="101" t="s">
        <v>232</v>
      </c>
      <c r="D34" s="21">
        <f>VLOOKUP(C34,'IP PITSS'!$B$9:$U$91,20,0)</f>
        <v>3576.8</v>
      </c>
      <c r="E34" s="103"/>
      <c r="F34" s="97">
        <f>VLOOKUP(C34,'SIND PITS'!$C$3:$H$104,2,0)</f>
        <v>423.19999999999982</v>
      </c>
      <c r="G34" s="97">
        <f>VLOOKUP(C34,'SIND PITS'!$C$3:$E$104,3,0)</f>
        <v>240</v>
      </c>
      <c r="H34" s="97">
        <f>VLOOKUP(C34,'SIND PITS'!$C$3:$F$104,4,0)</f>
        <v>0</v>
      </c>
      <c r="I34" s="97">
        <f>VLOOKUP(C34,'SIND PITS'!$C$3:$G$104,5,0)</f>
        <v>0</v>
      </c>
      <c r="J34" s="100"/>
      <c r="K34" s="97">
        <f t="shared" si="1"/>
        <v>4240</v>
      </c>
      <c r="L34" s="97">
        <v>8000</v>
      </c>
      <c r="M34" s="97">
        <f t="shared" si="2"/>
        <v>4000</v>
      </c>
      <c r="N34" s="100"/>
      <c r="O34" s="99">
        <f>VLOOKUP(C34,'IP PITSS'!$B$9:$I$91,8,0)</f>
        <v>0</v>
      </c>
      <c r="P34" s="97">
        <f t="shared" si="5"/>
        <v>240</v>
      </c>
      <c r="Q34" s="99">
        <f>VLOOKUP(C34,'IP PITSS'!$B$9:$K$91,10,0)+VLOOKUP('RESUMEN PITS'!C34,'IP PITSS'!$B$9:$L$91,11,0)+VLOOKUP('RESUMEN PITS'!C34,'IP PITSS'!$B$9:$M$91,12,0)</f>
        <v>0</v>
      </c>
      <c r="R34" s="99">
        <f>VLOOKUP(C34,'IP PITSS'!$B$9:$Q$91,16,0)</f>
        <v>0</v>
      </c>
      <c r="S34" s="99">
        <f>VLOOKUP(C34,'IP PITSS'!$B$9:$R$91,17,0)</f>
        <v>0</v>
      </c>
      <c r="T34" s="100"/>
      <c r="U34" s="97">
        <f t="shared" si="6"/>
        <v>4000</v>
      </c>
      <c r="V34" s="99">
        <f t="shared" si="0"/>
        <v>0</v>
      </c>
      <c r="W34" s="20"/>
      <c r="X34" s="29" t="s">
        <v>233</v>
      </c>
      <c r="Y34" s="20">
        <f ca="1">IFERROR(OFFSET('CPD PITSS'!$AN$8,MATCH('RESUMEN PITS'!C34,'CPD PITSS'!$B$9:$B$26,0),0),0)+IFERROR(OFFSET('IP PITSS'!$AL$8,MATCH('RESUMEN PITS'!C34,'IP PITSS'!$B$9:$B$91,0),0),0)+IFERROR(OFFSET('SIND PITS'!$S$2,MATCH('RESUMEN PITS'!C34,'SIND PITS'!$C$3:$C$103,0),0),0)</f>
        <v>5870.5910000000003</v>
      </c>
    </row>
    <row r="35" spans="1:25" s="20" customFormat="1" x14ac:dyDescent="0.2">
      <c r="A35" s="101" t="s">
        <v>218</v>
      </c>
      <c r="B35" s="21" t="s">
        <v>94</v>
      </c>
      <c r="C35" s="101" t="s">
        <v>219</v>
      </c>
      <c r="D35" s="21">
        <f>VLOOKUP(C35,'IP PITSS'!$B$9:$U$91,20,0)</f>
        <v>5939.6</v>
      </c>
      <c r="E35" s="103"/>
      <c r="F35" s="97">
        <f>VLOOKUP(C35,'SIND PITS'!$C$3:$H$104,2,0)</f>
        <v>1060.3999999999996</v>
      </c>
      <c r="G35" s="97">
        <f>VLOOKUP(C35,'SIND PITS'!$C$3:$E$104,3,0)</f>
        <v>562.5</v>
      </c>
      <c r="H35" s="97">
        <f>VLOOKUP(C35,'SIND PITS'!$C$3:$F$104,4,0)</f>
        <v>0</v>
      </c>
      <c r="I35" s="97">
        <f>VLOOKUP(C35,'SIND PITS'!$C$3:$G$104,5,0)</f>
        <v>0</v>
      </c>
      <c r="J35" s="100"/>
      <c r="K35" s="97">
        <f t="shared" si="1"/>
        <v>7562.5</v>
      </c>
      <c r="L35" s="97">
        <v>14000</v>
      </c>
      <c r="M35" s="97">
        <f t="shared" si="2"/>
        <v>7000</v>
      </c>
      <c r="N35" s="100"/>
      <c r="O35" s="99">
        <f>VLOOKUP(C35,'IP PITSS'!$B$9:$I$91,8,0)</f>
        <v>0</v>
      </c>
      <c r="P35" s="97">
        <f t="shared" si="5"/>
        <v>562.5</v>
      </c>
      <c r="Q35" s="99">
        <f>VLOOKUP(C35,'IP PITSS'!$B$9:$K$91,10,0)+VLOOKUP('RESUMEN PITS'!C35,'IP PITSS'!$B$9:$L$91,11,0)+VLOOKUP('RESUMEN PITS'!C35,'IP PITSS'!$B$9:$M$91,12,0)</f>
        <v>0</v>
      </c>
      <c r="R35" s="99">
        <f>VLOOKUP(C35,'IP PITSS'!$B$9:$Q$91,16,0)</f>
        <v>0</v>
      </c>
      <c r="S35" s="99">
        <f>VLOOKUP(C35,'IP PITSS'!$B$9:$R$91,17,0)</f>
        <v>0</v>
      </c>
      <c r="T35" s="100"/>
      <c r="U35" s="97">
        <f t="shared" si="6"/>
        <v>7000</v>
      </c>
      <c r="V35" s="99">
        <f t="shared" si="0"/>
        <v>0</v>
      </c>
      <c r="X35" s="29" t="s">
        <v>220</v>
      </c>
      <c r="Y35" s="20">
        <f ca="1">IFERROR(OFFSET('CPD PITSS'!$AN$8,MATCH('RESUMEN PITS'!C35,'CPD PITSS'!$B$9:$B$26,0),0),0)+IFERROR(OFFSET('IP PITSS'!$AL$8,MATCH('RESUMEN PITS'!C35,'IP PITSS'!$B$9:$B$91,0),0),0)+IFERROR(OFFSET('SIND PITS'!$S$2,MATCH('RESUMEN PITS'!C35,'SIND PITS'!$C$3:$C$103,0),0),0)</f>
        <v>9975.2810000000009</v>
      </c>
    </row>
    <row r="36" spans="1:25" s="29" customFormat="1" x14ac:dyDescent="0.2">
      <c r="A36" s="95" t="s">
        <v>72</v>
      </c>
      <c r="B36" s="21" t="s">
        <v>94</v>
      </c>
      <c r="C36" s="95" t="s">
        <v>139</v>
      </c>
      <c r="D36" s="21">
        <f>VLOOKUP(C36,'IP PITSS'!$B$9:$U$91,20,0)</f>
        <v>5939.6</v>
      </c>
      <c r="E36" s="103"/>
      <c r="F36" s="97">
        <f>VLOOKUP(C36,'SIND PITS'!$C$3:$H$104,2,0)</f>
        <v>1060.3999999999996</v>
      </c>
      <c r="G36" s="97">
        <f>VLOOKUP(C36,'SIND PITS'!$C$3:$E$104,3,0)</f>
        <v>687.5</v>
      </c>
      <c r="H36" s="97">
        <f>VLOOKUP(C36,'SIND PITS'!$C$3:$F$104,4,0)</f>
        <v>0</v>
      </c>
      <c r="I36" s="97">
        <f>VLOOKUP(C36,'SIND PITS'!$C$3:$G$104,5,0)</f>
        <v>0</v>
      </c>
      <c r="J36" s="100"/>
      <c r="K36" s="97">
        <f t="shared" si="1"/>
        <v>7687.5</v>
      </c>
      <c r="L36" s="99">
        <v>14000</v>
      </c>
      <c r="M36" s="97">
        <f t="shared" si="2"/>
        <v>7000</v>
      </c>
      <c r="N36" s="100"/>
      <c r="O36" s="99">
        <f>VLOOKUP(C36,'IP PITSS'!$B$9:$I$91,8,0)</f>
        <v>0</v>
      </c>
      <c r="P36" s="97">
        <f t="shared" si="5"/>
        <v>687.5</v>
      </c>
      <c r="Q36" s="99">
        <f>VLOOKUP(C36,'IP PITSS'!$B$9:$K$91,10,0)+VLOOKUP('RESUMEN PITS'!C36,'IP PITSS'!$B$9:$L$91,11,0)+VLOOKUP('RESUMEN PITS'!C36,'IP PITSS'!$B$9:$M$91,12,0)</f>
        <v>0</v>
      </c>
      <c r="R36" s="99">
        <f>VLOOKUP(C36,'IP PITSS'!$B$9:$Q$91,16,0)</f>
        <v>0</v>
      </c>
      <c r="S36" s="99">
        <f>VLOOKUP(C36,'IP PITSS'!$B$9:$R$91,17,0)</f>
        <v>0</v>
      </c>
      <c r="T36" s="100"/>
      <c r="U36" s="97">
        <f t="shared" si="6"/>
        <v>7000</v>
      </c>
      <c r="V36" s="99">
        <f t="shared" si="0"/>
        <v>0</v>
      </c>
      <c r="W36" s="20"/>
      <c r="X36" s="29" t="s">
        <v>140</v>
      </c>
      <c r="Y36" s="20">
        <f ca="1">IFERROR(OFFSET('CPD PITSS'!$AN$8,MATCH('RESUMEN PITS'!C36,'CPD PITSS'!$B$9:$B$26,0),0),0)+IFERROR(OFFSET('IP PITSS'!$AL$8,MATCH('RESUMEN PITS'!C36,'IP PITSS'!$B$9:$B$91,0),0),0)+IFERROR(OFFSET('SIND PITS'!$S$2,MATCH('RESUMEN PITS'!C36,'SIND PITS'!$C$3:$C$103,0),0),0)</f>
        <v>10102.781000000001</v>
      </c>
    </row>
    <row r="37" spans="1:25" s="29" customFormat="1" x14ac:dyDescent="0.2">
      <c r="A37" s="95" t="s">
        <v>124</v>
      </c>
      <c r="B37" s="21" t="s">
        <v>94</v>
      </c>
      <c r="C37" s="95" t="s">
        <v>125</v>
      </c>
      <c r="D37" s="21">
        <f>VLOOKUP(C37,'IP PITSS'!$B$9:$U$91,20,0)</f>
        <v>2859.6</v>
      </c>
      <c r="E37" s="103"/>
      <c r="F37" s="97">
        <f>VLOOKUP(C37,'SIND PITS'!$C$3:$H$104,2,0)</f>
        <v>140.40000000000009</v>
      </c>
      <c r="G37" s="97">
        <f>VLOOKUP(C37,'SIND PITS'!$C$3:$E$104,3,0)</f>
        <v>2250</v>
      </c>
      <c r="H37" s="97">
        <f>VLOOKUP(C37,'SIND PITS'!$C$3:$F$104,4,0)</f>
        <v>0</v>
      </c>
      <c r="I37" s="97">
        <f>VLOOKUP(C37,'SIND PITS'!$C$3:$G$104,5,0)</f>
        <v>0</v>
      </c>
      <c r="J37" s="100"/>
      <c r="K37" s="97">
        <f t="shared" si="1"/>
        <v>5250</v>
      </c>
      <c r="L37" s="99">
        <v>6000</v>
      </c>
      <c r="M37" s="97">
        <f t="shared" si="2"/>
        <v>3000</v>
      </c>
      <c r="N37" s="100"/>
      <c r="O37" s="99">
        <f>VLOOKUP(C37,'IP PITSS'!$B$9:$I$91,8,0)</f>
        <v>0</v>
      </c>
      <c r="P37" s="97">
        <f t="shared" si="5"/>
        <v>2250</v>
      </c>
      <c r="Q37" s="99">
        <f>VLOOKUP(C37,'IP PITSS'!$B$9:$K$91,10,0)+VLOOKUP('RESUMEN PITS'!C37,'IP PITSS'!$B$9:$L$91,11,0)+VLOOKUP('RESUMEN PITS'!C37,'IP PITSS'!$B$9:$M$91,12,0)</f>
        <v>0</v>
      </c>
      <c r="R37" s="99">
        <f>VLOOKUP(C37,'IP PITSS'!$B$9:$Q$91,16,0)</f>
        <v>0</v>
      </c>
      <c r="S37" s="99">
        <f>VLOOKUP(C37,'IP PITSS'!$B$9:$R$91,17,0)</f>
        <v>0</v>
      </c>
      <c r="T37" s="100"/>
      <c r="U37" s="97">
        <f t="shared" si="6"/>
        <v>3000</v>
      </c>
      <c r="V37" s="99">
        <f t="shared" si="0"/>
        <v>0</v>
      </c>
      <c r="W37" s="20"/>
      <c r="X37" s="29" t="s">
        <v>126</v>
      </c>
      <c r="Y37" s="20">
        <f ca="1">IFERROR(OFFSET('CPD PITSS'!$AN$8,MATCH('RESUMEN PITS'!C37,'CPD PITSS'!$B$9:$B$26,0),0),0)+IFERROR(OFFSET('IP PITSS'!$AL$8,MATCH('RESUMEN PITS'!C37,'IP PITSS'!$B$9:$B$91,0),0),0)+IFERROR(OFFSET('SIND PITS'!$S$2,MATCH('RESUMEN PITS'!C37,'SIND PITS'!$C$3:$C$103,0),0),0)</f>
        <v>6672.1399999999994</v>
      </c>
    </row>
    <row r="38" spans="1:25" s="29" customFormat="1" x14ac:dyDescent="0.2">
      <c r="A38" s="95" t="s">
        <v>228</v>
      </c>
      <c r="B38" s="21" t="s">
        <v>94</v>
      </c>
      <c r="C38" s="95" t="s">
        <v>229</v>
      </c>
      <c r="D38" s="21">
        <f>VLOOKUP(C38,'IP PITSS'!$B$9:$U$91,20,0)</f>
        <v>3216</v>
      </c>
      <c r="E38" s="103"/>
      <c r="F38" s="97">
        <f>VLOOKUP(C38,'SIND PITS'!$C$3:$H$104,2,0)</f>
        <v>423</v>
      </c>
      <c r="G38" s="97">
        <f>VLOOKUP(C38,'SIND PITS'!$C$3:$E$104,3,0)</f>
        <v>120</v>
      </c>
      <c r="H38" s="97">
        <f>VLOOKUP(C38,'SIND PITS'!$C$3:$F$104,4,0)</f>
        <v>0</v>
      </c>
      <c r="I38" s="97">
        <f>VLOOKUP(C38,'SIND PITS'!$C$3:$G$104,5,0)</f>
        <v>0</v>
      </c>
      <c r="J38" s="100"/>
      <c r="K38" s="97">
        <f t="shared" si="1"/>
        <v>3759</v>
      </c>
      <c r="L38" s="99">
        <v>8000</v>
      </c>
      <c r="M38" s="97">
        <f t="shared" si="2"/>
        <v>4000</v>
      </c>
      <c r="N38" s="100"/>
      <c r="O38" s="99">
        <f>VLOOKUP(C38,'IP PITSS'!$B$9:$I$91,8,0)</f>
        <v>80</v>
      </c>
      <c r="P38" s="97">
        <f t="shared" si="5"/>
        <v>120</v>
      </c>
      <c r="Q38" s="99">
        <f>VLOOKUP(C38,'IP PITSS'!$B$9:$K$91,10,0)+VLOOKUP('RESUMEN PITS'!C38,'IP PITSS'!$B$9:$L$91,11,0)+VLOOKUP('RESUMEN PITS'!C38,'IP PITSS'!$B$9:$M$91,12,0)</f>
        <v>0</v>
      </c>
      <c r="R38" s="99">
        <f>VLOOKUP(C38,'IP PITSS'!$B$9:$Q$91,16,0)</f>
        <v>0</v>
      </c>
      <c r="S38" s="99">
        <f>VLOOKUP(C38,'IP PITSS'!$B$9:$R$91,17,0)</f>
        <v>441</v>
      </c>
      <c r="T38" s="100"/>
      <c r="U38" s="97">
        <f t="shared" si="6"/>
        <v>4000</v>
      </c>
      <c r="V38" s="99">
        <f t="shared" si="0"/>
        <v>0</v>
      </c>
      <c r="W38" s="20"/>
      <c r="X38" s="29" t="s">
        <v>230</v>
      </c>
      <c r="Y38" s="20">
        <f ca="1">IFERROR(OFFSET('CPD PITSS'!$AN$8,MATCH('RESUMEN PITS'!C38,'CPD PITSS'!$B$9:$B$26,0),0),0)+IFERROR(OFFSET('IP PITSS'!$AL$8,MATCH('RESUMEN PITS'!C38,'IP PITSS'!$B$9:$B$91,0),0),0)+IFERROR(OFFSET('SIND PITS'!$S$2,MATCH('RESUMEN PITS'!C38,'SIND PITS'!$C$3:$C$103,0),0),0)</f>
        <v>5831.3909999999996</v>
      </c>
    </row>
    <row r="39" spans="1:25" s="29" customFormat="1" x14ac:dyDescent="0.2">
      <c r="A39" s="101" t="s">
        <v>37</v>
      </c>
      <c r="B39" s="21" t="s">
        <v>94</v>
      </c>
      <c r="C39" s="101" t="s">
        <v>175</v>
      </c>
      <c r="D39" s="21">
        <f>VLOOKUP(C39,'IP PITSS'!$B$9:$U$91,20,0)</f>
        <v>3576.8</v>
      </c>
      <c r="E39" s="103"/>
      <c r="F39" s="97">
        <f>VLOOKUP(C39,'SIND PITS'!$C$3:$H$104,2,0)</f>
        <v>423.19999999999982</v>
      </c>
      <c r="G39" s="97">
        <f>VLOOKUP(C39,'SIND PITS'!$C$3:$E$104,3,0)</f>
        <v>130</v>
      </c>
      <c r="H39" s="97">
        <f>VLOOKUP(C39,'SIND PITS'!$C$3:$F$104,4,0)</f>
        <v>0</v>
      </c>
      <c r="I39" s="97">
        <f>VLOOKUP(C39,'SIND PITS'!$C$3:$G$104,5,0)</f>
        <v>0</v>
      </c>
      <c r="J39" s="100"/>
      <c r="K39" s="97">
        <f t="shared" si="1"/>
        <v>4130</v>
      </c>
      <c r="L39" s="97">
        <v>8000</v>
      </c>
      <c r="M39" s="97">
        <f t="shared" si="2"/>
        <v>4000</v>
      </c>
      <c r="N39" s="100"/>
      <c r="O39" s="99">
        <f>VLOOKUP(C39,'IP PITSS'!$B$9:$I$91,8,0)</f>
        <v>0</v>
      </c>
      <c r="P39" s="97">
        <f t="shared" si="5"/>
        <v>130</v>
      </c>
      <c r="Q39" s="99">
        <f>VLOOKUP(C39,'IP PITSS'!$B$9:$K$91,10,0)+VLOOKUP('RESUMEN PITS'!C39,'IP PITSS'!$B$9:$L$91,11,0)+VLOOKUP('RESUMEN PITS'!C39,'IP PITSS'!$B$9:$M$91,12,0)</f>
        <v>0</v>
      </c>
      <c r="R39" s="99">
        <f>VLOOKUP(C39,'IP PITSS'!$B$9:$Q$91,16,0)</f>
        <v>0</v>
      </c>
      <c r="S39" s="99">
        <f>VLOOKUP(C39,'IP PITSS'!$B$9:$R$91,17,0)</f>
        <v>0</v>
      </c>
      <c r="T39" s="100"/>
      <c r="U39" s="97">
        <f t="shared" si="6"/>
        <v>4000</v>
      </c>
      <c r="V39" s="99">
        <f t="shared" si="0"/>
        <v>0</v>
      </c>
      <c r="W39" s="20"/>
      <c r="X39" s="29" t="s">
        <v>176</v>
      </c>
      <c r="Y39" s="20">
        <f ca="1">IFERROR(OFFSET('CPD PITSS'!$AN$8,MATCH('RESUMEN PITS'!C39,'CPD PITSS'!$B$9:$B$26,0),0),0)+IFERROR(OFFSET('IP PITSS'!$AL$8,MATCH('RESUMEN PITS'!C39,'IP PITSS'!$B$9:$B$91,0),0),0)+IFERROR(OFFSET('SIND PITS'!$S$2,MATCH('RESUMEN PITS'!C39,'SIND PITS'!$C$3:$C$103,0),0),0)</f>
        <v>5758.3910000000005</v>
      </c>
    </row>
    <row r="40" spans="1:25" s="29" customFormat="1" x14ac:dyDescent="0.2">
      <c r="A40" s="101" t="s">
        <v>298</v>
      </c>
      <c r="B40" s="21" t="s">
        <v>94</v>
      </c>
      <c r="C40" s="101" t="s">
        <v>299</v>
      </c>
      <c r="D40" s="21">
        <f>VLOOKUP(C40,'IP PITSS'!$B$9:$U$91,20,0)</f>
        <v>3326.8</v>
      </c>
      <c r="E40" s="103"/>
      <c r="F40" s="97">
        <f>VLOOKUP(C40,'SIND PITS'!$C$3:$H$104,2,0)</f>
        <v>423.19999999999982</v>
      </c>
      <c r="G40" s="97">
        <f>VLOOKUP(C40,'SIND PITS'!$C$3:$E$104,3,0)</f>
        <v>60</v>
      </c>
      <c r="H40" s="97">
        <f>VLOOKUP(C40,'SIND PITS'!$C$3:$F$104,4,0)</f>
        <v>0</v>
      </c>
      <c r="I40" s="97">
        <f>VLOOKUP(C40,'SIND PITS'!$C$3:$G$104,5,0)</f>
        <v>0</v>
      </c>
      <c r="J40" s="100"/>
      <c r="K40" s="97">
        <f t="shared" si="1"/>
        <v>3810</v>
      </c>
      <c r="L40" s="97">
        <v>8000</v>
      </c>
      <c r="M40" s="97">
        <f t="shared" si="2"/>
        <v>4000</v>
      </c>
      <c r="N40" s="100"/>
      <c r="O40" s="99">
        <f>VLOOKUP(C40,'IP PITSS'!$B$9:$I$91,8,0)</f>
        <v>0</v>
      </c>
      <c r="P40" s="97">
        <f t="shared" si="5"/>
        <v>60</v>
      </c>
      <c r="Q40" s="99">
        <f>VLOOKUP(C40,'IP PITSS'!$B$9:$K$91,10,0)+VLOOKUP('RESUMEN PITS'!C40,'IP PITSS'!$B$9:$L$91,11,0)+VLOOKUP('RESUMEN PITS'!C40,'IP PITSS'!$B$9:$M$91,12,0)</f>
        <v>0</v>
      </c>
      <c r="R40" s="99">
        <f>VLOOKUP(C40,'IP PITSS'!$B$9:$Q$91,16,0)</f>
        <v>0</v>
      </c>
      <c r="S40" s="99">
        <f>VLOOKUP(C40,'IP PITSS'!$B$9:$R$91,17,0)</f>
        <v>250</v>
      </c>
      <c r="T40" s="100"/>
      <c r="U40" s="97">
        <f t="shared" si="6"/>
        <v>4000</v>
      </c>
      <c r="V40" s="99">
        <f t="shared" si="0"/>
        <v>0</v>
      </c>
      <c r="W40" s="43"/>
      <c r="X40" s="29" t="s">
        <v>300</v>
      </c>
      <c r="Y40" s="20">
        <f ca="1">IFERROR(OFFSET('CPD PITSS'!$AN$8,MATCH('RESUMEN PITS'!C40,'CPD PITSS'!$B$9:$B$26,0),0),0)+IFERROR(OFFSET('IP PITSS'!$AL$8,MATCH('RESUMEN PITS'!C40,'IP PITSS'!$B$9:$B$91,0),0),0)+IFERROR(OFFSET('SIND PITS'!$S$2,MATCH('RESUMEN PITS'!C40,'SIND PITS'!$C$3:$C$103,0),0),0)</f>
        <v>5687</v>
      </c>
    </row>
    <row r="41" spans="1:25" s="20" customFormat="1" x14ac:dyDescent="0.2">
      <c r="A41" s="101" t="s">
        <v>144</v>
      </c>
      <c r="B41" s="21" t="s">
        <v>94</v>
      </c>
      <c r="C41" s="101" t="s">
        <v>145</v>
      </c>
      <c r="D41" s="21">
        <f>VLOOKUP(C41,'IP PITSS'!$B$9:$U$91,20,0)</f>
        <v>4397.6000000000004</v>
      </c>
      <c r="E41" s="103"/>
      <c r="F41" s="97">
        <f>VLOOKUP(C41,'SIND PITS'!$C$3:$H$104,2,0)</f>
        <v>602.39999999999964</v>
      </c>
      <c r="G41" s="97">
        <f>VLOOKUP(C41,'SIND PITS'!$C$3:$E$104,3,0)</f>
        <v>110</v>
      </c>
      <c r="H41" s="97">
        <f>VLOOKUP(C41,'SIND PITS'!$C$3:$F$104,4,0)</f>
        <v>0</v>
      </c>
      <c r="I41" s="97">
        <f>VLOOKUP(C41,'SIND PITS'!$C$3:$G$104,5,0)</f>
        <v>0</v>
      </c>
      <c r="J41" s="100"/>
      <c r="K41" s="97">
        <f t="shared" si="1"/>
        <v>5110</v>
      </c>
      <c r="L41" s="97">
        <v>10000</v>
      </c>
      <c r="M41" s="97">
        <f t="shared" si="2"/>
        <v>5000</v>
      </c>
      <c r="N41" s="100"/>
      <c r="O41" s="99">
        <f>VLOOKUP(C41,'IP PITSS'!$B$9:$I$91,8,0)</f>
        <v>0</v>
      </c>
      <c r="P41" s="97">
        <f t="shared" si="5"/>
        <v>110</v>
      </c>
      <c r="Q41" s="99">
        <f>VLOOKUP(C41,'IP PITSS'!$B$9:$K$91,10,0)+VLOOKUP('RESUMEN PITS'!C41,'IP PITSS'!$B$9:$L$91,11,0)+VLOOKUP('RESUMEN PITS'!C41,'IP PITSS'!$B$9:$M$91,12,0)</f>
        <v>0</v>
      </c>
      <c r="R41" s="99">
        <f>VLOOKUP(C41,'IP PITSS'!$B$9:$Q$91,16,0)</f>
        <v>0</v>
      </c>
      <c r="S41" s="99">
        <f>VLOOKUP(C41,'IP PITSS'!$B$9:$R$91,17,0)</f>
        <v>0</v>
      </c>
      <c r="T41" s="100"/>
      <c r="U41" s="97">
        <f t="shared" si="6"/>
        <v>5000</v>
      </c>
      <c r="V41" s="99">
        <f t="shared" si="0"/>
        <v>0</v>
      </c>
      <c r="X41" s="29" t="s">
        <v>146</v>
      </c>
      <c r="Y41" s="20">
        <f ca="1">IFERROR(OFFSET('CPD PITSS'!$AN$8,MATCH('RESUMEN PITS'!C41,'CPD PITSS'!$B$9:$B$26,0),0),0)+IFERROR(OFFSET('IP PITSS'!$AL$8,MATCH('RESUMEN PITS'!C41,'IP PITSS'!$B$9:$B$91,0),0),0)+IFERROR(OFFSET('SIND PITS'!$S$2,MATCH('RESUMEN PITS'!C41,'SIND PITS'!$C$3:$C$103,0),0),0)</f>
        <v>6996.5499999999993</v>
      </c>
    </row>
    <row r="42" spans="1:25" s="29" customFormat="1" x14ac:dyDescent="0.2">
      <c r="A42" s="101" t="s">
        <v>190</v>
      </c>
      <c r="B42" s="21" t="s">
        <v>94</v>
      </c>
      <c r="C42" s="101" t="s">
        <v>191</v>
      </c>
      <c r="D42" s="21">
        <f>VLOOKUP(C42,'IP PITSS'!$B$9:$U$91,20,0)</f>
        <v>3576.8</v>
      </c>
      <c r="E42" s="103"/>
      <c r="F42" s="97">
        <f>VLOOKUP(C42,'SIND PITS'!$C$3:$H$104,2,0)</f>
        <v>423.19999999999982</v>
      </c>
      <c r="G42" s="97">
        <f>VLOOKUP(C42,'SIND PITS'!$C$3:$E$104,3,0)</f>
        <v>275</v>
      </c>
      <c r="H42" s="97">
        <f>VLOOKUP(C42,'SIND PITS'!$C$3:$F$104,4,0)</f>
        <v>0</v>
      </c>
      <c r="I42" s="97">
        <f>VLOOKUP(C42,'SIND PITS'!$C$3:$G$104,5,0)</f>
        <v>0</v>
      </c>
      <c r="J42" s="100"/>
      <c r="K42" s="97">
        <f t="shared" si="1"/>
        <v>4275</v>
      </c>
      <c r="L42" s="97">
        <v>8000</v>
      </c>
      <c r="M42" s="97">
        <f t="shared" si="2"/>
        <v>4000</v>
      </c>
      <c r="N42" s="100"/>
      <c r="O42" s="99">
        <f>VLOOKUP(C42,'IP PITSS'!$B$9:$I$91,8,0)</f>
        <v>0</v>
      </c>
      <c r="P42" s="97">
        <f t="shared" si="5"/>
        <v>275</v>
      </c>
      <c r="Q42" s="99">
        <f>VLOOKUP(C42,'IP PITSS'!$B$9:$K$91,10,0)+VLOOKUP('RESUMEN PITS'!C42,'IP PITSS'!$B$9:$L$91,11,0)+VLOOKUP('RESUMEN PITS'!C42,'IP PITSS'!$B$9:$M$91,12,0)</f>
        <v>0</v>
      </c>
      <c r="R42" s="99">
        <f>VLOOKUP(C42,'IP PITSS'!$B$9:$Q$91,16,0)</f>
        <v>0</v>
      </c>
      <c r="S42" s="99">
        <f>VLOOKUP(C42,'IP PITSS'!$B$9:$R$91,17,0)</f>
        <v>0</v>
      </c>
      <c r="T42" s="100"/>
      <c r="U42" s="97">
        <f t="shared" si="6"/>
        <v>4000</v>
      </c>
      <c r="V42" s="99">
        <f t="shared" si="0"/>
        <v>0</v>
      </c>
      <c r="W42" s="20"/>
      <c r="X42" s="29" t="s">
        <v>192</v>
      </c>
      <c r="Y42" s="20">
        <f ca="1">IFERROR(OFFSET('CPD PITSS'!$AN$8,MATCH('RESUMEN PITS'!C42,'CPD PITSS'!$B$9:$B$26,0),0),0)+IFERROR(OFFSET('IP PITSS'!$AL$8,MATCH('RESUMEN PITS'!C42,'IP PITSS'!$B$9:$B$91,0),0),0)+IFERROR(OFFSET('SIND PITS'!$S$2,MATCH('RESUMEN PITS'!C42,'SIND PITS'!$C$3:$C$103,0),0),0)</f>
        <v>5906.3</v>
      </c>
    </row>
    <row r="43" spans="1:25" s="29" customFormat="1" x14ac:dyDescent="0.2">
      <c r="A43" s="101" t="s">
        <v>246</v>
      </c>
      <c r="B43" s="21" t="s">
        <v>94</v>
      </c>
      <c r="C43" s="101" t="s">
        <v>247</v>
      </c>
      <c r="D43" s="21">
        <f>VLOOKUP(C43,'IP PITSS'!$B$9:$U$91,20,0)</f>
        <v>2701.2</v>
      </c>
      <c r="E43" s="103"/>
      <c r="F43" s="97">
        <f>VLOOKUP(C43,'SIND PITS'!$C$3:$H$104,2,0)</f>
        <v>558.47500000000036</v>
      </c>
      <c r="G43" s="97">
        <f>VLOOKUP(C43,'SIND PITS'!$C$3:$E$104,3,0)</f>
        <v>625</v>
      </c>
      <c r="H43" s="97">
        <f>VLOOKUP(C43,'SIND PITS'!$C$3:$F$104,4,0)</f>
        <v>0</v>
      </c>
      <c r="I43" s="97">
        <f>VLOOKUP(C43,'SIND PITS'!$C$3:$G$104,5,0)</f>
        <v>0</v>
      </c>
      <c r="J43" s="100"/>
      <c r="K43" s="97">
        <f t="shared" si="1"/>
        <v>3884.6750000000002</v>
      </c>
      <c r="L43" s="97">
        <v>9550.01</v>
      </c>
      <c r="M43" s="97">
        <f t="shared" si="2"/>
        <v>4775.0050000000001</v>
      </c>
      <c r="N43" s="100"/>
      <c r="O43" s="99">
        <f>VLOOKUP(C43,'IP PITSS'!$B$9:$I$91,8,0)</f>
        <v>0</v>
      </c>
      <c r="P43" s="97">
        <f t="shared" si="5"/>
        <v>625</v>
      </c>
      <c r="Q43" s="99">
        <f>VLOOKUP(C43,'IP PITSS'!$B$9:$K$91,10,0)+VLOOKUP('RESUMEN PITS'!C43,'IP PITSS'!$B$9:$L$91,11,0)+VLOOKUP('RESUMEN PITS'!C43,'IP PITSS'!$B$9:$M$91,12,0)</f>
        <v>1515.33</v>
      </c>
      <c r="R43" s="99">
        <f>VLOOKUP(C43,'IP PITSS'!$B$9:$Q$91,16,0)</f>
        <v>0</v>
      </c>
      <c r="S43" s="99">
        <f>VLOOKUP(C43,'IP PITSS'!$B$9:$R$91,17,0)</f>
        <v>0</v>
      </c>
      <c r="T43" s="100"/>
      <c r="U43" s="97">
        <f t="shared" si="6"/>
        <v>4775.0050000000001</v>
      </c>
      <c r="V43" s="99">
        <f t="shared" si="0"/>
        <v>0</v>
      </c>
      <c r="W43" s="20"/>
      <c r="X43" s="29" t="s">
        <v>248</v>
      </c>
      <c r="Y43" s="20">
        <f ca="1">IFERROR(OFFSET('CPD PITSS'!$AN$8,MATCH('RESUMEN PITS'!C43,'CPD PITSS'!$B$9:$B$26,0),0),0)+IFERROR(OFFSET('IP PITSS'!$AL$8,MATCH('RESUMEN PITS'!C43,'IP PITSS'!$B$9:$B$91,0),0),0)+IFERROR(OFFSET('SIND PITS'!$S$2,MATCH('RESUMEN PITS'!C43,'SIND PITS'!$C$3:$C$103,0),0),0)</f>
        <v>7238.6851000000006</v>
      </c>
    </row>
    <row r="44" spans="1:25" s="29" customFormat="1" x14ac:dyDescent="0.2">
      <c r="A44" s="101" t="s">
        <v>121</v>
      </c>
      <c r="B44" s="21" t="s">
        <v>94</v>
      </c>
      <c r="C44" s="101" t="s">
        <v>122</v>
      </c>
      <c r="D44" s="21">
        <f>VLOOKUP(C44,'IP PITSS'!$B$9:$U$91,20,0)</f>
        <v>2063.8000000000002</v>
      </c>
      <c r="E44" s="103"/>
      <c r="F44" s="97">
        <f>VLOOKUP(C44,'SIND PITS'!$C$3:$H$104,2,0)</f>
        <v>391.18499999999995</v>
      </c>
      <c r="G44" s="97">
        <f>VLOOKUP(C44,'SIND PITS'!$C$3:$E$104,3,0)</f>
        <v>135</v>
      </c>
      <c r="H44" s="97">
        <f>VLOOKUP(C44,'SIND PITS'!$C$3:$F$104,4,0)</f>
        <v>0</v>
      </c>
      <c r="I44" s="97">
        <f>VLOOKUP(C44,'SIND PITS'!$C$3:$G$104,5,0)</f>
        <v>5.9899999999998954E-2</v>
      </c>
      <c r="J44" s="100"/>
      <c r="K44" s="97">
        <f t="shared" si="1"/>
        <v>2590.0449000000003</v>
      </c>
      <c r="L44" s="97">
        <v>7505.99</v>
      </c>
      <c r="M44" s="97">
        <f t="shared" si="2"/>
        <v>3752.9949999999999</v>
      </c>
      <c r="N44" s="100"/>
      <c r="O44" s="99">
        <f>VLOOKUP(C44,'IP PITSS'!$B$9:$I$91,8,0)</f>
        <v>75</v>
      </c>
      <c r="P44" s="97">
        <f t="shared" si="5"/>
        <v>135.0599</v>
      </c>
      <c r="Q44" s="99">
        <f>VLOOKUP(C44,'IP PITSS'!$B$9:$K$91,10,0)+VLOOKUP('RESUMEN PITS'!C44,'IP PITSS'!$B$9:$L$91,11,0)+VLOOKUP('RESUMEN PITS'!C44,'IP PITSS'!$B$9:$M$91,12,0)</f>
        <v>1373.01</v>
      </c>
      <c r="R44" s="99">
        <f>VLOOKUP(C44,'IP PITSS'!$B$9:$Q$91,16,0)</f>
        <v>0</v>
      </c>
      <c r="S44" s="99">
        <f>VLOOKUP(C44,'IP PITSS'!$B$9:$R$91,17,0)</f>
        <v>0</v>
      </c>
      <c r="T44" s="100"/>
      <c r="U44" s="97">
        <f t="shared" si="6"/>
        <v>3752.9949999999999</v>
      </c>
      <c r="V44" s="99">
        <f t="shared" si="0"/>
        <v>0</v>
      </c>
      <c r="W44" s="20"/>
      <c r="X44" s="29" t="s">
        <v>123</v>
      </c>
      <c r="Y44" s="20">
        <f ca="1">IFERROR(OFFSET('CPD PITSS'!$AN$8,MATCH('RESUMEN PITS'!C44,'CPD PITSS'!$B$9:$B$26,0),0),0)+IFERROR(OFFSET('IP PITSS'!$AL$8,MATCH('RESUMEN PITS'!C44,'IP PITSS'!$B$9:$B$91,0),0),0)+IFERROR(OFFSET('SIND PITS'!$S$2,MATCH('RESUMEN PITS'!C44,'SIND PITS'!$C$3:$C$103,0),0),0)</f>
        <v>5529.9559980000004</v>
      </c>
    </row>
    <row r="45" spans="1:25" s="29" customFormat="1" x14ac:dyDescent="0.2">
      <c r="A45" s="101" t="s">
        <v>177</v>
      </c>
      <c r="B45" s="21" t="s">
        <v>94</v>
      </c>
      <c r="C45" s="101" t="s">
        <v>178</v>
      </c>
      <c r="D45" s="21">
        <f>VLOOKUP(C45,'IP PITSS'!$B$9:$U$91,20,0)</f>
        <v>103.4</v>
      </c>
      <c r="E45" s="103"/>
      <c r="F45" s="97">
        <f>VLOOKUP(C45,'SIND PITS'!$C$3:$H$104,2,0)</f>
        <v>458.20499999999993</v>
      </c>
      <c r="G45" s="97">
        <f>VLOOKUP(C45,'SIND PITS'!$C$3:$E$104,3,0)</f>
        <v>412.5</v>
      </c>
      <c r="H45" s="97">
        <f>VLOOKUP(C45,'SIND PITS'!$C$3:$F$104,4,0)</f>
        <v>0</v>
      </c>
      <c r="I45" s="97">
        <f>VLOOKUP(C45,'SIND PITS'!$C$3:$G$104,5,0)</f>
        <v>0</v>
      </c>
      <c r="J45" s="100"/>
      <c r="K45" s="97">
        <f t="shared" si="1"/>
        <v>974.1049999999999</v>
      </c>
      <c r="L45" s="97">
        <v>8500.01</v>
      </c>
      <c r="M45" s="97">
        <f t="shared" si="2"/>
        <v>4250.0050000000001</v>
      </c>
      <c r="N45" s="100"/>
      <c r="O45" s="99">
        <f>VLOOKUP(C45,'IP PITSS'!$B$9:$I$91,8,0)</f>
        <v>0</v>
      </c>
      <c r="P45" s="97">
        <f t="shared" si="5"/>
        <v>412.5</v>
      </c>
      <c r="Q45" s="99">
        <f>VLOOKUP(C45,'IP PITSS'!$B$9:$K$91,10,0)+VLOOKUP('RESUMEN PITS'!C45,'IP PITSS'!$B$9:$L$91,11,0)+VLOOKUP('RESUMEN PITS'!C45,'IP PITSS'!$B$9:$M$91,12,0)</f>
        <v>3688.4</v>
      </c>
      <c r="R45" s="99">
        <f>VLOOKUP(C45,'IP PITSS'!$B$9:$Q$91,16,0)</f>
        <v>0</v>
      </c>
      <c r="S45" s="99">
        <f>VLOOKUP(C45,'IP PITSS'!$B$9:$R$91,17,0)</f>
        <v>0</v>
      </c>
      <c r="T45" s="100"/>
      <c r="U45" s="97">
        <f t="shared" si="6"/>
        <v>4250.0050000000001</v>
      </c>
      <c r="V45" s="99">
        <f t="shared" si="0"/>
        <v>0</v>
      </c>
      <c r="W45" s="20"/>
      <c r="X45" s="29" t="s">
        <v>179</v>
      </c>
      <c r="Y45" s="20">
        <f ca="1">IFERROR(OFFSET('CPD PITSS'!$AN$8,MATCH('RESUMEN PITS'!C45,'CPD PITSS'!$B$9:$B$26,0),0),0)+IFERROR(OFFSET('IP PITSS'!$AL$8,MATCH('RESUMEN PITS'!C45,'IP PITSS'!$B$9:$B$91,0),0),0)+IFERROR(OFFSET('SIND PITS'!$S$2,MATCH('RESUMEN PITS'!C45,'SIND PITS'!$C$3:$C$103,0),0),0)</f>
        <v>6361.2050999999992</v>
      </c>
    </row>
    <row r="46" spans="1:25" s="20" customFormat="1" x14ac:dyDescent="0.2">
      <c r="A46" s="101" t="s">
        <v>141</v>
      </c>
      <c r="B46" s="21" t="s">
        <v>94</v>
      </c>
      <c r="C46" s="101" t="s">
        <v>142</v>
      </c>
      <c r="D46" s="21">
        <f>VLOOKUP(C46,'IP PITSS'!$B$9:$U$91,20,0)</f>
        <v>3578.6</v>
      </c>
      <c r="E46" s="103"/>
      <c r="F46" s="97">
        <f>VLOOKUP(C46,'SIND PITS'!$C$3:$H$104,2,0)</f>
        <v>421.40000000000009</v>
      </c>
      <c r="G46" s="97">
        <f>VLOOKUP(C46,'SIND PITS'!$C$3:$E$104,3,0)</f>
        <v>1060</v>
      </c>
      <c r="H46" s="97">
        <f>VLOOKUP(C46,'SIND PITS'!$C$3:$F$104,4,0)</f>
        <v>0</v>
      </c>
      <c r="I46" s="97">
        <f>VLOOKUP(C46,'SIND PITS'!$C$3:$G$104,5,0)</f>
        <v>0</v>
      </c>
      <c r="J46" s="100"/>
      <c r="K46" s="97">
        <f t="shared" si="1"/>
        <v>5060</v>
      </c>
      <c r="L46" s="97">
        <v>8000</v>
      </c>
      <c r="M46" s="97">
        <f t="shared" si="2"/>
        <v>4000</v>
      </c>
      <c r="N46" s="100"/>
      <c r="O46" s="99">
        <f>VLOOKUP(C46,'IP PITSS'!$B$9:$I$91,8,0)</f>
        <v>0</v>
      </c>
      <c r="P46" s="97">
        <f t="shared" si="5"/>
        <v>1060</v>
      </c>
      <c r="Q46" s="99">
        <f>VLOOKUP(C46,'IP PITSS'!$B$9:$K$91,10,0)+VLOOKUP('RESUMEN PITS'!C46,'IP PITSS'!$B$9:$L$91,11,0)+VLOOKUP('RESUMEN PITS'!C46,'IP PITSS'!$B$9:$M$91,12,0)</f>
        <v>0</v>
      </c>
      <c r="R46" s="99">
        <f>VLOOKUP(C46,'IP PITSS'!$B$9:$Q$91,16,0)</f>
        <v>0</v>
      </c>
      <c r="S46" s="99">
        <f>VLOOKUP(C46,'IP PITSS'!$B$9:$R$91,17,0)</f>
        <v>0</v>
      </c>
      <c r="T46" s="100"/>
      <c r="U46" s="97">
        <f t="shared" si="6"/>
        <v>4000</v>
      </c>
      <c r="V46" s="99">
        <f t="shared" si="0"/>
        <v>0</v>
      </c>
      <c r="W46" s="43"/>
      <c r="X46" s="29" t="s">
        <v>143</v>
      </c>
      <c r="Y46" s="20">
        <f ca="1">IFERROR(OFFSET('CPD PITSS'!$AN$8,MATCH('RESUMEN PITS'!C46,'CPD PITSS'!$B$9:$B$26,0),0),0)+IFERROR(OFFSET('IP PITSS'!$AL$8,MATCH('RESUMEN PITS'!C46,'IP PITSS'!$B$9:$B$91,0),0),0)+IFERROR(OFFSET('SIND PITS'!$S$2,MATCH('RESUMEN PITS'!C46,'SIND PITS'!$C$3:$C$103,0),0),0)</f>
        <v>6694.3510000000006</v>
      </c>
    </row>
    <row r="47" spans="1:25" s="29" customFormat="1" x14ac:dyDescent="0.2">
      <c r="A47" s="101" t="s">
        <v>209</v>
      </c>
      <c r="B47" s="21" t="s">
        <v>94</v>
      </c>
      <c r="C47" s="101" t="s">
        <v>210</v>
      </c>
      <c r="D47" s="21">
        <f>VLOOKUP(C47,'IP PITSS'!$B$9:$U$91,20,0)</f>
        <v>3185</v>
      </c>
      <c r="E47" s="103"/>
      <c r="F47" s="97">
        <f>VLOOKUP(C47,'SIND PITS'!$C$3:$H$104,2,0)</f>
        <v>1458.25</v>
      </c>
      <c r="G47" s="97">
        <f>VLOOKUP(C47,'SIND PITS'!$C$3:$E$104,3,0)</f>
        <v>0</v>
      </c>
      <c r="H47" s="97">
        <f>VLOOKUP(C47,'SIND PITS'!$C$3:$F$104,4,0)</f>
        <v>0</v>
      </c>
      <c r="I47" s="97">
        <f>VLOOKUP(C47,'SIND PITS'!$C$3:$G$104,5,0)</f>
        <v>0</v>
      </c>
      <c r="J47" s="100"/>
      <c r="K47" s="97">
        <f t="shared" si="1"/>
        <v>4643.25</v>
      </c>
      <c r="L47" s="97">
        <v>10500</v>
      </c>
      <c r="M47" s="97">
        <f t="shared" si="2"/>
        <v>5250</v>
      </c>
      <c r="N47" s="100"/>
      <c r="O47" s="99">
        <f>VLOOKUP(C47,'IP PITSS'!$B$9:$I$91,8,0)</f>
        <v>0</v>
      </c>
      <c r="P47" s="97">
        <f t="shared" si="5"/>
        <v>0</v>
      </c>
      <c r="Q47" s="99">
        <f>VLOOKUP(C47,'IP PITSS'!$B$9:$K$91,10,0)+VLOOKUP('RESUMEN PITS'!C47,'IP PITSS'!$B$9:$L$91,11,0)+VLOOKUP('RESUMEN PITS'!C47,'IP PITSS'!$B$9:$M$91,12,0)</f>
        <v>606.75</v>
      </c>
      <c r="R47" s="99">
        <f>VLOOKUP(C47,'IP PITSS'!$B$9:$Q$91,16,0)</f>
        <v>0</v>
      </c>
      <c r="S47" s="99">
        <f>VLOOKUP(C47,'IP PITSS'!$B$9:$R$91,17,0)</f>
        <v>0</v>
      </c>
      <c r="T47" s="100"/>
      <c r="U47" s="97">
        <f t="shared" si="6"/>
        <v>5250</v>
      </c>
      <c r="V47" s="99">
        <f t="shared" si="0"/>
        <v>0</v>
      </c>
      <c r="W47" s="20"/>
      <c r="X47" s="29" t="s">
        <v>211</v>
      </c>
      <c r="Y47" s="20">
        <f ca="1">IFERROR(OFFSET('CPD PITSS'!$AN$8,MATCH('RESUMEN PITS'!C47,'CPD PITSS'!$B$9:$B$26,0),0),0)+IFERROR(OFFSET('IP PITSS'!$AL$8,MATCH('RESUMEN PITS'!C47,'IP PITSS'!$B$9:$B$91,0),0),0)+IFERROR(OFFSET('SIND PITS'!$S$2,MATCH('RESUMEN PITS'!C47,'SIND PITS'!$C$3:$C$103,0),0),0)</f>
        <v>6960.45</v>
      </c>
    </row>
    <row r="48" spans="1:25" s="29" customFormat="1" x14ac:dyDescent="0.2">
      <c r="A48" s="101" t="s">
        <v>308</v>
      </c>
      <c r="B48" s="21" t="s">
        <v>94</v>
      </c>
      <c r="C48" s="101" t="s">
        <v>309</v>
      </c>
      <c r="D48" s="21">
        <f>VLOOKUP(C48,'IP PITSS'!$B$9:$U$91,20,0)</f>
        <v>3656.8</v>
      </c>
      <c r="E48" s="103"/>
      <c r="F48" s="97">
        <f>VLOOKUP(C48,'SIND PITS'!$C$3:$H$104,2,0)</f>
        <v>423.19999999999982</v>
      </c>
      <c r="G48" s="97">
        <f>VLOOKUP(C48,'SIND PITS'!$C$3:$E$104,3,0)</f>
        <v>180</v>
      </c>
      <c r="H48" s="97">
        <f>VLOOKUP(C48,'SIND PITS'!$C$3:$F$104,4,0)</f>
        <v>0</v>
      </c>
      <c r="I48" s="97">
        <f>VLOOKUP(C48,'SIND PITS'!$C$3:$G$104,5,0)</f>
        <v>0</v>
      </c>
      <c r="J48" s="100"/>
      <c r="K48" s="97">
        <f t="shared" si="1"/>
        <v>4260</v>
      </c>
      <c r="L48" s="97">
        <v>8000</v>
      </c>
      <c r="M48" s="97">
        <f t="shared" si="2"/>
        <v>4000</v>
      </c>
      <c r="N48" s="100"/>
      <c r="O48" s="99">
        <f>VLOOKUP(C48,'IP PITSS'!$B$9:$I$91,8,0)</f>
        <v>80</v>
      </c>
      <c r="P48" s="97">
        <f t="shared" si="5"/>
        <v>180</v>
      </c>
      <c r="Q48" s="99">
        <f>VLOOKUP(C48,'IP PITSS'!$B$9:$K$91,10,0)+VLOOKUP('RESUMEN PITS'!C48,'IP PITSS'!$B$9:$L$91,11,0)+VLOOKUP('RESUMEN PITS'!C48,'IP PITSS'!$B$9:$M$91,12,0)</f>
        <v>0</v>
      </c>
      <c r="R48" s="99">
        <f>VLOOKUP(C48,'IP PITSS'!$B$9:$Q$91,16,0)</f>
        <v>0</v>
      </c>
      <c r="S48" s="99">
        <f>VLOOKUP(C48,'IP PITSS'!$B$9:$R$91,17,0)</f>
        <v>0</v>
      </c>
      <c r="T48" s="100"/>
      <c r="U48" s="97">
        <f t="shared" si="6"/>
        <v>4000</v>
      </c>
      <c r="V48" s="99">
        <f t="shared" si="0"/>
        <v>0</v>
      </c>
      <c r="W48" s="20"/>
      <c r="X48" s="29" t="s">
        <v>310</v>
      </c>
      <c r="Y48" s="20">
        <f ca="1">IFERROR(OFFSET('CPD PITSS'!$AN$8,MATCH('RESUMEN PITS'!C48,'CPD PITSS'!$B$9:$B$26,0),0),0)+IFERROR(OFFSET('IP PITSS'!$AL$8,MATCH('RESUMEN PITS'!C48,'IP PITSS'!$B$9:$B$91,0),0),0)+IFERROR(OFFSET('SIND PITS'!$S$2,MATCH('RESUMEN PITS'!C48,'SIND PITS'!$C$3:$C$103,0),0),0)</f>
        <v>5892.5910000000003</v>
      </c>
    </row>
    <row r="49" spans="1:25" s="29" customFormat="1" x14ac:dyDescent="0.2">
      <c r="A49" s="101" t="s">
        <v>332</v>
      </c>
      <c r="B49" s="21" t="s">
        <v>94</v>
      </c>
      <c r="C49" s="101" t="s">
        <v>333</v>
      </c>
      <c r="D49" s="21">
        <f>VLOOKUP(C49,'IP PITSS'!$B$9:$U$91,20,0)</f>
        <v>1743.6</v>
      </c>
      <c r="E49" s="103"/>
      <c r="F49" s="97">
        <f>VLOOKUP(C49,'SIND PITS'!$C$3:$H$104,2,0)</f>
        <v>423.21000000000004</v>
      </c>
      <c r="G49" s="97">
        <f>VLOOKUP(C49,'SIND PITS'!$C$3:$E$104,3,0)</f>
        <v>270</v>
      </c>
      <c r="H49" s="97">
        <f>VLOOKUP(C49,'SIND PITS'!$C$3:$F$104,4,0)</f>
        <v>0</v>
      </c>
      <c r="I49" s="97">
        <f>VLOOKUP(C49,'SIND PITS'!$C$3:$G$104,5,0)</f>
        <v>0</v>
      </c>
      <c r="J49" s="100"/>
      <c r="K49" s="97">
        <f t="shared" si="1"/>
        <v>2436.81</v>
      </c>
      <c r="L49" s="97">
        <v>8000</v>
      </c>
      <c r="M49" s="97">
        <f t="shared" si="2"/>
        <v>4000</v>
      </c>
      <c r="N49" s="100"/>
      <c r="O49" s="99">
        <f>VLOOKUP(C49,'IP PITSS'!$B$9:$I$91,8,0)</f>
        <v>0</v>
      </c>
      <c r="P49" s="97">
        <f t="shared" si="5"/>
        <v>270</v>
      </c>
      <c r="Q49" s="99">
        <f>VLOOKUP(C49,'IP PITSS'!$B$9:$K$91,10,0)+VLOOKUP('RESUMEN PITS'!C49,'IP PITSS'!$B$9:$L$91,11,0)+VLOOKUP('RESUMEN PITS'!C49,'IP PITSS'!$B$9:$M$91,12,0)</f>
        <v>1833.19</v>
      </c>
      <c r="R49" s="99">
        <f>VLOOKUP(C49,'IP PITSS'!$B$9:$Q$91,16,0)</f>
        <v>0</v>
      </c>
      <c r="S49" s="99">
        <f>VLOOKUP(C49,'IP PITSS'!$B$9:$R$91,17,0)</f>
        <v>0</v>
      </c>
      <c r="T49" s="100"/>
      <c r="U49" s="97">
        <f t="shared" si="6"/>
        <v>4000</v>
      </c>
      <c r="V49" s="99">
        <f t="shared" si="0"/>
        <v>0</v>
      </c>
      <c r="W49" s="20"/>
      <c r="X49" s="29" t="s">
        <v>334</v>
      </c>
      <c r="Y49" s="20">
        <f ca="1">IFERROR(OFFSET('CPD PITSS'!$AN$8,MATCH('RESUMEN PITS'!C49,'CPD PITSS'!$B$9:$B$26,0),0),0)+IFERROR(OFFSET('IP PITSS'!$AL$8,MATCH('RESUMEN PITS'!C49,'IP PITSS'!$B$9:$B$91,0),0),0)+IFERROR(OFFSET('SIND PITS'!$S$2,MATCH('RESUMEN PITS'!C49,'SIND PITS'!$C$3:$C$103,0),0),0)</f>
        <v>5901.1909999999998</v>
      </c>
    </row>
    <row r="50" spans="1:25" s="20" customFormat="1" x14ac:dyDescent="0.2">
      <c r="A50" s="101" t="s">
        <v>237</v>
      </c>
      <c r="B50" s="21" t="s">
        <v>94</v>
      </c>
      <c r="C50" s="101" t="s">
        <v>238</v>
      </c>
      <c r="D50" s="21">
        <f>VLOOKUP(C50,'IP PITSS'!$B$9:$U$91,20,0)</f>
        <v>5939.4</v>
      </c>
      <c r="E50" s="103"/>
      <c r="F50" s="97">
        <f>VLOOKUP(C50,'SIND PITS'!$C$3:$H$104,2,0)</f>
        <v>1060.6000000000004</v>
      </c>
      <c r="G50" s="97">
        <f>VLOOKUP(C50,'SIND PITS'!$C$3:$E$104,3,0)</f>
        <v>125</v>
      </c>
      <c r="H50" s="97">
        <f>VLOOKUP(C50,'SIND PITS'!$C$3:$F$104,4,0)</f>
        <v>0</v>
      </c>
      <c r="I50" s="97">
        <f>VLOOKUP(C50,'SIND PITS'!$C$3:$G$104,5,0)</f>
        <v>0</v>
      </c>
      <c r="J50" s="100"/>
      <c r="K50" s="97">
        <f t="shared" si="1"/>
        <v>7125</v>
      </c>
      <c r="L50" s="97">
        <v>14000</v>
      </c>
      <c r="M50" s="97">
        <f t="shared" si="2"/>
        <v>7000</v>
      </c>
      <c r="N50" s="100"/>
      <c r="O50" s="99">
        <f>VLOOKUP(C50,'IP PITSS'!$B$9:$I$91,8,0)</f>
        <v>0</v>
      </c>
      <c r="P50" s="97">
        <f t="shared" si="5"/>
        <v>125</v>
      </c>
      <c r="Q50" s="99">
        <f>VLOOKUP(C50,'IP PITSS'!$B$9:$K$91,10,0)+VLOOKUP('RESUMEN PITS'!C50,'IP PITSS'!$B$9:$L$91,11,0)+VLOOKUP('RESUMEN PITS'!C50,'IP PITSS'!$B$9:$M$91,12,0)</f>
        <v>0</v>
      </c>
      <c r="R50" s="99">
        <f>VLOOKUP(C50,'IP PITSS'!$B$9:$Q$91,16,0)</f>
        <v>0</v>
      </c>
      <c r="S50" s="99">
        <f>VLOOKUP(C50,'IP PITSS'!$B$9:$R$91,17,0)</f>
        <v>0</v>
      </c>
      <c r="T50" s="100"/>
      <c r="U50" s="97">
        <f t="shared" si="6"/>
        <v>7000</v>
      </c>
      <c r="V50" s="99">
        <f t="shared" si="0"/>
        <v>0</v>
      </c>
      <c r="X50" s="29" t="s">
        <v>239</v>
      </c>
      <c r="Y50" s="20">
        <f ca="1">IFERROR(OFFSET('CPD PITSS'!$AN$8,MATCH('RESUMEN PITS'!C50,'CPD PITSS'!$B$9:$B$26,0),0),0)+IFERROR(OFFSET('IP PITSS'!$AL$8,MATCH('RESUMEN PITS'!C50,'IP PITSS'!$B$9:$B$91,0),0),0)+IFERROR(OFFSET('SIND PITS'!$S$2,MATCH('RESUMEN PITS'!C50,'SIND PITS'!$C$3:$C$103,0),0),0)</f>
        <v>9529.030999999999</v>
      </c>
    </row>
    <row r="51" spans="1:25" s="29" customFormat="1" x14ac:dyDescent="0.2">
      <c r="A51" s="101" t="s">
        <v>110</v>
      </c>
      <c r="B51" s="21" t="s">
        <v>94</v>
      </c>
      <c r="C51" s="101" t="s">
        <v>111</v>
      </c>
      <c r="D51" s="21">
        <f>VLOOKUP(C51,'IP PITSS'!$B$9:$U$91,20,0)</f>
        <v>3327</v>
      </c>
      <c r="E51" s="103"/>
      <c r="F51" s="97">
        <f>VLOOKUP(C51,'SIND PITS'!$C$3:$H$104,2,0)</f>
        <v>423</v>
      </c>
      <c r="G51" s="97">
        <f>VLOOKUP(C51,'SIND PITS'!$C$3:$E$104,3,0)</f>
        <v>480</v>
      </c>
      <c r="H51" s="97">
        <f>VLOOKUP(C51,'SIND PITS'!$C$3:$F$104,4,0)</f>
        <v>0</v>
      </c>
      <c r="I51" s="97">
        <f>VLOOKUP(C51,'SIND PITS'!$C$3:$G$104,5,0)</f>
        <v>0</v>
      </c>
      <c r="J51" s="100"/>
      <c r="K51" s="97">
        <f t="shared" si="1"/>
        <v>4230</v>
      </c>
      <c r="L51" s="97">
        <v>8000</v>
      </c>
      <c r="M51" s="97">
        <f t="shared" si="2"/>
        <v>4000</v>
      </c>
      <c r="N51" s="100"/>
      <c r="O51" s="99">
        <f>VLOOKUP(C51,'IP PITSS'!$B$9:$I$91,8,0)</f>
        <v>0</v>
      </c>
      <c r="P51" s="97">
        <f t="shared" si="5"/>
        <v>480</v>
      </c>
      <c r="Q51" s="99">
        <f>VLOOKUP(C51,'IP PITSS'!$B$9:$K$91,10,0)+VLOOKUP('RESUMEN PITS'!C51,'IP PITSS'!$B$9:$L$91,11,0)+VLOOKUP('RESUMEN PITS'!C51,'IP PITSS'!$B$9:$M$91,12,0)</f>
        <v>0</v>
      </c>
      <c r="R51" s="99">
        <f>VLOOKUP(C51,'IP PITSS'!$B$9:$Q$91,16,0)</f>
        <v>0</v>
      </c>
      <c r="S51" s="99">
        <f>VLOOKUP(C51,'IP PITSS'!$B$9:$R$91,17,0)</f>
        <v>250</v>
      </c>
      <c r="T51" s="100"/>
      <c r="U51" s="97">
        <f t="shared" si="6"/>
        <v>4000</v>
      </c>
      <c r="V51" s="99">
        <f t="shared" si="0"/>
        <v>0</v>
      </c>
      <c r="W51" s="20"/>
      <c r="X51" s="29" t="s">
        <v>112</v>
      </c>
      <c r="Y51" s="20">
        <f ca="1">IFERROR(OFFSET('CPD PITSS'!$AN$8,MATCH('RESUMEN PITS'!C51,'CPD PITSS'!$B$9:$B$26,0),0),0)+IFERROR(OFFSET('IP PITSS'!$AL$8,MATCH('RESUMEN PITS'!C51,'IP PITSS'!$B$9:$B$91,0),0),0)+IFERROR(OFFSET('SIND PITS'!$S$2,MATCH('RESUMEN PITS'!C51,'SIND PITS'!$C$3:$C$103,0),0),0)</f>
        <v>6115.3909999999996</v>
      </c>
    </row>
    <row r="52" spans="1:25" s="29" customFormat="1" x14ac:dyDescent="0.2">
      <c r="A52" s="101" t="s">
        <v>326</v>
      </c>
      <c r="B52" s="21" t="s">
        <v>94</v>
      </c>
      <c r="C52" s="101" t="s">
        <v>327</v>
      </c>
      <c r="D52" s="21">
        <f>VLOOKUP(C52,'IP PITSS'!$B$9:$U$91,20,0)</f>
        <v>3576.8</v>
      </c>
      <c r="E52" s="103"/>
      <c r="F52" s="97">
        <f>VLOOKUP(C52,'SIND PITS'!$C$3:$H$104,2,0)</f>
        <v>423.19999999999982</v>
      </c>
      <c r="G52" s="97">
        <f>VLOOKUP(C52,'SIND PITS'!$C$3:$E$104,3,0)</f>
        <v>510</v>
      </c>
      <c r="H52" s="97">
        <f>VLOOKUP(C52,'SIND PITS'!$C$3:$F$104,4,0)</f>
        <v>0</v>
      </c>
      <c r="I52" s="97">
        <f>VLOOKUP(C52,'SIND PITS'!$C$3:$G$104,5,0)</f>
        <v>0</v>
      </c>
      <c r="J52" s="100"/>
      <c r="K52" s="97">
        <f t="shared" si="1"/>
        <v>4510</v>
      </c>
      <c r="L52" s="97">
        <v>8000</v>
      </c>
      <c r="M52" s="97">
        <f t="shared" si="2"/>
        <v>4000</v>
      </c>
      <c r="N52" s="100"/>
      <c r="O52" s="99">
        <f>VLOOKUP(C52,'IP PITSS'!$B$9:$I$91,8,0)</f>
        <v>0</v>
      </c>
      <c r="P52" s="97">
        <f t="shared" si="5"/>
        <v>510</v>
      </c>
      <c r="Q52" s="99">
        <f>VLOOKUP(C52,'IP PITSS'!$B$9:$K$91,10,0)+VLOOKUP('RESUMEN PITS'!C52,'IP PITSS'!$B$9:$L$91,11,0)+VLOOKUP('RESUMEN PITS'!C52,'IP PITSS'!$B$9:$M$91,12,0)</f>
        <v>0</v>
      </c>
      <c r="R52" s="99">
        <f>VLOOKUP(C52,'IP PITSS'!$B$9:$Q$91,16,0)</f>
        <v>0</v>
      </c>
      <c r="S52" s="99">
        <f>VLOOKUP(C52,'IP PITSS'!$B$9:$R$91,17,0)</f>
        <v>0</v>
      </c>
      <c r="T52" s="100"/>
      <c r="U52" s="97">
        <f t="shared" si="6"/>
        <v>4000</v>
      </c>
      <c r="V52" s="99">
        <f t="shared" si="0"/>
        <v>0</v>
      </c>
      <c r="W52" s="20"/>
      <c r="X52" s="29" t="s">
        <v>328</v>
      </c>
      <c r="Y52" s="20">
        <f ca="1">IFERROR(OFFSET('CPD PITSS'!$AN$8,MATCH('RESUMEN PITS'!C52,'CPD PITSS'!$B$9:$B$26,0),0),0)+IFERROR(OFFSET('IP PITSS'!$AL$8,MATCH('RESUMEN PITS'!C52,'IP PITSS'!$B$9:$B$91,0),0),0)+IFERROR(OFFSET('SIND PITS'!$S$2,MATCH('RESUMEN PITS'!C52,'SIND PITS'!$C$3:$C$103,0),0),0)</f>
        <v>6145.991</v>
      </c>
    </row>
    <row r="53" spans="1:25" s="29" customFormat="1" x14ac:dyDescent="0.2">
      <c r="A53" s="101" t="s">
        <v>169</v>
      </c>
      <c r="B53" s="21" t="s">
        <v>94</v>
      </c>
      <c r="C53" s="101" t="s">
        <v>170</v>
      </c>
      <c r="D53" s="21">
        <f>VLOOKUP(C53,'IP PITSS'!$B$9:$U$91,20,0)</f>
        <v>2685.2</v>
      </c>
      <c r="E53" s="103"/>
      <c r="F53" s="97">
        <f>VLOOKUP(C53,'SIND PITS'!$C$3:$H$104,2,0)</f>
        <v>114.80000000000001</v>
      </c>
      <c r="G53" s="97">
        <f>VLOOKUP(C53,'SIND PITS'!$C$3:$E$104,3,0)</f>
        <v>455</v>
      </c>
      <c r="H53" s="97">
        <f>VLOOKUP(C53,'SIND PITS'!$C$3:$F$104,4,0)</f>
        <v>0</v>
      </c>
      <c r="I53" s="97">
        <f>VLOOKUP(C53,'SIND PITS'!$C$3:$G$104,5,0)</f>
        <v>0</v>
      </c>
      <c r="J53" s="100"/>
      <c r="K53" s="97">
        <f t="shared" si="1"/>
        <v>3255</v>
      </c>
      <c r="L53" s="97">
        <v>6000</v>
      </c>
      <c r="M53" s="97">
        <f t="shared" si="2"/>
        <v>3000</v>
      </c>
      <c r="N53" s="100"/>
      <c r="O53" s="99">
        <f>VLOOKUP(C53,'IP PITSS'!$B$9:$I$91,8,0)</f>
        <v>0</v>
      </c>
      <c r="P53" s="97">
        <f t="shared" si="5"/>
        <v>455</v>
      </c>
      <c r="Q53" s="99">
        <f>VLOOKUP(C53,'IP PITSS'!$B$9:$K$91,10,0)+VLOOKUP('RESUMEN PITS'!C53,'IP PITSS'!$B$9:$L$91,11,0)+VLOOKUP('RESUMEN PITS'!C53,'IP PITSS'!$B$9:$M$91,12,0)</f>
        <v>0</v>
      </c>
      <c r="R53" s="99">
        <f>VLOOKUP(C53,'IP PITSS'!$B$9:$Q$91,16,0)</f>
        <v>0</v>
      </c>
      <c r="S53" s="99">
        <f>VLOOKUP(C53,'IP PITSS'!$B$9:$R$91,17,0)</f>
        <v>0</v>
      </c>
      <c r="T53" s="100"/>
      <c r="U53" s="97">
        <f t="shared" si="6"/>
        <v>2800</v>
      </c>
      <c r="V53" s="99">
        <f t="shared" si="0"/>
        <v>200</v>
      </c>
      <c r="W53" s="20" t="s">
        <v>435</v>
      </c>
      <c r="X53" s="29" t="s">
        <v>171</v>
      </c>
      <c r="Y53" s="20">
        <f ca="1">IFERROR(OFFSET('CPD PITSS'!$AN$8,MATCH('RESUMEN PITS'!C53,'CPD PITSS'!$B$9:$B$26,0),0),0)+IFERROR(OFFSET('IP PITSS'!$AL$8,MATCH('RESUMEN PITS'!C53,'IP PITSS'!$B$9:$B$91,0),0),0)+IFERROR(OFFSET('SIND PITS'!$S$2,MATCH('RESUMEN PITS'!C53,'SIND PITS'!$C$3:$C$103,0),0),0)</f>
        <v>4629.53</v>
      </c>
    </row>
    <row r="54" spans="1:25" s="29" customFormat="1" x14ac:dyDescent="0.2">
      <c r="A54" s="101" t="s">
        <v>272</v>
      </c>
      <c r="B54" s="21" t="s">
        <v>94</v>
      </c>
      <c r="C54" s="101" t="s">
        <v>273</v>
      </c>
      <c r="D54" s="21">
        <f>VLOOKUP(C54,'IP PITSS'!$B$9:$U$91,20,0)</f>
        <v>3656.8</v>
      </c>
      <c r="E54" s="103"/>
      <c r="F54" s="97">
        <f>VLOOKUP(C54,'SIND PITS'!$C$3:$H$104,2,0)</f>
        <v>423.19999999999982</v>
      </c>
      <c r="G54" s="97">
        <f>VLOOKUP(C54,'SIND PITS'!$C$3:$E$104,3,0)</f>
        <v>1500</v>
      </c>
      <c r="H54" s="97">
        <f>VLOOKUP(C54,'SIND PITS'!$C$3:$F$104,4,0)</f>
        <v>0</v>
      </c>
      <c r="I54" s="97">
        <f>VLOOKUP(C54,'SIND PITS'!$C$3:$G$104,5,0)</f>
        <v>0</v>
      </c>
      <c r="J54" s="100"/>
      <c r="K54" s="97">
        <f t="shared" si="1"/>
        <v>5580</v>
      </c>
      <c r="L54" s="97">
        <v>8000</v>
      </c>
      <c r="M54" s="97">
        <f t="shared" si="2"/>
        <v>4000</v>
      </c>
      <c r="N54" s="100"/>
      <c r="O54" s="99">
        <f>VLOOKUP(C54,'IP PITSS'!$B$9:$I$91,8,0)</f>
        <v>80</v>
      </c>
      <c r="P54" s="97">
        <f t="shared" si="5"/>
        <v>1500</v>
      </c>
      <c r="Q54" s="99">
        <f>VLOOKUP(C54,'IP PITSS'!$B$9:$K$91,10,0)+VLOOKUP('RESUMEN PITS'!C54,'IP PITSS'!$B$9:$L$91,11,0)+VLOOKUP('RESUMEN PITS'!C54,'IP PITSS'!$B$9:$M$91,12,0)</f>
        <v>0</v>
      </c>
      <c r="R54" s="99">
        <f>VLOOKUP(C54,'IP PITSS'!$B$9:$Q$91,16,0)</f>
        <v>0</v>
      </c>
      <c r="S54" s="99">
        <f>VLOOKUP(C54,'IP PITSS'!$B$9:$R$91,17,0)</f>
        <v>0</v>
      </c>
      <c r="T54" s="100"/>
      <c r="U54" s="97">
        <f>+K54-O54-P54+Q54+R54+S54</f>
        <v>4000</v>
      </c>
      <c r="V54" s="99">
        <f t="shared" si="0"/>
        <v>0</v>
      </c>
      <c r="W54" s="46"/>
      <c r="X54" s="29" t="s">
        <v>274</v>
      </c>
      <c r="Y54" s="20">
        <f ca="1">IFERROR(OFFSET('CPD PITSS'!$AN$8,MATCH('RESUMEN PITS'!C54,'CPD PITSS'!$B$9:$B$26,0),0),0)+IFERROR(OFFSET('IP PITSS'!$AL$8,MATCH('RESUMEN PITS'!C54,'IP PITSS'!$B$9:$B$91,0),0),0)+IFERROR(OFFSET('SIND PITS'!$S$2,MATCH('RESUMEN PITS'!C54,'SIND PITS'!$C$3:$C$103,0),0),0)</f>
        <v>7238.991</v>
      </c>
    </row>
    <row r="55" spans="1:25" s="29" customFormat="1" x14ac:dyDescent="0.2">
      <c r="A55" s="101" t="s">
        <v>199</v>
      </c>
      <c r="B55" s="21" t="s">
        <v>94</v>
      </c>
      <c r="C55" s="101" t="s">
        <v>200</v>
      </c>
      <c r="D55" s="21">
        <f>VLOOKUP(C55,'IP PITSS'!$B$9:$U$91,20,0)</f>
        <v>3578.6</v>
      </c>
      <c r="E55" s="103"/>
      <c r="F55" s="97">
        <f>VLOOKUP(C55,'SIND PITS'!$C$3:$H$104,2,0)</f>
        <v>421.40000000000009</v>
      </c>
      <c r="G55" s="97">
        <f>VLOOKUP(C55,'SIND PITS'!$C$3:$E$104,3,0)</f>
        <v>120</v>
      </c>
      <c r="H55" s="97">
        <f>VLOOKUP(C55,'SIND PITS'!$C$3:$F$104,4,0)</f>
        <v>0</v>
      </c>
      <c r="I55" s="97">
        <f>VLOOKUP(C55,'SIND PITS'!$C$3:$G$104,5,0)</f>
        <v>0</v>
      </c>
      <c r="J55" s="100"/>
      <c r="K55" s="97">
        <f t="shared" si="1"/>
        <v>4120</v>
      </c>
      <c r="L55" s="97">
        <v>8000</v>
      </c>
      <c r="M55" s="97">
        <f t="shared" si="2"/>
        <v>4000</v>
      </c>
      <c r="N55" s="100"/>
      <c r="O55" s="99">
        <f>VLOOKUP(C55,'IP PITSS'!$B$9:$I$91,8,0)</f>
        <v>0</v>
      </c>
      <c r="P55" s="97">
        <f t="shared" si="5"/>
        <v>120</v>
      </c>
      <c r="Q55" s="99">
        <f>VLOOKUP(C55,'IP PITSS'!$B$9:$K$91,10,0)+VLOOKUP('RESUMEN PITS'!C55,'IP PITSS'!$B$9:$L$91,11,0)+VLOOKUP('RESUMEN PITS'!C55,'IP PITSS'!$B$9:$M$91,12,0)</f>
        <v>0</v>
      </c>
      <c r="R55" s="99">
        <f>VLOOKUP(C55,'IP PITSS'!$B$9:$Q$91,16,0)</f>
        <v>0</v>
      </c>
      <c r="S55" s="99">
        <f>VLOOKUP(C55,'IP PITSS'!$B$9:$R$91,17,0)</f>
        <v>0</v>
      </c>
      <c r="T55" s="100"/>
      <c r="U55" s="97">
        <f t="shared" si="6"/>
        <v>4000</v>
      </c>
      <c r="V55" s="99">
        <f t="shared" si="0"/>
        <v>0</v>
      </c>
      <c r="W55" s="42"/>
      <c r="X55" s="29" t="s">
        <v>201</v>
      </c>
      <c r="Y55" s="20">
        <f ca="1">IFERROR(OFFSET('CPD PITSS'!$AN$8,MATCH('RESUMEN PITS'!C55,'CPD PITSS'!$B$9:$B$26,0),0),0)+IFERROR(OFFSET('IP PITSS'!$AL$8,MATCH('RESUMEN PITS'!C55,'IP PITSS'!$B$9:$B$91,0),0),0)+IFERROR(OFFSET('SIND PITS'!$S$2,MATCH('RESUMEN PITS'!C55,'SIND PITS'!$C$3:$C$103,0),0),0)</f>
        <v>5735.5510000000004</v>
      </c>
    </row>
    <row r="56" spans="1:25" s="29" customFormat="1" x14ac:dyDescent="0.2">
      <c r="A56" s="101" t="s">
        <v>311</v>
      </c>
      <c r="B56" s="21" t="s">
        <v>94</v>
      </c>
      <c r="C56" s="101" t="s">
        <v>312</v>
      </c>
      <c r="D56" s="21">
        <f>VLOOKUP(C56,'IP PITSS'!$B$9:$U$91,20,0)</f>
        <v>3578.6</v>
      </c>
      <c r="E56" s="103"/>
      <c r="F56" s="97">
        <f>VLOOKUP(C56,'SIND PITS'!$C$3:$H$104,2,0)</f>
        <v>421.40000000000009</v>
      </c>
      <c r="G56" s="97">
        <f>VLOOKUP(C56,'SIND PITS'!$C$3:$E$104,3,0)</f>
        <v>480</v>
      </c>
      <c r="H56" s="97">
        <f>VLOOKUP(C56,'SIND PITS'!$C$3:$F$104,4,0)</f>
        <v>0</v>
      </c>
      <c r="I56" s="97">
        <f>VLOOKUP(C56,'SIND PITS'!$C$3:$G$104,5,0)</f>
        <v>0</v>
      </c>
      <c r="J56" s="100"/>
      <c r="K56" s="97">
        <f t="shared" si="1"/>
        <v>4480</v>
      </c>
      <c r="L56" s="97">
        <v>8000</v>
      </c>
      <c r="M56" s="97">
        <f t="shared" si="2"/>
        <v>4000</v>
      </c>
      <c r="N56" s="100"/>
      <c r="O56" s="99">
        <f>VLOOKUP(C56,'IP PITSS'!$B$9:$I$91,8,0)</f>
        <v>0</v>
      </c>
      <c r="P56" s="97">
        <f t="shared" si="5"/>
        <v>480</v>
      </c>
      <c r="Q56" s="99">
        <f>VLOOKUP(C56,'IP PITSS'!$B$9:$K$91,10,0)+VLOOKUP('RESUMEN PITS'!C56,'IP PITSS'!$B$9:$L$91,11,0)+VLOOKUP('RESUMEN PITS'!C56,'IP PITSS'!$B$9:$M$91,12,0)</f>
        <v>0</v>
      </c>
      <c r="R56" s="99">
        <f>VLOOKUP(C56,'IP PITSS'!$B$9:$Q$91,16,0)</f>
        <v>0</v>
      </c>
      <c r="S56" s="99">
        <f>VLOOKUP(C56,'IP PITSS'!$B$9:$R$91,17,0)</f>
        <v>0</v>
      </c>
      <c r="T56" s="100"/>
      <c r="U56" s="97">
        <f t="shared" si="6"/>
        <v>4000</v>
      </c>
      <c r="V56" s="99">
        <f t="shared" si="0"/>
        <v>0</v>
      </c>
      <c r="W56" s="44"/>
      <c r="X56" s="29" t="s">
        <v>313</v>
      </c>
      <c r="Y56" s="20">
        <f ca="1">IFERROR(OFFSET('CPD PITSS'!$AN$8,MATCH('RESUMEN PITS'!C56,'CPD PITSS'!$B$9:$B$26,0),0),0)+IFERROR(OFFSET('IP PITSS'!$AL$8,MATCH('RESUMEN PITS'!C56,'IP PITSS'!$B$9:$B$91,0),0),0)+IFERROR(OFFSET('SIND PITS'!$S$2,MATCH('RESUMEN PITS'!C56,'SIND PITS'!$C$3:$C$103,0),0),0)</f>
        <v>6102.7510000000002</v>
      </c>
    </row>
    <row r="57" spans="1:25" s="29" customFormat="1" x14ac:dyDescent="0.2">
      <c r="A57" s="101" t="s">
        <v>156</v>
      </c>
      <c r="B57" s="21" t="s">
        <v>94</v>
      </c>
      <c r="C57" s="101" t="s">
        <v>157</v>
      </c>
      <c r="D57" s="21">
        <f>VLOOKUP(C57,'IP PITSS'!$B$9:$U$91,20,0)</f>
        <v>3576.8</v>
      </c>
      <c r="E57" s="103"/>
      <c r="F57" s="97">
        <f>VLOOKUP(C57,'SIND PITS'!$C$3:$H$104,2,0)</f>
        <v>423.19999999999982</v>
      </c>
      <c r="G57" s="97">
        <f>VLOOKUP(C57,'SIND PITS'!$C$3:$E$104,3,0)</f>
        <v>480</v>
      </c>
      <c r="H57" s="97">
        <f>VLOOKUP(C57,'SIND PITS'!$C$3:$F$104,4,0)</f>
        <v>0</v>
      </c>
      <c r="I57" s="97">
        <f>VLOOKUP(C57,'SIND PITS'!$C$3:$G$104,5,0)</f>
        <v>0</v>
      </c>
      <c r="J57" s="100"/>
      <c r="K57" s="97">
        <f t="shared" si="1"/>
        <v>4480</v>
      </c>
      <c r="L57" s="97">
        <v>8000</v>
      </c>
      <c r="M57" s="97">
        <f t="shared" si="2"/>
        <v>4000</v>
      </c>
      <c r="N57" s="100"/>
      <c r="O57" s="99">
        <f>VLOOKUP(C57,'IP PITSS'!$B$9:$I$91,8,0)</f>
        <v>0</v>
      </c>
      <c r="P57" s="97">
        <f t="shared" si="5"/>
        <v>480</v>
      </c>
      <c r="Q57" s="99">
        <f>VLOOKUP(C57,'IP PITSS'!$B$9:$K$91,10,0)+VLOOKUP('RESUMEN PITS'!C57,'IP PITSS'!$B$9:$L$91,11,0)+VLOOKUP('RESUMEN PITS'!C57,'IP PITSS'!$B$9:$M$91,12,0)</f>
        <v>0</v>
      </c>
      <c r="R57" s="99">
        <f>VLOOKUP(C57,'IP PITSS'!$B$9:$Q$91,16,0)</f>
        <v>0</v>
      </c>
      <c r="S57" s="99">
        <f>VLOOKUP(C57,'IP PITSS'!$B$9:$R$91,17,0)</f>
        <v>0</v>
      </c>
      <c r="T57" s="100"/>
      <c r="U57" s="97">
        <f t="shared" si="6"/>
        <v>4000</v>
      </c>
      <c r="V57" s="99">
        <f t="shared" si="0"/>
        <v>0</v>
      </c>
      <c r="W57" s="42"/>
      <c r="X57" s="29" t="s">
        <v>158</v>
      </c>
      <c r="Y57" s="20">
        <f ca="1">IFERROR(OFFSET('CPD PITSS'!$AN$8,MATCH('RESUMEN PITS'!C57,'CPD PITSS'!$B$9:$B$26,0),0),0)+IFERROR(OFFSET('IP PITSS'!$AL$8,MATCH('RESUMEN PITS'!C57,'IP PITSS'!$B$9:$B$91,0),0),0)+IFERROR(OFFSET('SIND PITS'!$S$2,MATCH('RESUMEN PITS'!C57,'SIND PITS'!$C$3:$C$103,0),0),0)</f>
        <v>6115.3910000000005</v>
      </c>
    </row>
    <row r="58" spans="1:25" s="29" customFormat="1" x14ac:dyDescent="0.2">
      <c r="A58" s="95" t="s">
        <v>363</v>
      </c>
      <c r="B58" s="21" t="s">
        <v>94</v>
      </c>
      <c r="C58" s="95" t="s">
        <v>258</v>
      </c>
      <c r="D58" s="21">
        <f>VLOOKUP(C58,'IP PITSS'!$B$9:$U$91,20,0)</f>
        <v>2234</v>
      </c>
      <c r="E58" s="103"/>
      <c r="F58" s="97">
        <f>VLOOKUP(C58,'SIND PITS'!$C$3:$H$104,2,0)</f>
        <v>2266</v>
      </c>
      <c r="G58" s="97">
        <f>VLOOKUP(C58,'SIND PITS'!$C$3:$E$104,3,0)</f>
        <v>0</v>
      </c>
      <c r="H58" s="97">
        <f>VLOOKUP(C58,'SIND PITS'!$C$3:$F$104,4,0)</f>
        <v>0</v>
      </c>
      <c r="I58" s="97">
        <f>VLOOKUP(C58,'SIND PITS'!$C$3:$G$104,5,0)</f>
        <v>0</v>
      </c>
      <c r="J58" s="100"/>
      <c r="K58" s="97">
        <f t="shared" si="1"/>
        <v>4500</v>
      </c>
      <c r="L58" s="99">
        <v>9000</v>
      </c>
      <c r="M58" s="97">
        <f t="shared" si="2"/>
        <v>4500</v>
      </c>
      <c r="N58" s="100"/>
      <c r="O58" s="99">
        <f>VLOOKUP(C58,'IP PITSS'!$B$9:$I$91,8,0)</f>
        <v>0</v>
      </c>
      <c r="P58" s="106">
        <f t="shared" si="5"/>
        <v>0</v>
      </c>
      <c r="Q58" s="99">
        <f>VLOOKUP(C58,'IP PITSS'!$B$9:$K$91,10,0)+VLOOKUP('RESUMEN PITS'!C58,'IP PITSS'!$B$9:$L$91,11,0)+VLOOKUP('RESUMEN PITS'!C58,'IP PITSS'!$B$9:$M$91,12,0)</f>
        <v>0</v>
      </c>
      <c r="R58" s="99">
        <f>VLOOKUP(C58,'IP PITSS'!$B$9:$Q$91,16,0)</f>
        <v>0</v>
      </c>
      <c r="S58" s="99">
        <f>VLOOKUP(C58,'IP PITSS'!$B$9:$R$91,17,0)</f>
        <v>0</v>
      </c>
      <c r="T58" s="100"/>
      <c r="U58" s="97">
        <f t="shared" si="6"/>
        <v>4500</v>
      </c>
      <c r="V58" s="99">
        <f t="shared" si="0"/>
        <v>0</v>
      </c>
      <c r="W58" s="20"/>
      <c r="X58" s="29" t="s">
        <v>259</v>
      </c>
      <c r="Y58" s="20">
        <f ca="1">IFERROR(OFFSET('CPD PITSS'!$AN$8,MATCH('RESUMEN PITS'!C58,'CPD PITSS'!$B$9:$B$26,0),0),0)+IFERROR(OFFSET('IP PITSS'!$AL$8,MATCH('RESUMEN PITS'!C58,'IP PITSS'!$B$9:$B$91,0),0),0)+IFERROR(OFFSET('SIND PITS'!$S$2,MATCH('RESUMEN PITS'!C58,'SIND PITS'!$C$3:$C$103,0),0),0)</f>
        <v>5734.37</v>
      </c>
    </row>
    <row r="59" spans="1:25" s="29" customFormat="1" x14ac:dyDescent="0.2">
      <c r="A59" s="102" t="s">
        <v>364</v>
      </c>
      <c r="B59" s="21" t="s">
        <v>94</v>
      </c>
      <c r="C59" s="102" t="s">
        <v>263</v>
      </c>
      <c r="D59" s="21">
        <f>VLOOKUP(C59,'IP PITSS'!$B$9:$U$91,20,0)</f>
        <v>1785.6</v>
      </c>
      <c r="E59" s="103"/>
      <c r="F59" s="97">
        <f>VLOOKUP(C59,'SIND PITS'!$C$3:$H$104,2,0)</f>
        <v>2265.9700000000003</v>
      </c>
      <c r="G59" s="97">
        <f>VLOOKUP(C59,'SIND PITS'!$C$3:$E$104,3,0)</f>
        <v>300</v>
      </c>
      <c r="H59" s="97">
        <f>VLOOKUP(C59,'SIND PITS'!$C$3:$F$104,4,0)</f>
        <v>0</v>
      </c>
      <c r="I59" s="97">
        <f>VLOOKUP(C59,'SIND PITS'!$C$3:$G$104,5,0)</f>
        <v>315</v>
      </c>
      <c r="J59" s="100"/>
      <c r="K59" s="97">
        <f t="shared" si="1"/>
        <v>4666.57</v>
      </c>
      <c r="L59" s="97">
        <v>9000</v>
      </c>
      <c r="M59" s="97">
        <f t="shared" si="2"/>
        <v>4500</v>
      </c>
      <c r="N59" s="100"/>
      <c r="O59" s="99">
        <f>VLOOKUP(C59,'IP PITSS'!$B$9:$I$91,8,0)</f>
        <v>315</v>
      </c>
      <c r="P59" s="97">
        <f t="shared" si="5"/>
        <v>615</v>
      </c>
      <c r="Q59" s="99">
        <f>VLOOKUP(C59,'IP PITSS'!$B$9:$K$91,10,0)+VLOOKUP('RESUMEN PITS'!C59,'IP PITSS'!$B$9:$L$91,11,0)+VLOOKUP('RESUMEN PITS'!C59,'IP PITSS'!$B$9:$M$91,12,0)</f>
        <v>763.43</v>
      </c>
      <c r="R59" s="99">
        <f>VLOOKUP(C59,'IP PITSS'!$B$9:$Q$91,16,0)</f>
        <v>0</v>
      </c>
      <c r="S59" s="99">
        <f>VLOOKUP(C59,'IP PITSS'!$B$9:$R$91,17,0)</f>
        <v>0</v>
      </c>
      <c r="T59" s="100"/>
      <c r="U59" s="97">
        <f t="shared" si="6"/>
        <v>4500</v>
      </c>
      <c r="V59" s="99">
        <f t="shared" si="0"/>
        <v>0</v>
      </c>
      <c r="W59" s="45"/>
      <c r="X59" s="29" t="s">
        <v>264</v>
      </c>
      <c r="Y59" s="20">
        <f ca="1">IFERROR(OFFSET('CPD PITSS'!$AN$8,MATCH('RESUMEN PITS'!C59,'CPD PITSS'!$B$9:$B$26,0),0),0)+IFERROR(OFFSET('IP PITSS'!$AL$8,MATCH('RESUMEN PITS'!C59,'IP PITSS'!$B$9:$B$91,0),0),0)+IFERROR(OFFSET('SIND PITS'!$S$2,MATCH('RESUMEN PITS'!C59,'SIND PITS'!$C$3:$C$103,0),0),0)</f>
        <v>6689.27</v>
      </c>
    </row>
    <row r="60" spans="1:25" s="29" customFormat="1" ht="14.25" customHeight="1" x14ac:dyDescent="0.2">
      <c r="A60" s="102" t="s">
        <v>365</v>
      </c>
      <c r="B60" s="21" t="s">
        <v>94</v>
      </c>
      <c r="C60" s="101" t="s">
        <v>197</v>
      </c>
      <c r="D60" s="21">
        <f>VLOOKUP(C60,'IP PITSS'!$B$9:$U$91,20,0)</f>
        <v>2217.6</v>
      </c>
      <c r="E60" s="103"/>
      <c r="F60" s="97">
        <f>VLOOKUP(C60,'SIND PITS'!$C$3:$H$104,2,0)</f>
        <v>2890.6699999999983</v>
      </c>
      <c r="G60" s="97">
        <f>VLOOKUP(C60,'SIND PITS'!$C$3:$E$104,3,0)</f>
        <v>225</v>
      </c>
      <c r="H60" s="97">
        <f>VLOOKUP(C60,'SIND PITS'!$C$3:$F$104,4,0)</f>
        <v>0</v>
      </c>
      <c r="I60" s="97">
        <f>VLOOKUP(C60,'SIND PITS'!$C$3:$G$104,5,0)</f>
        <v>913.77</v>
      </c>
      <c r="J60" s="100"/>
      <c r="K60" s="97">
        <f t="shared" si="1"/>
        <v>6247.0399999999991</v>
      </c>
      <c r="L60" s="97">
        <v>12000</v>
      </c>
      <c r="M60" s="97">
        <f t="shared" si="2"/>
        <v>6000</v>
      </c>
      <c r="N60" s="100"/>
      <c r="O60" s="99">
        <f>VLOOKUP(C60,'IP PITSS'!$B$9:$I$91,8,0)</f>
        <v>1126.23</v>
      </c>
      <c r="P60" s="97">
        <f t="shared" si="5"/>
        <v>1138.77</v>
      </c>
      <c r="Q60" s="99">
        <f>VLOOKUP(C60,'IP PITSS'!$B$9:$K$91,10,0)+VLOOKUP('RESUMEN PITS'!C60,'IP PITSS'!$B$9:$L$91,11,0)+VLOOKUP('RESUMEN PITS'!C60,'IP PITSS'!$B$9:$M$91,12,0)</f>
        <v>2017.96</v>
      </c>
      <c r="R60" s="99">
        <f>VLOOKUP(C60,'IP PITSS'!$B$9:$Q$91,16,0)</f>
        <v>0</v>
      </c>
      <c r="S60" s="99">
        <f>VLOOKUP(C60,'IP PITSS'!$B$9:$R$91,17,0)</f>
        <v>0</v>
      </c>
      <c r="T60" s="100"/>
      <c r="U60" s="97">
        <f t="shared" si="6"/>
        <v>6000</v>
      </c>
      <c r="V60" s="99">
        <f t="shared" si="0"/>
        <v>0</v>
      </c>
      <c r="W60" s="20"/>
      <c r="X60" s="29" t="s">
        <v>198</v>
      </c>
      <c r="Y60" s="20">
        <f ca="1">IFERROR(OFFSET('CPD PITSS'!$AN$8,MATCH('RESUMEN PITS'!C60,'CPD PITSS'!$B$9:$B$26,0),0),0)+IFERROR(OFFSET('IP PITSS'!$AL$8,MATCH('RESUMEN PITS'!C60,'IP PITSS'!$B$9:$B$91,0),0),0)+IFERROR(OFFSET('SIND PITS'!$S$2,MATCH('RESUMEN PITS'!C60,'SIND PITS'!$C$3:$C$103,0),0),0)</f>
        <v>9839.2135999999991</v>
      </c>
    </row>
    <row r="61" spans="1:25" s="20" customFormat="1" x14ac:dyDescent="0.2">
      <c r="A61" s="101" t="s">
        <v>366</v>
      </c>
      <c r="B61" s="21" t="s">
        <v>94</v>
      </c>
      <c r="C61" s="101" t="s">
        <v>173</v>
      </c>
      <c r="D61" s="21">
        <f>VLOOKUP(C61,'IP PITSS'!$B$9:$U$91,20,0)</f>
        <v>3273</v>
      </c>
      <c r="E61" s="103"/>
      <c r="F61" s="97">
        <f>VLOOKUP(C61,'SIND PITS'!$C$3:$H$104,2,0)</f>
        <v>3727.0000000000005</v>
      </c>
      <c r="G61" s="97">
        <f>VLOOKUP(C61,'SIND PITS'!$C$3:$E$104,3,0)</f>
        <v>375</v>
      </c>
      <c r="H61" s="97">
        <f>VLOOKUP(C61,'SIND PITS'!$C$3:$F$104,4,0)</f>
        <v>0</v>
      </c>
      <c r="I61" s="97">
        <f>VLOOKUP(C61,'SIND PITS'!$C$3:$G$104,5,0)</f>
        <v>0</v>
      </c>
      <c r="J61" s="100"/>
      <c r="K61" s="97">
        <f t="shared" si="1"/>
        <v>7375</v>
      </c>
      <c r="L61" s="97">
        <v>14000</v>
      </c>
      <c r="M61" s="97">
        <f t="shared" si="2"/>
        <v>7000</v>
      </c>
      <c r="N61" s="100"/>
      <c r="O61" s="99">
        <f>VLOOKUP(C61,'IP PITSS'!$B$9:$I$91,8,0)</f>
        <v>0</v>
      </c>
      <c r="P61" s="97">
        <f t="shared" si="5"/>
        <v>375</v>
      </c>
      <c r="Q61" s="99">
        <f>VLOOKUP(C61,'IP PITSS'!$B$9:$K$91,10,0)+VLOOKUP('RESUMEN PITS'!C61,'IP PITSS'!$B$9:$L$91,11,0)+VLOOKUP('RESUMEN PITS'!C61,'IP PITSS'!$B$9:$M$91,12,0)</f>
        <v>0</v>
      </c>
      <c r="R61" s="99">
        <f>VLOOKUP(C61,'IP PITSS'!$B$9:$Q$91,16,0)</f>
        <v>0</v>
      </c>
      <c r="S61" s="99">
        <f>VLOOKUP(C61,'IP PITSS'!$B$9:$R$91,17,0)</f>
        <v>0</v>
      </c>
      <c r="T61" s="100"/>
      <c r="U61" s="97">
        <f t="shared" si="6"/>
        <v>7000</v>
      </c>
      <c r="V61" s="99">
        <f t="shared" si="0"/>
        <v>0</v>
      </c>
      <c r="X61" s="29" t="s">
        <v>174</v>
      </c>
      <c r="Y61" s="20">
        <f ca="1">IFERROR(OFFSET('CPD PITSS'!$AN$8,MATCH('RESUMEN PITS'!C61,'CPD PITSS'!$B$9:$B$26,0),0),0)+IFERROR(OFFSET('IP PITSS'!$AL$8,MATCH('RESUMEN PITS'!C61,'IP PITSS'!$B$9:$B$91,0),0),0)+IFERROR(OFFSET('SIND PITS'!$S$2,MATCH('RESUMEN PITS'!C61,'SIND PITS'!$C$3:$C$103,0),0),0)</f>
        <v>8940.2289999999994</v>
      </c>
    </row>
    <row r="62" spans="1:25" s="20" customFormat="1" x14ac:dyDescent="0.2">
      <c r="A62" s="101" t="s">
        <v>367</v>
      </c>
      <c r="B62" s="21" t="s">
        <v>94</v>
      </c>
      <c r="C62" s="101" t="s">
        <v>128</v>
      </c>
      <c r="D62" s="21">
        <f>VLOOKUP(C62,'IP PITSS'!$B$9:$U$91,20,0)</f>
        <v>3272.8</v>
      </c>
      <c r="E62" s="103"/>
      <c r="F62" s="97">
        <f>VLOOKUP(C62,'SIND PITS'!$C$3:$H$104,2,0)</f>
        <v>3727.2</v>
      </c>
      <c r="G62" s="97">
        <f>VLOOKUP(C62,'SIND PITS'!$C$3:$E$104,3,0)</f>
        <v>437.5</v>
      </c>
      <c r="H62" s="97">
        <f>VLOOKUP(C62,'SIND PITS'!$C$3:$F$104,4,0)</f>
        <v>0</v>
      </c>
      <c r="I62" s="97">
        <f>VLOOKUP(C62,'SIND PITS'!$C$3:$G$104,5,0)</f>
        <v>0</v>
      </c>
      <c r="J62" s="100"/>
      <c r="K62" s="97">
        <f t="shared" si="1"/>
        <v>7437.5</v>
      </c>
      <c r="L62" s="97">
        <v>14000</v>
      </c>
      <c r="M62" s="97">
        <f t="shared" si="2"/>
        <v>7000</v>
      </c>
      <c r="N62" s="100"/>
      <c r="O62" s="99">
        <f>VLOOKUP(C62,'IP PITSS'!$B$9:$I$91,8,0)</f>
        <v>0</v>
      </c>
      <c r="P62" s="97">
        <f t="shared" si="5"/>
        <v>437.5</v>
      </c>
      <c r="Q62" s="99">
        <f>VLOOKUP(C62,'IP PITSS'!$B$9:$K$91,10,0)+VLOOKUP('RESUMEN PITS'!C62,'IP PITSS'!$B$9:$L$91,11,0)+VLOOKUP('RESUMEN PITS'!C62,'IP PITSS'!$B$9:$M$91,12,0)</f>
        <v>0</v>
      </c>
      <c r="R62" s="99">
        <f>VLOOKUP(C62,'IP PITSS'!$B$9:$Q$91,16,0)</f>
        <v>0</v>
      </c>
      <c r="S62" s="99">
        <f>VLOOKUP(C62,'IP PITSS'!$B$9:$R$91,17,0)</f>
        <v>0</v>
      </c>
      <c r="T62" s="100"/>
      <c r="U62" s="97">
        <f t="shared" si="6"/>
        <v>7000</v>
      </c>
      <c r="V62" s="99">
        <f t="shared" si="0"/>
        <v>0</v>
      </c>
      <c r="X62" s="29" t="s">
        <v>129</v>
      </c>
      <c r="Y62" s="20">
        <f ca="1">IFERROR(OFFSET('CPD PITSS'!$AN$8,MATCH('RESUMEN PITS'!C62,'CPD PITSS'!$B$9:$B$26,0),0),0)+IFERROR(OFFSET('IP PITSS'!$AL$8,MATCH('RESUMEN PITS'!C62,'IP PITSS'!$B$9:$B$91,0),0),0)+IFERROR(OFFSET('SIND PITS'!$S$2,MATCH('RESUMEN PITS'!C62,'SIND PITS'!$C$3:$C$103,0),0),0)</f>
        <v>9003.9789999999994</v>
      </c>
    </row>
    <row r="63" spans="1:25" s="20" customFormat="1" x14ac:dyDescent="0.2">
      <c r="A63" s="101" t="s">
        <v>368</v>
      </c>
      <c r="B63" s="21" t="s">
        <v>94</v>
      </c>
      <c r="C63" s="101" t="s">
        <v>241</v>
      </c>
      <c r="D63" s="21">
        <f>VLOOKUP(C63,'IP PITSS'!$B$9:$U$91,20,0)</f>
        <v>2380.6</v>
      </c>
      <c r="E63" s="103"/>
      <c r="F63" s="97">
        <f>VLOOKUP(C63,'SIND PITS'!$C$3:$H$104,2,0)</f>
        <v>3347.4100000000008</v>
      </c>
      <c r="G63" s="97">
        <f>VLOOKUP(C63,'SIND PITS'!$C$3:$E$104,3,0)</f>
        <v>412.5</v>
      </c>
      <c r="H63" s="97">
        <f>VLOOKUP(C63,'SIND PITS'!$C$3:$F$104,4,0)</f>
        <v>0</v>
      </c>
      <c r="I63" s="97">
        <f>VLOOKUP(C63,'SIND PITS'!$C$3:$G$104,5,0)</f>
        <v>56.14</v>
      </c>
      <c r="J63" s="100"/>
      <c r="K63" s="97">
        <f t="shared" si="1"/>
        <v>6196.6500000000005</v>
      </c>
      <c r="L63" s="97">
        <v>15000</v>
      </c>
      <c r="M63" s="97">
        <f t="shared" si="2"/>
        <v>7500</v>
      </c>
      <c r="N63" s="100"/>
      <c r="O63" s="99">
        <f>VLOOKUP(C63,'IP PITSS'!$B$9:$I$91,8,0)</f>
        <v>93.86</v>
      </c>
      <c r="P63" s="97">
        <f t="shared" si="5"/>
        <v>468.64</v>
      </c>
      <c r="Q63" s="99">
        <f>VLOOKUP(C63,'IP PITSS'!$B$9:$K$91,10,0)+VLOOKUP('RESUMEN PITS'!C63,'IP PITSS'!$B$9:$L$91,11,0)+VLOOKUP('RESUMEN PITS'!C63,'IP PITSS'!$B$9:$M$91,12,0)</f>
        <v>1865.85</v>
      </c>
      <c r="R63" s="99">
        <f>VLOOKUP(C63,'IP PITSS'!$B$9:$Q$91,16,0)</f>
        <v>0</v>
      </c>
      <c r="S63" s="99">
        <f>VLOOKUP(C63,'IP PITSS'!$B$9:$R$91,17,0)</f>
        <v>0</v>
      </c>
      <c r="T63" s="100"/>
      <c r="U63" s="97">
        <f t="shared" si="6"/>
        <v>7500</v>
      </c>
      <c r="V63" s="99">
        <f t="shared" si="0"/>
        <v>0</v>
      </c>
      <c r="X63" s="29" t="s">
        <v>242</v>
      </c>
      <c r="Y63" s="20">
        <f ca="1">IFERROR(OFFSET('CPD PITSS'!$AN$8,MATCH('RESUMEN PITS'!C63,'CPD PITSS'!$B$9:$B$26,0),0),0)+IFERROR(OFFSET('IP PITSS'!$AL$8,MATCH('RESUMEN PITS'!C63,'IP PITSS'!$B$9:$B$91,0),0),0)+IFERROR(OFFSET('SIND PITS'!$S$2,MATCH('RESUMEN PITS'!C63,'SIND PITS'!$C$3:$C$103,0),0),0)</f>
        <v>9921.9081999999999</v>
      </c>
    </row>
    <row r="64" spans="1:25" s="20" customFormat="1" x14ac:dyDescent="0.2">
      <c r="A64" s="101" t="s">
        <v>362</v>
      </c>
      <c r="B64" s="21" t="s">
        <v>94</v>
      </c>
      <c r="C64" s="101" t="s">
        <v>250</v>
      </c>
      <c r="D64" s="21">
        <f>VLOOKUP(C64,'IP PITSS'!$B$9:$U$91,20,0)</f>
        <v>1596.4</v>
      </c>
      <c r="E64" s="103"/>
      <c r="F64" s="97">
        <f>VLOOKUP(C64,'SIND PITS'!$C$3:$H$104,2,0)</f>
        <v>4347.63</v>
      </c>
      <c r="G64" s="97">
        <f>VLOOKUP(C64,'SIND PITS'!$C$3:$E$104,3,0)</f>
        <v>281.25</v>
      </c>
      <c r="H64" s="97">
        <f>VLOOKUP(C64,'SIND PITS'!$C$3:$F$104,4,0)</f>
        <v>0</v>
      </c>
      <c r="I64" s="97">
        <f>VLOOKUP(C64,'SIND PITS'!$C$3:$G$104,5,0)</f>
        <v>0</v>
      </c>
      <c r="J64" s="100"/>
      <c r="K64" s="97">
        <f t="shared" si="1"/>
        <v>6225.2800000000007</v>
      </c>
      <c r="L64" s="97">
        <v>17000</v>
      </c>
      <c r="M64" s="97">
        <f t="shared" si="2"/>
        <v>8500</v>
      </c>
      <c r="N64" s="100"/>
      <c r="O64" s="99">
        <f>VLOOKUP(C64,'IP PITSS'!$B$9:$I$91,8,0)</f>
        <v>0</v>
      </c>
      <c r="P64" s="97">
        <f t="shared" si="5"/>
        <v>281.25</v>
      </c>
      <c r="Q64" s="99">
        <f>VLOOKUP(C64,'IP PITSS'!$B$9:$K$91,10,0)+VLOOKUP('RESUMEN PITS'!C64,'IP PITSS'!$B$9:$L$91,11,0)+VLOOKUP('RESUMEN PITS'!C64,'IP PITSS'!$B$9:$M$91,12,0)</f>
        <v>2160.15</v>
      </c>
      <c r="R64" s="99">
        <f>VLOOKUP(C64,'IP PITSS'!$B$9:$Q$91,16,0)</f>
        <v>0</v>
      </c>
      <c r="S64" s="99">
        <f>VLOOKUP(C64,'IP PITSS'!$B$9:$R$91,17,0)</f>
        <v>395.82</v>
      </c>
      <c r="T64" s="100"/>
      <c r="U64" s="97">
        <f t="shared" si="6"/>
        <v>8500</v>
      </c>
      <c r="V64" s="99">
        <f t="shared" si="0"/>
        <v>0</v>
      </c>
      <c r="X64" s="29" t="s">
        <v>251</v>
      </c>
      <c r="Y64" s="20">
        <f ca="1">IFERROR(OFFSET('CPD PITSS'!$AN$8,MATCH('RESUMEN PITS'!C64,'CPD PITSS'!$B$9:$B$26,0),0),0)+IFERROR(OFFSET('IP PITSS'!$AL$8,MATCH('RESUMEN PITS'!C64,'IP PITSS'!$B$9:$B$91,0),0),0)+IFERROR(OFFSET('SIND PITS'!$S$2,MATCH('RESUMEN PITS'!C64,'SIND PITS'!$C$3:$C$103,0),0),0)</f>
        <v>10653.155999999999</v>
      </c>
    </row>
    <row r="65" spans="1:25" s="20" customFormat="1" x14ac:dyDescent="0.2">
      <c r="A65" s="101" t="s">
        <v>369</v>
      </c>
      <c r="B65" s="21" t="s">
        <v>94</v>
      </c>
      <c r="C65" s="101" t="s">
        <v>322</v>
      </c>
      <c r="D65" s="21">
        <f>VLOOKUP(C65,'IP PITSS'!$B$9:$U$91,20,0)</f>
        <v>3326.6</v>
      </c>
      <c r="E65" s="103"/>
      <c r="F65" s="97">
        <f>VLOOKUP(C65,'SIND PITS'!$C$3:$H$104,2,0)</f>
        <v>1923.3999999999996</v>
      </c>
      <c r="G65" s="97">
        <f>VLOOKUP(C65,'SIND PITS'!$C$3:$E$104,3,0)</f>
        <v>1200</v>
      </c>
      <c r="H65" s="97">
        <f>VLOOKUP(C65,'SIND PITS'!$C$3:$F$104,4,0)</f>
        <v>0</v>
      </c>
      <c r="I65" s="97">
        <f>VLOOKUP(C65,'SIND PITS'!$C$3:$G$104,5,0)</f>
        <v>0</v>
      </c>
      <c r="J65" s="100"/>
      <c r="K65" s="97">
        <f t="shared" si="1"/>
        <v>6450</v>
      </c>
      <c r="L65" s="107">
        <v>10500</v>
      </c>
      <c r="M65" s="97">
        <f t="shared" si="2"/>
        <v>5250</v>
      </c>
      <c r="N65" s="100"/>
      <c r="O65" s="99">
        <f>VLOOKUP(C65,'IP PITSS'!$B$9:$I$91,8,0)</f>
        <v>0</v>
      </c>
      <c r="P65" s="97">
        <f t="shared" si="5"/>
        <v>1200</v>
      </c>
      <c r="Q65" s="99">
        <f>VLOOKUP(C65,'IP PITSS'!$B$9:$K$91,10,0)+VLOOKUP('RESUMEN PITS'!C65,'IP PITSS'!$B$9:$L$91,11,0)+VLOOKUP('RESUMEN PITS'!C65,'IP PITSS'!$B$9:$M$91,12,0)</f>
        <v>0</v>
      </c>
      <c r="R65" s="99">
        <f>VLOOKUP(C65,'IP PITSS'!$B$9:$Q$91,16,0)</f>
        <v>0</v>
      </c>
      <c r="S65" s="99">
        <f>VLOOKUP(C65,'IP PITSS'!$B$9:$R$91,17,0)</f>
        <v>0</v>
      </c>
      <c r="T65" s="100"/>
      <c r="U65" s="97">
        <f t="shared" si="6"/>
        <v>5250</v>
      </c>
      <c r="V65" s="99">
        <f t="shared" si="0"/>
        <v>0</v>
      </c>
      <c r="X65" s="29" t="s">
        <v>323</v>
      </c>
      <c r="Y65" s="20">
        <f ca="1">IFERROR(OFFSET('CPD PITSS'!$AN$8,MATCH('RESUMEN PITS'!C65,'CPD PITSS'!$B$9:$B$26,0),0),0)+IFERROR(OFFSET('IP PITSS'!$AL$8,MATCH('RESUMEN PITS'!C65,'IP PITSS'!$B$9:$B$91,0),0),0)+IFERROR(OFFSET('SIND PITS'!$S$2,MATCH('RESUMEN PITS'!C65,'SIND PITS'!$C$3:$C$103,0),0),0)</f>
        <v>8014.8119999999999</v>
      </c>
    </row>
    <row r="66" spans="1:25" s="20" customFormat="1" x14ac:dyDescent="0.2">
      <c r="A66" s="101" t="s">
        <v>288</v>
      </c>
      <c r="B66" s="21" t="s">
        <v>94</v>
      </c>
      <c r="C66" s="101" t="s">
        <v>330</v>
      </c>
      <c r="D66" s="21">
        <f>VLOOKUP(C66,'IP PITSS'!$B$9:$U$91,20,0)</f>
        <v>2135.1999999999998</v>
      </c>
      <c r="E66" s="103"/>
      <c r="F66" s="97">
        <f>VLOOKUP(C66,'SIND PITS'!$C$3:$H$104,2,0)</f>
        <v>2673.5399999999995</v>
      </c>
      <c r="G66" s="97">
        <f>VLOOKUP(C66,'SIND PITS'!$C$3:$E$104,3,0)</f>
        <v>0</v>
      </c>
      <c r="H66" s="97">
        <f>VLOOKUP(C66,'SIND PITS'!$C$3:$F$104,4,0)</f>
        <v>0</v>
      </c>
      <c r="I66" s="97">
        <f>VLOOKUP(C66,'SIND PITS'!$C$3:$G$104,5,0)</f>
        <v>0</v>
      </c>
      <c r="J66" s="100"/>
      <c r="K66" s="97">
        <f t="shared" si="1"/>
        <v>4808.74</v>
      </c>
      <c r="L66" s="97">
        <v>12000</v>
      </c>
      <c r="M66" s="97">
        <f t="shared" si="2"/>
        <v>6000</v>
      </c>
      <c r="N66" s="100"/>
      <c r="O66" s="99">
        <f>VLOOKUP(C66,'IP PITSS'!$B$9:$I$91,8,0)</f>
        <v>0</v>
      </c>
      <c r="P66" s="97">
        <f t="shared" si="5"/>
        <v>0</v>
      </c>
      <c r="Q66" s="99">
        <f>VLOOKUP(C66,'IP PITSS'!$B$9:$K$91,10,0)+VLOOKUP('RESUMEN PITS'!C66,'IP PITSS'!$B$9:$L$91,11,0)+VLOOKUP('RESUMEN PITS'!C66,'IP PITSS'!$B$9:$M$91,12,0)</f>
        <v>1191.26</v>
      </c>
      <c r="R66" s="99">
        <f>VLOOKUP(C66,'IP PITSS'!$B$9:$Q$91,16,0)</f>
        <v>0</v>
      </c>
      <c r="S66" s="99">
        <f>VLOOKUP(C66,'IP PITSS'!$B$9:$R$91,17,0)</f>
        <v>0</v>
      </c>
      <c r="T66" s="100"/>
      <c r="U66" s="97">
        <f t="shared" si="6"/>
        <v>6000</v>
      </c>
      <c r="V66" s="99">
        <f t="shared" ref="V66:V101" si="8">+M66-U66</f>
        <v>0</v>
      </c>
      <c r="X66" s="29" t="s">
        <v>331</v>
      </c>
      <c r="Y66" s="20">
        <f ca="1">IFERROR(OFFSET('CPD PITSS'!$AN$8,MATCH('RESUMEN PITS'!C66,'CPD PITSS'!$B$9:$B$26,0),0),0)+IFERROR(OFFSET('IP PITSS'!$AL$8,MATCH('RESUMEN PITS'!C66,'IP PITSS'!$B$9:$B$91,0),0),0)+IFERROR(OFFSET('SIND PITS'!$S$2,MATCH('RESUMEN PITS'!C66,'SIND PITS'!$C$3:$C$103,0),0),0)</f>
        <v>7555.8119999999999</v>
      </c>
    </row>
    <row r="67" spans="1:25" s="20" customFormat="1" x14ac:dyDescent="0.2">
      <c r="A67" s="101" t="s">
        <v>68</v>
      </c>
      <c r="B67" s="21" t="s">
        <v>94</v>
      </c>
      <c r="C67" s="101" t="s">
        <v>319</v>
      </c>
      <c r="D67" s="21">
        <f>VLOOKUP(C67,'IP PITSS'!$B$9:$U$91,20,0)</f>
        <v>1669.2</v>
      </c>
      <c r="E67" s="103"/>
      <c r="F67" s="97">
        <f>VLOOKUP(C67,'SIND PITS'!$C$3:$H$104,2,0)</f>
        <v>1673.4799999999991</v>
      </c>
      <c r="G67" s="97">
        <f>VLOOKUP(C67,'SIND PITS'!$C$3:$E$104,3,0)</f>
        <v>165</v>
      </c>
      <c r="H67" s="97">
        <f>VLOOKUP(C67,'SIND PITS'!$C$3:$F$104,4,0)</f>
        <v>0</v>
      </c>
      <c r="I67" s="97">
        <f>VLOOKUP(C67,'SIND PITS'!$C$3:$G$104,5,0)</f>
        <v>0</v>
      </c>
      <c r="J67" s="100"/>
      <c r="K67" s="97">
        <f t="shared" ref="K67:K103" si="9">SUM(D67:I67)</f>
        <v>3507.6799999999994</v>
      </c>
      <c r="L67" s="97">
        <v>10000</v>
      </c>
      <c r="M67" s="97">
        <f t="shared" si="2"/>
        <v>5000</v>
      </c>
      <c r="N67" s="100"/>
      <c r="O67" s="99">
        <f>VLOOKUP(C67,'IP PITSS'!$B$9:$I$91,8,0)</f>
        <v>0</v>
      </c>
      <c r="P67" s="97">
        <f t="shared" ref="P67:P100" si="10">+G67+H67+I67</f>
        <v>165</v>
      </c>
      <c r="Q67" s="99">
        <f>VLOOKUP(C67,'IP PITSS'!$B$9:$K$91,10,0)+VLOOKUP('RESUMEN PITS'!C67,'IP PITSS'!$B$9:$L$91,11,0)+VLOOKUP('RESUMEN PITS'!C67,'IP PITSS'!$B$9:$M$91,12,0)</f>
        <v>1230.6500000000001</v>
      </c>
      <c r="R67" s="99">
        <f>VLOOKUP(C67,'IP PITSS'!$B$9:$Q$91,16,0)</f>
        <v>0</v>
      </c>
      <c r="S67" s="99">
        <f>VLOOKUP(C67,'IP PITSS'!$B$9:$R$91,17,0)</f>
        <v>426.67</v>
      </c>
      <c r="T67" s="100"/>
      <c r="U67" s="97">
        <f t="shared" si="6"/>
        <v>5000</v>
      </c>
      <c r="V67" s="99">
        <f t="shared" si="8"/>
        <v>0</v>
      </c>
      <c r="X67" s="29" t="s">
        <v>320</v>
      </c>
      <c r="Y67" s="20">
        <f ca="1">IFERROR(OFFSET('CPD PITSS'!$AN$8,MATCH('RESUMEN PITS'!C67,'CPD PITSS'!$B$9:$B$26,0),0),0)+IFERROR(OFFSET('IP PITSS'!$AL$8,MATCH('RESUMEN PITS'!C67,'IP PITSS'!$B$9:$B$91,0),0),0)+IFERROR(OFFSET('SIND PITS'!$S$2,MATCH('RESUMEN PITS'!C67,'SIND PITS'!$C$3:$C$103,0),0),0)</f>
        <v>6704.1119999999992</v>
      </c>
    </row>
    <row r="68" spans="1:25" s="20" customFormat="1" x14ac:dyDescent="0.2">
      <c r="A68" s="101" t="s">
        <v>370</v>
      </c>
      <c r="B68" s="21" t="s">
        <v>94</v>
      </c>
      <c r="C68" s="101" t="s">
        <v>134</v>
      </c>
      <c r="D68" s="21">
        <f>VLOOKUP(C68,'IP PITSS'!$B$9:$U$91,20,0)</f>
        <v>4401.3999999999996</v>
      </c>
      <c r="E68" s="103"/>
      <c r="F68" s="97">
        <f>VLOOKUP(C68,'SIND PITS'!$C$3:$H$104,2,0)</f>
        <v>2673.38</v>
      </c>
      <c r="G68" s="97">
        <f>VLOOKUP(C68,'SIND PITS'!$C$3:$E$104,3,0)</f>
        <v>750</v>
      </c>
      <c r="H68" s="97">
        <f>VLOOKUP(C68,'SIND PITS'!$C$3:$F$104,4,0)</f>
        <v>0</v>
      </c>
      <c r="I68" s="97">
        <f>VLOOKUP(C68,'SIND PITS'!$C$3:$G$104,5,0)</f>
        <v>725.22</v>
      </c>
      <c r="J68" s="100"/>
      <c r="K68" s="97">
        <f t="shared" si="9"/>
        <v>8550</v>
      </c>
      <c r="L68" s="97">
        <v>12000</v>
      </c>
      <c r="M68" s="97">
        <f t="shared" ref="M68:M103" si="11">+L68/2</f>
        <v>6000</v>
      </c>
      <c r="N68" s="100"/>
      <c r="O68" s="99">
        <f>VLOOKUP(C68,'IP PITSS'!$B$9:$I$91,8,0)</f>
        <v>1074.78</v>
      </c>
      <c r="P68" s="97">
        <f t="shared" si="10"/>
        <v>1475.22</v>
      </c>
      <c r="Q68" s="99">
        <f>VLOOKUP(C68,'IP PITSS'!$B$9:$K$91,10,0)+VLOOKUP('RESUMEN PITS'!C68,'IP PITSS'!$B$9:$L$91,11,0)+VLOOKUP('RESUMEN PITS'!C68,'IP PITSS'!$B$9:$M$91,12,0)</f>
        <v>0</v>
      </c>
      <c r="R68" s="99">
        <f>VLOOKUP(C68,'IP PITSS'!$B$9:$Q$91,16,0)</f>
        <v>0</v>
      </c>
      <c r="S68" s="99">
        <f>VLOOKUP(C68,'IP PITSS'!$B$9:$R$91,17,0)</f>
        <v>0</v>
      </c>
      <c r="T68" s="100"/>
      <c r="U68" s="97">
        <f t="shared" si="6"/>
        <v>6000</v>
      </c>
      <c r="V68" s="99">
        <f t="shared" si="8"/>
        <v>0</v>
      </c>
      <c r="W68" s="46"/>
      <c r="X68" s="29" t="s">
        <v>135</v>
      </c>
      <c r="Y68" s="20">
        <f ca="1">IFERROR(OFFSET('CPD PITSS'!$AN$8,MATCH('RESUMEN PITS'!C68,'CPD PITSS'!$B$9:$B$26,0),0),0)+IFERROR(OFFSET('IP PITSS'!$AL$8,MATCH('RESUMEN PITS'!C68,'IP PITSS'!$B$9:$B$91,0),0),0)+IFERROR(OFFSET('SIND PITS'!$S$2,MATCH('RESUMEN PITS'!C68,'SIND PITS'!$C$3:$C$103,0),0),0)</f>
        <v>10178.3076</v>
      </c>
    </row>
    <row r="69" spans="1:25" s="20" customFormat="1" x14ac:dyDescent="0.2">
      <c r="A69" s="101" t="s">
        <v>231</v>
      </c>
      <c r="B69" s="21" t="s">
        <v>94</v>
      </c>
      <c r="C69" s="101" t="s">
        <v>154</v>
      </c>
      <c r="D69" s="21">
        <f>VLOOKUP(C69,'IP PITSS'!$B$9:$U$91,20,0)</f>
        <v>2641.6</v>
      </c>
      <c r="E69" s="103"/>
      <c r="F69" s="97">
        <f>VLOOKUP(C69,'SIND PITS'!$C$3:$H$104,2,0)</f>
        <v>1673.4900000000007</v>
      </c>
      <c r="G69" s="97">
        <f>VLOOKUP(C69,'SIND PITS'!$C$3:$E$104,3,0)</f>
        <v>465</v>
      </c>
      <c r="H69" s="97">
        <f>VLOOKUP(C69,'SIND PITS'!$C$3:$F$104,4,0)</f>
        <v>0</v>
      </c>
      <c r="I69" s="97">
        <f>VLOOKUP(C69,'SIND PITS'!$C$3:$G$104,5,0)</f>
        <v>0</v>
      </c>
      <c r="J69" s="100"/>
      <c r="K69" s="97">
        <f t="shared" si="9"/>
        <v>4780.09</v>
      </c>
      <c r="L69" s="97">
        <v>10000</v>
      </c>
      <c r="M69" s="97">
        <f t="shared" si="11"/>
        <v>5000</v>
      </c>
      <c r="N69" s="100"/>
      <c r="O69" s="99">
        <f>VLOOKUP(C69,'IP PITSS'!$B$9:$I$91,8,0)</f>
        <v>0</v>
      </c>
      <c r="P69" s="97">
        <f t="shared" si="10"/>
        <v>465</v>
      </c>
      <c r="Q69" s="99">
        <f>VLOOKUP(C69,'IP PITSS'!$B$9:$K$91,10,0)+VLOOKUP('RESUMEN PITS'!C69,'IP PITSS'!$B$9:$L$91,11,0)+VLOOKUP('RESUMEN PITS'!C69,'IP PITSS'!$B$9:$M$91,12,0)</f>
        <v>684.91</v>
      </c>
      <c r="R69" s="99">
        <f>VLOOKUP(C69,'IP PITSS'!$B$9:$Q$91,16,0)</f>
        <v>0</v>
      </c>
      <c r="S69" s="99">
        <f>VLOOKUP(C69,'IP PITSS'!$B$9:$R$91,17,0)</f>
        <v>0</v>
      </c>
      <c r="T69" s="100"/>
      <c r="U69" s="97">
        <f t="shared" si="6"/>
        <v>5000</v>
      </c>
      <c r="V69" s="99">
        <f t="shared" si="8"/>
        <v>0</v>
      </c>
      <c r="X69" s="29" t="s">
        <v>155</v>
      </c>
      <c r="Y69" s="20">
        <f ca="1">IFERROR(OFFSET('CPD PITSS'!$AN$8,MATCH('RESUMEN PITS'!C69,'CPD PITSS'!$B$9:$B$26,0),0),0)+IFERROR(OFFSET('IP PITSS'!$AL$8,MATCH('RESUMEN PITS'!C69,'IP PITSS'!$B$9:$B$91,0),0),0)+IFERROR(OFFSET('SIND PITS'!$S$2,MATCH('RESUMEN PITS'!C69,'SIND PITS'!$C$3:$C$103,0),0),0)</f>
        <v>7010.112000000001</v>
      </c>
    </row>
    <row r="70" spans="1:25" s="20" customFormat="1" x14ac:dyDescent="0.2">
      <c r="A70" s="101" t="s">
        <v>371</v>
      </c>
      <c r="B70" s="21" t="s">
        <v>94</v>
      </c>
      <c r="C70" s="101" t="s">
        <v>244</v>
      </c>
      <c r="D70" s="21">
        <f>VLOOKUP(C70,'IP PITSS'!$B$9:$U$91,20,0)</f>
        <v>2443.6</v>
      </c>
      <c r="E70" s="103"/>
      <c r="F70" s="97">
        <f>VLOOKUP(C70,'SIND PITS'!$C$3:$H$104,2,0)</f>
        <v>2556.3999999999996</v>
      </c>
      <c r="G70" s="97">
        <f>VLOOKUP(C70,'SIND PITS'!$C$3:$E$104,3,0)</f>
        <v>160</v>
      </c>
      <c r="H70" s="97">
        <f>VLOOKUP(C70,'SIND PITS'!$C$3:$F$104,4,0)</f>
        <v>0</v>
      </c>
      <c r="I70" s="97">
        <f>VLOOKUP(C70,'SIND PITS'!$C$3:$G$104,5,0)</f>
        <v>0</v>
      </c>
      <c r="J70" s="100"/>
      <c r="K70" s="97">
        <f t="shared" si="9"/>
        <v>5160</v>
      </c>
      <c r="L70" s="97">
        <v>10000</v>
      </c>
      <c r="M70" s="97">
        <f t="shared" si="11"/>
        <v>5000</v>
      </c>
      <c r="N70" s="100"/>
      <c r="O70" s="99">
        <f>VLOOKUP(C70,'IP PITSS'!$B$9:$I$91,8,0)</f>
        <v>0</v>
      </c>
      <c r="P70" s="97">
        <f t="shared" si="10"/>
        <v>160</v>
      </c>
      <c r="Q70" s="99">
        <f>VLOOKUP(C70,'IP PITSS'!$B$9:$K$91,10,0)+VLOOKUP('RESUMEN PITS'!C70,'IP PITSS'!$B$9:$L$91,11,0)+VLOOKUP('RESUMEN PITS'!C70,'IP PITSS'!$B$9:$M$91,12,0)</f>
        <v>0</v>
      </c>
      <c r="R70" s="99">
        <f>VLOOKUP(C70,'IP PITSS'!$B$9:$Q$91,16,0)</f>
        <v>0</v>
      </c>
      <c r="S70" s="99">
        <f>VLOOKUP(C70,'IP PITSS'!$B$9:$R$91,17,0)</f>
        <v>0</v>
      </c>
      <c r="T70" s="100"/>
      <c r="U70" s="97">
        <f t="shared" si="6"/>
        <v>5000</v>
      </c>
      <c r="V70" s="99">
        <f t="shared" si="8"/>
        <v>0</v>
      </c>
      <c r="X70" s="29" t="s">
        <v>245</v>
      </c>
      <c r="Y70" s="20">
        <f ca="1">IFERROR(OFFSET('CPD PITSS'!$AN$8,MATCH('RESUMEN PITS'!C70,'CPD PITSS'!$B$9:$B$26,0),0),0)+IFERROR(OFFSET('IP PITSS'!$AL$8,MATCH('RESUMEN PITS'!C70,'IP PITSS'!$B$9:$B$91,0),0),0)+IFERROR(OFFSET('SIND PITS'!$S$2,MATCH('RESUMEN PITS'!C70,'SIND PITS'!$C$3:$C$103,0),0),0)</f>
        <v>6462.2510000000002</v>
      </c>
    </row>
    <row r="71" spans="1:25" s="20" customFormat="1" x14ac:dyDescent="0.2">
      <c r="A71" s="101" t="s">
        <v>97</v>
      </c>
      <c r="B71" s="21" t="s">
        <v>94</v>
      </c>
      <c r="C71" s="101" t="s">
        <v>235</v>
      </c>
      <c r="D71" s="21">
        <f>VLOOKUP(C71,'IP PITSS'!$B$9:$U$91,20,0)</f>
        <v>1922.6</v>
      </c>
      <c r="E71" s="103"/>
      <c r="F71" s="97">
        <f>VLOOKUP(C71,'SIND PITS'!$C$3:$H$104,2,0)</f>
        <v>1699.04</v>
      </c>
      <c r="G71" s="97">
        <f>VLOOKUP(C71,'SIND PITS'!$C$3:$E$104,3,0)</f>
        <v>225</v>
      </c>
      <c r="H71" s="97">
        <f>VLOOKUP(C71,'SIND PITS'!$C$3:$F$104,4,0)</f>
        <v>0</v>
      </c>
      <c r="I71" s="97">
        <f>VLOOKUP(C71,'SIND PITS'!$C$3:$G$104,5,0)</f>
        <v>0</v>
      </c>
      <c r="J71" s="100"/>
      <c r="K71" s="97">
        <f t="shared" si="9"/>
        <v>3846.64</v>
      </c>
      <c r="L71" s="97">
        <v>9000</v>
      </c>
      <c r="M71" s="97">
        <f t="shared" si="11"/>
        <v>4500</v>
      </c>
      <c r="N71" s="100"/>
      <c r="O71" s="99">
        <f>VLOOKUP(C71,'IP PITSS'!$B$9:$I$91,8,0)</f>
        <v>0</v>
      </c>
      <c r="P71" s="97">
        <f t="shared" si="10"/>
        <v>225</v>
      </c>
      <c r="Q71" s="99">
        <f>VLOOKUP(C71,'IP PITSS'!$B$9:$K$91,10,0)+VLOOKUP('RESUMEN PITS'!C71,'IP PITSS'!$B$9:$L$91,11,0)+VLOOKUP('RESUMEN PITS'!C71,'IP PITSS'!$B$9:$M$91,12,0)</f>
        <v>878.36</v>
      </c>
      <c r="R71" s="99">
        <f>VLOOKUP(C71,'IP PITSS'!$B$9:$Q$91,16,0)</f>
        <v>0</v>
      </c>
      <c r="S71" s="99">
        <f>VLOOKUP(C71,'IP PITSS'!$B$9:$R$91,17,0)</f>
        <v>0</v>
      </c>
      <c r="T71" s="100"/>
      <c r="U71" s="97">
        <f t="shared" si="6"/>
        <v>4500</v>
      </c>
      <c r="V71" s="99">
        <f t="shared" si="8"/>
        <v>0</v>
      </c>
      <c r="X71" s="29" t="s">
        <v>236</v>
      </c>
      <c r="Y71" s="20">
        <f ca="1">IFERROR(OFFSET('CPD PITSS'!$AN$8,MATCH('RESUMEN PITS'!C71,'CPD PITSS'!$B$9:$B$26,0),0),0)+IFERROR(OFFSET('IP PITSS'!$AL$8,MATCH('RESUMEN PITS'!C71,'IP PITSS'!$B$9:$B$91,0),0),0)+IFERROR(OFFSET('SIND PITS'!$S$2,MATCH('RESUMEN PITS'!C71,'SIND PITS'!$C$3:$C$103,0),0),0)</f>
        <v>6112.7340000000004</v>
      </c>
    </row>
    <row r="72" spans="1:25" s="20" customFormat="1" x14ac:dyDescent="0.2">
      <c r="A72" s="101" t="s">
        <v>372</v>
      </c>
      <c r="B72" s="21" t="s">
        <v>94</v>
      </c>
      <c r="C72" s="101" t="s">
        <v>296</v>
      </c>
      <c r="D72" s="21">
        <f>VLOOKUP(C72,'IP PITSS'!$B$9:$U$91,20,0)</f>
        <v>1112</v>
      </c>
      <c r="E72" s="103"/>
      <c r="F72" s="97">
        <f>VLOOKUP(C72,'SIND PITS'!$C$3:$H$104,2,0)</f>
        <v>2199.04</v>
      </c>
      <c r="G72" s="97">
        <f>VLOOKUP(C72,'SIND PITS'!$C$3:$E$104,3,0)</f>
        <v>110</v>
      </c>
      <c r="H72" s="97">
        <f>VLOOKUP(C72,'SIND PITS'!$C$3:$F$104,4,0)</f>
        <v>0</v>
      </c>
      <c r="I72" s="97">
        <f>VLOOKUP(C72,'SIND PITS'!$C$3:$G$104,5,0)</f>
        <v>0</v>
      </c>
      <c r="J72" s="100"/>
      <c r="K72" s="97">
        <f t="shared" si="9"/>
        <v>3421.04</v>
      </c>
      <c r="L72" s="97">
        <v>10000</v>
      </c>
      <c r="M72" s="97">
        <f t="shared" si="11"/>
        <v>5000</v>
      </c>
      <c r="N72" s="100"/>
      <c r="O72" s="99">
        <f>VLOOKUP(C72,'IP PITSS'!$B$9:$I$91,8,0)</f>
        <v>0</v>
      </c>
      <c r="P72" s="97">
        <f t="shared" si="10"/>
        <v>110</v>
      </c>
      <c r="Q72" s="99">
        <f>VLOOKUP(C72,'IP PITSS'!$B$9:$K$91,10,0)+VLOOKUP('RESUMEN PITS'!C72,'IP PITSS'!$B$9:$L$91,11,0)+VLOOKUP('RESUMEN PITS'!C72,'IP PITSS'!$B$9:$M$91,12,0)</f>
        <v>899.86</v>
      </c>
      <c r="R72" s="99">
        <f>VLOOKUP(C72,'IP PITSS'!$B$9:$Q$91,16,0)</f>
        <v>0</v>
      </c>
      <c r="S72" s="99">
        <f>VLOOKUP(C72,'IP PITSS'!$B$9:$R$91,17,0)</f>
        <v>789.08</v>
      </c>
      <c r="T72" s="100"/>
      <c r="U72" s="97">
        <f t="shared" si="6"/>
        <v>4999.9799999999996</v>
      </c>
      <c r="V72" s="99">
        <f t="shared" si="8"/>
        <v>2.0000000000436557E-2</v>
      </c>
      <c r="X72" s="29" t="s">
        <v>297</v>
      </c>
      <c r="Y72" s="20">
        <f ca="1">IFERROR(OFFSET('CPD PITSS'!$AN$8,MATCH('RESUMEN PITS'!C72,'CPD PITSS'!$B$9:$B$26,0),0),0)+IFERROR(OFFSET('IP PITSS'!$AL$8,MATCH('RESUMEN PITS'!C72,'IP PITSS'!$B$9:$B$91,0),0),0)+IFERROR(OFFSET('SIND PITS'!$S$2,MATCH('RESUMEN PITS'!C72,'SIND PITS'!$C$3:$C$103,0),0),0)</f>
        <v>6505.4135999999999</v>
      </c>
    </row>
    <row r="73" spans="1:25" s="20" customFormat="1" x14ac:dyDescent="0.2">
      <c r="A73" s="101" t="s">
        <v>70</v>
      </c>
      <c r="B73" s="21" t="s">
        <v>94</v>
      </c>
      <c r="C73" s="101" t="s">
        <v>131</v>
      </c>
      <c r="D73" s="21">
        <f>VLOOKUP(C73,'IP PITSS'!$B$9:$U$91,20,0)</f>
        <v>2442.4</v>
      </c>
      <c r="E73" s="103"/>
      <c r="F73" s="97">
        <f>VLOOKUP(C73,'SIND PITS'!$C$3:$H$104,2,0)</f>
        <v>2557.6000000000004</v>
      </c>
      <c r="G73" s="97">
        <f>VLOOKUP(C73,'SIND PITS'!$C$3:$E$104,3,0)</f>
        <v>400</v>
      </c>
      <c r="H73" s="97">
        <f>VLOOKUP(C73,'SIND PITS'!$C$3:$F$104,4,0)</f>
        <v>0</v>
      </c>
      <c r="I73" s="97">
        <f>VLOOKUP(C73,'SIND PITS'!$C$3:$G$104,5,0)</f>
        <v>0</v>
      </c>
      <c r="J73" s="100"/>
      <c r="K73" s="97">
        <f t="shared" si="9"/>
        <v>5400</v>
      </c>
      <c r="L73" s="97">
        <v>10000</v>
      </c>
      <c r="M73" s="97">
        <f t="shared" si="11"/>
        <v>5000</v>
      </c>
      <c r="N73" s="100"/>
      <c r="O73" s="99">
        <f>VLOOKUP(C73,'IP PITSS'!$B$9:$I$91,8,0)</f>
        <v>0</v>
      </c>
      <c r="P73" s="97">
        <f t="shared" si="10"/>
        <v>400</v>
      </c>
      <c r="Q73" s="99">
        <f>VLOOKUP(C73,'IP PITSS'!$B$9:$K$91,10,0)+VLOOKUP('RESUMEN PITS'!C73,'IP PITSS'!$B$9:$L$91,11,0)+VLOOKUP('RESUMEN PITS'!C73,'IP PITSS'!$B$9:$M$91,12,0)</f>
        <v>0</v>
      </c>
      <c r="R73" s="99">
        <f>VLOOKUP(C73,'IP PITSS'!$B$9:$Q$91,16,0)</f>
        <v>0</v>
      </c>
      <c r="S73" s="99">
        <f>VLOOKUP(C73,'IP PITSS'!$B$9:$R$91,17,0)</f>
        <v>0</v>
      </c>
      <c r="T73" s="100"/>
      <c r="U73" s="97">
        <f t="shared" si="6"/>
        <v>5000</v>
      </c>
      <c r="V73" s="99">
        <f t="shared" si="8"/>
        <v>0</v>
      </c>
      <c r="X73" s="29" t="s">
        <v>132</v>
      </c>
      <c r="Y73" s="20">
        <f ca="1">IFERROR(OFFSET('CPD PITSS'!$AN$8,MATCH('RESUMEN PITS'!C73,'CPD PITSS'!$B$9:$B$26,0),0),0)+IFERROR(OFFSET('IP PITSS'!$AL$8,MATCH('RESUMEN PITS'!C73,'IP PITSS'!$B$9:$B$91,0),0),0)+IFERROR(OFFSET('SIND PITS'!$S$2,MATCH('RESUMEN PITS'!C73,'SIND PITS'!$C$3:$C$103,0),0),0)</f>
        <v>6715.1010000000006</v>
      </c>
    </row>
    <row r="74" spans="1:25" s="20" customFormat="1" x14ac:dyDescent="0.2">
      <c r="A74" s="101" t="s">
        <v>193</v>
      </c>
      <c r="B74" s="21" t="s">
        <v>94</v>
      </c>
      <c r="C74" s="108" t="s">
        <v>428</v>
      </c>
      <c r="D74" s="21">
        <f>VLOOKUP(C74,'IP PITSS'!$B$9:$U$91,20,0)</f>
        <v>2667</v>
      </c>
      <c r="E74" s="103"/>
      <c r="F74" s="97">
        <f>VLOOKUP(C74,'SIND PITS'!$C$3:$H$104,2,0)</f>
        <v>289.23</v>
      </c>
      <c r="G74" s="97">
        <f>VLOOKUP(C74,'SIND PITS'!$C$3:$E$104,3,0)</f>
        <v>281.25</v>
      </c>
      <c r="H74" s="97">
        <f>VLOOKUP(C74,'SIND PITS'!$C$3:$F$104,4,0)</f>
        <v>0</v>
      </c>
      <c r="I74" s="97">
        <f>VLOOKUP(C74,'SIND PITS'!$C$3:$G$104,5,0)</f>
        <v>63</v>
      </c>
      <c r="J74" s="100"/>
      <c r="K74" s="97">
        <f t="shared" si="9"/>
        <v>3300.48</v>
      </c>
      <c r="L74" s="99">
        <v>6300</v>
      </c>
      <c r="M74" s="97">
        <f t="shared" si="11"/>
        <v>3150</v>
      </c>
      <c r="N74" s="100"/>
      <c r="O74" s="99">
        <f>VLOOKUP(C74,'IP PITSS'!$B$9:$I$91,8,0)</f>
        <v>60</v>
      </c>
      <c r="P74" s="97">
        <f t="shared" si="10"/>
        <v>344.25</v>
      </c>
      <c r="Q74" s="99">
        <f>VLOOKUP(C74,'IP PITSS'!$B$9:$K$91,10,0)+VLOOKUP('RESUMEN PITS'!C74,'IP PITSS'!$B$9:$L$91,11,0)+VLOOKUP('RESUMEN PITS'!C74,'IP PITSS'!$B$9:$M$91,12,0)</f>
        <v>0</v>
      </c>
      <c r="R74" s="99">
        <f>VLOOKUP(C74,'IP PITSS'!$B$9:$Q$91,16,0)</f>
        <v>0</v>
      </c>
      <c r="S74" s="99">
        <f>VLOOKUP(C74,'IP PITSS'!$B$9:$R$91,17,0)</f>
        <v>253.77</v>
      </c>
      <c r="T74" s="100"/>
      <c r="U74" s="97">
        <f t="shared" si="6"/>
        <v>3150</v>
      </c>
      <c r="V74" s="99">
        <f t="shared" si="8"/>
        <v>0</v>
      </c>
      <c r="X74" s="29" t="s">
        <v>194</v>
      </c>
      <c r="Y74" s="20">
        <f ca="1">IFERROR(OFFSET('CPD PITSS'!$AN$8,MATCH('RESUMEN PITS'!C74,'CPD PITSS'!$B$9:$B$26,0),0),0)+IFERROR(OFFSET('IP PITSS'!$AL$8,MATCH('RESUMEN PITS'!C74,'IP PITSS'!$B$9:$B$91,0),0),0)+IFERROR(OFFSET('SIND PITS'!$S$2,MATCH('RESUMEN PITS'!C74,'SIND PITS'!$C$3:$C$103,0),0),0)</f>
        <v>4934.9149999999991</v>
      </c>
    </row>
    <row r="75" spans="1:25" s="20" customFormat="1" x14ac:dyDescent="0.2">
      <c r="A75" s="101" t="s">
        <v>373</v>
      </c>
      <c r="B75" s="21" t="s">
        <v>94</v>
      </c>
      <c r="C75" s="108" t="s">
        <v>427</v>
      </c>
      <c r="D75" s="21">
        <f>VLOOKUP(C75,'IP PITSS'!$B$9:$U$91,20,0)</f>
        <v>2442.6</v>
      </c>
      <c r="E75" s="103"/>
      <c r="F75" s="97">
        <f>VLOOKUP(C75,'SIND PITS'!$C$3:$H$104,2,0)</f>
        <v>3557.3999999999996</v>
      </c>
      <c r="G75" s="97">
        <f>VLOOKUP(C75,'SIND PITS'!$C$3:$E$104,3,0)</f>
        <v>500</v>
      </c>
      <c r="H75" s="97">
        <f>VLOOKUP(C75,'SIND PITS'!$C$3:$F$104,4,0)</f>
        <v>0</v>
      </c>
      <c r="I75" s="97">
        <f>VLOOKUP(C75,'SIND PITS'!$C$3:$G$104,5,0)</f>
        <v>0</v>
      </c>
      <c r="J75" s="100"/>
      <c r="K75" s="97">
        <f t="shared" si="9"/>
        <v>6500</v>
      </c>
      <c r="L75" s="97">
        <v>12000</v>
      </c>
      <c r="M75" s="97">
        <f t="shared" si="11"/>
        <v>6000</v>
      </c>
      <c r="N75" s="100"/>
      <c r="O75" s="99">
        <f>VLOOKUP(C75,'IP PITSS'!$B$9:$I$91,8,0)</f>
        <v>0</v>
      </c>
      <c r="P75" s="97">
        <f t="shared" si="10"/>
        <v>500</v>
      </c>
      <c r="Q75" s="99">
        <f>VLOOKUP(C75,'IP PITSS'!$B$9:$K$91,10,0)+VLOOKUP('RESUMEN PITS'!C75,'IP PITSS'!$B$9:$L$91,11,0)+VLOOKUP('RESUMEN PITS'!C75,'IP PITSS'!$B$9:$M$91,12,0)</f>
        <v>0</v>
      </c>
      <c r="R75" s="99">
        <f>VLOOKUP(C75,'IP PITSS'!$B$9:$Q$91,16,0)</f>
        <v>0</v>
      </c>
      <c r="S75" s="99">
        <f>VLOOKUP(C75,'IP PITSS'!$B$9:$R$91,17,0)</f>
        <v>0</v>
      </c>
      <c r="T75" s="100"/>
      <c r="U75" s="97">
        <f t="shared" si="6"/>
        <v>6000</v>
      </c>
      <c r="V75" s="99">
        <f t="shared" si="8"/>
        <v>0</v>
      </c>
      <c r="X75" s="29" t="s">
        <v>253</v>
      </c>
      <c r="Y75" s="20">
        <f ca="1">IFERROR(OFFSET('CPD PITSS'!$AN$8,MATCH('RESUMEN PITS'!C75,'CPD PITSS'!$B$9:$B$26,0),0),0)+IFERROR(OFFSET('IP PITSS'!$AL$8,MATCH('RESUMEN PITS'!C75,'IP PITSS'!$B$9:$B$91,0),0),0)+IFERROR(OFFSET('SIND PITS'!$S$2,MATCH('RESUMEN PITS'!C75,'SIND PITS'!$C$3:$C$103,0),0),0)</f>
        <v>7836.3609999999999</v>
      </c>
    </row>
    <row r="76" spans="1:25" s="20" customFormat="1" x14ac:dyDescent="0.2">
      <c r="A76" s="101" t="s">
        <v>212</v>
      </c>
      <c r="B76" s="21" t="s">
        <v>94</v>
      </c>
      <c r="C76" s="101" t="s">
        <v>213</v>
      </c>
      <c r="D76" s="21">
        <f>VLOOKUP(C76,'IP PITSS'!$B$9:$U$91,20,0)</f>
        <v>2442.8000000000002</v>
      </c>
      <c r="E76" s="103"/>
      <c r="F76" s="97">
        <f>VLOOKUP(C76,'SIND PITS'!$C$3:$H$104,2,0)</f>
        <v>57.199999999999818</v>
      </c>
      <c r="G76" s="97">
        <f>VLOOKUP(C76,'SIND PITS'!$C$3:$E$104,3,0)</f>
        <v>160</v>
      </c>
      <c r="H76" s="97">
        <f>VLOOKUP(C76,'SIND PITS'!$C$3:$F$104,4,0)</f>
        <v>0</v>
      </c>
      <c r="I76" s="97">
        <f>VLOOKUP(C76,'SIND PITS'!$C$3:$G$104,5,0)</f>
        <v>0</v>
      </c>
      <c r="J76" s="100"/>
      <c r="K76" s="97">
        <f t="shared" si="9"/>
        <v>2660</v>
      </c>
      <c r="L76" s="97">
        <v>5000</v>
      </c>
      <c r="M76" s="97">
        <f t="shared" si="11"/>
        <v>2500</v>
      </c>
      <c r="N76" s="100"/>
      <c r="O76" s="99">
        <f>VLOOKUP(C76,'IP PITSS'!$B$9:$I$91,8,0)</f>
        <v>0</v>
      </c>
      <c r="P76" s="97">
        <f t="shared" si="10"/>
        <v>160</v>
      </c>
      <c r="Q76" s="99">
        <f>VLOOKUP(C76,'IP PITSS'!$B$9:$K$91,10,0)+VLOOKUP('RESUMEN PITS'!C76,'IP PITSS'!$B$9:$L$91,11,0)+VLOOKUP('RESUMEN PITS'!C76,'IP PITSS'!$B$9:$M$91,12,0)</f>
        <v>0</v>
      </c>
      <c r="R76" s="99">
        <f>VLOOKUP(C76,'IP PITSS'!$B$9:$Q$91,16,0)</f>
        <v>0</v>
      </c>
      <c r="S76" s="99">
        <f>VLOOKUP(C76,'IP PITSS'!$B$9:$R$91,17,0)</f>
        <v>0</v>
      </c>
      <c r="T76" s="100"/>
      <c r="U76" s="97">
        <f t="shared" si="6"/>
        <v>2500</v>
      </c>
      <c r="V76" s="99">
        <f t="shared" si="8"/>
        <v>0</v>
      </c>
      <c r="X76" s="29" t="s">
        <v>214</v>
      </c>
      <c r="Y76" s="20">
        <f ca="1">IFERROR(OFFSET('CPD PITSS'!$AN$8,MATCH('RESUMEN PITS'!C76,'CPD PITSS'!$B$9:$B$26,0),0),0)+IFERROR(OFFSET('IP PITSS'!$AL$8,MATCH('RESUMEN PITS'!C76,'IP PITSS'!$B$9:$B$91,0),0),0)+IFERROR(OFFSET('SIND PITS'!$S$2,MATCH('RESUMEN PITS'!C76,'SIND PITS'!$C$3:$C$103,0),0),0)</f>
        <v>3916.8010000000004</v>
      </c>
    </row>
    <row r="77" spans="1:25" s="20" customFormat="1" x14ac:dyDescent="0.2">
      <c r="A77" s="101" t="s">
        <v>254</v>
      </c>
      <c r="B77" s="21" t="s">
        <v>94</v>
      </c>
      <c r="C77" s="101" t="s">
        <v>255</v>
      </c>
      <c r="D77" s="21">
        <f>VLOOKUP(C77,'IP PITSS'!$B$9:$U$91,20,0)</f>
        <v>2033.2</v>
      </c>
      <c r="E77" s="103"/>
      <c r="F77" s="97">
        <f>VLOOKUP(C77,'SIND PITS'!$C$3:$H$104,2,0)</f>
        <v>56.569999999999709</v>
      </c>
      <c r="G77" s="97">
        <f>VLOOKUP(C77,'SIND PITS'!$C$3:$E$104,3,0)</f>
        <v>310</v>
      </c>
      <c r="H77" s="97">
        <f>VLOOKUP(C77,'SIND PITS'!$C$3:$F$104,4,0)</f>
        <v>0</v>
      </c>
      <c r="I77" s="97">
        <f>VLOOKUP(C77,'SIND PITS'!$C$3:$G$104,5,0)</f>
        <v>0</v>
      </c>
      <c r="J77" s="100"/>
      <c r="K77" s="97">
        <f t="shared" si="9"/>
        <v>2399.7699999999995</v>
      </c>
      <c r="L77" s="106">
        <v>5000</v>
      </c>
      <c r="M77" s="97">
        <f t="shared" si="11"/>
        <v>2500</v>
      </c>
      <c r="N77" s="100"/>
      <c r="O77" s="99">
        <f>VLOOKUP(C77,'IP PITSS'!$B$9:$I$91,8,0)</f>
        <v>0</v>
      </c>
      <c r="P77" s="97">
        <f t="shared" si="10"/>
        <v>310</v>
      </c>
      <c r="Q77" s="99">
        <f>VLOOKUP(C77,'IP PITSS'!$B$9:$K$91,10,0)+VLOOKUP('RESUMEN PITS'!C77,'IP PITSS'!$B$9:$L$91,11,0)+VLOOKUP('RESUMEN PITS'!C77,'IP PITSS'!$B$9:$M$91,12,0)</f>
        <v>410.23</v>
      </c>
      <c r="R77" s="99">
        <f>VLOOKUP(C77,'IP PITSS'!$B$9:$Q$91,16,0)</f>
        <v>0</v>
      </c>
      <c r="S77" s="99">
        <f>VLOOKUP(C77,'IP PITSS'!$B$9:$R$91,17,0)</f>
        <v>0</v>
      </c>
      <c r="T77" s="100"/>
      <c r="U77" s="97">
        <f t="shared" si="6"/>
        <v>2499.9999999999995</v>
      </c>
      <c r="V77" s="99">
        <f t="shared" si="8"/>
        <v>0</v>
      </c>
      <c r="X77" s="29" t="s">
        <v>256</v>
      </c>
      <c r="Y77" s="20">
        <f ca="1">IFERROR(OFFSET('CPD PITSS'!$AN$8,MATCH('RESUMEN PITS'!C77,'CPD PITSS'!$B$9:$B$26,0),0),0)+IFERROR(OFFSET('IP PITSS'!$AL$8,MATCH('RESUMEN PITS'!C77,'IP PITSS'!$B$9:$B$91,0),0),0)+IFERROR(OFFSET('SIND PITS'!$S$2,MATCH('RESUMEN PITS'!C77,'SIND PITS'!$C$3:$C$103,0),0),0)</f>
        <v>4065.2080000000001</v>
      </c>
    </row>
    <row r="78" spans="1:25" s="20" customFormat="1" x14ac:dyDescent="0.2">
      <c r="A78" s="101" t="s">
        <v>221</v>
      </c>
      <c r="B78" s="21" t="s">
        <v>94</v>
      </c>
      <c r="C78" s="95" t="s">
        <v>222</v>
      </c>
      <c r="D78" s="21">
        <f>VLOOKUP(C78,'IP PITSS'!$B$9:$U$91,20,0)</f>
        <v>3149.2</v>
      </c>
      <c r="E78" s="103"/>
      <c r="F78" s="97">
        <f>VLOOKUP(C78,'SIND PITS'!$C$3:$H$104,2,0)</f>
        <v>6527.2000000000007</v>
      </c>
      <c r="G78" s="97">
        <f>VLOOKUP(C78,'SIND PITS'!$C$3:$E$104,3,0)</f>
        <v>1938</v>
      </c>
      <c r="H78" s="97">
        <f>VLOOKUP(C78,'SIND PITS'!$C$3:$F$104,4,0)</f>
        <v>0</v>
      </c>
      <c r="I78" s="97">
        <f>VLOOKUP(C78,'SIND PITS'!$C$3:$G$104,5,0)</f>
        <v>0</v>
      </c>
      <c r="J78" s="100"/>
      <c r="K78" s="97">
        <f t="shared" si="9"/>
        <v>11614.400000000001</v>
      </c>
      <c r="L78" s="107">
        <v>19950</v>
      </c>
      <c r="M78" s="97">
        <f t="shared" si="11"/>
        <v>9975</v>
      </c>
      <c r="N78" s="100"/>
      <c r="O78" s="99">
        <f>VLOOKUP(C78,'IP PITSS'!$B$9:$I$91,8,0)</f>
        <v>0</v>
      </c>
      <c r="P78" s="97">
        <f t="shared" si="10"/>
        <v>1938</v>
      </c>
      <c r="Q78" s="99">
        <f>VLOOKUP(C78,'IP PITSS'!$B$9:$K$91,10,0)+VLOOKUP('RESUMEN PITS'!C78,'IP PITSS'!$B$9:$L$91,11,0)+VLOOKUP('RESUMEN PITS'!C78,'IP PITSS'!$B$9:$M$91,12,0)</f>
        <v>0</v>
      </c>
      <c r="R78" s="99">
        <f>VLOOKUP(C78,'IP PITSS'!$B$9:$Q$91,16,0)</f>
        <v>0</v>
      </c>
      <c r="S78" s="99">
        <f>VLOOKUP(C78,'IP PITSS'!$B$9:$R$91,17,0)</f>
        <v>298.60000000000002</v>
      </c>
      <c r="T78" s="100"/>
      <c r="U78" s="97">
        <f t="shared" si="6"/>
        <v>9975.0000000000018</v>
      </c>
      <c r="V78" s="99">
        <f t="shared" si="8"/>
        <v>0</v>
      </c>
      <c r="X78" s="29" t="s">
        <v>223</v>
      </c>
      <c r="Y78" s="20">
        <f ca="1">IFERROR(OFFSET('CPD PITSS'!$AN$8,MATCH('RESUMEN PITS'!C78,'CPD PITSS'!$B$9:$B$26,0),0),0)+IFERROR(OFFSET('IP PITSS'!$AL$8,MATCH('RESUMEN PITS'!C78,'IP PITSS'!$B$9:$B$91,0),0),0)+IFERROR(OFFSET('SIND PITS'!$S$2,MATCH('RESUMEN PITS'!C78,'SIND PITS'!$C$3:$C$103,0),0),0)</f>
        <v>13661.271000000001</v>
      </c>
    </row>
    <row r="79" spans="1:25" s="20" customFormat="1" x14ac:dyDescent="0.2">
      <c r="A79" s="109" t="s">
        <v>291</v>
      </c>
      <c r="B79" s="21" t="s">
        <v>94</v>
      </c>
      <c r="C79" s="109" t="s">
        <v>292</v>
      </c>
      <c r="D79" s="21">
        <f>VLOOKUP(C79,'IP PITSS'!$B$9:$U$91,20,0)</f>
        <v>2443.4</v>
      </c>
      <c r="E79" s="103"/>
      <c r="F79" s="97">
        <f>VLOOKUP(C79,'SIND PITS'!$C$3:$H$104,2,0)</f>
        <v>56.599999999999909</v>
      </c>
      <c r="G79" s="97">
        <f>VLOOKUP(C79,'SIND PITS'!$C$3:$E$104,3,0)</f>
        <v>70</v>
      </c>
      <c r="H79" s="97">
        <f>VLOOKUP(C79,'SIND PITS'!$C$3:$F$104,4,0)</f>
        <v>0</v>
      </c>
      <c r="I79" s="97">
        <f>VLOOKUP(C79,'SIND PITS'!$C$3:$G$104,5,0)</f>
        <v>0</v>
      </c>
      <c r="J79" s="100"/>
      <c r="K79" s="97">
        <f t="shared" si="9"/>
        <v>2570</v>
      </c>
      <c r="L79" s="97">
        <v>5000</v>
      </c>
      <c r="M79" s="97">
        <f t="shared" si="11"/>
        <v>2500</v>
      </c>
      <c r="N79" s="100"/>
      <c r="O79" s="99">
        <f>VLOOKUP(C79,'IP PITSS'!$B$9:$I$91,8,0)</f>
        <v>0</v>
      </c>
      <c r="P79" s="97">
        <f t="shared" si="10"/>
        <v>70</v>
      </c>
      <c r="Q79" s="99">
        <f>VLOOKUP(C79,'IP PITSS'!$B$9:$K$91,10,0)+VLOOKUP('RESUMEN PITS'!C79,'IP PITSS'!$B$9:$L$91,11,0)+VLOOKUP('RESUMEN PITS'!C79,'IP PITSS'!$B$9:$M$91,12,0)</f>
        <v>0</v>
      </c>
      <c r="R79" s="99">
        <f>VLOOKUP(C79,'IP PITSS'!$B$9:$Q$91,16,0)</f>
        <v>0</v>
      </c>
      <c r="S79" s="99">
        <f>VLOOKUP(C79,'IP PITSS'!$B$9:$R$91,17,0)</f>
        <v>0</v>
      </c>
      <c r="T79" s="100"/>
      <c r="U79" s="97">
        <f t="shared" si="6"/>
        <v>2500</v>
      </c>
      <c r="V79" s="99">
        <f t="shared" si="8"/>
        <v>0</v>
      </c>
      <c r="X79" s="29" t="s">
        <v>293</v>
      </c>
      <c r="Y79" s="20">
        <f ca="1">IFERROR(OFFSET('CPD PITSS'!$AN$8,MATCH('RESUMEN PITS'!C79,'CPD PITSS'!$B$9:$B$26,0),0),0)+IFERROR(OFFSET('IP PITSS'!$AL$8,MATCH('RESUMEN PITS'!C79,'IP PITSS'!$B$9:$B$91,0),0),0)+IFERROR(OFFSET('SIND PITS'!$S$2,MATCH('RESUMEN PITS'!C79,'SIND PITS'!$C$3:$C$103,0),0),0)</f>
        <v>3820.4610000000007</v>
      </c>
    </row>
    <row r="80" spans="1:25" s="20" customFormat="1" x14ac:dyDescent="0.2">
      <c r="A80" s="109" t="s">
        <v>305</v>
      </c>
      <c r="B80" s="21" t="s">
        <v>94</v>
      </c>
      <c r="C80" s="109" t="s">
        <v>306</v>
      </c>
      <c r="D80" s="21">
        <f>VLOOKUP(C80,'IP PITSS'!$B$9:$U$91,20,0)</f>
        <v>3272.8</v>
      </c>
      <c r="E80" s="103"/>
      <c r="F80" s="97">
        <f>VLOOKUP(C80,'SIND PITS'!$C$3:$H$104,2,0)</f>
        <v>227.19999999999982</v>
      </c>
      <c r="G80" s="97">
        <f>VLOOKUP(C80,'SIND PITS'!$C$3:$E$104,3,0)</f>
        <v>0</v>
      </c>
      <c r="H80" s="97">
        <f>VLOOKUP(C80,'SIND PITS'!$C$3:$F$104,4,0)</f>
        <v>0</v>
      </c>
      <c r="I80" s="97">
        <f>VLOOKUP(C80,'SIND PITS'!$C$3:$G$104,5,0)</f>
        <v>0</v>
      </c>
      <c r="J80" s="100"/>
      <c r="K80" s="97">
        <f t="shared" si="9"/>
        <v>3500</v>
      </c>
      <c r="L80" s="97">
        <v>7000</v>
      </c>
      <c r="M80" s="97">
        <f t="shared" si="11"/>
        <v>3500</v>
      </c>
      <c r="N80" s="100"/>
      <c r="O80" s="99">
        <f>VLOOKUP(C80,'IP PITSS'!$B$9:$I$91,8,0)</f>
        <v>0</v>
      </c>
      <c r="P80" s="97">
        <f t="shared" si="10"/>
        <v>0</v>
      </c>
      <c r="Q80" s="99">
        <f>VLOOKUP(C80,'IP PITSS'!$B$9:$K$91,10,0)+VLOOKUP('RESUMEN PITS'!C80,'IP PITSS'!$B$9:$L$91,11,0)+VLOOKUP('RESUMEN PITS'!C80,'IP PITSS'!$B$9:$M$91,12,0)</f>
        <v>0</v>
      </c>
      <c r="R80" s="99">
        <f>VLOOKUP(C80,'IP PITSS'!$B$9:$Q$91,16,0)</f>
        <v>0</v>
      </c>
      <c r="S80" s="99">
        <f>VLOOKUP(C80,'IP PITSS'!$B$9:$R$91,17,0)</f>
        <v>0</v>
      </c>
      <c r="T80" s="100"/>
      <c r="U80" s="97">
        <f t="shared" si="6"/>
        <v>3500</v>
      </c>
      <c r="V80" s="99">
        <f t="shared" si="8"/>
        <v>0</v>
      </c>
      <c r="X80" s="29" t="s">
        <v>307</v>
      </c>
      <c r="Y80" s="20">
        <f ca="1">IFERROR(OFFSET('CPD PITSS'!$AN$8,MATCH('RESUMEN PITS'!C80,'CPD PITSS'!$B$9:$B$26,0),0),0)+IFERROR(OFFSET('IP PITSS'!$AL$8,MATCH('RESUMEN PITS'!C80,'IP PITSS'!$B$9:$B$91,0),0),0)+IFERROR(OFFSET('SIND PITS'!$S$2,MATCH('RESUMEN PITS'!C80,'SIND PITS'!$C$3:$C$103,0),0),0)</f>
        <v>4987.7190000000001</v>
      </c>
    </row>
    <row r="81" spans="1:25" s="20" customFormat="1" x14ac:dyDescent="0.2">
      <c r="A81" s="109" t="s">
        <v>206</v>
      </c>
      <c r="B81" s="21" t="s">
        <v>94</v>
      </c>
      <c r="C81" s="109" t="s">
        <v>207</v>
      </c>
      <c r="D81" s="21">
        <f>VLOOKUP(C81,'IP PITSS'!$B$9:$U$91,20,0)</f>
        <v>1839</v>
      </c>
      <c r="E81" s="103"/>
      <c r="F81" s="97">
        <f>VLOOKUP(C81,'SIND PITS'!$C$3:$H$104,2,0)</f>
        <v>228.34000000000015</v>
      </c>
      <c r="G81" s="97">
        <f>VLOOKUP(C81,'SIND PITS'!$C$3:$E$104,3,0)</f>
        <v>550</v>
      </c>
      <c r="H81" s="97">
        <f>VLOOKUP(C81,'SIND PITS'!$C$3:$F$104,4,0)</f>
        <v>0</v>
      </c>
      <c r="I81" s="97">
        <f>VLOOKUP(C81,'SIND PITS'!$C$3:$G$104,5,0)</f>
        <v>0</v>
      </c>
      <c r="J81" s="100"/>
      <c r="K81" s="97">
        <f t="shared" si="9"/>
        <v>2617.34</v>
      </c>
      <c r="L81" s="97">
        <v>7000</v>
      </c>
      <c r="M81" s="97">
        <f t="shared" si="11"/>
        <v>3500</v>
      </c>
      <c r="N81" s="100"/>
      <c r="O81" s="99">
        <f>VLOOKUP(C81,'IP PITSS'!$B$9:$I$91,8,0)</f>
        <v>0</v>
      </c>
      <c r="P81" s="97">
        <f t="shared" si="10"/>
        <v>550</v>
      </c>
      <c r="Q81" s="99">
        <f>VLOOKUP(C81,'IP PITSS'!$B$9:$K$91,10,0)+VLOOKUP('RESUMEN PITS'!C81,'IP PITSS'!$B$9:$L$91,11,0)+VLOOKUP('RESUMEN PITS'!C81,'IP PITSS'!$B$9:$M$91,12,0)</f>
        <v>1432.66</v>
      </c>
      <c r="R81" s="99">
        <f>VLOOKUP(C81,'IP PITSS'!$B$9:$Q$91,16,0)</f>
        <v>0</v>
      </c>
      <c r="S81" s="99">
        <f>VLOOKUP(C81,'IP PITSS'!$B$9:$R$91,17,0)</f>
        <v>0</v>
      </c>
      <c r="T81" s="100"/>
      <c r="U81" s="97">
        <f t="shared" si="6"/>
        <v>3500</v>
      </c>
      <c r="V81" s="99">
        <f t="shared" si="8"/>
        <v>0</v>
      </c>
      <c r="X81" s="29" t="s">
        <v>208</v>
      </c>
      <c r="Y81" s="20">
        <f ca="1">IFERROR(OFFSET('CPD PITSS'!$AN$8,MATCH('RESUMEN PITS'!C81,'CPD PITSS'!$B$9:$B$26,0),0),0)+IFERROR(OFFSET('IP PITSS'!$AL$8,MATCH('RESUMEN PITS'!C81,'IP PITSS'!$B$9:$B$91,0),0),0)+IFERROR(OFFSET('SIND PITS'!$S$2,MATCH('RESUMEN PITS'!C81,'SIND PITS'!$C$3:$C$103,0),0),0)</f>
        <v>5558.9490000000005</v>
      </c>
    </row>
    <row r="82" spans="1:25" s="20" customFormat="1" x14ac:dyDescent="0.2">
      <c r="A82" s="109" t="s">
        <v>285</v>
      </c>
      <c r="B82" s="21" t="s">
        <v>94</v>
      </c>
      <c r="C82" s="109" t="s">
        <v>286</v>
      </c>
      <c r="D82" s="21">
        <f>VLOOKUP(C82,'IP PITSS'!$B$9:$U$91,20,0)</f>
        <v>2969.2</v>
      </c>
      <c r="E82" s="103"/>
      <c r="F82" s="97">
        <f>VLOOKUP(C82,'SIND PITS'!$C$3:$H$104,2,0)</f>
        <v>180.80000000000018</v>
      </c>
      <c r="G82" s="97">
        <f>VLOOKUP(C82,'SIND PITS'!$C$3:$E$104,3,0)</f>
        <v>900</v>
      </c>
      <c r="H82" s="97">
        <f>VLOOKUP(C82,'SIND PITS'!$C$3:$F$104,4,0)</f>
        <v>0</v>
      </c>
      <c r="I82" s="97">
        <f>VLOOKUP(C82,'SIND PITS'!$C$3:$G$104,5,0)</f>
        <v>0</v>
      </c>
      <c r="J82" s="100"/>
      <c r="K82" s="97">
        <f t="shared" si="9"/>
        <v>4050</v>
      </c>
      <c r="L82" s="97">
        <v>6300</v>
      </c>
      <c r="M82" s="97">
        <f t="shared" si="11"/>
        <v>3150</v>
      </c>
      <c r="N82" s="100"/>
      <c r="O82" s="99">
        <f>VLOOKUP(C82,'IP PITSS'!$B$9:$I$91,8,0)</f>
        <v>0</v>
      </c>
      <c r="P82" s="97">
        <f t="shared" si="10"/>
        <v>900</v>
      </c>
      <c r="Q82" s="99">
        <f>VLOOKUP(C82,'IP PITSS'!$B$9:$K$91,10,0)+VLOOKUP('RESUMEN PITS'!C82,'IP PITSS'!$B$9:$L$91,11,0)+VLOOKUP('RESUMEN PITS'!C82,'IP PITSS'!$B$9:$M$91,12,0)</f>
        <v>0</v>
      </c>
      <c r="R82" s="99">
        <f>VLOOKUP(C82,'IP PITSS'!$B$9:$Q$91,16,0)</f>
        <v>0</v>
      </c>
      <c r="S82" s="99">
        <f>VLOOKUP(C82,'IP PITSS'!$B$9:$R$91,17,0)</f>
        <v>0</v>
      </c>
      <c r="T82" s="100"/>
      <c r="U82" s="97">
        <f t="shared" si="6"/>
        <v>3150</v>
      </c>
      <c r="V82" s="99">
        <f t="shared" si="8"/>
        <v>0</v>
      </c>
      <c r="X82" s="29" t="s">
        <v>287</v>
      </c>
      <c r="Y82" s="20">
        <f ca="1">IFERROR(OFFSET('CPD PITSS'!$AN$8,MATCH('RESUMEN PITS'!C82,'CPD PITSS'!$B$9:$B$26,0),0),0)+IFERROR(OFFSET('IP PITSS'!$AL$8,MATCH('RESUMEN PITS'!C82,'IP PITSS'!$B$9:$B$91,0),0),0)+IFERROR(OFFSET('SIND PITS'!$S$2,MATCH('RESUMEN PITS'!C82,'SIND PITS'!$C$3:$C$103,0),0),0)</f>
        <v>5481.4000000000005</v>
      </c>
    </row>
    <row r="83" spans="1:25" s="20" customFormat="1" x14ac:dyDescent="0.2">
      <c r="A83" s="109" t="s">
        <v>215</v>
      </c>
      <c r="B83" s="21" t="s">
        <v>94</v>
      </c>
      <c r="C83" s="109" t="s">
        <v>216</v>
      </c>
      <c r="D83" s="21">
        <f>VLOOKUP(C83,'IP PITSS'!$B$9:$U$91,20,0)</f>
        <v>2658.8</v>
      </c>
      <c r="E83" s="103"/>
      <c r="F83" s="97">
        <f>VLOOKUP(C83,'SIND PITS'!$C$3:$H$104,2,0)</f>
        <v>180.90999999999985</v>
      </c>
      <c r="G83" s="97">
        <f>VLOOKUP(C83,'SIND PITS'!$C$3:$E$104,3,0)</f>
        <v>0</v>
      </c>
      <c r="H83" s="97">
        <f>VLOOKUP(C83,'SIND PITS'!$C$3:$F$104,4,0)</f>
        <v>0</v>
      </c>
      <c r="I83" s="97">
        <f>VLOOKUP(C83,'SIND PITS'!$C$3:$G$104,5,0)</f>
        <v>0</v>
      </c>
      <c r="J83" s="100"/>
      <c r="K83" s="97">
        <f t="shared" si="9"/>
        <v>2839.71</v>
      </c>
      <c r="L83" s="97">
        <v>6300</v>
      </c>
      <c r="M83" s="97">
        <f t="shared" si="11"/>
        <v>3150</v>
      </c>
      <c r="N83" s="100"/>
      <c r="O83" s="99">
        <f>VLOOKUP(C83,'IP PITSS'!$B$9:$I$91,8,0)</f>
        <v>0</v>
      </c>
      <c r="P83" s="97">
        <f t="shared" si="10"/>
        <v>0</v>
      </c>
      <c r="Q83" s="99">
        <f>VLOOKUP(C83,'IP PITSS'!$B$9:$K$91,10,0)+VLOOKUP('RESUMEN PITS'!C83,'IP PITSS'!$B$9:$L$91,11,0)+VLOOKUP('RESUMEN PITS'!C83,'IP PITSS'!$B$9:$M$91,12,0)</f>
        <v>310.29000000000002</v>
      </c>
      <c r="R83" s="99">
        <f>VLOOKUP(C83,'IP PITSS'!$B$9:$Q$91,16,0)</f>
        <v>0</v>
      </c>
      <c r="S83" s="99">
        <f>VLOOKUP(C83,'IP PITSS'!$B$9:$R$91,17,0)</f>
        <v>0</v>
      </c>
      <c r="T83" s="100"/>
      <c r="U83" s="97">
        <f t="shared" si="6"/>
        <v>3150</v>
      </c>
      <c r="V83" s="99">
        <f t="shared" si="8"/>
        <v>0</v>
      </c>
      <c r="X83" s="29" t="s">
        <v>217</v>
      </c>
      <c r="Y83" s="20">
        <f ca="1">IFERROR(OFFSET('CPD PITSS'!$AN$8,MATCH('RESUMEN PITS'!C83,'CPD PITSS'!$B$9:$B$26,0),0),0)+IFERROR(OFFSET('IP PITSS'!$AL$8,MATCH('RESUMEN PITS'!C83,'IP PITSS'!$B$9:$B$91,0),0),0)+IFERROR(OFFSET('SIND PITS'!$S$2,MATCH('RESUMEN PITS'!C83,'SIND PITS'!$C$3:$C$103,0),0),0)</f>
        <v>4563.4000000000005</v>
      </c>
    </row>
    <row r="84" spans="1:25" s="20" customFormat="1" x14ac:dyDescent="0.2">
      <c r="A84" s="101" t="s">
        <v>98</v>
      </c>
      <c r="B84" s="21" t="s">
        <v>94</v>
      </c>
      <c r="C84" s="101" t="s">
        <v>99</v>
      </c>
      <c r="D84" s="21">
        <f>VLOOKUP(C84,'IP PITSS'!$B$9:$U$91,20,0)</f>
        <v>2969.2</v>
      </c>
      <c r="E84" s="103"/>
      <c r="F84" s="97">
        <f>VLOOKUP(C84,'SIND PITS'!$C$3:$H$104,2,0)</f>
        <v>180.80000000000018</v>
      </c>
      <c r="G84" s="97">
        <f>VLOOKUP(C84,'SIND PITS'!$C$3:$E$104,3,0)</f>
        <v>1068.75</v>
      </c>
      <c r="H84" s="97">
        <f>VLOOKUP(C84,'SIND PITS'!$C$3:$F$104,4,0)</f>
        <v>0</v>
      </c>
      <c r="I84" s="97">
        <f>VLOOKUP(C84,'SIND PITS'!$C$3:$G$104,5,0)</f>
        <v>0</v>
      </c>
      <c r="J84" s="100"/>
      <c r="K84" s="97">
        <f t="shared" si="9"/>
        <v>4218.75</v>
      </c>
      <c r="L84" s="97">
        <v>6300</v>
      </c>
      <c r="M84" s="97">
        <f t="shared" si="11"/>
        <v>3150</v>
      </c>
      <c r="N84" s="100"/>
      <c r="O84" s="99">
        <f>VLOOKUP(C84,'IP PITSS'!$B$9:$I$91,8,0)</f>
        <v>0</v>
      </c>
      <c r="P84" s="97">
        <f t="shared" si="10"/>
        <v>1068.75</v>
      </c>
      <c r="Q84" s="99">
        <f>VLOOKUP(C84,'IP PITSS'!$B$9:$K$91,10,0)+VLOOKUP('RESUMEN PITS'!C84,'IP PITSS'!$B$9:$L$91,11,0)+VLOOKUP('RESUMEN PITS'!C84,'IP PITSS'!$B$9:$M$91,12,0)</f>
        <v>0</v>
      </c>
      <c r="R84" s="99">
        <f>VLOOKUP(C84,'IP PITSS'!$B$9:$Q$91,16,0)</f>
        <v>0</v>
      </c>
      <c r="S84" s="99">
        <f>VLOOKUP(C84,'IP PITSS'!$B$9:$R$91,17,0)</f>
        <v>0</v>
      </c>
      <c r="T84" s="100"/>
      <c r="U84" s="97">
        <f t="shared" si="6"/>
        <v>3150</v>
      </c>
      <c r="V84" s="99">
        <f t="shared" si="8"/>
        <v>0</v>
      </c>
      <c r="W84" s="42"/>
      <c r="X84" s="29" t="s">
        <v>100</v>
      </c>
      <c r="Y84" s="20">
        <f ca="1">IFERROR(OFFSET('CPD PITSS'!$AN$8,MATCH('RESUMEN PITS'!C84,'CPD PITSS'!$B$9:$B$26,0),0),0)+IFERROR(OFFSET('IP PITSS'!$AL$8,MATCH('RESUMEN PITS'!C84,'IP PITSS'!$B$9:$B$91,0),0),0)+IFERROR(OFFSET('SIND PITS'!$S$2,MATCH('RESUMEN PITS'!C84,'SIND PITS'!$C$3:$C$103,0),0),0)</f>
        <v>5653.5250000000005</v>
      </c>
    </row>
    <row r="85" spans="1:25" s="20" customFormat="1" x14ac:dyDescent="0.2">
      <c r="A85" s="101" t="s">
        <v>117</v>
      </c>
      <c r="B85" s="21" t="s">
        <v>94</v>
      </c>
      <c r="C85" s="101" t="s">
        <v>118</v>
      </c>
      <c r="D85" s="21">
        <f>VLOOKUP(C85,'IP PITSS'!$B$9:$U$91,20,0)</f>
        <v>2005.8</v>
      </c>
      <c r="E85" s="103"/>
      <c r="F85" s="97">
        <f>VLOOKUP(C85,'SIND PITS'!$C$3:$H$104,2,0)</f>
        <v>180.92000000000007</v>
      </c>
      <c r="G85" s="97">
        <f>VLOOKUP(C85,'SIND PITS'!$C$3:$E$104,3,0)</f>
        <v>675</v>
      </c>
      <c r="H85" s="97">
        <f>VLOOKUP(C85,'SIND PITS'!$C$3:$F$104,4,0)</f>
        <v>0</v>
      </c>
      <c r="I85" s="97">
        <f>VLOOKUP(C85,'SIND PITS'!$C$3:$G$104,5,0)</f>
        <v>0</v>
      </c>
      <c r="J85" s="100"/>
      <c r="K85" s="97">
        <f t="shared" si="9"/>
        <v>2861.7200000000003</v>
      </c>
      <c r="L85" s="97">
        <v>6300</v>
      </c>
      <c r="M85" s="97">
        <f t="shared" si="11"/>
        <v>3150</v>
      </c>
      <c r="N85" s="100"/>
      <c r="O85" s="99">
        <f>VLOOKUP(C85,'IP PITSS'!$B$9:$I$91,8,0)</f>
        <v>0</v>
      </c>
      <c r="P85" s="97">
        <f t="shared" si="10"/>
        <v>675</v>
      </c>
      <c r="Q85" s="99">
        <f>VLOOKUP(C85,'IP PITSS'!$B$9:$K$91,10,0)+VLOOKUP('RESUMEN PITS'!C85,'IP PITSS'!$B$9:$L$91,11,0)+VLOOKUP('RESUMEN PITS'!C85,'IP PITSS'!$B$9:$M$91,12,0)</f>
        <v>963.28</v>
      </c>
      <c r="R85" s="99">
        <f>VLOOKUP(C85,'IP PITSS'!$B$9:$Q$91,16,0)</f>
        <v>0</v>
      </c>
      <c r="S85" s="99">
        <f>VLOOKUP(C85,'IP PITSS'!$B$9:$R$91,17,0)</f>
        <v>0</v>
      </c>
      <c r="T85" s="100"/>
      <c r="U85" s="97">
        <f t="shared" ref="U85:U101" si="12">+K85-O85-P85+Q85+R85+S85</f>
        <v>3150</v>
      </c>
      <c r="V85" s="99">
        <f t="shared" si="8"/>
        <v>0</v>
      </c>
      <c r="W85" s="42"/>
      <c r="X85" s="29" t="s">
        <v>119</v>
      </c>
      <c r="Y85" s="20">
        <f ca="1">IFERROR(OFFSET('CPD PITSS'!$AN$8,MATCH('RESUMEN PITS'!C85,'CPD PITSS'!$B$9:$B$26,0),0),0)+IFERROR(OFFSET('IP PITSS'!$AL$8,MATCH('RESUMEN PITS'!C85,'IP PITSS'!$B$9:$B$91,0),0),0)+IFERROR(OFFSET('SIND PITS'!$S$2,MATCH('RESUMEN PITS'!C85,'SIND PITS'!$C$3:$C$103,0),0),0)</f>
        <v>5251.9000000000005</v>
      </c>
    </row>
    <row r="86" spans="1:25" s="29" customFormat="1" x14ac:dyDescent="0.2">
      <c r="A86" s="101" t="s">
        <v>160</v>
      </c>
      <c r="B86" s="21" t="s">
        <v>94</v>
      </c>
      <c r="C86" s="101" t="s">
        <v>161</v>
      </c>
      <c r="D86" s="21">
        <f>VLOOKUP(C86,'IP PITSS'!$B$9:$U$91,20,0)</f>
        <v>1250.2</v>
      </c>
      <c r="E86" s="103"/>
      <c r="F86" s="97">
        <f>VLOOKUP(C86,'SIND PITS'!$C$3:$H$104,2,0)</f>
        <v>139.19999999999982</v>
      </c>
      <c r="G86" s="97">
        <f>VLOOKUP(C86,'SIND PITS'!$C$3:$E$104,3,0)</f>
        <v>225</v>
      </c>
      <c r="H86" s="97">
        <f>VLOOKUP(C86,'SIND PITS'!$C$3:$F$104,4,0)</f>
        <v>0</v>
      </c>
      <c r="I86" s="97">
        <f>VLOOKUP(C86,'SIND PITS'!$C$3:$G$104,5,0)</f>
        <v>0</v>
      </c>
      <c r="J86" s="100"/>
      <c r="K86" s="97">
        <f t="shared" si="9"/>
        <v>1614.3999999999999</v>
      </c>
      <c r="L86" s="97">
        <v>6000</v>
      </c>
      <c r="M86" s="97">
        <f t="shared" si="11"/>
        <v>3000</v>
      </c>
      <c r="N86" s="100"/>
      <c r="O86" s="99">
        <f>VLOOKUP(C86,'IP PITSS'!$B$9:$I$91,8,0)</f>
        <v>0</v>
      </c>
      <c r="P86" s="97">
        <f t="shared" si="10"/>
        <v>225</v>
      </c>
      <c r="Q86" s="99">
        <f>VLOOKUP(C86,'IP PITSS'!$B$9:$K$91,10,0)+VLOOKUP('RESUMEN PITS'!C86,'IP PITSS'!$B$9:$L$91,11,0)+VLOOKUP('RESUMEN PITS'!C86,'IP PITSS'!$B$9:$M$91,12,0)</f>
        <v>1610.6</v>
      </c>
      <c r="R86" s="99">
        <f>VLOOKUP(C86,'IP PITSS'!$B$9:$Q$91,16,0)</f>
        <v>0</v>
      </c>
      <c r="S86" s="99">
        <f>VLOOKUP(C86,'IP PITSS'!$B$9:$R$91,17,0)</f>
        <v>0</v>
      </c>
      <c r="T86" s="100"/>
      <c r="U86" s="97">
        <f t="shared" si="12"/>
        <v>3000</v>
      </c>
      <c r="V86" s="99">
        <f t="shared" si="8"/>
        <v>0</v>
      </c>
      <c r="W86" s="42"/>
      <c r="X86" s="29" t="s">
        <v>162</v>
      </c>
      <c r="Y86" s="20">
        <f ca="1">IFERROR(OFFSET('CPD PITSS'!$AN$8,MATCH('RESUMEN PITS'!C86,'CPD PITSS'!$B$9:$B$26,0),0),0)+IFERROR(OFFSET('IP PITSS'!$AL$8,MATCH('RESUMEN PITS'!C86,'IP PITSS'!$B$9:$B$91,0),0),0)+IFERROR(OFFSET('SIND PITS'!$S$2,MATCH('RESUMEN PITS'!C86,'SIND PITS'!$C$3:$C$103,0),0),0)</f>
        <v>4597.8799999999992</v>
      </c>
    </row>
    <row r="87" spans="1:25" s="29" customFormat="1" x14ac:dyDescent="0.2">
      <c r="A87" s="101" t="s">
        <v>184</v>
      </c>
      <c r="B87" s="21" t="s">
        <v>94</v>
      </c>
      <c r="C87" s="101" t="s">
        <v>185</v>
      </c>
      <c r="D87" s="21">
        <f>VLOOKUP(C87,'IP PITSS'!$B$9:$U$91,20,0)</f>
        <v>2388.4</v>
      </c>
      <c r="E87" s="103"/>
      <c r="F87" s="97">
        <f>VLOOKUP(C87,'SIND PITS'!$C$3:$H$104,2,0)</f>
        <v>139.09999999999991</v>
      </c>
      <c r="G87" s="97">
        <f>VLOOKUP(C87,'SIND PITS'!$C$3:$E$104,3,0)</f>
        <v>130</v>
      </c>
      <c r="H87" s="97">
        <f>VLOOKUP(C87,'SIND PITS'!$C$3:$F$104,4,0)</f>
        <v>0</v>
      </c>
      <c r="I87" s="97">
        <f>VLOOKUP(C87,'SIND PITS'!$C$3:$G$104,5,0)</f>
        <v>0</v>
      </c>
      <c r="J87" s="100"/>
      <c r="K87" s="97">
        <f t="shared" si="9"/>
        <v>2657.5</v>
      </c>
      <c r="L87" s="97">
        <v>6000</v>
      </c>
      <c r="M87" s="97">
        <f t="shared" si="11"/>
        <v>3000</v>
      </c>
      <c r="N87" s="100"/>
      <c r="O87" s="99">
        <f>VLOOKUP(C87,'IP PITSS'!$B$9:$I$91,8,0)</f>
        <v>0</v>
      </c>
      <c r="P87" s="97">
        <f t="shared" si="10"/>
        <v>130</v>
      </c>
      <c r="Q87" s="99">
        <f>VLOOKUP(C87,'IP PITSS'!$B$9:$K$91,10,0)+VLOOKUP('RESUMEN PITS'!C87,'IP PITSS'!$B$9:$L$91,11,0)+VLOOKUP('RESUMEN PITS'!C87,'IP PITSS'!$B$9:$M$91,12,0)</f>
        <v>0</v>
      </c>
      <c r="R87" s="99">
        <f>VLOOKUP(C87,'IP PITSS'!$B$9:$Q$91,16,0)</f>
        <v>0</v>
      </c>
      <c r="S87" s="99">
        <f>VLOOKUP(C87,'IP PITSS'!$B$9:$R$91,17,0)</f>
        <v>472.5</v>
      </c>
      <c r="T87" s="100"/>
      <c r="U87" s="97">
        <f t="shared" si="12"/>
        <v>3000</v>
      </c>
      <c r="V87" s="99">
        <f t="shared" si="8"/>
        <v>0</v>
      </c>
      <c r="W87" s="42"/>
      <c r="X87" s="29" t="s">
        <v>186</v>
      </c>
      <c r="Y87" s="20">
        <f ca="1">IFERROR(OFFSET('CPD PITSS'!$AN$8,MATCH('RESUMEN PITS'!C87,'CPD PITSS'!$B$9:$B$26,0),0),0)+IFERROR(OFFSET('IP PITSS'!$AL$8,MATCH('RESUMEN PITS'!C87,'IP PITSS'!$B$9:$B$91,0),0),0)+IFERROR(OFFSET('SIND PITS'!$S$2,MATCH('RESUMEN PITS'!C87,'SIND PITS'!$C$3:$C$103,0),0),0)</f>
        <v>4500.9799999999996</v>
      </c>
    </row>
    <row r="88" spans="1:25" s="29" customFormat="1" x14ac:dyDescent="0.2">
      <c r="A88" s="101" t="s">
        <v>180</v>
      </c>
      <c r="B88" s="21" t="s">
        <v>94</v>
      </c>
      <c r="C88" s="101" t="s">
        <v>181</v>
      </c>
      <c r="D88" s="21">
        <f>VLOOKUP(C88,'IP PITSS'!$B$9:$U$91,20,0)</f>
        <v>2474.8000000000002</v>
      </c>
      <c r="E88" s="103"/>
      <c r="F88" s="97">
        <f>VLOOKUP(C88,'SIND PITS'!$C$3:$H$104,2,0)</f>
        <v>3140.2</v>
      </c>
      <c r="G88" s="97">
        <f>VLOOKUP(C88,'SIND PITS'!$C$3:$E$104,3,0)</f>
        <v>225</v>
      </c>
      <c r="H88" s="97">
        <f>VLOOKUP(C88,'SIND PITS'!$C$3:$F$104,4,0)</f>
        <v>0</v>
      </c>
      <c r="I88" s="97">
        <f>VLOOKUP(C88,'SIND PITS'!$C$3:$G$104,5,0)</f>
        <v>0</v>
      </c>
      <c r="J88" s="100"/>
      <c r="K88" s="97">
        <f t="shared" si="9"/>
        <v>5840</v>
      </c>
      <c r="L88" s="97">
        <v>12000</v>
      </c>
      <c r="M88" s="97">
        <f t="shared" si="11"/>
        <v>6000</v>
      </c>
      <c r="N88" s="100"/>
      <c r="O88" s="99">
        <f>VLOOKUP(C88,'IP PITSS'!$B$9:$I$91,8,0)</f>
        <v>0</v>
      </c>
      <c r="P88" s="97">
        <f t="shared" si="10"/>
        <v>225</v>
      </c>
      <c r="Q88" s="99">
        <f>VLOOKUP(C88,'IP PITSS'!$B$9:$K$91,10,0)+VLOOKUP('RESUMEN PITS'!C88,'IP PITSS'!$B$9:$L$91,11,0)+VLOOKUP('RESUMEN PITS'!C88,'IP PITSS'!$B$9:$M$91,12,0)</f>
        <v>0</v>
      </c>
      <c r="R88" s="99">
        <f>VLOOKUP(C88,'IP PITSS'!$B$9:$Q$91,16,0)</f>
        <v>0</v>
      </c>
      <c r="S88" s="99">
        <f>VLOOKUP(C88,'IP PITSS'!$B$9:$R$91,17,0)</f>
        <v>385</v>
      </c>
      <c r="T88" s="100"/>
      <c r="U88" s="97">
        <f t="shared" si="12"/>
        <v>6000</v>
      </c>
      <c r="V88" s="99">
        <f t="shared" si="8"/>
        <v>0</v>
      </c>
      <c r="W88" s="42"/>
      <c r="X88" s="29" t="s">
        <v>182</v>
      </c>
      <c r="Y88" s="20">
        <f ca="1">IFERROR(OFFSET('CPD PITSS'!$AN$8,MATCH('RESUMEN PITS'!C88,'CPD PITSS'!$B$9:$B$26,0),0),0)+IFERROR(OFFSET('IP PITSS'!$AL$8,MATCH('RESUMEN PITS'!C88,'IP PITSS'!$B$9:$B$91,0),0),0)+IFERROR(OFFSET('SIND PITS'!$S$2,MATCH('RESUMEN PITS'!C88,'SIND PITS'!$C$3:$C$103,0),0),0)</f>
        <v>7666.64</v>
      </c>
    </row>
    <row r="89" spans="1:25" s="29" customFormat="1" x14ac:dyDescent="0.2">
      <c r="A89" s="101" t="s">
        <v>101</v>
      </c>
      <c r="B89" s="21" t="s">
        <v>94</v>
      </c>
      <c r="C89" s="101" t="s">
        <v>102</v>
      </c>
      <c r="D89" s="21">
        <f>VLOOKUP(C89,'IP PITSS'!$B$9:$U$91,20,0)</f>
        <v>2383</v>
      </c>
      <c r="E89" s="103"/>
      <c r="F89" s="97">
        <f>VLOOKUP(C89,'SIND PITS'!$C$3:$H$104,2,0)</f>
        <v>3140.3500000000004</v>
      </c>
      <c r="G89" s="97">
        <f>VLOOKUP(C89,'SIND PITS'!$C$3:$E$104,3,0)</f>
        <v>750</v>
      </c>
      <c r="H89" s="97">
        <f>VLOOKUP(C89,'SIND PITS'!$C$3:$F$104,4,0)</f>
        <v>0</v>
      </c>
      <c r="I89" s="97">
        <f>VLOOKUP(C89,'SIND PITS'!$C$3:$G$104,5,0)</f>
        <v>0</v>
      </c>
      <c r="J89" s="100"/>
      <c r="K89" s="97">
        <f t="shared" si="9"/>
        <v>6273.35</v>
      </c>
      <c r="L89" s="97">
        <v>12000</v>
      </c>
      <c r="M89" s="97">
        <f t="shared" si="11"/>
        <v>6000</v>
      </c>
      <c r="N89" s="100"/>
      <c r="O89" s="99">
        <f>VLOOKUP(C89,'IP PITSS'!$B$9:$I$91,8,0)</f>
        <v>0</v>
      </c>
      <c r="P89" s="97">
        <f t="shared" si="10"/>
        <v>750</v>
      </c>
      <c r="Q89" s="99">
        <f>VLOOKUP(C89,'IP PITSS'!$B$9:$K$91,10,0)+VLOOKUP('RESUMEN PITS'!C89,'IP PITSS'!$B$9:$L$91,11,0)+VLOOKUP('RESUMEN PITS'!C89,'IP PITSS'!$B$9:$M$91,12,0)</f>
        <v>476.65</v>
      </c>
      <c r="R89" s="99">
        <f>VLOOKUP(C89,'IP PITSS'!$B$9:$Q$91,16,0)</f>
        <v>0</v>
      </c>
      <c r="S89" s="99">
        <f>VLOOKUP(C89,'IP PITSS'!$B$9:$R$91,17,0)</f>
        <v>0</v>
      </c>
      <c r="T89" s="100"/>
      <c r="U89" s="97">
        <f t="shared" si="12"/>
        <v>6000</v>
      </c>
      <c r="V89" s="99">
        <f t="shared" si="8"/>
        <v>0</v>
      </c>
      <c r="W89" s="42"/>
      <c r="X89" s="29" t="s">
        <v>103</v>
      </c>
      <c r="Y89" s="20">
        <f ca="1">IFERROR(OFFSET('CPD PITSS'!$AN$8,MATCH('RESUMEN PITS'!C89,'CPD PITSS'!$B$9:$B$26,0),0),0)+IFERROR(OFFSET('IP PITSS'!$AL$8,MATCH('RESUMEN PITS'!C89,'IP PITSS'!$B$9:$B$91,0),0),0)+IFERROR(OFFSET('SIND PITS'!$S$2,MATCH('RESUMEN PITS'!C89,'SIND PITS'!$C$3:$C$103,0),0),0)</f>
        <v>8202.14</v>
      </c>
    </row>
    <row r="90" spans="1:25" s="29" customFormat="1" x14ac:dyDescent="0.2">
      <c r="A90" s="101" t="s">
        <v>203</v>
      </c>
      <c r="B90" s="21" t="s">
        <v>94</v>
      </c>
      <c r="C90" s="101" t="s">
        <v>204</v>
      </c>
      <c r="D90" s="21">
        <f>VLOOKUP(C90,'IP PITSS'!$B$9:$U$91,20,0)</f>
        <v>937.4</v>
      </c>
      <c r="E90" s="103"/>
      <c r="F90" s="97">
        <f>VLOOKUP(C90,'SIND PITS'!$C$3:$H$104,2,0)</f>
        <v>1707.5099999999998</v>
      </c>
      <c r="G90" s="97">
        <f>VLOOKUP(C90,'SIND PITS'!$C$3:$E$104,3,0)</f>
        <v>125</v>
      </c>
      <c r="H90" s="97">
        <f>VLOOKUP(C90,'SIND PITS'!$C$3:$F$104,4,0)</f>
        <v>0</v>
      </c>
      <c r="I90" s="97">
        <f>VLOOKUP(C90,'SIND PITS'!$C$3:$G$104,5,0)</f>
        <v>0</v>
      </c>
      <c r="J90" s="100"/>
      <c r="K90" s="97">
        <f t="shared" si="9"/>
        <v>2769.91</v>
      </c>
      <c r="L90" s="97">
        <v>7000</v>
      </c>
      <c r="M90" s="97">
        <f t="shared" si="11"/>
        <v>3500</v>
      </c>
      <c r="N90" s="100"/>
      <c r="O90" s="99">
        <f>VLOOKUP(C90,'IP PITSS'!$B$9:$I$91,8,0)</f>
        <v>0</v>
      </c>
      <c r="P90" s="97">
        <f t="shared" si="10"/>
        <v>125</v>
      </c>
      <c r="Q90" s="99">
        <f>VLOOKUP(C90,'IP PITSS'!$B$9:$K$91,10,0)+VLOOKUP('RESUMEN PITS'!C90,'IP PITSS'!$B$9:$L$91,11,0)+VLOOKUP('RESUMEN PITS'!C90,'IP PITSS'!$B$9:$M$91,12,0)</f>
        <v>855.09</v>
      </c>
      <c r="R90" s="99">
        <f>VLOOKUP(C90,'IP PITSS'!$B$9:$Q$91,16,0)</f>
        <v>0</v>
      </c>
      <c r="S90" s="99">
        <f>VLOOKUP(C90,'IP PITSS'!$B$9:$R$91,17,0)</f>
        <v>0</v>
      </c>
      <c r="T90" s="100"/>
      <c r="U90" s="97">
        <f t="shared" si="12"/>
        <v>3500</v>
      </c>
      <c r="V90" s="99">
        <f t="shared" si="8"/>
        <v>0</v>
      </c>
      <c r="W90" s="42"/>
      <c r="X90" s="29" t="s">
        <v>205</v>
      </c>
      <c r="Y90" s="20">
        <f ca="1">IFERROR(OFFSET('CPD PITSS'!$AN$8,MATCH('RESUMEN PITS'!C90,'CPD PITSS'!$B$9:$B$26,0),0),0)+IFERROR(OFFSET('IP PITSS'!$AL$8,MATCH('RESUMEN PITS'!C90,'IP PITSS'!$B$9:$B$91,0),0),0)+IFERROR(OFFSET('SIND PITS'!$S$2,MATCH('RESUMEN PITS'!C90,'SIND PITS'!$C$3:$C$103,0),0),0)</f>
        <v>4737.6210000000001</v>
      </c>
    </row>
    <row r="91" spans="1:25" s="29" customFormat="1" x14ac:dyDescent="0.2">
      <c r="A91" s="101" t="s">
        <v>314</v>
      </c>
      <c r="B91" s="21" t="s">
        <v>94</v>
      </c>
      <c r="C91" s="101" t="s">
        <v>315</v>
      </c>
      <c r="D91" s="21">
        <f>VLOOKUP(C91,'IP PITSS'!$B$9:$U$91,20,0)</f>
        <v>881.2</v>
      </c>
      <c r="E91" s="103"/>
      <c r="F91" s="97">
        <f>VLOOKUP(C91,'SIND PITS'!$C$3:$H$104,2,0)</f>
        <v>1707.3899999999999</v>
      </c>
      <c r="G91" s="97">
        <f>VLOOKUP(C91,'SIND PITS'!$C$3:$E$104,3,0)</f>
        <v>750</v>
      </c>
      <c r="H91" s="97">
        <f>VLOOKUP(C91,'SIND PITS'!$C$3:$F$104,4,0)</f>
        <v>0</v>
      </c>
      <c r="I91" s="97">
        <f>VLOOKUP(C91,'SIND PITS'!$C$3:$G$104,5,0)</f>
        <v>0</v>
      </c>
      <c r="J91" s="100"/>
      <c r="K91" s="97">
        <f t="shared" si="9"/>
        <v>3338.59</v>
      </c>
      <c r="L91" s="97">
        <v>7000</v>
      </c>
      <c r="M91" s="97">
        <f t="shared" si="11"/>
        <v>3500</v>
      </c>
      <c r="N91" s="100"/>
      <c r="O91" s="99">
        <f>VLOOKUP(C91,'IP PITSS'!$B$9:$I$91,8,0)</f>
        <v>0</v>
      </c>
      <c r="P91" s="97">
        <f t="shared" si="10"/>
        <v>750</v>
      </c>
      <c r="Q91" s="99">
        <f>VLOOKUP(C91,'IP PITSS'!$B$9:$K$91,10,0)+VLOOKUP('RESUMEN PITS'!C91,'IP PITSS'!$B$9:$L$91,11,0)+VLOOKUP('RESUMEN PITS'!C91,'IP PITSS'!$B$9:$M$91,12,0)</f>
        <v>911.41</v>
      </c>
      <c r="R91" s="99">
        <f>VLOOKUP(C91,'IP PITSS'!$B$9:$Q$91,16,0)</f>
        <v>0</v>
      </c>
      <c r="S91" s="99">
        <f>VLOOKUP(C91,'IP PITSS'!$B$9:$R$91,17,0)</f>
        <v>0</v>
      </c>
      <c r="T91" s="100"/>
      <c r="U91" s="97">
        <f t="shared" si="12"/>
        <v>3500</v>
      </c>
      <c r="V91" s="99">
        <f t="shared" si="8"/>
        <v>0</v>
      </c>
      <c r="W91" s="42"/>
      <c r="X91" s="29" t="s">
        <v>316</v>
      </c>
      <c r="Y91" s="20">
        <f ca="1">IFERROR(OFFSET('CPD PITSS'!$AN$8,MATCH('RESUMEN PITS'!C91,'CPD PITSS'!$B$9:$B$26,0),0),0)+IFERROR(OFFSET('IP PITSS'!$AL$8,MATCH('RESUMEN PITS'!C91,'IP PITSS'!$B$9:$B$91,0),0),0)+IFERROR(OFFSET('SIND PITS'!$S$2,MATCH('RESUMEN PITS'!C91,'SIND PITS'!$C$3:$C$103,0),0),0)</f>
        <v>5375.121000000001</v>
      </c>
    </row>
    <row r="92" spans="1:25" s="29" customFormat="1" x14ac:dyDescent="0.2">
      <c r="A92" s="101" t="s">
        <v>147</v>
      </c>
      <c r="B92" s="21" t="s">
        <v>94</v>
      </c>
      <c r="C92" s="101" t="s">
        <v>148</v>
      </c>
      <c r="D92" s="21">
        <f>VLOOKUP(C92,'IP PITSS'!$B$9:$U$91,20,0)</f>
        <v>2860.8</v>
      </c>
      <c r="E92" s="103"/>
      <c r="F92" s="97">
        <f>VLOOKUP(C92,'SIND PITS'!$C$3:$H$104,2,0)</f>
        <v>139.19999999999982</v>
      </c>
      <c r="G92" s="97">
        <f>VLOOKUP(C92,'SIND PITS'!$C$3:$E$104,3,0)</f>
        <v>225</v>
      </c>
      <c r="H92" s="97">
        <f>VLOOKUP(C92,'SIND PITS'!$C$3:$F$104,4,0)</f>
        <v>0</v>
      </c>
      <c r="I92" s="97">
        <f>VLOOKUP(C92,'SIND PITS'!$C$3:$G$104,5,0)</f>
        <v>0</v>
      </c>
      <c r="J92" s="100"/>
      <c r="K92" s="97">
        <f t="shared" si="9"/>
        <v>3225</v>
      </c>
      <c r="L92" s="97">
        <v>6000</v>
      </c>
      <c r="M92" s="97">
        <f t="shared" si="11"/>
        <v>3000</v>
      </c>
      <c r="N92" s="100"/>
      <c r="O92" s="99">
        <f>VLOOKUP(C92,'IP PITSS'!$B$9:$I$91,8,0)</f>
        <v>0</v>
      </c>
      <c r="P92" s="97">
        <f t="shared" si="10"/>
        <v>225</v>
      </c>
      <c r="Q92" s="99">
        <f>VLOOKUP(C92,'IP PITSS'!$B$9:$K$91,10,0)+VLOOKUP('RESUMEN PITS'!C92,'IP PITSS'!$B$9:$L$91,11,0)+VLOOKUP('RESUMEN PITS'!C92,'IP PITSS'!$B$9:$M$91,12,0)</f>
        <v>0</v>
      </c>
      <c r="R92" s="99">
        <f>VLOOKUP(C92,'IP PITSS'!$B$9:$Q$91,16,0)</f>
        <v>0</v>
      </c>
      <c r="S92" s="99">
        <f>VLOOKUP(C92,'IP PITSS'!$B$9:$R$91,17,0)</f>
        <v>0</v>
      </c>
      <c r="T92" s="100"/>
      <c r="U92" s="97">
        <f t="shared" si="12"/>
        <v>3000</v>
      </c>
      <c r="V92" s="99">
        <f t="shared" si="8"/>
        <v>0</v>
      </c>
      <c r="W92" s="42"/>
      <c r="X92" s="29" t="s">
        <v>149</v>
      </c>
      <c r="Y92" s="20">
        <f ca="1">IFERROR(OFFSET('CPD PITSS'!$AN$8,MATCH('RESUMEN PITS'!C92,'CPD PITSS'!$B$9:$B$26,0),0),0)+IFERROR(OFFSET('IP PITSS'!$AL$8,MATCH('RESUMEN PITS'!C92,'IP PITSS'!$B$9:$B$91,0),0),0)+IFERROR(OFFSET('SIND PITS'!$S$2,MATCH('RESUMEN PITS'!C92,'SIND PITS'!$C$3:$C$103,0),0),0)</f>
        <v>4597.8799999999992</v>
      </c>
    </row>
    <row r="93" spans="1:25" s="29" customFormat="1" x14ac:dyDescent="0.2">
      <c r="A93" s="101" t="s">
        <v>269</v>
      </c>
      <c r="B93" s="21" t="s">
        <v>94</v>
      </c>
      <c r="C93" s="101" t="s">
        <v>270</v>
      </c>
      <c r="D93" s="21">
        <f>VLOOKUP(C93,'IP PITSS'!$B$9:$U$91,20,0)</f>
        <v>2969.2</v>
      </c>
      <c r="E93" s="103"/>
      <c r="F93" s="97">
        <f>VLOOKUP(C93,'SIND PITS'!$C$3:$H$104,2,0)</f>
        <v>180.80000000000018</v>
      </c>
      <c r="G93" s="97">
        <f>VLOOKUP(C93,'SIND PITS'!$C$3:$E$104,3,0)</f>
        <v>843.75</v>
      </c>
      <c r="H93" s="97">
        <f>VLOOKUP(C93,'SIND PITS'!$C$3:$F$104,4,0)</f>
        <v>0</v>
      </c>
      <c r="I93" s="97">
        <f>VLOOKUP(C93,'SIND PITS'!$C$3:$G$104,5,0)</f>
        <v>0</v>
      </c>
      <c r="J93" s="100"/>
      <c r="K93" s="97">
        <f t="shared" si="9"/>
        <v>3993.75</v>
      </c>
      <c r="L93" s="97">
        <v>6300</v>
      </c>
      <c r="M93" s="97">
        <f t="shared" si="11"/>
        <v>3150</v>
      </c>
      <c r="N93" s="100"/>
      <c r="O93" s="99">
        <f>VLOOKUP(C93,'IP PITSS'!$B$9:$I$91,8,0)</f>
        <v>0</v>
      </c>
      <c r="P93" s="97">
        <f t="shared" si="10"/>
        <v>843.75</v>
      </c>
      <c r="Q93" s="99">
        <f>VLOOKUP(C93,'IP PITSS'!$B$9:$K$91,10,0)+VLOOKUP('RESUMEN PITS'!C93,'IP PITSS'!$B$9:$L$91,11,0)+VLOOKUP('RESUMEN PITS'!C93,'IP PITSS'!$B$9:$M$91,12,0)</f>
        <v>0</v>
      </c>
      <c r="R93" s="99">
        <f>VLOOKUP(C93,'IP PITSS'!$B$9:$Q$91,16,0)</f>
        <v>0</v>
      </c>
      <c r="S93" s="99">
        <f>VLOOKUP(C93,'IP PITSS'!$B$9:$R$91,17,0)</f>
        <v>0</v>
      </c>
      <c r="T93" s="100"/>
      <c r="U93" s="97">
        <f t="shared" si="12"/>
        <v>3150</v>
      </c>
      <c r="V93" s="99">
        <f t="shared" si="8"/>
        <v>0</v>
      </c>
      <c r="W93" s="42"/>
      <c r="X93" s="29" t="s">
        <v>271</v>
      </c>
      <c r="Y93" s="20">
        <f ca="1">IFERROR(OFFSET('CPD PITSS'!$AN$8,MATCH('RESUMEN PITS'!C93,'CPD PITSS'!$B$9:$B$26,0),0),0)+IFERROR(OFFSET('IP PITSS'!$AL$8,MATCH('RESUMEN PITS'!C93,'IP PITSS'!$B$9:$B$91,0),0),0)+IFERROR(OFFSET('SIND PITS'!$S$2,MATCH('RESUMEN PITS'!C93,'SIND PITS'!$C$3:$C$103,0),0),0)</f>
        <v>5424.0250000000005</v>
      </c>
    </row>
    <row r="94" spans="1:25" s="29" customFormat="1" x14ac:dyDescent="0.2">
      <c r="A94" s="101" t="s">
        <v>136</v>
      </c>
      <c r="B94" s="21" t="s">
        <v>94</v>
      </c>
      <c r="C94" s="101" t="s">
        <v>137</v>
      </c>
      <c r="D94" s="21">
        <f>VLOOKUP(C94,'IP PITSS'!$B$9:$U$91,20,0)</f>
        <v>3271.6</v>
      </c>
      <c r="E94" s="103"/>
      <c r="F94" s="97">
        <f>VLOOKUP(C94,'SIND PITS'!$C$3:$H$104,2,0)</f>
        <v>228.40000000000009</v>
      </c>
      <c r="G94" s="97">
        <f>VLOOKUP(C94,'SIND PITS'!$C$3:$E$104,3,0)</f>
        <v>250</v>
      </c>
      <c r="H94" s="97">
        <f>VLOOKUP(C94,'SIND PITS'!$C$3:$F$104,4,0)</f>
        <v>0</v>
      </c>
      <c r="I94" s="97">
        <f>VLOOKUP(C94,'SIND PITS'!$C$3:$G$104,5,0)</f>
        <v>0</v>
      </c>
      <c r="J94" s="100"/>
      <c r="K94" s="97">
        <f t="shared" si="9"/>
        <v>3750</v>
      </c>
      <c r="L94" s="97">
        <v>7000</v>
      </c>
      <c r="M94" s="97">
        <f t="shared" si="11"/>
        <v>3500</v>
      </c>
      <c r="N94" s="100"/>
      <c r="O94" s="99">
        <f>VLOOKUP(C94,'IP PITSS'!$B$9:$I$91,8,0)</f>
        <v>0</v>
      </c>
      <c r="P94" s="97">
        <f t="shared" si="10"/>
        <v>250</v>
      </c>
      <c r="Q94" s="99">
        <f>VLOOKUP(C94,'IP PITSS'!$B$9:$K$91,10,0)+VLOOKUP('RESUMEN PITS'!C94,'IP PITSS'!$B$9:$L$91,11,0)+VLOOKUP('RESUMEN PITS'!C94,'IP PITSS'!$B$9:$M$91,12,0)</f>
        <v>0</v>
      </c>
      <c r="R94" s="99">
        <f>VLOOKUP(C94,'IP PITSS'!$B$9:$Q$91,16,0)</f>
        <v>0</v>
      </c>
      <c r="S94" s="99">
        <f>VLOOKUP(C94,'IP PITSS'!$B$9:$R$91,17,0)</f>
        <v>0</v>
      </c>
      <c r="T94" s="100"/>
      <c r="U94" s="97">
        <f t="shared" si="12"/>
        <v>3500</v>
      </c>
      <c r="V94" s="99">
        <f t="shared" si="8"/>
        <v>0</v>
      </c>
      <c r="W94" s="42"/>
      <c r="X94" s="29" t="s">
        <v>138</v>
      </c>
      <c r="Y94" s="20">
        <f ca="1">IFERROR(OFFSET('CPD PITSS'!$AN$8,MATCH('RESUMEN PITS'!C94,'CPD PITSS'!$B$9:$B$26,0),0),0)+IFERROR(OFFSET('IP PITSS'!$AL$8,MATCH('RESUMEN PITS'!C94,'IP PITSS'!$B$9:$B$91,0),0),0)+IFERROR(OFFSET('SIND PITS'!$S$2,MATCH('RESUMEN PITS'!C94,'SIND PITS'!$C$3:$C$103,0),0),0)</f>
        <v>5252.9489999999996</v>
      </c>
    </row>
    <row r="95" spans="1:25" s="29" customFormat="1" x14ac:dyDescent="0.2">
      <c r="A95" s="101" t="s">
        <v>163</v>
      </c>
      <c r="B95" s="21" t="s">
        <v>94</v>
      </c>
      <c r="C95" s="101" t="s">
        <v>164</v>
      </c>
      <c r="D95" s="21">
        <f>VLOOKUP(C95,'IP PITSS'!$B$9:$U$91,20,0)</f>
        <v>1787</v>
      </c>
      <c r="E95" s="103"/>
      <c r="F95" s="97">
        <f>VLOOKUP(C95,'SIND PITS'!$C$3:$H$104,2,0)</f>
        <v>179.73999999999978</v>
      </c>
      <c r="G95" s="97">
        <f>VLOOKUP(C95,'SIND PITS'!$C$3:$E$104,3,0)</f>
        <v>590.63</v>
      </c>
      <c r="H95" s="97">
        <f>VLOOKUP(C95,'SIND PITS'!$C$3:$F$104,4,0)</f>
        <v>0</v>
      </c>
      <c r="I95" s="97">
        <f>VLOOKUP(C95,'SIND PITS'!$C$3:$G$104,5,0)</f>
        <v>0</v>
      </c>
      <c r="J95" s="100"/>
      <c r="K95" s="97">
        <f t="shared" si="9"/>
        <v>2557.37</v>
      </c>
      <c r="L95" s="97">
        <v>6300</v>
      </c>
      <c r="M95" s="97">
        <f t="shared" si="11"/>
        <v>3150</v>
      </c>
      <c r="N95" s="100"/>
      <c r="O95" s="99">
        <f>VLOOKUP(C95,'IP PITSS'!$B$9:$I$91,8,0)</f>
        <v>0</v>
      </c>
      <c r="P95" s="97">
        <f t="shared" si="10"/>
        <v>590.63</v>
      </c>
      <c r="Q95" s="99">
        <f>VLOOKUP(C95,'IP PITSS'!$B$9:$K$91,10,0)+VLOOKUP('RESUMEN PITS'!C95,'IP PITSS'!$B$9:$L$91,11,0)+VLOOKUP('RESUMEN PITS'!C95,'IP PITSS'!$B$9:$M$91,12,0)</f>
        <v>1183.26</v>
      </c>
      <c r="R95" s="99">
        <f>VLOOKUP(C95,'IP PITSS'!$B$9:$Q$91,16,0)</f>
        <v>0</v>
      </c>
      <c r="S95" s="99">
        <f>VLOOKUP(C95,'IP PITSS'!$B$9:$R$91,17,0)</f>
        <v>0</v>
      </c>
      <c r="T95" s="100"/>
      <c r="U95" s="97">
        <f t="shared" si="12"/>
        <v>3150</v>
      </c>
      <c r="V95" s="99">
        <f t="shared" si="8"/>
        <v>0</v>
      </c>
      <c r="W95" s="42"/>
      <c r="X95" s="29" t="s">
        <v>165</v>
      </c>
      <c r="Y95" s="20">
        <f ca="1">IFERROR(OFFSET('CPD PITSS'!$AN$8,MATCH('RESUMEN PITS'!C95,'CPD PITSS'!$B$9:$B$26,0),0),0)+IFERROR(OFFSET('IP PITSS'!$AL$8,MATCH('RESUMEN PITS'!C95,'IP PITSS'!$B$9:$B$91,0),0),0)+IFERROR(OFFSET('SIND PITS'!$S$2,MATCH('RESUMEN PITS'!C95,'SIND PITS'!$C$3:$C$103,0),0),0)</f>
        <v>5156.6325999999999</v>
      </c>
    </row>
    <row r="96" spans="1:25" s="29" customFormat="1" x14ac:dyDescent="0.2">
      <c r="A96" s="101" t="s">
        <v>93</v>
      </c>
      <c r="B96" s="21" t="s">
        <v>94</v>
      </c>
      <c r="C96" s="101" t="s">
        <v>95</v>
      </c>
      <c r="D96" s="21">
        <f>VLOOKUP(C96,'IP PITSS'!$B$9:$U$91,20,0)</f>
        <v>2859.6</v>
      </c>
      <c r="E96" s="103"/>
      <c r="F96" s="97">
        <f>VLOOKUP(C96,'SIND PITS'!$C$3:$H$104,2,0)</f>
        <v>140.40000000000009</v>
      </c>
      <c r="G96" s="97">
        <f>VLOOKUP(C96,'SIND PITS'!$C$3:$E$104,3,0)</f>
        <v>0</v>
      </c>
      <c r="H96" s="97">
        <f>VLOOKUP(C96,'SIND PITS'!$C$3:$F$104,4,0)</f>
        <v>0</v>
      </c>
      <c r="I96" s="97">
        <f>VLOOKUP(C96,'SIND PITS'!$C$3:$G$104,5,0)</f>
        <v>0</v>
      </c>
      <c r="J96" s="100"/>
      <c r="K96" s="97">
        <f t="shared" si="9"/>
        <v>3000</v>
      </c>
      <c r="L96" s="97">
        <v>6000</v>
      </c>
      <c r="M96" s="97">
        <f t="shared" si="11"/>
        <v>3000</v>
      </c>
      <c r="N96" s="100"/>
      <c r="O96" s="99">
        <f>VLOOKUP(C96,'IP PITSS'!$B$9:$I$91,8,0)</f>
        <v>0</v>
      </c>
      <c r="P96" s="97">
        <f t="shared" si="10"/>
        <v>0</v>
      </c>
      <c r="Q96" s="99">
        <f>VLOOKUP(C96,'IP PITSS'!$B$9:$K$91,10,0)+VLOOKUP('RESUMEN PITS'!C96,'IP PITSS'!$B$9:$L$91,11,0)+VLOOKUP('RESUMEN PITS'!C96,'IP PITSS'!$B$9:$M$91,12,0)</f>
        <v>0</v>
      </c>
      <c r="R96" s="99">
        <f>VLOOKUP(C96,'IP PITSS'!$B$9:$Q$91,16,0)</f>
        <v>0</v>
      </c>
      <c r="S96" s="99">
        <f>VLOOKUP(C96,'IP PITSS'!$B$9:$R$91,17,0)</f>
        <v>0</v>
      </c>
      <c r="T96" s="100"/>
      <c r="U96" s="97">
        <f t="shared" si="12"/>
        <v>3000</v>
      </c>
      <c r="V96" s="99">
        <f t="shared" si="8"/>
        <v>0</v>
      </c>
      <c r="W96" s="47"/>
      <c r="X96" s="29" t="s">
        <v>96</v>
      </c>
      <c r="Y96" s="20">
        <f ca="1">IFERROR(OFFSET('CPD PITSS'!$AN$8,MATCH('RESUMEN PITS'!C96,'CPD PITSS'!$B$9:$B$26,0),0),0)+IFERROR(OFFSET('IP PITSS'!$AL$8,MATCH('RESUMEN PITS'!C96,'IP PITSS'!$B$9:$B$91,0),0),0)+IFERROR(OFFSET('SIND PITS'!$S$2,MATCH('RESUMEN PITS'!C96,'SIND PITS'!$C$3:$C$103,0),0),0)</f>
        <v>4377.1399999999994</v>
      </c>
    </row>
    <row r="97" spans="1:244" s="29" customFormat="1" x14ac:dyDescent="0.2">
      <c r="A97" s="101" t="s">
        <v>335</v>
      </c>
      <c r="B97" s="21" t="s">
        <v>94</v>
      </c>
      <c r="C97" s="101" t="s">
        <v>336</v>
      </c>
      <c r="D97" s="21">
        <f>VLOOKUP(C97,'IP PITSS'!$B$9:$U$91,20,0)</f>
        <v>1570.8</v>
      </c>
      <c r="E97" s="103"/>
      <c r="F97" s="97">
        <f>VLOOKUP(C97,'SIND PITS'!$C$3:$H$104,2,0)</f>
        <v>140.42000000000007</v>
      </c>
      <c r="G97" s="97">
        <f>VLOOKUP(C97,'SIND PITS'!$C$3:$E$104,3,0)</f>
        <v>0</v>
      </c>
      <c r="H97" s="97">
        <f>VLOOKUP(C97,'SIND PITS'!$C$3:$F$104,4,0)</f>
        <v>0</v>
      </c>
      <c r="I97" s="97">
        <f>VLOOKUP(C97,'SIND PITS'!$C$3:$G$104,5,0)</f>
        <v>0</v>
      </c>
      <c r="J97" s="100"/>
      <c r="K97" s="97">
        <f t="shared" si="9"/>
        <v>1711.22</v>
      </c>
      <c r="L97" s="97">
        <v>6000</v>
      </c>
      <c r="M97" s="97">
        <f t="shared" si="11"/>
        <v>3000</v>
      </c>
      <c r="N97" s="100"/>
      <c r="O97" s="99">
        <f>VLOOKUP(C97,'IP PITSS'!$B$9:$I$91,8,0)</f>
        <v>0</v>
      </c>
      <c r="P97" s="97">
        <f t="shared" si="10"/>
        <v>0</v>
      </c>
      <c r="Q97" s="99">
        <f>VLOOKUP(C97,'IP PITSS'!$B$9:$K$91,10,0)+VLOOKUP('RESUMEN PITS'!C97,'IP PITSS'!$B$9:$L$91,11,0)+VLOOKUP('RESUMEN PITS'!C97,'IP PITSS'!$B$9:$M$91,12,0)</f>
        <v>652.17999999999995</v>
      </c>
      <c r="R97" s="99">
        <f>VLOOKUP(C97,'IP PITSS'!$B$9:$Q$91,16,0)</f>
        <v>636.6</v>
      </c>
      <c r="S97" s="99">
        <f>VLOOKUP(C97,'IP PITSS'!$B$9:$R$91,17,0)</f>
        <v>0</v>
      </c>
      <c r="T97" s="100"/>
      <c r="U97" s="97">
        <f t="shared" si="12"/>
        <v>3000</v>
      </c>
      <c r="V97" s="99">
        <f t="shared" si="8"/>
        <v>0</v>
      </c>
      <c r="W97" s="47"/>
      <c r="X97" s="29" t="s">
        <v>337</v>
      </c>
      <c r="Y97" s="20">
        <f ca="1">IFERROR(OFFSET('CPD PITSS'!$AN$8,MATCH('RESUMEN PITS'!C97,'CPD PITSS'!$B$9:$B$26,0),0),0)+IFERROR(OFFSET('IP PITSS'!$AL$8,MATCH('RESUMEN PITS'!C97,'IP PITSS'!$B$9:$B$91,0),0),0)+IFERROR(OFFSET('SIND PITS'!$S$2,MATCH('RESUMEN PITS'!C97,'SIND PITS'!$C$3:$C$103,0),0),0)</f>
        <v>4377.1400000000003</v>
      </c>
    </row>
    <row r="98" spans="1:244" s="29" customFormat="1" x14ac:dyDescent="0.2">
      <c r="A98" s="101" t="s">
        <v>374</v>
      </c>
      <c r="B98" s="21" t="s">
        <v>94</v>
      </c>
      <c r="C98" s="21" t="s">
        <v>342</v>
      </c>
      <c r="D98" s="21">
        <f>VLOOKUP(C98,'IP PITSS'!$B$9:$U$91,20,0)</f>
        <v>1359</v>
      </c>
      <c r="E98" s="103"/>
      <c r="F98" s="97">
        <f>VLOOKUP(C98,'SIND PITS'!$C$3:$H$104,2,0)</f>
        <v>57.400000000000091</v>
      </c>
      <c r="G98" s="97">
        <f>VLOOKUP(C98,'SIND PITS'!$C$3:$E$104,3,0)</f>
        <v>0</v>
      </c>
      <c r="H98" s="97">
        <f>VLOOKUP(C98,'SIND PITS'!$C$3:$F$104,4,0)</f>
        <v>0</v>
      </c>
      <c r="I98" s="97">
        <f>VLOOKUP(C98,'SIND PITS'!$C$3:$G$104,5,0)</f>
        <v>0</v>
      </c>
      <c r="J98" s="100"/>
      <c r="K98" s="97">
        <f t="shared" si="9"/>
        <v>1416.4</v>
      </c>
      <c r="L98" s="97">
        <v>5000</v>
      </c>
      <c r="M98" s="97">
        <f t="shared" si="11"/>
        <v>2500</v>
      </c>
      <c r="N98" s="100"/>
      <c r="O98" s="99">
        <f>VLOOKUP(C98,'IP PITSS'!$B$9:$I$91,8,0)</f>
        <v>0</v>
      </c>
      <c r="P98" s="97">
        <f t="shared" si="10"/>
        <v>0</v>
      </c>
      <c r="Q98" s="99">
        <f>VLOOKUP(C98,'IP PITSS'!$B$9:$K$91,10,0)+VLOOKUP('RESUMEN PITS'!C98,'IP PITSS'!$B$9:$L$91,11,0)+VLOOKUP('RESUMEN PITS'!C98,'IP PITSS'!$B$9:$M$91,12,0)</f>
        <v>0</v>
      </c>
      <c r="R98" s="99">
        <f>VLOOKUP(C98,'IP PITSS'!$B$9:$Q$91,16,0)</f>
        <v>0</v>
      </c>
      <c r="S98" s="99">
        <f>VLOOKUP(C98,'IP PITSS'!$B$9:$R$91,17,0)</f>
        <v>1083.5999999999999</v>
      </c>
      <c r="T98" s="100"/>
      <c r="U98" s="97">
        <f t="shared" si="12"/>
        <v>2500</v>
      </c>
      <c r="V98" s="99">
        <f t="shared" si="8"/>
        <v>0</v>
      </c>
      <c r="W98" s="47"/>
      <c r="Y98" s="20">
        <f ca="1">IFERROR(OFFSET('CPD PITSS'!$AN$8,MATCH('RESUMEN PITS'!C98,'CPD PITSS'!$B$9:$B$26,0),0),0)+IFERROR(OFFSET('IP PITSS'!$AL$8,MATCH('RESUMEN PITS'!C98,'IP PITSS'!$B$9:$B$91,0),0),0)+IFERROR(OFFSET('SIND PITS'!$S$2,MATCH('RESUMEN PITS'!C98,'SIND PITS'!$C$3:$C$103,0),0),0)</f>
        <v>3756.3610000000003</v>
      </c>
    </row>
    <row r="99" spans="1:244" s="29" customFormat="1" ht="15" x14ac:dyDescent="0.25">
      <c r="A99" s="110" t="s">
        <v>375</v>
      </c>
      <c r="B99" s="21" t="s">
        <v>94</v>
      </c>
      <c r="C99" s="110" t="s">
        <v>344</v>
      </c>
      <c r="D99" s="21">
        <f>VLOOKUP(C99,'IP PITSS'!$B$9:$U$91,20,0)</f>
        <v>2686.4</v>
      </c>
      <c r="E99" s="103"/>
      <c r="F99" s="97">
        <f>VLOOKUP(C99,'SIND PITS'!$C$3:$H$104,2,0)</f>
        <v>113.60000000000002</v>
      </c>
      <c r="G99" s="97">
        <f>VLOOKUP(C99,'SIND PITS'!$C$3:$E$104,3,0)</f>
        <v>325</v>
      </c>
      <c r="H99" s="97">
        <f>VLOOKUP(C99,'SIND PITS'!$C$3:$F$104,4,0)</f>
        <v>0</v>
      </c>
      <c r="I99" s="97">
        <f>VLOOKUP(C99,'SIND PITS'!$C$3:$G$104,5,0)</f>
        <v>0</v>
      </c>
      <c r="J99" s="100"/>
      <c r="K99" s="97">
        <f t="shared" si="9"/>
        <v>3125</v>
      </c>
      <c r="L99" s="97">
        <v>6000</v>
      </c>
      <c r="M99" s="97">
        <f t="shared" si="11"/>
        <v>3000</v>
      </c>
      <c r="N99" s="100"/>
      <c r="O99" s="99">
        <f>VLOOKUP(C99,'IP PITSS'!$B$9:$I$91,8,0)</f>
        <v>0</v>
      </c>
      <c r="P99" s="97">
        <f t="shared" si="10"/>
        <v>325</v>
      </c>
      <c r="Q99" s="99">
        <f>VLOOKUP(C99,'IP PITSS'!$B$9:$K$91,10,0)+VLOOKUP('RESUMEN PITS'!C99,'IP PITSS'!$B$9:$L$91,11,0)+VLOOKUP('RESUMEN PITS'!C99,'IP PITSS'!$B$9:$M$91,12,0)</f>
        <v>0</v>
      </c>
      <c r="R99" s="99">
        <f>VLOOKUP(C99,'IP PITSS'!$B$9:$Q$91,16,0)</f>
        <v>0</v>
      </c>
      <c r="S99" s="99">
        <f>VLOOKUP(C99,'IP PITSS'!$B$9:$R$91,17,0)</f>
        <v>0</v>
      </c>
      <c r="T99" s="100"/>
      <c r="U99" s="97">
        <f t="shared" si="12"/>
        <v>2800</v>
      </c>
      <c r="V99" s="99">
        <f t="shared" si="8"/>
        <v>200</v>
      </c>
      <c r="W99" s="47" t="s">
        <v>435</v>
      </c>
      <c r="Y99" s="20">
        <f ca="1">IFERROR(OFFSET('CPD PITSS'!$AN$8,MATCH('RESUMEN PITS'!C99,'CPD PITSS'!$B$9:$B$26,0),0),0)+IFERROR(OFFSET('IP PITSS'!$AL$8,MATCH('RESUMEN PITS'!C99,'IP PITSS'!$B$9:$B$91,0),0),0)+IFERROR(OFFSET('SIND PITS'!$S$2,MATCH('RESUMEN PITS'!C99,'SIND PITS'!$C$3:$C$103,0),0),0)</f>
        <v>4488.2300000000005</v>
      </c>
    </row>
    <row r="100" spans="1:244" s="29" customFormat="1" ht="14.25" customHeight="1" x14ac:dyDescent="0.25">
      <c r="A100" s="110"/>
      <c r="B100" s="21" t="s">
        <v>94</v>
      </c>
      <c r="C100" s="110" t="s">
        <v>282</v>
      </c>
      <c r="D100" s="21">
        <f>VLOOKUP(C100,'IP PITSS'!$B$9:$U$91,20,0)</f>
        <v>1311</v>
      </c>
      <c r="E100" s="103"/>
      <c r="F100" s="97">
        <f>VLOOKUP(C100,'SIND PITS'!$C$3:$H$104,2,0)</f>
        <v>211.42999999999984</v>
      </c>
      <c r="G100" s="97">
        <f>VLOOKUP(C100,'SIND PITS'!$C$3:$E$104,3,0)</f>
        <v>2642.92</v>
      </c>
      <c r="H100" s="97">
        <f>VLOOKUP(C100,'SIND PITS'!$C$3:$F$104,4,0)</f>
        <v>0</v>
      </c>
      <c r="I100" s="97">
        <f>VLOOKUP(C100,'SIND PITS'!$C$3:$G$104,5,0)</f>
        <v>0</v>
      </c>
      <c r="J100" s="100"/>
      <c r="K100" s="97">
        <f t="shared" si="9"/>
        <v>4165.3500000000004</v>
      </c>
      <c r="L100" s="97">
        <v>5000</v>
      </c>
      <c r="M100" s="97">
        <f t="shared" si="11"/>
        <v>2500</v>
      </c>
      <c r="N100" s="100"/>
      <c r="O100" s="99">
        <f>VLOOKUP(C100,'IP PITSS'!$B$9:$I$91,8,0)</f>
        <v>0</v>
      </c>
      <c r="P100" s="97">
        <f t="shared" si="10"/>
        <v>2642.92</v>
      </c>
      <c r="Q100" s="99">
        <f>VLOOKUP(C100,'IP PITSS'!$B$9:$K$91,10,0)+VLOOKUP('RESUMEN PITS'!C100,'IP PITSS'!$B$9:$L$91,11,0)+VLOOKUP('RESUMEN PITS'!C100,'IP PITSS'!$B$9:$M$91,12,0)</f>
        <v>977.57</v>
      </c>
      <c r="R100" s="99">
        <f>VLOOKUP(C100,'IP PITSS'!$B$9:$Q$91,16,0)</f>
        <v>0</v>
      </c>
      <c r="S100" s="99">
        <f>VLOOKUP(C100,'IP PITSS'!$B$9:$R$91,17,0)</f>
        <v>0</v>
      </c>
      <c r="T100" s="100"/>
      <c r="U100" s="97">
        <f t="shared" si="12"/>
        <v>2500.0000000000005</v>
      </c>
      <c r="V100" s="99">
        <f t="shared" si="8"/>
        <v>0</v>
      </c>
      <c r="W100" s="47"/>
      <c r="Y100" s="20">
        <f ca="1">IFERROR(OFFSET('CPD PITSS'!$AN$8,MATCH('RESUMEN PITS'!C100,'CPD PITSS'!$B$9:$B$26,0),0),0)+IFERROR(OFFSET('IP PITSS'!$AL$8,MATCH('RESUMEN PITS'!C100,'IP PITSS'!$B$9:$B$91,0),0),0)+IFERROR(OFFSET('SIND PITS'!$S$2,MATCH('RESUMEN PITS'!C100,'SIND PITS'!$C$3:$C$103,0),0),0)</f>
        <v>6403.2784000000001</v>
      </c>
    </row>
    <row r="101" spans="1:244" s="29" customFormat="1" ht="14.25" customHeight="1" x14ac:dyDescent="0.25">
      <c r="A101" s="110"/>
      <c r="B101" s="21" t="s">
        <v>94</v>
      </c>
      <c r="C101" s="110" t="s">
        <v>430</v>
      </c>
      <c r="D101" s="21">
        <f>VLOOKUP(C101,'IP PITSS'!$B$9:$U$91,20,0)</f>
        <v>2970.2</v>
      </c>
      <c r="E101" s="103"/>
      <c r="F101" s="97">
        <f>VLOOKUP(C101,'SIND PITS'!$C$3:$H$104,2,0)</f>
        <v>179.8</v>
      </c>
      <c r="G101" s="97">
        <f>VLOOKUP(C101,'SIND PITS'!$C$3:$E$104,3,0)</f>
        <v>0</v>
      </c>
      <c r="H101" s="97">
        <f>VLOOKUP(C101,'SIND PITS'!$C$3:$F$104,4,0)</f>
        <v>0</v>
      </c>
      <c r="I101" s="97">
        <f>VLOOKUP(C101,'SIND PITS'!$C$3:$G$104,5,0)</f>
        <v>0</v>
      </c>
      <c r="J101" s="100"/>
      <c r="K101" s="97">
        <f t="shared" si="9"/>
        <v>3150</v>
      </c>
      <c r="L101" s="97">
        <v>6300</v>
      </c>
      <c r="M101" s="97">
        <f t="shared" si="11"/>
        <v>3150</v>
      </c>
      <c r="N101" s="100"/>
      <c r="O101" s="99">
        <f>VLOOKUP(C101,'IP PITSS'!$B$9:$I$91,8,0)</f>
        <v>0</v>
      </c>
      <c r="P101" s="97"/>
      <c r="Q101" s="99">
        <f>VLOOKUP(C101,'IP PITSS'!$B$9:$K$91,10,0)+VLOOKUP('RESUMEN PITS'!C101,'IP PITSS'!$B$9:$L$91,11,0)+VLOOKUP('RESUMEN PITS'!C101,'IP PITSS'!$B$9:$M$91,12,0)</f>
        <v>0</v>
      </c>
      <c r="R101" s="99">
        <f>VLOOKUP(C101,'IP PITSS'!$B$9:$Q$91,16,0)</f>
        <v>0</v>
      </c>
      <c r="S101" s="99">
        <f>VLOOKUP(C101,'IP PITSS'!$B$9:$R$91,17,0)</f>
        <v>0</v>
      </c>
      <c r="T101" s="100"/>
      <c r="U101" s="97">
        <f t="shared" si="12"/>
        <v>3150</v>
      </c>
      <c r="V101" s="99">
        <f t="shared" si="8"/>
        <v>0</v>
      </c>
      <c r="W101" s="47"/>
      <c r="Y101" s="20">
        <f ca="1">IFERROR(OFFSET('CPD PITSS'!$AN$8,MATCH('RESUMEN PITS'!C101,'CPD PITSS'!$B$9:$B$26,0),0),0)+IFERROR(OFFSET('IP PITSS'!$AL$8,MATCH('RESUMEN PITS'!C101,'IP PITSS'!$B$9:$B$91,0),0),0)+IFERROR(OFFSET('SIND PITS'!$S$2,MATCH('RESUMEN PITS'!C101,'SIND PITS'!$C$3:$C$103,0),0),0)</f>
        <v>4555.1399999999994</v>
      </c>
    </row>
    <row r="102" spans="1:244" s="29" customFormat="1" ht="14.25" customHeight="1" x14ac:dyDescent="0.25">
      <c r="A102" s="110" t="s">
        <v>431</v>
      </c>
      <c r="B102" s="21" t="s">
        <v>94</v>
      </c>
      <c r="C102" s="110" t="s">
        <v>432</v>
      </c>
      <c r="D102" s="21">
        <f>VLOOKUP(C102,'IP PITSS'!$B$9:$U$91,20,0)</f>
        <v>973.8</v>
      </c>
      <c r="E102" s="103"/>
      <c r="F102" s="97">
        <f>VLOOKUP(C102,'SIND PITS'!$C$3:$H$104,2,0)</f>
        <v>0</v>
      </c>
      <c r="G102" s="97">
        <f>VLOOKUP(C102,'SIND PITS'!$C$3:$E$104,3,0)</f>
        <v>0</v>
      </c>
      <c r="H102" s="97">
        <f>VLOOKUP(C102,'SIND PITS'!$C$3:$F$104,4,0)</f>
        <v>0</v>
      </c>
      <c r="I102" s="97">
        <f>VLOOKUP(C102,'SIND PITS'!$C$3:$G$104,5,0)</f>
        <v>0</v>
      </c>
      <c r="J102" s="100"/>
      <c r="K102" s="97">
        <f t="shared" si="9"/>
        <v>973.8</v>
      </c>
      <c r="L102" s="97">
        <v>6300</v>
      </c>
      <c r="M102" s="97">
        <f t="shared" si="11"/>
        <v>3150</v>
      </c>
      <c r="N102" s="100"/>
      <c r="O102" s="99">
        <f>VLOOKUP(C102,'IP PITSS'!$B$9:$I$91,8,0)</f>
        <v>0</v>
      </c>
      <c r="P102" s="97"/>
      <c r="Q102" s="99">
        <f>VLOOKUP(C102,'IP PITSS'!$B$9:$K$91,10,0)+VLOOKUP('RESUMEN PITS'!C102,'IP PITSS'!$B$9:$L$91,11,0)+VLOOKUP('RESUMEN PITS'!C102,'IP PITSS'!$B$9:$M$91,12,0)</f>
        <v>0</v>
      </c>
      <c r="R102" s="99">
        <f>VLOOKUP(C102,'IP PITSS'!$B$9:$Q$91,16,0)</f>
        <v>0</v>
      </c>
      <c r="S102" s="99">
        <f>VLOOKUP(C102,'IP PITSS'!$B$9:$R$91,17,0)</f>
        <v>0</v>
      </c>
      <c r="T102" s="100"/>
      <c r="U102" s="97">
        <f t="shared" ref="U102:U103" si="13">+K102-O102-P102+Q102+R102+S102</f>
        <v>973.8</v>
      </c>
      <c r="V102" s="99">
        <f t="shared" ref="V102:V103" si="14">+M102-U102</f>
        <v>2176.1999999999998</v>
      </c>
      <c r="W102" s="47">
        <v>43612</v>
      </c>
      <c r="Y102" s="20">
        <f ca="1">IFERROR(OFFSET('CPD PITSS'!$AN$8,MATCH('RESUMEN PITS'!C102,'CPD PITSS'!$B$9:$B$26,0),0),0)+IFERROR(OFFSET('IP PITSS'!$AL$8,MATCH('RESUMEN PITS'!C102,'IP PITSS'!$B$9:$B$91,0),0),0)+IFERROR(OFFSET('SIND PITS'!$S$2,MATCH('RESUMEN PITS'!C102,'SIND PITS'!$C$3:$C$103,0),0),0)</f>
        <v>1668.376</v>
      </c>
    </row>
    <row r="103" spans="1:244" s="29" customFormat="1" ht="14.25" customHeight="1" x14ac:dyDescent="0.25">
      <c r="A103" s="110" t="s">
        <v>433</v>
      </c>
      <c r="B103" s="21" t="s">
        <v>94</v>
      </c>
      <c r="C103" s="110" t="s">
        <v>434</v>
      </c>
      <c r="D103" s="21">
        <f>VLOOKUP(C103,'IP PITSS'!$B$9:$U$91,20,0)</f>
        <v>1836.6</v>
      </c>
      <c r="E103" s="103"/>
      <c r="F103" s="97">
        <f>VLOOKUP(C103,'SIND PITS'!$C$3:$H$104,2,0)</f>
        <v>0</v>
      </c>
      <c r="G103" s="97">
        <f>VLOOKUP(C103,'SIND PITS'!$C$3:$E$104,3,0)</f>
        <v>0</v>
      </c>
      <c r="H103" s="97">
        <f>VLOOKUP(C103,'SIND PITS'!$C$3:$F$104,4,0)</f>
        <v>0</v>
      </c>
      <c r="I103" s="97">
        <f>VLOOKUP(C103,'SIND PITS'!$C$3:$G$104,5,0)</f>
        <v>0</v>
      </c>
      <c r="J103" s="100"/>
      <c r="K103" s="97">
        <f t="shared" si="9"/>
        <v>1836.6</v>
      </c>
      <c r="L103" s="97">
        <v>6000</v>
      </c>
      <c r="M103" s="97">
        <f t="shared" si="11"/>
        <v>3000</v>
      </c>
      <c r="N103" s="100"/>
      <c r="O103" s="99">
        <f>VLOOKUP(C103,'IP PITSS'!$B$9:$I$91,8,0)</f>
        <v>0</v>
      </c>
      <c r="P103" s="97"/>
      <c r="Q103" s="99">
        <f>VLOOKUP(C103,'IP PITSS'!$B$9:$K$91,10,0)+VLOOKUP('RESUMEN PITS'!C103,'IP PITSS'!$B$9:$L$91,11,0)+VLOOKUP('RESUMEN PITS'!C103,'IP PITSS'!$B$9:$M$91,12,0)</f>
        <v>0</v>
      </c>
      <c r="R103" s="99">
        <f>VLOOKUP(C103,'IP PITSS'!$B$9:$Q$91,16,0)</f>
        <v>0</v>
      </c>
      <c r="S103" s="99">
        <f>VLOOKUP(C103,'IP PITSS'!$B$9:$R$91,17,0)</f>
        <v>0</v>
      </c>
      <c r="T103" s="100"/>
      <c r="U103" s="97">
        <f t="shared" si="13"/>
        <v>1836.6</v>
      </c>
      <c r="V103" s="99">
        <f t="shared" si="14"/>
        <v>1163.4000000000001</v>
      </c>
      <c r="W103" s="47">
        <v>43607</v>
      </c>
      <c r="Y103" s="20">
        <f ca="1">IFERROR(OFFSET('CPD PITSS'!$AN$8,MATCH('RESUMEN PITS'!C103,'CPD PITSS'!$B$9:$B$26,0),0),0)+IFERROR(OFFSET('IP PITSS'!$AL$8,MATCH('RESUMEN PITS'!C103,'IP PITSS'!$B$9:$B$91,0),0),0)+IFERROR(OFFSET('SIND PITS'!$S$2,MATCH('RESUMEN PITS'!C103,'SIND PITS'!$C$3:$C$103,0),0),0)</f>
        <v>2830.7820000000002</v>
      </c>
    </row>
    <row r="104" spans="1:244" s="48" customFormat="1" ht="24.75" customHeight="1" x14ac:dyDescent="0.25">
      <c r="C104" s="48" t="s">
        <v>376</v>
      </c>
      <c r="D104" s="48">
        <f>SUBTOTAL(9,D3:D103)</f>
        <v>307444</v>
      </c>
      <c r="E104" s="48">
        <f t="shared" ref="E104:U104" si="15">SUBTOTAL(9,E3:E103)</f>
        <v>0</v>
      </c>
      <c r="F104" s="48">
        <f t="shared" si="15"/>
        <v>148724.26499999996</v>
      </c>
      <c r="G104" s="48">
        <f t="shared" si="15"/>
        <v>40633.43</v>
      </c>
      <c r="H104" s="48">
        <f t="shared" si="15"/>
        <v>2160</v>
      </c>
      <c r="I104" s="48">
        <f t="shared" si="15"/>
        <v>2804.1899000000003</v>
      </c>
      <c r="J104" s="48">
        <f t="shared" si="15"/>
        <v>0</v>
      </c>
      <c r="K104" s="48">
        <f t="shared" si="15"/>
        <v>501765.8849</v>
      </c>
      <c r="L104" s="48">
        <f t="shared" si="15"/>
        <v>1015831.01</v>
      </c>
      <c r="M104" s="48">
        <f t="shared" si="15"/>
        <v>507915.505</v>
      </c>
      <c r="N104" s="48">
        <f t="shared" si="15"/>
        <v>0</v>
      </c>
      <c r="O104" s="48">
        <f t="shared" si="15"/>
        <v>4923.87</v>
      </c>
      <c r="P104" s="48">
        <f t="shared" si="15"/>
        <v>45597.619899999998</v>
      </c>
      <c r="Q104" s="48">
        <f t="shared" si="15"/>
        <v>43577.640000000007</v>
      </c>
      <c r="R104" s="48">
        <f t="shared" si="15"/>
        <v>1236.5999999999999</v>
      </c>
      <c r="S104" s="48">
        <f t="shared" si="15"/>
        <v>8117.42</v>
      </c>
      <c r="T104" s="48">
        <f t="shared" si="15"/>
        <v>0</v>
      </c>
      <c r="U104" s="48">
        <f t="shared" si="15"/>
        <v>504176.05499999999</v>
      </c>
      <c r="V104" s="48">
        <f>SUBTOTAL(9,V3:V103)</f>
        <v>3739.4500000000003</v>
      </c>
      <c r="W104" s="48">
        <f>SUBTOTAL(9,W3:W100)</f>
        <v>0</v>
      </c>
      <c r="X104" s="48">
        <f>SUBTOTAL(9,X3:X100)</f>
        <v>0</v>
      </c>
      <c r="Y104" s="48">
        <f ca="1">SUM(Y3:Y99)</f>
        <v>694603.96779800043</v>
      </c>
      <c r="Z104" s="48">
        <f>SUM(Z3:Z99)</f>
        <v>0</v>
      </c>
      <c r="AA104" s="48">
        <f t="shared" ref="AA104:AE104" si="16">SUM(AA3:AA98)</f>
        <v>0</v>
      </c>
      <c r="AB104" s="48">
        <f t="shared" si="16"/>
        <v>0</v>
      </c>
      <c r="AC104" s="48">
        <f t="shared" si="16"/>
        <v>0</v>
      </c>
      <c r="AD104" s="48">
        <f t="shared" si="16"/>
        <v>0</v>
      </c>
      <c r="AE104" s="48">
        <f t="shared" si="16"/>
        <v>0</v>
      </c>
      <c r="AF104" s="48">
        <f>SUM(AF3:AF89)</f>
        <v>0</v>
      </c>
    </row>
    <row r="105" spans="1:244" s="49" customFormat="1" x14ac:dyDescent="0.2">
      <c r="C105" s="50"/>
      <c r="E105" s="40"/>
      <c r="J105" s="26"/>
      <c r="N105" s="26"/>
      <c r="T105" s="26"/>
      <c r="V105" s="46"/>
      <c r="W105" s="46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  <c r="GI105" s="41"/>
      <c r="GJ105" s="41"/>
      <c r="GK105" s="41"/>
      <c r="GL105" s="41"/>
      <c r="GM105" s="41"/>
      <c r="GN105" s="41"/>
      <c r="GO105" s="41"/>
      <c r="GP105" s="41"/>
      <c r="GQ105" s="41"/>
      <c r="GR105" s="41"/>
      <c r="GS105" s="41"/>
      <c r="GT105" s="41"/>
      <c r="GU105" s="41"/>
      <c r="GV105" s="41"/>
      <c r="GW105" s="41"/>
      <c r="GX105" s="41"/>
      <c r="GY105" s="41"/>
      <c r="GZ105" s="41"/>
      <c r="HA105" s="41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  <c r="HR105" s="41"/>
      <c r="HS105" s="41"/>
      <c r="HT105" s="41"/>
      <c r="HU105" s="41"/>
      <c r="HV105" s="41"/>
      <c r="HW105" s="41"/>
      <c r="HX105" s="41"/>
      <c r="HY105" s="41"/>
      <c r="HZ105" s="41"/>
      <c r="IA105" s="41"/>
      <c r="IB105" s="41"/>
      <c r="IC105" s="41"/>
      <c r="ID105" s="41"/>
      <c r="IE105" s="41"/>
      <c r="IF105" s="41"/>
      <c r="IG105" s="41"/>
      <c r="IH105" s="41"/>
      <c r="II105" s="41"/>
      <c r="IJ105" s="41"/>
    </row>
    <row r="106" spans="1:244" s="49" customFormat="1" x14ac:dyDescent="0.2">
      <c r="C106" s="50"/>
      <c r="E106" s="40"/>
      <c r="J106" s="26"/>
      <c r="N106" s="26"/>
      <c r="T106" s="26"/>
      <c r="V106" s="46"/>
      <c r="W106" s="46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41"/>
      <c r="GA106" s="41"/>
      <c r="GB106" s="41"/>
      <c r="GC106" s="41"/>
      <c r="GD106" s="41"/>
      <c r="GE106" s="41"/>
      <c r="GF106" s="41"/>
      <c r="GG106" s="41"/>
      <c r="GH106" s="41"/>
      <c r="GI106" s="41"/>
      <c r="GJ106" s="41"/>
      <c r="GK106" s="41"/>
      <c r="GL106" s="41"/>
      <c r="GM106" s="41"/>
      <c r="GN106" s="41"/>
      <c r="GO106" s="41"/>
      <c r="GP106" s="41"/>
      <c r="GQ106" s="41"/>
      <c r="GR106" s="41"/>
      <c r="GS106" s="41"/>
      <c r="GT106" s="41"/>
      <c r="GU106" s="41"/>
      <c r="GV106" s="41"/>
      <c r="GW106" s="41"/>
      <c r="GX106" s="41"/>
      <c r="GY106" s="41"/>
      <c r="GZ106" s="41"/>
      <c r="HA106" s="41"/>
      <c r="HB106" s="41"/>
      <c r="HC106" s="41"/>
      <c r="HD106" s="41"/>
      <c r="HE106" s="41"/>
      <c r="HF106" s="41"/>
      <c r="HG106" s="41"/>
      <c r="HH106" s="41"/>
      <c r="HI106" s="41"/>
      <c r="HJ106" s="41"/>
      <c r="HK106" s="41"/>
      <c r="HL106" s="41"/>
      <c r="HM106" s="41"/>
      <c r="HN106" s="41"/>
      <c r="HO106" s="41"/>
      <c r="HP106" s="41"/>
      <c r="HQ106" s="41"/>
      <c r="HR106" s="41"/>
      <c r="HS106" s="41"/>
      <c r="HT106" s="41"/>
      <c r="HU106" s="41"/>
      <c r="HV106" s="41"/>
      <c r="HW106" s="41"/>
      <c r="HX106" s="41"/>
      <c r="HY106" s="41"/>
      <c r="HZ106" s="41"/>
      <c r="IA106" s="41"/>
      <c r="IB106" s="41"/>
      <c r="IC106" s="41"/>
      <c r="ID106" s="41"/>
      <c r="IE106" s="41"/>
      <c r="IF106" s="41"/>
      <c r="IG106" s="41"/>
      <c r="IH106" s="41"/>
      <c r="II106" s="41"/>
      <c r="IJ106" s="41"/>
    </row>
    <row r="107" spans="1:244" x14ac:dyDescent="0.2">
      <c r="F107" s="18">
        <f>+F99+D99+H107</f>
        <v>2800</v>
      </c>
    </row>
  </sheetData>
  <autoFilter ref="A2:W106" xr:uid="{00000000-0009-0000-0000-000003000000}"/>
  <mergeCells count="4">
    <mergeCell ref="A1:D1"/>
    <mergeCell ref="F1:I1"/>
    <mergeCell ref="K1:M1"/>
    <mergeCell ref="O1:S1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8:I20"/>
  <sheetViews>
    <sheetView showGridLines="0" topLeftCell="A7" zoomScale="90" zoomScaleNormal="90" workbookViewId="0">
      <selection activeCell="C30" sqref="C30"/>
    </sheetView>
  </sheetViews>
  <sheetFormatPr baseColWidth="10" defaultRowHeight="15.75" x14ac:dyDescent="0.25"/>
  <cols>
    <col min="1" max="3" width="11.42578125" style="52"/>
    <col min="4" max="4" width="19.5703125" style="52" bestFit="1" customWidth="1"/>
    <col min="5" max="5" width="16.28515625" style="52" customWidth="1"/>
    <col min="6" max="6" width="16.5703125" style="52" bestFit="1" customWidth="1"/>
    <col min="7" max="7" width="11.42578125" style="52"/>
    <col min="8" max="8" width="18.7109375" style="52" customWidth="1"/>
    <col min="9" max="9" width="23.28515625" style="52" customWidth="1"/>
    <col min="10" max="16384" width="11.42578125" style="52"/>
  </cols>
  <sheetData>
    <row r="8" spans="4:9" ht="28.5" customHeight="1" x14ac:dyDescent="0.25">
      <c r="D8" s="126" t="s">
        <v>377</v>
      </c>
      <c r="E8" s="126"/>
      <c r="H8" s="127" t="s">
        <v>378</v>
      </c>
      <c r="I8" s="127"/>
    </row>
    <row r="9" spans="4:9" x14ac:dyDescent="0.25">
      <c r="D9" s="53" t="s">
        <v>379</v>
      </c>
      <c r="E9" s="54">
        <f>+'CPD PITSS'!M43</f>
        <v>131582.90176000001</v>
      </c>
      <c r="F9" s="54">
        <f>+'CPD PITSS'!M41</f>
        <v>113433.53600000001</v>
      </c>
      <c r="G9" s="54"/>
      <c r="H9" s="53" t="s">
        <v>379</v>
      </c>
      <c r="I9" s="54">
        <f>+'CPD PITSS'!M53</f>
        <v>6065.6935853685263</v>
      </c>
    </row>
    <row r="10" spans="4:9" x14ac:dyDescent="0.25">
      <c r="D10" s="53" t="s">
        <v>380</v>
      </c>
      <c r="E10" s="54">
        <f>+'IP PITSS'!J108</f>
        <v>461732.51691200008</v>
      </c>
      <c r="F10" s="54">
        <f>+'IP PITSS'!J106</f>
        <v>398045.27320000005</v>
      </c>
      <c r="G10" s="54"/>
      <c r="H10" s="53" t="s">
        <v>380</v>
      </c>
      <c r="I10" s="54">
        <f>+'IP PITSS'!J118</f>
        <v>19739.533378600358</v>
      </c>
    </row>
    <row r="11" spans="4:9" x14ac:dyDescent="0.25">
      <c r="D11" s="53" t="s">
        <v>381</v>
      </c>
      <c r="E11" s="54">
        <f>+'SIND PITS'!H115</f>
        <v>229921.65421368001</v>
      </c>
      <c r="F11" s="54">
        <f>+'SIND PITS'!H113</f>
        <v>198208.322598</v>
      </c>
      <c r="G11" s="54"/>
      <c r="H11" s="53"/>
      <c r="I11" s="55"/>
    </row>
    <row r="12" spans="4:9" x14ac:dyDescent="0.25">
      <c r="D12" s="54"/>
      <c r="E12" s="56">
        <f>+E9+E10+E11</f>
        <v>823237.07288568001</v>
      </c>
      <c r="F12" s="56">
        <f>+F9+F10+F11</f>
        <v>709687.13179800007</v>
      </c>
      <c r="G12" s="54"/>
      <c r="H12" s="54"/>
      <c r="I12" s="56">
        <f>+I9+I10+I11</f>
        <v>25805.226963968882</v>
      </c>
    </row>
    <row r="13" spans="4:9" x14ac:dyDescent="0.25">
      <c r="F13" s="54"/>
      <c r="G13" s="54"/>
    </row>
    <row r="14" spans="4:9" x14ac:dyDescent="0.25">
      <c r="D14" s="126" t="s">
        <v>382</v>
      </c>
      <c r="E14" s="126"/>
      <c r="F14" s="74" t="s">
        <v>437</v>
      </c>
      <c r="G14" s="54"/>
      <c r="H14" s="126" t="s">
        <v>382</v>
      </c>
      <c r="I14" s="126"/>
    </row>
    <row r="15" spans="4:9" x14ac:dyDescent="0.25">
      <c r="D15" s="53" t="s">
        <v>383</v>
      </c>
      <c r="E15" s="54">
        <f>+E12*4%</f>
        <v>32929.482915427201</v>
      </c>
      <c r="F15" s="54">
        <f>+F12*4%</f>
        <v>28387.485271920003</v>
      </c>
      <c r="G15" s="54"/>
      <c r="H15" s="53" t="s">
        <v>383</v>
      </c>
      <c r="I15" s="54">
        <f>+I12*4%</f>
        <v>1032.2090785587552</v>
      </c>
    </row>
    <row r="16" spans="4:9" x14ac:dyDescent="0.25">
      <c r="D16" s="53" t="s">
        <v>384</v>
      </c>
      <c r="E16" s="54">
        <f>+E12*12%</f>
        <v>98788.448746281603</v>
      </c>
      <c r="F16" s="54">
        <f>+F12*12%</f>
        <v>85162.455815760011</v>
      </c>
      <c r="G16" s="54"/>
      <c r="H16" s="53" t="s">
        <v>384</v>
      </c>
      <c r="I16" s="54">
        <f>+I12*12%</f>
        <v>3096.6272356762656</v>
      </c>
    </row>
    <row r="17" spans="4:9" x14ac:dyDescent="0.25">
      <c r="D17" s="53" t="s">
        <v>385</v>
      </c>
      <c r="E17" s="54">
        <f>+E12*11%</f>
        <v>90556.078017424807</v>
      </c>
      <c r="F17" s="54">
        <f>+F12*11%</f>
        <v>78065.584497780015</v>
      </c>
      <c r="G17" s="54"/>
      <c r="H17" s="53" t="s">
        <v>385</v>
      </c>
      <c r="I17" s="54">
        <f>+I12*11%</f>
        <v>2838.5749660365768</v>
      </c>
    </row>
    <row r="18" spans="4:9" x14ac:dyDescent="0.25">
      <c r="D18" s="53" t="s">
        <v>386</v>
      </c>
      <c r="E18" s="54">
        <f>+E12*73%</f>
        <v>600963.06320654636</v>
      </c>
      <c r="F18" s="54">
        <f>+F12*73%</f>
        <v>518071.60621254006</v>
      </c>
      <c r="H18" s="53" t="s">
        <v>386</v>
      </c>
      <c r="I18" s="54">
        <f>+I12*73%</f>
        <v>18837.815683697285</v>
      </c>
    </row>
    <row r="19" spans="4:9" x14ac:dyDescent="0.25">
      <c r="E19" s="57">
        <f>SUM(E15:E18)</f>
        <v>823237.07288568001</v>
      </c>
      <c r="F19" s="54"/>
      <c r="I19" s="57">
        <f>SUM(I15:I18)</f>
        <v>25805.226963968882</v>
      </c>
    </row>
    <row r="20" spans="4:9" x14ac:dyDescent="0.25">
      <c r="E20" s="54"/>
      <c r="F20" s="54"/>
    </row>
  </sheetData>
  <mergeCells count="4">
    <mergeCell ref="D8:E8"/>
    <mergeCell ref="H8:I8"/>
    <mergeCell ref="D14:E14"/>
    <mergeCell ref="H14:I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showGridLines="0" zoomScale="90" zoomScaleNormal="90" workbookViewId="0">
      <selection activeCell="I20" sqref="I20"/>
    </sheetView>
  </sheetViews>
  <sheetFormatPr baseColWidth="10" defaultRowHeight="15" x14ac:dyDescent="0.25"/>
  <cols>
    <col min="1" max="1" width="39.5703125" customWidth="1"/>
    <col min="2" max="2" width="16.85546875" customWidth="1"/>
    <col min="3" max="3" width="11.140625" customWidth="1"/>
    <col min="6" max="6" width="12.28515625" bestFit="1" customWidth="1"/>
    <col min="8" max="8" width="12.28515625" bestFit="1" customWidth="1"/>
    <col min="9" max="9" width="20.28515625" bestFit="1" customWidth="1"/>
  </cols>
  <sheetData>
    <row r="1" spans="1:9" x14ac:dyDescent="0.25">
      <c r="A1" s="58" t="s">
        <v>387</v>
      </c>
      <c r="B1" s="58"/>
      <c r="C1" s="58"/>
    </row>
    <row r="2" spans="1:9" x14ac:dyDescent="0.25">
      <c r="A2" s="58" t="s">
        <v>388</v>
      </c>
      <c r="B2" s="58"/>
      <c r="C2" s="58"/>
    </row>
    <row r="6" spans="1:9" ht="15.75" thickBot="1" x14ac:dyDescent="0.3">
      <c r="D6" s="59" t="s">
        <v>389</v>
      </c>
      <c r="E6" s="128" t="s">
        <v>390</v>
      </c>
      <c r="F6" s="129"/>
      <c r="G6" s="129"/>
      <c r="H6" s="129"/>
    </row>
    <row r="7" spans="1:9" ht="29.25" customHeight="1" x14ac:dyDescent="0.25">
      <c r="A7" s="60" t="s">
        <v>391</v>
      </c>
      <c r="B7" s="60" t="s">
        <v>392</v>
      </c>
      <c r="C7" s="60" t="s">
        <v>393</v>
      </c>
      <c r="D7" s="60" t="s">
        <v>394</v>
      </c>
      <c r="E7" s="60" t="s">
        <v>395</v>
      </c>
      <c r="F7" s="60" t="s">
        <v>396</v>
      </c>
      <c r="G7" s="60" t="s">
        <v>30</v>
      </c>
      <c r="H7" s="60" t="s">
        <v>87</v>
      </c>
    </row>
    <row r="8" spans="1:9" x14ac:dyDescent="0.25">
      <c r="A8" s="61" t="s">
        <v>397</v>
      </c>
      <c r="B8" s="62">
        <v>70000</v>
      </c>
      <c r="C8" s="62">
        <v>2865.8</v>
      </c>
      <c r="D8" s="63">
        <f>(B8/2)-C8</f>
        <v>32134.2</v>
      </c>
      <c r="E8" s="62">
        <f>+D8*0.02</f>
        <v>642.68400000000008</v>
      </c>
      <c r="F8" s="62">
        <f>+D8+E8</f>
        <v>32776.883999999998</v>
      </c>
      <c r="G8" s="62">
        <f>F8*0.16</f>
        <v>5244.3014400000002</v>
      </c>
      <c r="H8" s="62">
        <f>+F8+G8</f>
        <v>38021.185440000001</v>
      </c>
      <c r="I8" t="s">
        <v>398</v>
      </c>
    </row>
    <row r="9" spans="1:9" ht="24" customHeight="1" x14ac:dyDescent="0.25">
      <c r="A9" s="61"/>
      <c r="B9" s="62"/>
      <c r="C9" s="62"/>
      <c r="D9" s="64"/>
      <c r="E9" s="62"/>
      <c r="F9" s="62"/>
      <c r="G9" s="62"/>
      <c r="H9" s="62"/>
    </row>
    <row r="10" spans="1:9" s="58" customFormat="1" x14ac:dyDescent="0.25">
      <c r="A10" s="65" t="s">
        <v>399</v>
      </c>
      <c r="B10" s="66">
        <f t="shared" ref="B10:H10" si="0">SUM(B8:B8)</f>
        <v>70000</v>
      </c>
      <c r="C10" s="66">
        <f t="shared" si="0"/>
        <v>2865.8</v>
      </c>
      <c r="D10" s="67">
        <f t="shared" si="0"/>
        <v>32134.2</v>
      </c>
      <c r="E10" s="66">
        <f t="shared" si="0"/>
        <v>642.68400000000008</v>
      </c>
      <c r="F10" s="66">
        <f t="shared" si="0"/>
        <v>32776.883999999998</v>
      </c>
      <c r="G10" s="66">
        <f t="shared" si="0"/>
        <v>5244.3014400000002</v>
      </c>
      <c r="H10" s="66">
        <f t="shared" si="0"/>
        <v>38021.185440000001</v>
      </c>
    </row>
    <row r="11" spans="1:9" x14ac:dyDescent="0.25">
      <c r="A11" s="61"/>
      <c r="B11" s="61"/>
      <c r="C11" s="61"/>
      <c r="D11" s="61"/>
      <c r="E11" s="61"/>
      <c r="F11" s="61"/>
      <c r="G11" s="61"/>
      <c r="H11" s="61"/>
    </row>
    <row r="12" spans="1:9" x14ac:dyDescent="0.25">
      <c r="D12" s="68"/>
    </row>
    <row r="13" spans="1:9" x14ac:dyDescent="0.25">
      <c r="D13" s="69"/>
      <c r="E13" s="69"/>
      <c r="F13" s="68"/>
      <c r="G13" s="68"/>
      <c r="H13" s="68"/>
    </row>
    <row r="14" spans="1:9" x14ac:dyDescent="0.25">
      <c r="G14" s="70"/>
    </row>
  </sheetData>
  <mergeCells count="1">
    <mergeCell ref="E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CPD PITSS</vt:lpstr>
      <vt:lpstr>IP PITSS</vt:lpstr>
      <vt:lpstr>SIND PITS</vt:lpstr>
      <vt:lpstr>RESUMEN PITS</vt:lpstr>
      <vt:lpstr>FACTURACION</vt:lpstr>
      <vt:lpstr>ASIMILADOS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HG-LAP-03</dc:creator>
  <cp:lastModifiedBy>Alfonso Aguilar Aguirre</cp:lastModifiedBy>
  <dcterms:created xsi:type="dcterms:W3CDTF">2019-05-15T00:59:26Z</dcterms:created>
  <dcterms:modified xsi:type="dcterms:W3CDTF">2019-09-04T18:40:33Z</dcterms:modified>
</cp:coreProperties>
</file>