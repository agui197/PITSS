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aguilar\Documents\PITSS\rentabilidad tecnico\Pitss Latinoamerica, S.A. de C.V\"/>
    </mc:Choice>
  </mc:AlternateContent>
  <xr:revisionPtr revIDLastSave="0" documentId="13_ncr:1_{0ECEFAE0-3F5E-4333-9370-9A7297C7751B}" xr6:coauthVersionLast="41" xr6:coauthVersionMax="41" xr10:uidLastSave="{00000000-0000-0000-0000-000000000000}"/>
  <bookViews>
    <workbookView minimized="1" xWindow="5310" yWindow="4800" windowWidth="15375" windowHeight="7875" firstSheet="1" activeTab="3" xr2:uid="{00000000-000D-0000-FFFF-FFFF00000000}"/>
  </bookViews>
  <sheets>
    <sheet name="FACTURACION SINDICATO" sheetId="15" state="hidden" r:id="rId1"/>
    <sheet name="CPD PITS" sheetId="22" r:id="rId2"/>
    <sheet name="IP PITS" sheetId="24" r:id="rId3"/>
    <sheet name="SIND PITS" sheetId="27" r:id="rId4"/>
    <sheet name="RESUMEN" sheetId="26" state="hidden" r:id="rId5"/>
    <sheet name="RESUMEN PITS" sheetId="28" r:id="rId6"/>
    <sheet name="FACTURACION" sheetId="29" r:id="rId7"/>
    <sheet name="NETOS" sheetId="5" state="hidden" r:id="rId8"/>
    <sheet name="ABC" sheetId="7" state="hidden" r:id="rId9"/>
    <sheet name="Hoja4" sheetId="12" state="hidden" r:id="rId10"/>
  </sheets>
  <externalReferences>
    <externalReference r:id="rId11"/>
    <externalReference r:id="rId12"/>
  </externalReferences>
  <definedNames>
    <definedName name="_xlnm._FilterDatabase" localSheetId="1" hidden="1">'CPD PITS'!$A$5:$AI$26</definedName>
    <definedName name="_xlnm._FilterDatabase" localSheetId="2" hidden="1">'IP PITS'!$A$5:$AH$103</definedName>
    <definedName name="_xlnm._FilterDatabase" localSheetId="4" hidden="1">RESUMEN!$A$3:$AA$141</definedName>
    <definedName name="_xlnm._FilterDatabase" localSheetId="5" hidden="1">'RESUMEN PITS'!$A$2:$W$105</definedName>
    <definedName name="_xlnm._FilterDatabase" localSheetId="3" hidden="1">'SIND PITS'!$A$2:$N$100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3" i="27" l="1"/>
  <c r="D103" i="27" s="1"/>
  <c r="A92" i="24" l="1"/>
  <c r="A31" i="22" l="1"/>
  <c r="I23" i="28" l="1"/>
  <c r="I101" i="28"/>
  <c r="I102" i="28"/>
  <c r="H102" i="28"/>
  <c r="H4" i="28"/>
  <c r="H5" i="28"/>
  <c r="H6" i="28"/>
  <c r="H7" i="28"/>
  <c r="H8" i="28"/>
  <c r="H9" i="28"/>
  <c r="H10" i="28"/>
  <c r="H11" i="28"/>
  <c r="H12" i="28"/>
  <c r="H13" i="28"/>
  <c r="H14" i="28"/>
  <c r="H15" i="28"/>
  <c r="H16" i="28"/>
  <c r="H17" i="28"/>
  <c r="H18" i="28"/>
  <c r="H19" i="28"/>
  <c r="H20" i="28"/>
  <c r="H21" i="28"/>
  <c r="H22" i="28"/>
  <c r="H23" i="28"/>
  <c r="H24" i="28"/>
  <c r="H25" i="28"/>
  <c r="H26" i="28"/>
  <c r="H27" i="28"/>
  <c r="H28" i="28"/>
  <c r="H29" i="28"/>
  <c r="H30" i="28"/>
  <c r="H31" i="28"/>
  <c r="H32" i="28"/>
  <c r="H33" i="28"/>
  <c r="H34" i="28"/>
  <c r="H35" i="28"/>
  <c r="H36" i="28"/>
  <c r="H37" i="28"/>
  <c r="H38" i="28"/>
  <c r="H39" i="28"/>
  <c r="H40" i="28"/>
  <c r="H41" i="28"/>
  <c r="H42" i="28"/>
  <c r="H43" i="28"/>
  <c r="H44" i="28"/>
  <c r="H45" i="28"/>
  <c r="H46" i="28"/>
  <c r="H47" i="28"/>
  <c r="H48" i="28"/>
  <c r="H49" i="28"/>
  <c r="H50" i="28"/>
  <c r="H51" i="28"/>
  <c r="H52" i="28"/>
  <c r="H53" i="28"/>
  <c r="H54" i="28"/>
  <c r="H55" i="28"/>
  <c r="H56" i="28"/>
  <c r="H57" i="28"/>
  <c r="H58" i="28"/>
  <c r="H59" i="28"/>
  <c r="H60" i="28"/>
  <c r="H61" i="28"/>
  <c r="H62" i="28"/>
  <c r="H63" i="28"/>
  <c r="H64" i="28"/>
  <c r="H65" i="28"/>
  <c r="H66" i="28"/>
  <c r="H67" i="28"/>
  <c r="H68" i="28"/>
  <c r="H69" i="28"/>
  <c r="H70" i="28"/>
  <c r="H71" i="28"/>
  <c r="H72" i="28"/>
  <c r="H73" i="28"/>
  <c r="H74" i="28"/>
  <c r="H75" i="28"/>
  <c r="H76" i="28"/>
  <c r="H77" i="28"/>
  <c r="H78" i="28"/>
  <c r="H79" i="28"/>
  <c r="H80" i="28"/>
  <c r="H81" i="28"/>
  <c r="H82" i="28"/>
  <c r="H83" i="28"/>
  <c r="H84" i="28"/>
  <c r="H85" i="28"/>
  <c r="H86" i="28"/>
  <c r="H87" i="28"/>
  <c r="H88" i="28"/>
  <c r="H89" i="28"/>
  <c r="H90" i="28"/>
  <c r="H91" i="28"/>
  <c r="H92" i="28"/>
  <c r="H93" i="28"/>
  <c r="H94" i="28"/>
  <c r="H95" i="28"/>
  <c r="H96" i="28"/>
  <c r="H97" i="28"/>
  <c r="H98" i="28"/>
  <c r="H99" i="28"/>
  <c r="H100" i="28"/>
  <c r="H101" i="28"/>
  <c r="H3" i="28"/>
  <c r="G4" i="28"/>
  <c r="G5" i="28"/>
  <c r="G6" i="28"/>
  <c r="G7" i="28"/>
  <c r="G8" i="28"/>
  <c r="G9" i="28"/>
  <c r="G10" i="28"/>
  <c r="G11" i="28"/>
  <c r="G12" i="28"/>
  <c r="G13" i="28"/>
  <c r="G14" i="28"/>
  <c r="G15" i="28"/>
  <c r="G16" i="28"/>
  <c r="G17" i="28"/>
  <c r="G18" i="28"/>
  <c r="G19" i="28"/>
  <c r="G20" i="28"/>
  <c r="G21" i="28"/>
  <c r="G22" i="28"/>
  <c r="G23" i="28"/>
  <c r="G24" i="28"/>
  <c r="G25" i="28"/>
  <c r="G26" i="28"/>
  <c r="G27" i="28"/>
  <c r="G28" i="28"/>
  <c r="G29" i="28"/>
  <c r="G30" i="28"/>
  <c r="G31" i="28"/>
  <c r="G32" i="28"/>
  <c r="G33" i="28"/>
  <c r="G34" i="28"/>
  <c r="G35" i="28"/>
  <c r="G36" i="28"/>
  <c r="G37" i="28"/>
  <c r="G38" i="28"/>
  <c r="G39" i="28"/>
  <c r="G40" i="28"/>
  <c r="G41" i="28"/>
  <c r="G42" i="28"/>
  <c r="G43" i="28"/>
  <c r="G44" i="28"/>
  <c r="G45" i="28"/>
  <c r="G46" i="28"/>
  <c r="G47" i="28"/>
  <c r="G48" i="28"/>
  <c r="G49" i="28"/>
  <c r="G50" i="28"/>
  <c r="G51" i="28"/>
  <c r="G52" i="28"/>
  <c r="G53" i="28"/>
  <c r="G54" i="28"/>
  <c r="G55" i="28"/>
  <c r="G56" i="28"/>
  <c r="G57" i="28"/>
  <c r="G58" i="28"/>
  <c r="G59" i="28"/>
  <c r="G60" i="28"/>
  <c r="G61" i="28"/>
  <c r="G62" i="28"/>
  <c r="G63" i="28"/>
  <c r="G64" i="28"/>
  <c r="G65" i="28"/>
  <c r="G66" i="28"/>
  <c r="G67" i="28"/>
  <c r="G68" i="28"/>
  <c r="G69" i="28"/>
  <c r="G70" i="28"/>
  <c r="G71" i="28"/>
  <c r="G72" i="28"/>
  <c r="G73" i="28"/>
  <c r="G74" i="28"/>
  <c r="G75" i="28"/>
  <c r="G76" i="28"/>
  <c r="G77" i="28"/>
  <c r="G78" i="28"/>
  <c r="G79" i="28"/>
  <c r="G80" i="28"/>
  <c r="G81" i="28"/>
  <c r="G82" i="28"/>
  <c r="G83" i="28"/>
  <c r="G84" i="28"/>
  <c r="G85" i="28"/>
  <c r="G86" i="28"/>
  <c r="G87" i="28"/>
  <c r="G88" i="28"/>
  <c r="G89" i="28"/>
  <c r="G90" i="28"/>
  <c r="G91" i="28"/>
  <c r="G92" i="28"/>
  <c r="G93" i="28"/>
  <c r="G94" i="28"/>
  <c r="G95" i="28"/>
  <c r="G96" i="28"/>
  <c r="G97" i="28"/>
  <c r="G98" i="28"/>
  <c r="G99" i="28"/>
  <c r="G100" i="28"/>
  <c r="G101" i="28"/>
  <c r="P101" i="28" s="1"/>
  <c r="G102" i="28"/>
  <c r="G3" i="28"/>
  <c r="F4" i="28"/>
  <c r="F5" i="28"/>
  <c r="F6" i="28"/>
  <c r="F7" i="28"/>
  <c r="F8" i="28"/>
  <c r="F9" i="28"/>
  <c r="F10" i="28"/>
  <c r="F11" i="28"/>
  <c r="F12" i="28"/>
  <c r="F13" i="28"/>
  <c r="F14" i="28"/>
  <c r="F15" i="28"/>
  <c r="F16" i="28"/>
  <c r="F17" i="28"/>
  <c r="F18" i="28"/>
  <c r="F19" i="28"/>
  <c r="F20" i="28"/>
  <c r="F21" i="28"/>
  <c r="F22" i="28"/>
  <c r="F23" i="28"/>
  <c r="F24" i="28"/>
  <c r="F25" i="28"/>
  <c r="F26" i="28"/>
  <c r="F27" i="28"/>
  <c r="F28" i="28"/>
  <c r="F29" i="28"/>
  <c r="F30" i="28"/>
  <c r="F31" i="28"/>
  <c r="F32" i="28"/>
  <c r="F33" i="28"/>
  <c r="F34" i="28"/>
  <c r="F35" i="28"/>
  <c r="F36" i="28"/>
  <c r="F37" i="28"/>
  <c r="F38" i="28"/>
  <c r="F39" i="28"/>
  <c r="F40" i="28"/>
  <c r="F41" i="28"/>
  <c r="F42" i="28"/>
  <c r="F43" i="28"/>
  <c r="F44" i="28"/>
  <c r="F45" i="28"/>
  <c r="F46" i="28"/>
  <c r="F47" i="28"/>
  <c r="F48" i="28"/>
  <c r="F49" i="28"/>
  <c r="F50" i="28"/>
  <c r="F51" i="28"/>
  <c r="F52" i="28"/>
  <c r="F53" i="28"/>
  <c r="F54" i="28"/>
  <c r="F55" i="28"/>
  <c r="F56" i="28"/>
  <c r="F57" i="28"/>
  <c r="F58" i="28"/>
  <c r="F59" i="28"/>
  <c r="F60" i="28"/>
  <c r="F61" i="28"/>
  <c r="F62" i="28"/>
  <c r="F63" i="28"/>
  <c r="F64" i="28"/>
  <c r="F65" i="28"/>
  <c r="F66" i="28"/>
  <c r="F67" i="28"/>
  <c r="F68" i="28"/>
  <c r="F69" i="28"/>
  <c r="F70" i="28"/>
  <c r="F71" i="28"/>
  <c r="F72" i="28"/>
  <c r="F73" i="28"/>
  <c r="F74" i="28"/>
  <c r="F75" i="28"/>
  <c r="F76" i="28"/>
  <c r="F77" i="28"/>
  <c r="F78" i="28"/>
  <c r="F79" i="28"/>
  <c r="F80" i="28"/>
  <c r="F81" i="28"/>
  <c r="F82" i="28"/>
  <c r="F83" i="28"/>
  <c r="F84" i="28"/>
  <c r="F85" i="28"/>
  <c r="F86" i="28"/>
  <c r="F87" i="28"/>
  <c r="F88" i="28"/>
  <c r="F89" i="28"/>
  <c r="F90" i="28"/>
  <c r="F91" i="28"/>
  <c r="F92" i="28"/>
  <c r="F93" i="28"/>
  <c r="F94" i="28"/>
  <c r="F95" i="28"/>
  <c r="F96" i="28"/>
  <c r="F97" i="28"/>
  <c r="F98" i="28"/>
  <c r="F99" i="28"/>
  <c r="F100" i="28"/>
  <c r="F101" i="28"/>
  <c r="F102" i="28"/>
  <c r="F3" i="28"/>
  <c r="Q23" i="28"/>
  <c r="R23" i="28"/>
  <c r="S23" i="28"/>
  <c r="Q24" i="28"/>
  <c r="R24" i="28"/>
  <c r="S24" i="28"/>
  <c r="Q25" i="28"/>
  <c r="R25" i="28"/>
  <c r="S25" i="28"/>
  <c r="Q26" i="28"/>
  <c r="R26" i="28"/>
  <c r="S26" i="28"/>
  <c r="Q27" i="28"/>
  <c r="R27" i="28"/>
  <c r="S27" i="28"/>
  <c r="Q28" i="28"/>
  <c r="R28" i="28"/>
  <c r="S28" i="28"/>
  <c r="Q29" i="28"/>
  <c r="R29" i="28"/>
  <c r="S29" i="28"/>
  <c r="Q30" i="28"/>
  <c r="R30" i="28"/>
  <c r="S30" i="28"/>
  <c r="Q31" i="28"/>
  <c r="R31" i="28"/>
  <c r="S31" i="28"/>
  <c r="Q32" i="28"/>
  <c r="R32" i="28"/>
  <c r="S32" i="28"/>
  <c r="Q33" i="28"/>
  <c r="R33" i="28"/>
  <c r="S33" i="28"/>
  <c r="Q34" i="28"/>
  <c r="R34" i="28"/>
  <c r="S34" i="28"/>
  <c r="Q35" i="28"/>
  <c r="R35" i="28"/>
  <c r="S35" i="28"/>
  <c r="Q36" i="28"/>
  <c r="R36" i="28"/>
  <c r="S36" i="28"/>
  <c r="Q37" i="28"/>
  <c r="R37" i="28"/>
  <c r="S37" i="28"/>
  <c r="Q38" i="28"/>
  <c r="R38" i="28"/>
  <c r="S38" i="28"/>
  <c r="Q39" i="28"/>
  <c r="R39" i="28"/>
  <c r="S39" i="28"/>
  <c r="Q40" i="28"/>
  <c r="R40" i="28"/>
  <c r="S40" i="28"/>
  <c r="Q41" i="28"/>
  <c r="R41" i="28"/>
  <c r="S41" i="28"/>
  <c r="Q42" i="28"/>
  <c r="R42" i="28"/>
  <c r="S42" i="28"/>
  <c r="Q43" i="28"/>
  <c r="R43" i="28"/>
  <c r="S43" i="28"/>
  <c r="Q44" i="28"/>
  <c r="R44" i="28"/>
  <c r="S44" i="28"/>
  <c r="Q45" i="28"/>
  <c r="R45" i="28"/>
  <c r="S45" i="28"/>
  <c r="Q46" i="28"/>
  <c r="R46" i="28"/>
  <c r="S46" i="28"/>
  <c r="Q47" i="28"/>
  <c r="R47" i="28"/>
  <c r="S47" i="28"/>
  <c r="Q48" i="28"/>
  <c r="R48" i="28"/>
  <c r="S48" i="28"/>
  <c r="Q49" i="28"/>
  <c r="R49" i="28"/>
  <c r="S49" i="28"/>
  <c r="Q50" i="28"/>
  <c r="R50" i="28"/>
  <c r="S50" i="28"/>
  <c r="Q51" i="28"/>
  <c r="R51" i="28"/>
  <c r="S51" i="28"/>
  <c r="Q52" i="28"/>
  <c r="R52" i="28"/>
  <c r="S52" i="28"/>
  <c r="Q53" i="28"/>
  <c r="R53" i="28"/>
  <c r="S53" i="28"/>
  <c r="Q54" i="28"/>
  <c r="R54" i="28"/>
  <c r="S54" i="28"/>
  <c r="Q55" i="28"/>
  <c r="R55" i="28"/>
  <c r="S55" i="28"/>
  <c r="Q56" i="28"/>
  <c r="R56" i="28"/>
  <c r="S56" i="28"/>
  <c r="Q57" i="28"/>
  <c r="R57" i="28"/>
  <c r="S57" i="28"/>
  <c r="Q58" i="28"/>
  <c r="R58" i="28"/>
  <c r="S58" i="28"/>
  <c r="Q59" i="28"/>
  <c r="R59" i="28"/>
  <c r="S59" i="28"/>
  <c r="Q60" i="28"/>
  <c r="R60" i="28"/>
  <c r="S60" i="28"/>
  <c r="Q61" i="28"/>
  <c r="R61" i="28"/>
  <c r="S61" i="28"/>
  <c r="Q62" i="28"/>
  <c r="R62" i="28"/>
  <c r="S62" i="28"/>
  <c r="Q63" i="28"/>
  <c r="R63" i="28"/>
  <c r="S63" i="28"/>
  <c r="Q64" i="28"/>
  <c r="R64" i="28"/>
  <c r="S64" i="28"/>
  <c r="Q65" i="28"/>
  <c r="R65" i="28"/>
  <c r="S65" i="28"/>
  <c r="Q66" i="28"/>
  <c r="R66" i="28"/>
  <c r="S66" i="28"/>
  <c r="Q67" i="28"/>
  <c r="R67" i="28"/>
  <c r="S67" i="28"/>
  <c r="Q68" i="28"/>
  <c r="R68" i="28"/>
  <c r="S68" i="28"/>
  <c r="Q69" i="28"/>
  <c r="R69" i="28"/>
  <c r="S69" i="28"/>
  <c r="Q70" i="28"/>
  <c r="R70" i="28"/>
  <c r="S70" i="28"/>
  <c r="Q71" i="28"/>
  <c r="R71" i="28"/>
  <c r="S71" i="28"/>
  <c r="Q72" i="28"/>
  <c r="R72" i="28"/>
  <c r="S72" i="28"/>
  <c r="Q73" i="28"/>
  <c r="R73" i="28"/>
  <c r="S73" i="28"/>
  <c r="Q74" i="28"/>
  <c r="R74" i="28"/>
  <c r="S74" i="28"/>
  <c r="Q75" i="28"/>
  <c r="R75" i="28"/>
  <c r="S75" i="28"/>
  <c r="Q76" i="28"/>
  <c r="R76" i="28"/>
  <c r="S76" i="28"/>
  <c r="Q77" i="28"/>
  <c r="R77" i="28"/>
  <c r="S77" i="28"/>
  <c r="Q78" i="28"/>
  <c r="R78" i="28"/>
  <c r="S78" i="28"/>
  <c r="Q79" i="28"/>
  <c r="R79" i="28"/>
  <c r="S79" i="28"/>
  <c r="Q80" i="28"/>
  <c r="R80" i="28"/>
  <c r="S80" i="28"/>
  <c r="Q81" i="28"/>
  <c r="R81" i="28"/>
  <c r="S81" i="28"/>
  <c r="Q82" i="28"/>
  <c r="R82" i="28"/>
  <c r="S82" i="28"/>
  <c r="Q83" i="28"/>
  <c r="R83" i="28"/>
  <c r="S83" i="28"/>
  <c r="Q84" i="28"/>
  <c r="R84" i="28"/>
  <c r="S84" i="28"/>
  <c r="Q85" i="28"/>
  <c r="R85" i="28"/>
  <c r="S85" i="28"/>
  <c r="Q86" i="28"/>
  <c r="R86" i="28"/>
  <c r="S86" i="28"/>
  <c r="Q87" i="28"/>
  <c r="R87" i="28"/>
  <c r="S87" i="28"/>
  <c r="Q88" i="28"/>
  <c r="R88" i="28"/>
  <c r="S88" i="28"/>
  <c r="Q89" i="28"/>
  <c r="R89" i="28"/>
  <c r="S89" i="28"/>
  <c r="Q90" i="28"/>
  <c r="R90" i="28"/>
  <c r="S90" i="28"/>
  <c r="Q91" i="28"/>
  <c r="R91" i="28"/>
  <c r="S91" i="28"/>
  <c r="Q92" i="28"/>
  <c r="R92" i="28"/>
  <c r="S92" i="28"/>
  <c r="Q93" i="28"/>
  <c r="R93" i="28"/>
  <c r="S93" i="28"/>
  <c r="Q94" i="28"/>
  <c r="R94" i="28"/>
  <c r="S94" i="28"/>
  <c r="Q95" i="28"/>
  <c r="R95" i="28"/>
  <c r="S95" i="28"/>
  <c r="Q96" i="28"/>
  <c r="R96" i="28"/>
  <c r="S96" i="28"/>
  <c r="Q97" i="28"/>
  <c r="R97" i="28"/>
  <c r="S97" i="28"/>
  <c r="Q98" i="28"/>
  <c r="R98" i="28"/>
  <c r="S98" i="28"/>
  <c r="Q99" i="28"/>
  <c r="R99" i="28"/>
  <c r="S99" i="28"/>
  <c r="Q100" i="28"/>
  <c r="R100" i="28"/>
  <c r="S100" i="28"/>
  <c r="Q101" i="28"/>
  <c r="R101" i="28"/>
  <c r="S101" i="28"/>
  <c r="Q102" i="28"/>
  <c r="R102" i="28"/>
  <c r="S102" i="28"/>
  <c r="L103" i="28"/>
  <c r="H3" i="27"/>
  <c r="H100" i="27"/>
  <c r="P23" i="28" l="1"/>
  <c r="P102" i="28"/>
  <c r="D23" i="28"/>
  <c r="D24" i="28"/>
  <c r="D25" i="28"/>
  <c r="D26" i="28"/>
  <c r="D27" i="28"/>
  <c r="D28" i="28"/>
  <c r="D29" i="28"/>
  <c r="D30" i="28"/>
  <c r="D31" i="28"/>
  <c r="D32" i="28"/>
  <c r="D33" i="28"/>
  <c r="D34" i="28"/>
  <c r="D35" i="28"/>
  <c r="D36" i="28"/>
  <c r="D37" i="28"/>
  <c r="D38" i="28"/>
  <c r="D39" i="28"/>
  <c r="D40" i="28"/>
  <c r="D41" i="28"/>
  <c r="D42" i="28"/>
  <c r="D43" i="28"/>
  <c r="D44" i="28"/>
  <c r="D45" i="28"/>
  <c r="D46" i="28"/>
  <c r="D47" i="28"/>
  <c r="D48" i="28"/>
  <c r="D49" i="28"/>
  <c r="D50" i="28"/>
  <c r="D51" i="28"/>
  <c r="D52" i="28"/>
  <c r="D53" i="28"/>
  <c r="D54" i="28"/>
  <c r="D55" i="28"/>
  <c r="D56" i="28"/>
  <c r="D57" i="28"/>
  <c r="D58" i="28"/>
  <c r="D59" i="28"/>
  <c r="D60" i="28"/>
  <c r="D61" i="28"/>
  <c r="D62" i="28"/>
  <c r="D63" i="28"/>
  <c r="D64" i="28"/>
  <c r="D65" i="28"/>
  <c r="D66" i="28"/>
  <c r="D67" i="28"/>
  <c r="D68" i="28"/>
  <c r="D69" i="28"/>
  <c r="D70" i="28"/>
  <c r="D71" i="28"/>
  <c r="D72" i="28"/>
  <c r="D73" i="28"/>
  <c r="D74" i="28"/>
  <c r="D75" i="28"/>
  <c r="D76" i="28"/>
  <c r="D77" i="28"/>
  <c r="D78" i="28"/>
  <c r="D79" i="28"/>
  <c r="D80" i="28"/>
  <c r="D81" i="28"/>
  <c r="D82" i="28"/>
  <c r="D83" i="28"/>
  <c r="D84" i="28"/>
  <c r="D85" i="28"/>
  <c r="D86" i="28"/>
  <c r="D87" i="28"/>
  <c r="D88" i="28"/>
  <c r="D89" i="28"/>
  <c r="D90" i="28"/>
  <c r="D91" i="28"/>
  <c r="D92" i="28"/>
  <c r="D93" i="28"/>
  <c r="D94" i="28"/>
  <c r="D95" i="28"/>
  <c r="D96" i="28"/>
  <c r="D97" i="28"/>
  <c r="D98" i="28"/>
  <c r="D99" i="28"/>
  <c r="D100" i="28"/>
  <c r="D101" i="28"/>
  <c r="K101" i="28" s="1"/>
  <c r="D102" i="28"/>
  <c r="K102" i="28" s="1"/>
  <c r="D22" i="28"/>
  <c r="U102" i="28" l="1"/>
  <c r="V102" i="28" s="1"/>
  <c r="U101" i="28"/>
  <c r="V101" i="28" s="1"/>
  <c r="E103" i="27"/>
  <c r="F103" i="27"/>
  <c r="I103" i="27"/>
  <c r="K103" i="27"/>
  <c r="M100" i="27"/>
  <c r="M3" i="27"/>
  <c r="M5" i="27"/>
  <c r="M6" i="27"/>
  <c r="M7" i="27"/>
  <c r="M10" i="27"/>
  <c r="M14" i="27"/>
  <c r="M16" i="27"/>
  <c r="M17" i="27"/>
  <c r="M18" i="27"/>
  <c r="M19" i="27"/>
  <c r="M20" i="27"/>
  <c r="M21" i="27"/>
  <c r="M22" i="27"/>
  <c r="M23" i="27"/>
  <c r="M24" i="27"/>
  <c r="M25" i="27"/>
  <c r="M26" i="27"/>
  <c r="M27" i="27"/>
  <c r="M28" i="27"/>
  <c r="M29" i="27"/>
  <c r="M31" i="27"/>
  <c r="M32" i="27"/>
  <c r="M33" i="27"/>
  <c r="M34" i="27"/>
  <c r="M35" i="27"/>
  <c r="M36" i="27"/>
  <c r="M37" i="27"/>
  <c r="M38" i="27"/>
  <c r="M40" i="27"/>
  <c r="M41" i="27"/>
  <c r="M42" i="27"/>
  <c r="M43" i="27"/>
  <c r="M45" i="27"/>
  <c r="M46" i="27"/>
  <c r="M48" i="27"/>
  <c r="M49" i="27"/>
  <c r="M50" i="27"/>
  <c r="M51" i="27"/>
  <c r="M52" i="27"/>
  <c r="M53" i="27"/>
  <c r="M54" i="27"/>
  <c r="M55" i="27"/>
  <c r="M56" i="27"/>
  <c r="M58" i="27"/>
  <c r="M59" i="27"/>
  <c r="M60" i="27"/>
  <c r="M61" i="27"/>
  <c r="M62" i="27"/>
  <c r="M63" i="27"/>
  <c r="M64" i="27"/>
  <c r="M65" i="27"/>
  <c r="M66" i="27"/>
  <c r="M67" i="27"/>
  <c r="M68" i="27"/>
  <c r="M69" i="27"/>
  <c r="M70" i="27"/>
  <c r="M72" i="27"/>
  <c r="M73" i="27"/>
  <c r="M76" i="27"/>
  <c r="M77" i="27"/>
  <c r="M79" i="27"/>
  <c r="M80" i="27"/>
  <c r="M81" i="27"/>
  <c r="M83" i="27"/>
  <c r="M84" i="27"/>
  <c r="M85" i="27"/>
  <c r="M86" i="27"/>
  <c r="M88" i="27"/>
  <c r="M89" i="27"/>
  <c r="M90" i="27"/>
  <c r="M91" i="27"/>
  <c r="M92" i="27"/>
  <c r="M94" i="27"/>
  <c r="M95" i="27"/>
  <c r="M96" i="27"/>
  <c r="M97" i="27"/>
  <c r="M98" i="27"/>
  <c r="M99" i="27"/>
  <c r="M102" i="27"/>
  <c r="M4" i="27"/>
  <c r="M8" i="27"/>
  <c r="M9" i="27"/>
  <c r="M11" i="27"/>
  <c r="M12" i="27"/>
  <c r="M13" i="27"/>
  <c r="M15" i="27"/>
  <c r="M30" i="27"/>
  <c r="M39" i="27"/>
  <c r="M44" i="27"/>
  <c r="M47" i="27"/>
  <c r="M57" i="27"/>
  <c r="M71" i="27"/>
  <c r="M74" i="27"/>
  <c r="M75" i="27"/>
  <c r="M78" i="27"/>
  <c r="M82" i="27"/>
  <c r="M87" i="27"/>
  <c r="M101" i="27"/>
  <c r="M93" i="27"/>
  <c r="J3" i="27"/>
  <c r="L3" i="27" s="1"/>
  <c r="J100" i="27"/>
  <c r="L100" i="27" s="1"/>
  <c r="J5" i="27"/>
  <c r="J6" i="27"/>
  <c r="J7" i="27"/>
  <c r="J10" i="27"/>
  <c r="J14" i="27"/>
  <c r="J16" i="27"/>
  <c r="J17" i="27"/>
  <c r="J18" i="27"/>
  <c r="J19" i="27"/>
  <c r="J20" i="27"/>
  <c r="J21" i="27"/>
  <c r="J22" i="27"/>
  <c r="J23" i="27"/>
  <c r="J24" i="27"/>
  <c r="J25" i="27"/>
  <c r="J26" i="27"/>
  <c r="J27" i="27"/>
  <c r="J28" i="27"/>
  <c r="J29" i="27"/>
  <c r="J31" i="27"/>
  <c r="J32" i="27"/>
  <c r="J33" i="27"/>
  <c r="J34" i="27"/>
  <c r="J35" i="27"/>
  <c r="J36" i="27"/>
  <c r="J37" i="27"/>
  <c r="J38" i="27"/>
  <c r="J40" i="27"/>
  <c r="J41" i="27"/>
  <c r="J42" i="27"/>
  <c r="J43" i="27"/>
  <c r="J45" i="27"/>
  <c r="J46" i="27"/>
  <c r="J48" i="27"/>
  <c r="J49" i="27"/>
  <c r="J50" i="27"/>
  <c r="J51" i="27"/>
  <c r="J52" i="27"/>
  <c r="J53" i="27"/>
  <c r="J54" i="27"/>
  <c r="J55" i="27"/>
  <c r="J56" i="27"/>
  <c r="J58" i="27"/>
  <c r="J59" i="27"/>
  <c r="J60" i="27"/>
  <c r="J61" i="27"/>
  <c r="J62" i="27"/>
  <c r="J63" i="27"/>
  <c r="J64" i="27"/>
  <c r="J65" i="27"/>
  <c r="J66" i="27"/>
  <c r="J67" i="27"/>
  <c r="J68" i="27"/>
  <c r="J69" i="27"/>
  <c r="J70" i="27"/>
  <c r="J72" i="27"/>
  <c r="J73" i="27"/>
  <c r="J76" i="27"/>
  <c r="J77" i="27"/>
  <c r="J79" i="27"/>
  <c r="J80" i="27"/>
  <c r="J81" i="27"/>
  <c r="J83" i="27"/>
  <c r="J84" i="27"/>
  <c r="J85" i="27"/>
  <c r="J86" i="27"/>
  <c r="J88" i="27"/>
  <c r="J89" i="27"/>
  <c r="J90" i="27"/>
  <c r="J91" i="27"/>
  <c r="J92" i="27"/>
  <c r="J94" i="27"/>
  <c r="J95" i="27"/>
  <c r="J96" i="27"/>
  <c r="J97" i="27"/>
  <c r="J98" i="27"/>
  <c r="J99" i="27"/>
  <c r="J102" i="27"/>
  <c r="J4" i="27"/>
  <c r="J101" i="27"/>
  <c r="J8" i="27"/>
  <c r="J9" i="27"/>
  <c r="J11" i="27"/>
  <c r="J12" i="27"/>
  <c r="J13" i="27"/>
  <c r="J15" i="27"/>
  <c r="J30" i="27"/>
  <c r="J39" i="27"/>
  <c r="J44" i="27"/>
  <c r="J47" i="27"/>
  <c r="J57" i="27"/>
  <c r="J71" i="27"/>
  <c r="J74" i="27"/>
  <c r="J75" i="27"/>
  <c r="J78" i="27"/>
  <c r="J82" i="27"/>
  <c r="J87" i="27"/>
  <c r="J93" i="27"/>
  <c r="D88" i="24"/>
  <c r="E88" i="24"/>
  <c r="F88" i="24"/>
  <c r="G88" i="24"/>
  <c r="H88" i="24"/>
  <c r="I88" i="24"/>
  <c r="J88" i="24"/>
  <c r="J99" i="24" s="1"/>
  <c r="K88" i="24"/>
  <c r="L88" i="24"/>
  <c r="M88" i="24"/>
  <c r="N88" i="24"/>
  <c r="O88" i="24"/>
  <c r="P88" i="24"/>
  <c r="Q88" i="24"/>
  <c r="J93" i="24" s="1"/>
  <c r="R88" i="24"/>
  <c r="J91" i="24" s="1"/>
  <c r="S88" i="24"/>
  <c r="J94" i="24" s="1"/>
  <c r="T88" i="24"/>
  <c r="U88" i="24"/>
  <c r="V88" i="24"/>
  <c r="J90" i="24" s="1"/>
  <c r="W88" i="24"/>
  <c r="X88" i="24"/>
  <c r="Y88" i="24"/>
  <c r="Z88" i="24"/>
  <c r="AA88" i="24"/>
  <c r="AB88" i="24"/>
  <c r="AC88" i="24"/>
  <c r="AD88" i="24"/>
  <c r="AE88" i="24"/>
  <c r="AF88" i="24"/>
  <c r="J107" i="24" s="1"/>
  <c r="AG88" i="24"/>
  <c r="C88" i="24"/>
  <c r="S21" i="28"/>
  <c r="S4" i="28"/>
  <c r="S5" i="28"/>
  <c r="S6" i="28"/>
  <c r="S7" i="28"/>
  <c r="S8" i="28"/>
  <c r="S9" i="28"/>
  <c r="S10" i="28"/>
  <c r="S11" i="28"/>
  <c r="S12" i="28"/>
  <c r="S13" i="28"/>
  <c r="S14" i="28"/>
  <c r="S15" i="28"/>
  <c r="S16" i="28"/>
  <c r="S17" i="28"/>
  <c r="S18" i="28"/>
  <c r="S19" i="28"/>
  <c r="S20" i="28"/>
  <c r="S3" i="28"/>
  <c r="Q4" i="28"/>
  <c r="Q5" i="28"/>
  <c r="Q6" i="28"/>
  <c r="Q7" i="28"/>
  <c r="Q8" i="28"/>
  <c r="Q9" i="28"/>
  <c r="Q10" i="28"/>
  <c r="Q11" i="28"/>
  <c r="Q12" i="28"/>
  <c r="Q13" i="28"/>
  <c r="Q14" i="28"/>
  <c r="Q15" i="28"/>
  <c r="Q16" i="28"/>
  <c r="Q17" i="28"/>
  <c r="Q18" i="28"/>
  <c r="Q19" i="28"/>
  <c r="Q20" i="28"/>
  <c r="Q21" i="28"/>
  <c r="Q3" i="28"/>
  <c r="O4" i="28"/>
  <c r="O5" i="28"/>
  <c r="O6" i="28"/>
  <c r="O7" i="28"/>
  <c r="O8" i="28"/>
  <c r="O9" i="28"/>
  <c r="O10" i="28"/>
  <c r="O11" i="28"/>
  <c r="O12" i="28"/>
  <c r="O13" i="28"/>
  <c r="O14" i="28"/>
  <c r="O15" i="28"/>
  <c r="O16" i="28"/>
  <c r="O17" i="28"/>
  <c r="O18" i="28"/>
  <c r="O19" i="28"/>
  <c r="O20" i="28"/>
  <c r="O21" i="28"/>
  <c r="O3" i="28"/>
  <c r="D4" i="28"/>
  <c r="D5" i="28"/>
  <c r="D6" i="28"/>
  <c r="D7" i="28"/>
  <c r="D8" i="28"/>
  <c r="D9" i="28"/>
  <c r="D10" i="28"/>
  <c r="D11" i="28"/>
  <c r="D12" i="28"/>
  <c r="D13" i="28"/>
  <c r="D14" i="28"/>
  <c r="D15" i="28"/>
  <c r="D16" i="28"/>
  <c r="D17" i="28"/>
  <c r="D18" i="28"/>
  <c r="D19" i="28"/>
  <c r="D20" i="28"/>
  <c r="D21" i="28"/>
  <c r="D3" i="28"/>
  <c r="H70" i="27"/>
  <c r="J98" i="24" l="1"/>
  <c r="J92" i="24"/>
  <c r="J95" i="24" s="1"/>
  <c r="N3" i="27"/>
  <c r="N100" i="27"/>
  <c r="J103" i="27"/>
  <c r="M103" i="27"/>
  <c r="J96" i="24" l="1"/>
  <c r="J97" i="24"/>
  <c r="J100" i="24" s="1"/>
  <c r="S22" i="28"/>
  <c r="R22" i="28"/>
  <c r="Q22" i="28"/>
  <c r="O23" i="28"/>
  <c r="O24" i="28"/>
  <c r="O25" i="28"/>
  <c r="O26" i="28"/>
  <c r="O27" i="28"/>
  <c r="O28" i="28"/>
  <c r="O29" i="28"/>
  <c r="O30" i="28"/>
  <c r="O31" i="28"/>
  <c r="O32" i="28"/>
  <c r="O33" i="28"/>
  <c r="O34" i="28"/>
  <c r="O35" i="28"/>
  <c r="O36" i="28"/>
  <c r="O37" i="28"/>
  <c r="O38" i="28"/>
  <c r="O39" i="28"/>
  <c r="O40" i="28"/>
  <c r="O41" i="28"/>
  <c r="O42" i="28"/>
  <c r="O43" i="28"/>
  <c r="O44" i="28"/>
  <c r="O45" i="28"/>
  <c r="O46" i="28"/>
  <c r="O47" i="28"/>
  <c r="O48" i="28"/>
  <c r="O49" i="28"/>
  <c r="O50" i="28"/>
  <c r="O51" i="28"/>
  <c r="O52" i="28"/>
  <c r="O53" i="28"/>
  <c r="O54" i="28"/>
  <c r="O55" i="28"/>
  <c r="O56" i="28"/>
  <c r="O57" i="28"/>
  <c r="O58" i="28"/>
  <c r="O59" i="28"/>
  <c r="O60" i="28"/>
  <c r="O61" i="28"/>
  <c r="O62" i="28"/>
  <c r="O63" i="28"/>
  <c r="O64" i="28"/>
  <c r="O65" i="28"/>
  <c r="O66" i="28"/>
  <c r="O67" i="28"/>
  <c r="O68" i="28"/>
  <c r="O69" i="28"/>
  <c r="O70" i="28"/>
  <c r="O71" i="28"/>
  <c r="O72" i="28"/>
  <c r="O73" i="28"/>
  <c r="O74" i="28"/>
  <c r="O75" i="28"/>
  <c r="O76" i="28"/>
  <c r="O77" i="28"/>
  <c r="O78" i="28"/>
  <c r="O79" i="28"/>
  <c r="O80" i="28"/>
  <c r="O81" i="28"/>
  <c r="O82" i="28"/>
  <c r="O83" i="28"/>
  <c r="O84" i="28"/>
  <c r="O85" i="28"/>
  <c r="O86" i="28"/>
  <c r="O87" i="28"/>
  <c r="O88" i="28"/>
  <c r="O89" i="28"/>
  <c r="O90" i="28"/>
  <c r="O91" i="28"/>
  <c r="O92" i="28"/>
  <c r="O93" i="28"/>
  <c r="O94" i="28"/>
  <c r="O95" i="28"/>
  <c r="O96" i="28"/>
  <c r="O97" i="28"/>
  <c r="O98" i="28"/>
  <c r="O99" i="28"/>
  <c r="O100" i="28"/>
  <c r="O22" i="28"/>
  <c r="J102" i="24" l="1"/>
  <c r="J103" i="24" s="1"/>
  <c r="E10" i="29" s="1"/>
  <c r="K23" i="28"/>
  <c r="D103" i="28"/>
  <c r="U23" i="28" l="1"/>
  <c r="V23" i="28" s="1"/>
  <c r="F103" i="28" l="1"/>
  <c r="H103" i="28"/>
  <c r="J103" i="28"/>
  <c r="M103" i="28"/>
  <c r="N103" i="28"/>
  <c r="O103" i="28"/>
  <c r="Q103" i="28"/>
  <c r="R103" i="28"/>
  <c r="S103" i="28"/>
  <c r="T103" i="28"/>
  <c r="W103" i="28"/>
  <c r="AF103" i="28"/>
  <c r="AE103" i="28"/>
  <c r="AD103" i="28"/>
  <c r="AC103" i="28"/>
  <c r="AB103" i="28"/>
  <c r="AA103" i="28"/>
  <c r="Z103" i="28"/>
  <c r="Y103" i="28"/>
  <c r="X103" i="28"/>
  <c r="L32" i="27"/>
  <c r="L21" i="27"/>
  <c r="L72" i="27"/>
  <c r="L26" i="27"/>
  <c r="L25" i="27"/>
  <c r="L92" i="27"/>
  <c r="L48" i="27"/>
  <c r="L6" i="27"/>
  <c r="L38" i="27"/>
  <c r="L14" i="27"/>
  <c r="L49" i="27"/>
  <c r="L34" i="27"/>
  <c r="L23" i="27"/>
  <c r="L54" i="27"/>
  <c r="L33" i="27"/>
  <c r="L27" i="27"/>
  <c r="L98" i="27"/>
  <c r="G75" i="27"/>
  <c r="L74" i="27"/>
  <c r="L9" i="27"/>
  <c r="V32" i="26"/>
  <c r="V33" i="26"/>
  <c r="V34" i="26"/>
  <c r="V35" i="26"/>
  <c r="V36" i="26"/>
  <c r="V37" i="26"/>
  <c r="V38" i="26"/>
  <c r="V39" i="26"/>
  <c r="V40" i="26"/>
  <c r="V41" i="26"/>
  <c r="V42" i="26"/>
  <c r="V43" i="26"/>
  <c r="V44" i="26"/>
  <c r="V45" i="26"/>
  <c r="V46" i="26"/>
  <c r="V47" i="26"/>
  <c r="V48" i="26"/>
  <c r="V49" i="26"/>
  <c r="V50" i="26"/>
  <c r="V51" i="26"/>
  <c r="V52" i="26"/>
  <c r="V53" i="26"/>
  <c r="V54" i="26"/>
  <c r="V55" i="26"/>
  <c r="V56" i="26"/>
  <c r="V57" i="26"/>
  <c r="V58" i="26"/>
  <c r="V59" i="26"/>
  <c r="V60" i="26"/>
  <c r="V61" i="26"/>
  <c r="V62" i="26"/>
  <c r="V63" i="26"/>
  <c r="V64" i="26"/>
  <c r="V65" i="26"/>
  <c r="V66" i="26"/>
  <c r="V67" i="26"/>
  <c r="V68" i="26"/>
  <c r="V69" i="26"/>
  <c r="V70" i="26"/>
  <c r="V71" i="26"/>
  <c r="V72" i="26"/>
  <c r="V73" i="26"/>
  <c r="V74" i="26"/>
  <c r="V75" i="26"/>
  <c r="V76" i="26"/>
  <c r="V77" i="26"/>
  <c r="V78" i="26"/>
  <c r="V79" i="26"/>
  <c r="V80" i="26"/>
  <c r="V81" i="26"/>
  <c r="V82" i="26"/>
  <c r="V83" i="26"/>
  <c r="V84" i="26"/>
  <c r="V85" i="26"/>
  <c r="V86" i="26"/>
  <c r="V87" i="26"/>
  <c r="V88" i="26"/>
  <c r="V89" i="26"/>
  <c r="V90" i="26"/>
  <c r="V91" i="26"/>
  <c r="V92" i="26"/>
  <c r="V93" i="26"/>
  <c r="V94" i="26"/>
  <c r="V95" i="26"/>
  <c r="V96" i="26"/>
  <c r="V97" i="26"/>
  <c r="V98" i="26"/>
  <c r="V99" i="26"/>
  <c r="V100" i="26"/>
  <c r="V101" i="26"/>
  <c r="V102" i="26"/>
  <c r="V103" i="26"/>
  <c r="V104" i="26"/>
  <c r="V105" i="26"/>
  <c r="V106" i="26"/>
  <c r="V107" i="26"/>
  <c r="V108" i="26"/>
  <c r="V109" i="26"/>
  <c r="V110" i="26"/>
  <c r="V111" i="26"/>
  <c r="V112" i="26"/>
  <c r="V113" i="26"/>
  <c r="V114" i="26"/>
  <c r="V115" i="26"/>
  <c r="V116" i="26"/>
  <c r="V117" i="26"/>
  <c r="V118" i="26"/>
  <c r="V119" i="26"/>
  <c r="V120" i="26"/>
  <c r="V121" i="26"/>
  <c r="V122" i="26"/>
  <c r="V123" i="26"/>
  <c r="V124" i="26"/>
  <c r="V125" i="26"/>
  <c r="V126" i="26"/>
  <c r="V127" i="26"/>
  <c r="V128" i="26"/>
  <c r="V129" i="26"/>
  <c r="V130" i="26"/>
  <c r="V131" i="26"/>
  <c r="V132" i="26"/>
  <c r="V133" i="26"/>
  <c r="V134" i="26"/>
  <c r="V135" i="26"/>
  <c r="V136" i="26"/>
  <c r="V137" i="26"/>
  <c r="V138" i="26"/>
  <c r="V31" i="26"/>
  <c r="W32" i="26"/>
  <c r="W33" i="26"/>
  <c r="W34" i="26"/>
  <c r="W35" i="26"/>
  <c r="W36" i="26"/>
  <c r="W37" i="26"/>
  <c r="W38" i="26"/>
  <c r="W39" i="26"/>
  <c r="W40" i="26"/>
  <c r="W41" i="26"/>
  <c r="W42" i="26"/>
  <c r="W43" i="26"/>
  <c r="W44" i="26"/>
  <c r="W45" i="26"/>
  <c r="W46" i="26"/>
  <c r="W47" i="26"/>
  <c r="W48" i="26"/>
  <c r="W49" i="26"/>
  <c r="W50" i="26"/>
  <c r="W51" i="26"/>
  <c r="W52" i="26"/>
  <c r="W53" i="26"/>
  <c r="W54" i="26"/>
  <c r="W55" i="26"/>
  <c r="W56" i="26"/>
  <c r="W57" i="26"/>
  <c r="W58" i="26"/>
  <c r="W59" i="26"/>
  <c r="W60" i="26"/>
  <c r="W61" i="26"/>
  <c r="W62" i="26"/>
  <c r="W63" i="26"/>
  <c r="W64" i="26"/>
  <c r="W65" i="26"/>
  <c r="W66" i="26"/>
  <c r="W67" i="26"/>
  <c r="W68" i="26"/>
  <c r="W69" i="26"/>
  <c r="W70" i="26"/>
  <c r="W71" i="26"/>
  <c r="W72" i="26"/>
  <c r="W73" i="26"/>
  <c r="W74" i="26"/>
  <c r="W75" i="26"/>
  <c r="W76" i="26"/>
  <c r="W77" i="26"/>
  <c r="W78" i="26"/>
  <c r="W79" i="26"/>
  <c r="W80" i="26"/>
  <c r="W81" i="26"/>
  <c r="W82" i="26"/>
  <c r="W83" i="26"/>
  <c r="W84" i="26"/>
  <c r="W85" i="26"/>
  <c r="W86" i="26"/>
  <c r="W87" i="26"/>
  <c r="W88" i="26"/>
  <c r="W89" i="26"/>
  <c r="W90" i="26"/>
  <c r="W91" i="26"/>
  <c r="W92" i="26"/>
  <c r="W93" i="26"/>
  <c r="W94" i="26"/>
  <c r="W95" i="26"/>
  <c r="W96" i="26"/>
  <c r="W97" i="26"/>
  <c r="W98" i="26"/>
  <c r="W99" i="26"/>
  <c r="W100" i="26"/>
  <c r="W101" i="26"/>
  <c r="W102" i="26"/>
  <c r="W103" i="26"/>
  <c r="W104" i="26"/>
  <c r="W105" i="26"/>
  <c r="W106" i="26"/>
  <c r="W107" i="26"/>
  <c r="W108" i="26"/>
  <c r="W109" i="26"/>
  <c r="W110" i="26"/>
  <c r="W111" i="26"/>
  <c r="W112" i="26"/>
  <c r="W113" i="26"/>
  <c r="W114" i="26"/>
  <c r="W115" i="26"/>
  <c r="W116" i="26"/>
  <c r="W117" i="26"/>
  <c r="W118" i="26"/>
  <c r="W119" i="26"/>
  <c r="W120" i="26"/>
  <c r="W121" i="26"/>
  <c r="W122" i="26"/>
  <c r="W123" i="26"/>
  <c r="W124" i="26"/>
  <c r="W125" i="26"/>
  <c r="W126" i="26"/>
  <c r="W127" i="26"/>
  <c r="W128" i="26"/>
  <c r="W129" i="26"/>
  <c r="W130" i="26"/>
  <c r="W131" i="26"/>
  <c r="W132" i="26"/>
  <c r="W133" i="26"/>
  <c r="W134" i="26"/>
  <c r="W135" i="26"/>
  <c r="W136" i="26"/>
  <c r="W137" i="26"/>
  <c r="W138" i="26"/>
  <c r="W31" i="26"/>
  <c r="U32" i="26"/>
  <c r="U33" i="26"/>
  <c r="U34" i="26"/>
  <c r="U35" i="26"/>
  <c r="U36" i="26"/>
  <c r="U37" i="26"/>
  <c r="U38" i="26"/>
  <c r="U39" i="26"/>
  <c r="U40" i="26"/>
  <c r="U41" i="26"/>
  <c r="U42" i="26"/>
  <c r="U43" i="26"/>
  <c r="U44" i="26"/>
  <c r="U45" i="26"/>
  <c r="U46" i="26"/>
  <c r="U47" i="26"/>
  <c r="U48" i="26"/>
  <c r="U49" i="26"/>
  <c r="U50" i="26"/>
  <c r="U51" i="26"/>
  <c r="U52" i="26"/>
  <c r="U53" i="26"/>
  <c r="U54" i="26"/>
  <c r="U55" i="26"/>
  <c r="U56" i="26"/>
  <c r="U57" i="26"/>
  <c r="U58" i="26"/>
  <c r="U59" i="26"/>
  <c r="U60" i="26"/>
  <c r="U61" i="26"/>
  <c r="U62" i="26"/>
  <c r="U63" i="26"/>
  <c r="U64" i="26"/>
  <c r="U65" i="26"/>
  <c r="U66" i="26"/>
  <c r="U67" i="26"/>
  <c r="U68" i="26"/>
  <c r="U69" i="26"/>
  <c r="U70" i="26"/>
  <c r="U71" i="26"/>
  <c r="U72" i="26"/>
  <c r="U73" i="26"/>
  <c r="U74" i="26"/>
  <c r="U75" i="26"/>
  <c r="U76" i="26"/>
  <c r="U77" i="26"/>
  <c r="U78" i="26"/>
  <c r="U79" i="26"/>
  <c r="U80" i="26"/>
  <c r="U81" i="26"/>
  <c r="U82" i="26"/>
  <c r="U83" i="26"/>
  <c r="U84" i="26"/>
  <c r="U85" i="26"/>
  <c r="U86" i="26"/>
  <c r="U87" i="26"/>
  <c r="U88" i="26"/>
  <c r="U89" i="26"/>
  <c r="U90" i="26"/>
  <c r="U91" i="26"/>
  <c r="U92" i="26"/>
  <c r="U93" i="26"/>
  <c r="U94" i="26"/>
  <c r="U95" i="26"/>
  <c r="U96" i="26"/>
  <c r="U97" i="26"/>
  <c r="U98" i="26"/>
  <c r="U99" i="26"/>
  <c r="U100" i="26"/>
  <c r="U101" i="26"/>
  <c r="U102" i="26"/>
  <c r="U103" i="26"/>
  <c r="U104" i="26"/>
  <c r="U105" i="26"/>
  <c r="U106" i="26"/>
  <c r="U107" i="26"/>
  <c r="U108" i="26"/>
  <c r="U109" i="26"/>
  <c r="U110" i="26"/>
  <c r="U111" i="26"/>
  <c r="U112" i="26"/>
  <c r="U113" i="26"/>
  <c r="U114" i="26"/>
  <c r="U115" i="26"/>
  <c r="U116" i="26"/>
  <c r="U117" i="26"/>
  <c r="U118" i="26"/>
  <c r="U119" i="26"/>
  <c r="U120" i="26"/>
  <c r="U121" i="26"/>
  <c r="U122" i="26"/>
  <c r="U123" i="26"/>
  <c r="U124" i="26"/>
  <c r="U125" i="26"/>
  <c r="U126" i="26"/>
  <c r="U127" i="26"/>
  <c r="U128" i="26"/>
  <c r="U129" i="26"/>
  <c r="U130" i="26"/>
  <c r="U131" i="26"/>
  <c r="U132" i="26"/>
  <c r="U133" i="26"/>
  <c r="U134" i="26"/>
  <c r="U135" i="26"/>
  <c r="U136" i="26"/>
  <c r="U137" i="26"/>
  <c r="U138" i="26"/>
  <c r="U31" i="26"/>
  <c r="T32" i="26"/>
  <c r="T33" i="26"/>
  <c r="T34" i="26"/>
  <c r="T35" i="26"/>
  <c r="T36" i="26"/>
  <c r="T37" i="26"/>
  <c r="T38" i="26"/>
  <c r="T39" i="26"/>
  <c r="T40" i="26"/>
  <c r="T41" i="26"/>
  <c r="T42" i="26"/>
  <c r="T43" i="26"/>
  <c r="T44" i="26"/>
  <c r="T45" i="26"/>
  <c r="T46" i="26"/>
  <c r="T47" i="26"/>
  <c r="T48" i="26"/>
  <c r="T49" i="26"/>
  <c r="T50" i="26"/>
  <c r="T51" i="26"/>
  <c r="T52" i="26"/>
  <c r="T53" i="26"/>
  <c r="T54" i="26"/>
  <c r="T55" i="26"/>
  <c r="T56" i="26"/>
  <c r="T57" i="26"/>
  <c r="T58" i="26"/>
  <c r="T59" i="26"/>
  <c r="T60" i="26"/>
  <c r="T61" i="26"/>
  <c r="T62" i="26"/>
  <c r="T63" i="26"/>
  <c r="T64" i="26"/>
  <c r="T65" i="26"/>
  <c r="T66" i="26"/>
  <c r="T67" i="26"/>
  <c r="T68" i="26"/>
  <c r="T69" i="26"/>
  <c r="T70" i="26"/>
  <c r="T71" i="26"/>
  <c r="T72" i="26"/>
  <c r="T73" i="26"/>
  <c r="T74" i="26"/>
  <c r="T75" i="26"/>
  <c r="T76" i="26"/>
  <c r="T77" i="26"/>
  <c r="T78" i="26"/>
  <c r="T79" i="26"/>
  <c r="T80" i="26"/>
  <c r="T81" i="26"/>
  <c r="T82" i="26"/>
  <c r="T83" i="26"/>
  <c r="T84" i="26"/>
  <c r="T85" i="26"/>
  <c r="T86" i="26"/>
  <c r="T87" i="26"/>
  <c r="T88" i="26"/>
  <c r="T89" i="26"/>
  <c r="T90" i="26"/>
  <c r="T91" i="26"/>
  <c r="T92" i="26"/>
  <c r="T93" i="26"/>
  <c r="T94" i="26"/>
  <c r="T95" i="26"/>
  <c r="T96" i="26"/>
  <c r="T97" i="26"/>
  <c r="T98" i="26"/>
  <c r="T99" i="26"/>
  <c r="T100" i="26"/>
  <c r="T101" i="26"/>
  <c r="T102" i="26"/>
  <c r="T103" i="26"/>
  <c r="T104" i="26"/>
  <c r="T105" i="26"/>
  <c r="T106" i="26"/>
  <c r="T107" i="26"/>
  <c r="T108" i="26"/>
  <c r="T109" i="26"/>
  <c r="T110" i="26"/>
  <c r="T111" i="26"/>
  <c r="T112" i="26"/>
  <c r="T113" i="26"/>
  <c r="T114" i="26"/>
  <c r="T115" i="26"/>
  <c r="T116" i="26"/>
  <c r="T117" i="26"/>
  <c r="T118" i="26"/>
  <c r="T119" i="26"/>
  <c r="T120" i="26"/>
  <c r="T121" i="26"/>
  <c r="T122" i="26"/>
  <c r="T123" i="26"/>
  <c r="T124" i="26"/>
  <c r="T125" i="26"/>
  <c r="T126" i="26"/>
  <c r="T127" i="26"/>
  <c r="T128" i="26"/>
  <c r="T129" i="26"/>
  <c r="T130" i="26"/>
  <c r="T131" i="26"/>
  <c r="T132" i="26"/>
  <c r="T133" i="26"/>
  <c r="T134" i="26"/>
  <c r="T135" i="26"/>
  <c r="T136" i="26"/>
  <c r="T137" i="26"/>
  <c r="T138" i="26"/>
  <c r="T31" i="26"/>
  <c r="R32" i="26"/>
  <c r="R33" i="26"/>
  <c r="R34" i="26"/>
  <c r="R35" i="26"/>
  <c r="R36" i="26"/>
  <c r="R37" i="26"/>
  <c r="R38" i="26"/>
  <c r="R39" i="26"/>
  <c r="R40" i="26"/>
  <c r="R41" i="26"/>
  <c r="R42" i="26"/>
  <c r="R43" i="26"/>
  <c r="R44" i="26"/>
  <c r="R45" i="26"/>
  <c r="R46" i="26"/>
  <c r="R47" i="26"/>
  <c r="R48" i="26"/>
  <c r="R49" i="26"/>
  <c r="R50" i="26"/>
  <c r="R51" i="26"/>
  <c r="R52" i="26"/>
  <c r="R53" i="26"/>
  <c r="R54" i="26"/>
  <c r="R55" i="26"/>
  <c r="R56" i="26"/>
  <c r="R57" i="26"/>
  <c r="R58" i="26"/>
  <c r="R59" i="26"/>
  <c r="R60" i="26"/>
  <c r="R61" i="26"/>
  <c r="R62" i="26"/>
  <c r="R63" i="26"/>
  <c r="R64" i="26"/>
  <c r="R65" i="26"/>
  <c r="R66" i="26"/>
  <c r="R67" i="26"/>
  <c r="R68" i="26"/>
  <c r="R69" i="26"/>
  <c r="R70" i="26"/>
  <c r="R71" i="26"/>
  <c r="R72" i="26"/>
  <c r="R73" i="26"/>
  <c r="R74" i="26"/>
  <c r="R75" i="26"/>
  <c r="R76" i="26"/>
  <c r="R77" i="26"/>
  <c r="R78" i="26"/>
  <c r="R79" i="26"/>
  <c r="R80" i="26"/>
  <c r="R81" i="26"/>
  <c r="R82" i="26"/>
  <c r="R83" i="26"/>
  <c r="R84" i="26"/>
  <c r="R85" i="26"/>
  <c r="R86" i="26"/>
  <c r="R87" i="26"/>
  <c r="R88" i="26"/>
  <c r="R89" i="26"/>
  <c r="R90" i="26"/>
  <c r="R91" i="26"/>
  <c r="R92" i="26"/>
  <c r="R93" i="26"/>
  <c r="R94" i="26"/>
  <c r="R95" i="26"/>
  <c r="R96" i="26"/>
  <c r="R97" i="26"/>
  <c r="R98" i="26"/>
  <c r="R99" i="26"/>
  <c r="R100" i="26"/>
  <c r="R101" i="26"/>
  <c r="R102" i="26"/>
  <c r="R103" i="26"/>
  <c r="R104" i="26"/>
  <c r="R105" i="26"/>
  <c r="R106" i="26"/>
  <c r="R107" i="26"/>
  <c r="R108" i="26"/>
  <c r="R109" i="26"/>
  <c r="R110" i="26"/>
  <c r="R111" i="26"/>
  <c r="R112" i="26"/>
  <c r="R113" i="26"/>
  <c r="R114" i="26"/>
  <c r="R115" i="26"/>
  <c r="R116" i="26"/>
  <c r="R117" i="26"/>
  <c r="R118" i="26"/>
  <c r="R119" i="26"/>
  <c r="R120" i="26"/>
  <c r="R121" i="26"/>
  <c r="R122" i="26"/>
  <c r="R123" i="26"/>
  <c r="R124" i="26"/>
  <c r="R125" i="26"/>
  <c r="R126" i="26"/>
  <c r="R127" i="26"/>
  <c r="R128" i="26"/>
  <c r="R129" i="26"/>
  <c r="R130" i="26"/>
  <c r="R131" i="26"/>
  <c r="R132" i="26"/>
  <c r="R133" i="26"/>
  <c r="R134" i="26"/>
  <c r="R135" i="26"/>
  <c r="R136" i="26"/>
  <c r="R137" i="26"/>
  <c r="R138" i="26"/>
  <c r="R31" i="26"/>
  <c r="Q32" i="26"/>
  <c r="Q33" i="26"/>
  <c r="Q34" i="26"/>
  <c r="Q35" i="26"/>
  <c r="Q36" i="26"/>
  <c r="Q37" i="26"/>
  <c r="Q38" i="26"/>
  <c r="Q39" i="26"/>
  <c r="Q40" i="26"/>
  <c r="Q41" i="26"/>
  <c r="Q42" i="26"/>
  <c r="Q43" i="26"/>
  <c r="Q44" i="26"/>
  <c r="Q45" i="26"/>
  <c r="Q46" i="26"/>
  <c r="Q47" i="26"/>
  <c r="Q48" i="26"/>
  <c r="Q49" i="26"/>
  <c r="Q50" i="26"/>
  <c r="Q51" i="26"/>
  <c r="Q52" i="26"/>
  <c r="Q53" i="26"/>
  <c r="Q54" i="26"/>
  <c r="Q55" i="26"/>
  <c r="Q56" i="26"/>
  <c r="Q57" i="26"/>
  <c r="Q58" i="26"/>
  <c r="Q59" i="26"/>
  <c r="Q60" i="26"/>
  <c r="Q61" i="26"/>
  <c r="Q62" i="26"/>
  <c r="Q63" i="26"/>
  <c r="Q64" i="26"/>
  <c r="Q65" i="26"/>
  <c r="Q66" i="26"/>
  <c r="Q67" i="26"/>
  <c r="Q68" i="26"/>
  <c r="Q69" i="26"/>
  <c r="Q70" i="26"/>
  <c r="Q71" i="26"/>
  <c r="Q72" i="26"/>
  <c r="Q73" i="26"/>
  <c r="Q74" i="26"/>
  <c r="Q75" i="26"/>
  <c r="Q76" i="26"/>
  <c r="Q77" i="26"/>
  <c r="Q78" i="26"/>
  <c r="Q79" i="26"/>
  <c r="Q80" i="26"/>
  <c r="Q81" i="26"/>
  <c r="Q82" i="26"/>
  <c r="Q83" i="26"/>
  <c r="Q84" i="26"/>
  <c r="Q85" i="26"/>
  <c r="Q86" i="26"/>
  <c r="Q87" i="26"/>
  <c r="Q88" i="26"/>
  <c r="Q89" i="26"/>
  <c r="Q90" i="26"/>
  <c r="Q91" i="26"/>
  <c r="Q92" i="26"/>
  <c r="Q93" i="26"/>
  <c r="Q94" i="26"/>
  <c r="Q95" i="26"/>
  <c r="Q96" i="26"/>
  <c r="Q97" i="26"/>
  <c r="Q98" i="26"/>
  <c r="Q99" i="26"/>
  <c r="Q100" i="26"/>
  <c r="Q101" i="26"/>
  <c r="Q102" i="26"/>
  <c r="Q103" i="26"/>
  <c r="Q104" i="26"/>
  <c r="Q105" i="26"/>
  <c r="Q106" i="26"/>
  <c r="Q107" i="26"/>
  <c r="Q108" i="26"/>
  <c r="Q109" i="26"/>
  <c r="Q110" i="26"/>
  <c r="Q111" i="26"/>
  <c r="Q112" i="26"/>
  <c r="Q113" i="26"/>
  <c r="Q114" i="26"/>
  <c r="Q115" i="26"/>
  <c r="Q116" i="26"/>
  <c r="Q117" i="26"/>
  <c r="Q118" i="26"/>
  <c r="Q119" i="26"/>
  <c r="Q120" i="26"/>
  <c r="Q121" i="26"/>
  <c r="Q122" i="26"/>
  <c r="Q123" i="26"/>
  <c r="Q124" i="26"/>
  <c r="Q125" i="26"/>
  <c r="Q126" i="26"/>
  <c r="Q127" i="26"/>
  <c r="Q128" i="26"/>
  <c r="Q129" i="26"/>
  <c r="Q130" i="26"/>
  <c r="Q131" i="26"/>
  <c r="Q132" i="26"/>
  <c r="Q133" i="26"/>
  <c r="Q134" i="26"/>
  <c r="Q135" i="26"/>
  <c r="Q136" i="26"/>
  <c r="Q137" i="26"/>
  <c r="Q138" i="26"/>
  <c r="Q31" i="26"/>
  <c r="O32" i="26"/>
  <c r="O33" i="26"/>
  <c r="O34" i="26"/>
  <c r="O35" i="26"/>
  <c r="O36" i="26"/>
  <c r="O37" i="26"/>
  <c r="O38" i="26"/>
  <c r="O39" i="26"/>
  <c r="O40" i="26"/>
  <c r="O41" i="26"/>
  <c r="O42" i="26"/>
  <c r="O43" i="26"/>
  <c r="O44" i="26"/>
  <c r="O45" i="26"/>
  <c r="O46" i="26"/>
  <c r="O47" i="26"/>
  <c r="O48" i="26"/>
  <c r="O49" i="26"/>
  <c r="O50" i="26"/>
  <c r="O51" i="26"/>
  <c r="O52" i="26"/>
  <c r="O53" i="26"/>
  <c r="O54" i="26"/>
  <c r="O55" i="26"/>
  <c r="O56" i="26"/>
  <c r="O57" i="26"/>
  <c r="O58" i="26"/>
  <c r="O59" i="26"/>
  <c r="O60" i="26"/>
  <c r="O61" i="26"/>
  <c r="O62" i="26"/>
  <c r="O63" i="26"/>
  <c r="O64" i="26"/>
  <c r="O65" i="26"/>
  <c r="O66" i="26"/>
  <c r="O67" i="26"/>
  <c r="O68" i="26"/>
  <c r="O69" i="26"/>
  <c r="O70" i="26"/>
  <c r="O71" i="26"/>
  <c r="O72" i="26"/>
  <c r="O73" i="26"/>
  <c r="O74" i="26"/>
  <c r="O75" i="26"/>
  <c r="O76" i="26"/>
  <c r="O77" i="26"/>
  <c r="O78" i="26"/>
  <c r="O79" i="26"/>
  <c r="O80" i="26"/>
  <c r="O81" i="26"/>
  <c r="O82" i="26"/>
  <c r="O83" i="26"/>
  <c r="O84" i="26"/>
  <c r="O85" i="26"/>
  <c r="O86" i="26"/>
  <c r="O87" i="26"/>
  <c r="O88" i="26"/>
  <c r="O89" i="26"/>
  <c r="O90" i="26"/>
  <c r="O91" i="26"/>
  <c r="O92" i="26"/>
  <c r="O93" i="26"/>
  <c r="O94" i="26"/>
  <c r="O95" i="26"/>
  <c r="O96" i="26"/>
  <c r="O97" i="26"/>
  <c r="O98" i="26"/>
  <c r="O99" i="26"/>
  <c r="O100" i="26"/>
  <c r="O101" i="26"/>
  <c r="O102" i="26"/>
  <c r="O103" i="26"/>
  <c r="O104" i="26"/>
  <c r="O105" i="26"/>
  <c r="O106" i="26"/>
  <c r="O107" i="26"/>
  <c r="O108" i="26"/>
  <c r="O109" i="26"/>
  <c r="O110" i="26"/>
  <c r="O111" i="26"/>
  <c r="O112" i="26"/>
  <c r="O113" i="26"/>
  <c r="O114" i="26"/>
  <c r="O115" i="26"/>
  <c r="O116" i="26"/>
  <c r="O117" i="26"/>
  <c r="O118" i="26"/>
  <c r="O119" i="26"/>
  <c r="O120" i="26"/>
  <c r="O121" i="26"/>
  <c r="O122" i="26"/>
  <c r="O123" i="26"/>
  <c r="O124" i="26"/>
  <c r="O125" i="26"/>
  <c r="O126" i="26"/>
  <c r="O127" i="26"/>
  <c r="O128" i="26"/>
  <c r="O129" i="26"/>
  <c r="O130" i="26"/>
  <c r="O131" i="26"/>
  <c r="O132" i="26"/>
  <c r="O133" i="26"/>
  <c r="O134" i="26"/>
  <c r="O135" i="26"/>
  <c r="O136" i="26"/>
  <c r="O137" i="26"/>
  <c r="O138" i="26"/>
  <c r="O31" i="26"/>
  <c r="H75" i="27" l="1"/>
  <c r="I21" i="28"/>
  <c r="P21" i="28" s="1"/>
  <c r="N74" i="27"/>
  <c r="G74" i="27" s="1"/>
  <c r="N23" i="27"/>
  <c r="N9" i="27"/>
  <c r="G9" i="27" s="1"/>
  <c r="L31" i="27"/>
  <c r="N31" i="27" s="1"/>
  <c r="G31" i="27" s="1"/>
  <c r="L61" i="27"/>
  <c r="N61" i="27" s="1"/>
  <c r="N98" i="27"/>
  <c r="G98" i="27" s="1"/>
  <c r="L7" i="27"/>
  <c r="N7" i="27" s="1"/>
  <c r="G7" i="27" s="1"/>
  <c r="L56" i="27"/>
  <c r="N56" i="27" s="1"/>
  <c r="G56" i="27" s="1"/>
  <c r="L70" i="27"/>
  <c r="N70" i="27" s="1"/>
  <c r="L90" i="27"/>
  <c r="N90" i="27" s="1"/>
  <c r="L20" i="27"/>
  <c r="N20" i="27" s="1"/>
  <c r="G20" i="27" s="1"/>
  <c r="L19" i="27"/>
  <c r="N19" i="27" s="1"/>
  <c r="G19" i="27" s="1"/>
  <c r="L96" i="27"/>
  <c r="N96" i="27" s="1"/>
  <c r="G96" i="27" s="1"/>
  <c r="L53" i="27"/>
  <c r="N53" i="27" s="1"/>
  <c r="G53" i="27" s="1"/>
  <c r="L4" i="27"/>
  <c r="N4" i="27" s="1"/>
  <c r="G4" i="27" s="1"/>
  <c r="L16" i="27"/>
  <c r="N16" i="27" s="1"/>
  <c r="G16" i="27" s="1"/>
  <c r="N38" i="27"/>
  <c r="G38" i="27" s="1"/>
  <c r="L30" i="27"/>
  <c r="N30" i="27" s="1"/>
  <c r="G30" i="27" s="1"/>
  <c r="L44" i="27"/>
  <c r="N44" i="27" s="1"/>
  <c r="G44" i="27" s="1"/>
  <c r="L47" i="27"/>
  <c r="N47" i="27" s="1"/>
  <c r="G47" i="27" s="1"/>
  <c r="N27" i="27"/>
  <c r="G27" i="27" s="1"/>
  <c r="N33" i="27"/>
  <c r="G33" i="27" s="1"/>
  <c r="L24" i="27"/>
  <c r="N24" i="27" s="1"/>
  <c r="G24" i="27" s="1"/>
  <c r="L43" i="27"/>
  <c r="N43" i="27" s="1"/>
  <c r="G43" i="27" s="1"/>
  <c r="L66" i="27"/>
  <c r="N66" i="27" s="1"/>
  <c r="G66" i="27" s="1"/>
  <c r="L88" i="27"/>
  <c r="N88" i="27" s="1"/>
  <c r="G88" i="27" s="1"/>
  <c r="N49" i="27"/>
  <c r="G49" i="27" s="1"/>
  <c r="L5" i="27"/>
  <c r="L62" i="27"/>
  <c r="N62" i="27" s="1"/>
  <c r="G62" i="27" s="1"/>
  <c r="I64" i="28" s="1"/>
  <c r="P64" i="28" s="1"/>
  <c r="L28" i="27"/>
  <c r="N28" i="27" s="1"/>
  <c r="G28" i="27" s="1"/>
  <c r="L102" i="27"/>
  <c r="N102" i="27" s="1"/>
  <c r="G102" i="27" s="1"/>
  <c r="L80" i="27"/>
  <c r="N80" i="27" s="1"/>
  <c r="G80" i="27" s="1"/>
  <c r="L64" i="27"/>
  <c r="N64" i="27" s="1"/>
  <c r="G64" i="27" s="1"/>
  <c r="L91" i="27"/>
  <c r="N91" i="27" s="1"/>
  <c r="G91" i="27" s="1"/>
  <c r="L89" i="27"/>
  <c r="N89" i="27" s="1"/>
  <c r="G89" i="27" s="1"/>
  <c r="L83" i="27"/>
  <c r="N83" i="27" s="1"/>
  <c r="G83" i="27" s="1"/>
  <c r="L79" i="27"/>
  <c r="N79" i="27" s="1"/>
  <c r="G79" i="27" s="1"/>
  <c r="L71" i="27"/>
  <c r="N71" i="27" s="1"/>
  <c r="G71" i="27" s="1"/>
  <c r="L101" i="27"/>
  <c r="N101" i="27" s="1"/>
  <c r="G101" i="27" s="1"/>
  <c r="L84" i="27"/>
  <c r="N84" i="27" s="1"/>
  <c r="G84" i="27" s="1"/>
  <c r="L77" i="27"/>
  <c r="N77" i="27" s="1"/>
  <c r="G77" i="27" s="1"/>
  <c r="L42" i="27"/>
  <c r="N42" i="27" s="1"/>
  <c r="G42" i="27" s="1"/>
  <c r="L97" i="27"/>
  <c r="N97" i="27" s="1"/>
  <c r="N5" i="27"/>
  <c r="G5" i="27" s="1"/>
  <c r="L93" i="27"/>
  <c r="L68" i="27"/>
  <c r="N68" i="27" s="1"/>
  <c r="G68" i="27" s="1"/>
  <c r="L41" i="27"/>
  <c r="N41" i="27" s="1"/>
  <c r="G41" i="27" s="1"/>
  <c r="L76" i="27"/>
  <c r="N76" i="27" s="1"/>
  <c r="G76" i="27" s="1"/>
  <c r="L17" i="27"/>
  <c r="N17" i="27" s="1"/>
  <c r="G17" i="27" s="1"/>
  <c r="L37" i="27"/>
  <c r="N37" i="27" s="1"/>
  <c r="L67" i="27"/>
  <c r="N67" i="27" s="1"/>
  <c r="G67" i="27" s="1"/>
  <c r="L51" i="27"/>
  <c r="N51" i="27" s="1"/>
  <c r="G51" i="27" s="1"/>
  <c r="L81" i="27"/>
  <c r="N81" i="27" s="1"/>
  <c r="G81" i="27" s="1"/>
  <c r="L85" i="27"/>
  <c r="N85" i="27" s="1"/>
  <c r="G85" i="27" s="1"/>
  <c r="L99" i="27"/>
  <c r="N99" i="27" s="1"/>
  <c r="L40" i="27"/>
  <c r="N40" i="27" s="1"/>
  <c r="G40" i="27" s="1"/>
  <c r="L12" i="27"/>
  <c r="N12" i="27" s="1"/>
  <c r="G12" i="27" s="1"/>
  <c r="L78" i="27"/>
  <c r="N78" i="27" s="1"/>
  <c r="G78" i="27" s="1"/>
  <c r="L65" i="27"/>
  <c r="N65" i="27" s="1"/>
  <c r="G65" i="27" s="1"/>
  <c r="L13" i="27"/>
  <c r="N13" i="27" s="1"/>
  <c r="G13" i="27" s="1"/>
  <c r="L15" i="27"/>
  <c r="N15" i="27" s="1"/>
  <c r="G15" i="27" s="1"/>
  <c r="L82" i="27"/>
  <c r="N82" i="27" s="1"/>
  <c r="G82" i="27" s="1"/>
  <c r="L87" i="27"/>
  <c r="N87" i="27" s="1"/>
  <c r="G87" i="27" s="1"/>
  <c r="L69" i="27"/>
  <c r="N69" i="27" s="1"/>
  <c r="G69" i="27" s="1"/>
  <c r="L35" i="27"/>
  <c r="N35" i="27" s="1"/>
  <c r="G35" i="27" s="1"/>
  <c r="L18" i="27"/>
  <c r="N18" i="27" s="1"/>
  <c r="G18" i="27" s="1"/>
  <c r="L95" i="27"/>
  <c r="N95" i="27" s="1"/>
  <c r="G95" i="27" s="1"/>
  <c r="L86" i="27"/>
  <c r="N86" i="27" s="1"/>
  <c r="G86" i="27" s="1"/>
  <c r="L58" i="27"/>
  <c r="N58" i="27" s="1"/>
  <c r="G58" i="27" s="1"/>
  <c r="L50" i="27"/>
  <c r="N50" i="27" s="1"/>
  <c r="G50" i="27" s="1"/>
  <c r="L73" i="27"/>
  <c r="N73" i="27" s="1"/>
  <c r="L46" i="27"/>
  <c r="N46" i="27" s="1"/>
  <c r="G46" i="27" s="1"/>
  <c r="L55" i="27"/>
  <c r="N55" i="27" s="1"/>
  <c r="G55" i="27" s="1"/>
  <c r="I81" i="28" s="1"/>
  <c r="P81" i="28" s="1"/>
  <c r="L11" i="27"/>
  <c r="N11" i="27" s="1"/>
  <c r="G11" i="27" s="1"/>
  <c r="L45" i="27"/>
  <c r="N45" i="27" s="1"/>
  <c r="G45" i="27" s="1"/>
  <c r="L63" i="27"/>
  <c r="N63" i="27" s="1"/>
  <c r="G63" i="27" s="1"/>
  <c r="L8" i="27"/>
  <c r="L39" i="27"/>
  <c r="N39" i="27" s="1"/>
  <c r="G39" i="27" s="1"/>
  <c r="L57" i="27"/>
  <c r="N57" i="27" s="1"/>
  <c r="G57" i="27" s="1"/>
  <c r="L94" i="27"/>
  <c r="N94" i="27" s="1"/>
  <c r="G94" i="27" s="1"/>
  <c r="L60" i="27"/>
  <c r="N60" i="27" s="1"/>
  <c r="G60" i="27" s="1"/>
  <c r="N54" i="27"/>
  <c r="G54" i="27" s="1"/>
  <c r="L22" i="27"/>
  <c r="N22" i="27" s="1"/>
  <c r="G22" i="27" s="1"/>
  <c r="L59" i="27"/>
  <c r="N59" i="27" s="1"/>
  <c r="G59" i="27" s="1"/>
  <c r="L36" i="27"/>
  <c r="N36" i="27" s="1"/>
  <c r="G36" i="27" s="1"/>
  <c r="L29" i="27"/>
  <c r="N29" i="27" s="1"/>
  <c r="G29" i="27" s="1"/>
  <c r="L52" i="27"/>
  <c r="N52" i="27" s="1"/>
  <c r="G52" i="27" s="1"/>
  <c r="N6" i="27"/>
  <c r="G6" i="27" s="1"/>
  <c r="N92" i="27"/>
  <c r="G92" i="27" s="1"/>
  <c r="N26" i="27"/>
  <c r="G26" i="27" s="1"/>
  <c r="N72" i="27"/>
  <c r="G72" i="27" s="1"/>
  <c r="L10" i="27"/>
  <c r="N10" i="27" s="1"/>
  <c r="N34" i="27"/>
  <c r="N14" i="27"/>
  <c r="G14" i="27" s="1"/>
  <c r="N48" i="27"/>
  <c r="G48" i="27" s="1"/>
  <c r="N25" i="27"/>
  <c r="G25" i="27" s="1"/>
  <c r="N21" i="27"/>
  <c r="G21" i="27" s="1"/>
  <c r="N32" i="27"/>
  <c r="G32" i="27" s="1"/>
  <c r="W5" i="26"/>
  <c r="W6" i="26"/>
  <c r="W7" i="26"/>
  <c r="W8" i="26"/>
  <c r="W9" i="26"/>
  <c r="W10" i="26"/>
  <c r="W11" i="26"/>
  <c r="W12" i="26"/>
  <c r="W13" i="26"/>
  <c r="W14" i="26"/>
  <c r="W15" i="26"/>
  <c r="W16" i="26"/>
  <c r="W17" i="26"/>
  <c r="W18" i="26"/>
  <c r="W19" i="26"/>
  <c r="W20" i="26"/>
  <c r="W21" i="26"/>
  <c r="W22" i="26"/>
  <c r="W23" i="26"/>
  <c r="W24" i="26"/>
  <c r="W25" i="26"/>
  <c r="W26" i="26"/>
  <c r="W27" i="26"/>
  <c r="W28" i="26"/>
  <c r="W29" i="26"/>
  <c r="W30" i="26"/>
  <c r="W4" i="26"/>
  <c r="T5" i="26"/>
  <c r="T6" i="26"/>
  <c r="T7" i="26"/>
  <c r="T8" i="26"/>
  <c r="T9" i="26"/>
  <c r="T10" i="26"/>
  <c r="T11" i="26"/>
  <c r="T12" i="26"/>
  <c r="T13" i="26"/>
  <c r="T14" i="26"/>
  <c r="T15" i="26"/>
  <c r="T16" i="26"/>
  <c r="T17" i="26"/>
  <c r="T18" i="26"/>
  <c r="T19" i="26"/>
  <c r="T20" i="26"/>
  <c r="T21" i="26"/>
  <c r="T22" i="26"/>
  <c r="T23" i="26"/>
  <c r="T24" i="26"/>
  <c r="T25" i="26"/>
  <c r="T26" i="26"/>
  <c r="T27" i="26"/>
  <c r="T28" i="26"/>
  <c r="T29" i="26"/>
  <c r="T30" i="26"/>
  <c r="T4" i="26"/>
  <c r="R5" i="26"/>
  <c r="R6" i="26"/>
  <c r="R7" i="26"/>
  <c r="R8" i="26"/>
  <c r="R9" i="26"/>
  <c r="R10" i="26"/>
  <c r="R11" i="26"/>
  <c r="R12" i="26"/>
  <c r="R13" i="26"/>
  <c r="R14" i="26"/>
  <c r="R15" i="26"/>
  <c r="R16" i="26"/>
  <c r="R17" i="26"/>
  <c r="R18" i="26"/>
  <c r="R19" i="26"/>
  <c r="R20" i="26"/>
  <c r="R21" i="26"/>
  <c r="R22" i="26"/>
  <c r="R23" i="26"/>
  <c r="R24" i="26"/>
  <c r="R25" i="26"/>
  <c r="R26" i="26"/>
  <c r="R27" i="26"/>
  <c r="R28" i="26"/>
  <c r="R29" i="26"/>
  <c r="R30" i="26"/>
  <c r="R4" i="26"/>
  <c r="Q5" i="26"/>
  <c r="Q6" i="26"/>
  <c r="Q7" i="26"/>
  <c r="Q8" i="26"/>
  <c r="Q9" i="26"/>
  <c r="Q10" i="26"/>
  <c r="Q11" i="26"/>
  <c r="Q12" i="26"/>
  <c r="Q13" i="26"/>
  <c r="Q14" i="26"/>
  <c r="Q15" i="26"/>
  <c r="Q16" i="26"/>
  <c r="Q17" i="26"/>
  <c r="Q18" i="26"/>
  <c r="Q19" i="26"/>
  <c r="Q20" i="26"/>
  <c r="Q21" i="26"/>
  <c r="Q22" i="26"/>
  <c r="Q23" i="26"/>
  <c r="Q24" i="26"/>
  <c r="Q25" i="26"/>
  <c r="Q26" i="26"/>
  <c r="Q27" i="26"/>
  <c r="Q28" i="26"/>
  <c r="Q29" i="26"/>
  <c r="Q30" i="26"/>
  <c r="Q4" i="26"/>
  <c r="O5" i="26"/>
  <c r="O6" i="26"/>
  <c r="O7" i="26"/>
  <c r="O8" i="26"/>
  <c r="O9" i="26"/>
  <c r="O10" i="26"/>
  <c r="O11" i="26"/>
  <c r="O12" i="26"/>
  <c r="O13" i="26"/>
  <c r="O14" i="26"/>
  <c r="O15" i="26"/>
  <c r="O16" i="26"/>
  <c r="O17" i="26"/>
  <c r="O18" i="26"/>
  <c r="O19" i="26"/>
  <c r="O20" i="26"/>
  <c r="O21" i="26"/>
  <c r="O22" i="26"/>
  <c r="O23" i="26"/>
  <c r="O24" i="26"/>
  <c r="O25" i="26"/>
  <c r="O26" i="26"/>
  <c r="O27" i="26"/>
  <c r="O28" i="26"/>
  <c r="O29" i="26"/>
  <c r="O30" i="26"/>
  <c r="O4" i="26"/>
  <c r="P4" i="26"/>
  <c r="I138" i="26"/>
  <c r="I5" i="26"/>
  <c r="I6" i="26"/>
  <c r="I7" i="26"/>
  <c r="P7" i="26" s="1"/>
  <c r="I8" i="26"/>
  <c r="I9" i="26"/>
  <c r="I10" i="26"/>
  <c r="I11" i="26"/>
  <c r="P11" i="26" s="1"/>
  <c r="I12" i="26"/>
  <c r="I13" i="26"/>
  <c r="I14" i="26"/>
  <c r="I15" i="26"/>
  <c r="P15" i="26" s="1"/>
  <c r="I16" i="26"/>
  <c r="I17" i="26"/>
  <c r="I18" i="26"/>
  <c r="I19" i="26"/>
  <c r="P19" i="26" s="1"/>
  <c r="I20" i="26"/>
  <c r="I21" i="26"/>
  <c r="I22" i="26"/>
  <c r="I23" i="26"/>
  <c r="P23" i="26" s="1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4" i="26"/>
  <c r="H5" i="26"/>
  <c r="P5" i="26" s="1"/>
  <c r="H6" i="26"/>
  <c r="H7" i="26"/>
  <c r="H8" i="26"/>
  <c r="H9" i="26"/>
  <c r="P9" i="26" s="1"/>
  <c r="H10" i="26"/>
  <c r="H11" i="26"/>
  <c r="H12" i="26"/>
  <c r="H13" i="26"/>
  <c r="P13" i="26" s="1"/>
  <c r="H14" i="26"/>
  <c r="H15" i="26"/>
  <c r="H16" i="26"/>
  <c r="H17" i="26"/>
  <c r="P17" i="26" s="1"/>
  <c r="H18" i="26"/>
  <c r="P18" i="26" s="1"/>
  <c r="H19" i="26"/>
  <c r="H20" i="26"/>
  <c r="H21" i="26"/>
  <c r="P21" i="26" s="1"/>
  <c r="H22" i="26"/>
  <c r="H23" i="26"/>
  <c r="H24" i="26"/>
  <c r="H25" i="26"/>
  <c r="P25" i="26" s="1"/>
  <c r="H26" i="26"/>
  <c r="P26" i="26" s="1"/>
  <c r="H27" i="26"/>
  <c r="H28" i="26"/>
  <c r="H29" i="26"/>
  <c r="P29" i="26" s="1"/>
  <c r="H30" i="26"/>
  <c r="H31" i="26"/>
  <c r="H32" i="26"/>
  <c r="H33" i="26"/>
  <c r="P33" i="26" s="1"/>
  <c r="H34" i="26"/>
  <c r="H35" i="26"/>
  <c r="H36" i="26"/>
  <c r="H37" i="26"/>
  <c r="P37" i="26" s="1"/>
  <c r="H38" i="26"/>
  <c r="H39" i="26"/>
  <c r="H40" i="26"/>
  <c r="H41" i="26"/>
  <c r="P41" i="26" s="1"/>
  <c r="H42" i="26"/>
  <c r="H43" i="26"/>
  <c r="H44" i="26"/>
  <c r="H45" i="26"/>
  <c r="P45" i="26" s="1"/>
  <c r="H46" i="26"/>
  <c r="H47" i="26"/>
  <c r="H48" i="26"/>
  <c r="H49" i="26"/>
  <c r="P49" i="26" s="1"/>
  <c r="H50" i="26"/>
  <c r="H51" i="26"/>
  <c r="H52" i="26"/>
  <c r="H53" i="26"/>
  <c r="P53" i="26" s="1"/>
  <c r="H54" i="26"/>
  <c r="H55" i="26"/>
  <c r="H56" i="26"/>
  <c r="H57" i="26"/>
  <c r="P57" i="26" s="1"/>
  <c r="H58" i="26"/>
  <c r="H59" i="26"/>
  <c r="H60" i="26"/>
  <c r="H61" i="26"/>
  <c r="P61" i="26" s="1"/>
  <c r="H62" i="26"/>
  <c r="H63" i="26"/>
  <c r="H64" i="26"/>
  <c r="H65" i="26"/>
  <c r="P65" i="26" s="1"/>
  <c r="H66" i="26"/>
  <c r="H67" i="26"/>
  <c r="H68" i="26"/>
  <c r="H69" i="26"/>
  <c r="P69" i="26" s="1"/>
  <c r="H70" i="26"/>
  <c r="H71" i="26"/>
  <c r="H72" i="26"/>
  <c r="H73" i="26"/>
  <c r="P73" i="26" s="1"/>
  <c r="H74" i="26"/>
  <c r="H75" i="26"/>
  <c r="H76" i="26"/>
  <c r="H77" i="26"/>
  <c r="P77" i="26" s="1"/>
  <c r="H78" i="26"/>
  <c r="H79" i="26"/>
  <c r="H80" i="26"/>
  <c r="H81" i="26"/>
  <c r="P81" i="26" s="1"/>
  <c r="H82" i="26"/>
  <c r="H83" i="26"/>
  <c r="H84" i="26"/>
  <c r="H85" i="26"/>
  <c r="P85" i="26" s="1"/>
  <c r="H86" i="26"/>
  <c r="H87" i="26"/>
  <c r="H88" i="26"/>
  <c r="H89" i="26"/>
  <c r="P89" i="26" s="1"/>
  <c r="H90" i="26"/>
  <c r="H91" i="26"/>
  <c r="H92" i="26"/>
  <c r="H93" i="26"/>
  <c r="P93" i="26" s="1"/>
  <c r="H94" i="26"/>
  <c r="H95" i="26"/>
  <c r="H96" i="26"/>
  <c r="H97" i="26"/>
  <c r="P97" i="26" s="1"/>
  <c r="H98" i="26"/>
  <c r="H99" i="26"/>
  <c r="H100" i="26"/>
  <c r="H101" i="26"/>
  <c r="H102" i="26"/>
  <c r="H103" i="26"/>
  <c r="H104" i="26"/>
  <c r="H105" i="26"/>
  <c r="P105" i="26" s="1"/>
  <c r="H106" i="26"/>
  <c r="H107" i="26"/>
  <c r="H108" i="26"/>
  <c r="H109" i="26"/>
  <c r="H110" i="26"/>
  <c r="H111" i="26"/>
  <c r="H112" i="26"/>
  <c r="H113" i="26"/>
  <c r="P113" i="26" s="1"/>
  <c r="H114" i="26"/>
  <c r="H115" i="26"/>
  <c r="H116" i="26"/>
  <c r="H117" i="26"/>
  <c r="P117" i="26" s="1"/>
  <c r="H118" i="26"/>
  <c r="H119" i="26"/>
  <c r="H120" i="26"/>
  <c r="H121" i="26"/>
  <c r="P121" i="26" s="1"/>
  <c r="H122" i="26"/>
  <c r="H123" i="26"/>
  <c r="H124" i="26"/>
  <c r="H125" i="26"/>
  <c r="H126" i="26"/>
  <c r="H127" i="26"/>
  <c r="H128" i="26"/>
  <c r="H129" i="26"/>
  <c r="P129" i="26" s="1"/>
  <c r="H130" i="26"/>
  <c r="H131" i="26"/>
  <c r="H132" i="26"/>
  <c r="H133" i="26"/>
  <c r="P133" i="26" s="1"/>
  <c r="H134" i="26"/>
  <c r="H135" i="26"/>
  <c r="H136" i="26"/>
  <c r="H137" i="26"/>
  <c r="H138" i="26"/>
  <c r="P138" i="26" s="1"/>
  <c r="H4" i="26"/>
  <c r="G5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4" i="26"/>
  <c r="E32" i="26"/>
  <c r="E33" i="26"/>
  <c r="E34" i="26"/>
  <c r="K34" i="26" s="1"/>
  <c r="E35" i="26"/>
  <c r="K35" i="26" s="1"/>
  <c r="E36" i="26"/>
  <c r="E37" i="26"/>
  <c r="E38" i="26"/>
  <c r="E39" i="26"/>
  <c r="K39" i="26" s="1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K75" i="26" s="1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31" i="26"/>
  <c r="D5" i="26"/>
  <c r="K5" i="26" s="1"/>
  <c r="D6" i="26"/>
  <c r="D7" i="26"/>
  <c r="K7" i="26" s="1"/>
  <c r="D8" i="26"/>
  <c r="D9" i="26"/>
  <c r="D10" i="26"/>
  <c r="D11" i="26"/>
  <c r="D12" i="26"/>
  <c r="D13" i="26"/>
  <c r="K13" i="26" s="1"/>
  <c r="D14" i="26"/>
  <c r="D15" i="26"/>
  <c r="K15" i="26" s="1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K29" i="26" s="1"/>
  <c r="D30" i="26"/>
  <c r="D4" i="26"/>
  <c r="AK139" i="26"/>
  <c r="AJ139" i="26"/>
  <c r="AI139" i="26"/>
  <c r="AH139" i="26"/>
  <c r="AG139" i="26"/>
  <c r="AF139" i="26"/>
  <c r="AE139" i="26"/>
  <c r="AD139" i="26"/>
  <c r="AC139" i="26"/>
  <c r="AA139" i="26"/>
  <c r="X139" i="26"/>
  <c r="V139" i="26"/>
  <c r="S139" i="26"/>
  <c r="N139" i="26"/>
  <c r="J139" i="26"/>
  <c r="F139" i="26"/>
  <c r="AB138" i="26"/>
  <c r="M138" i="26"/>
  <c r="AB137" i="26"/>
  <c r="M137" i="26"/>
  <c r="AB136" i="26"/>
  <c r="M136" i="26"/>
  <c r="AB135" i="26"/>
  <c r="M135" i="26"/>
  <c r="AB134" i="26"/>
  <c r="M134" i="26"/>
  <c r="AB133" i="26"/>
  <c r="M133" i="26"/>
  <c r="AB132" i="26"/>
  <c r="M132" i="26"/>
  <c r="AB131" i="26"/>
  <c r="M131" i="26"/>
  <c r="AB130" i="26"/>
  <c r="M130" i="26"/>
  <c r="AB129" i="26"/>
  <c r="M129" i="26"/>
  <c r="AB128" i="26"/>
  <c r="M128" i="26"/>
  <c r="AB127" i="26"/>
  <c r="M127" i="26"/>
  <c r="AB126" i="26"/>
  <c r="M126" i="26"/>
  <c r="AB125" i="26"/>
  <c r="M125" i="26"/>
  <c r="AB124" i="26"/>
  <c r="M124" i="26"/>
  <c r="AB123" i="26"/>
  <c r="M123" i="26"/>
  <c r="AB122" i="26"/>
  <c r="M122" i="26"/>
  <c r="AB121" i="26"/>
  <c r="M121" i="26"/>
  <c r="AB120" i="26"/>
  <c r="M120" i="26"/>
  <c r="AB119" i="26"/>
  <c r="M119" i="26"/>
  <c r="AB118" i="26"/>
  <c r="M118" i="26"/>
  <c r="AB117" i="26"/>
  <c r="M117" i="26"/>
  <c r="AB116" i="26"/>
  <c r="M116" i="26"/>
  <c r="AB115" i="26"/>
  <c r="M115" i="26"/>
  <c r="AB114" i="26"/>
  <c r="M114" i="26"/>
  <c r="AB113" i="26"/>
  <c r="M113" i="26"/>
  <c r="K113" i="26"/>
  <c r="AB112" i="26"/>
  <c r="M112" i="26"/>
  <c r="AB111" i="26"/>
  <c r="M111" i="26"/>
  <c r="AB110" i="26"/>
  <c r="M110" i="26"/>
  <c r="AB109" i="26"/>
  <c r="M109" i="26"/>
  <c r="AB108" i="26"/>
  <c r="M108" i="26"/>
  <c r="AB107" i="26"/>
  <c r="M107" i="26"/>
  <c r="AB106" i="26"/>
  <c r="M106" i="26"/>
  <c r="AB105" i="26"/>
  <c r="M105" i="26"/>
  <c r="AB104" i="26"/>
  <c r="M104" i="26"/>
  <c r="AB103" i="26"/>
  <c r="M103" i="26"/>
  <c r="AB102" i="26"/>
  <c r="M102" i="26"/>
  <c r="AB101" i="26"/>
  <c r="M101" i="26"/>
  <c r="AB100" i="26"/>
  <c r="M100" i="26"/>
  <c r="AB99" i="26"/>
  <c r="M99" i="26"/>
  <c r="AB98" i="26"/>
  <c r="M98" i="26"/>
  <c r="AB97" i="26"/>
  <c r="M97" i="26"/>
  <c r="AB96" i="26"/>
  <c r="M96" i="26"/>
  <c r="AB95" i="26"/>
  <c r="M95" i="26"/>
  <c r="AB94" i="26"/>
  <c r="M94" i="26"/>
  <c r="AB93" i="26"/>
  <c r="L93" i="26"/>
  <c r="M93" i="26" s="1"/>
  <c r="AB92" i="26"/>
  <c r="L92" i="26"/>
  <c r="M92" i="26" s="1"/>
  <c r="AB91" i="26"/>
  <c r="L91" i="26"/>
  <c r="M91" i="26" s="1"/>
  <c r="AB90" i="26"/>
  <c r="M90" i="26"/>
  <c r="AB89" i="26"/>
  <c r="M89" i="26"/>
  <c r="AB88" i="26"/>
  <c r="M88" i="26"/>
  <c r="AB87" i="26"/>
  <c r="M87" i="26"/>
  <c r="AB86" i="26"/>
  <c r="M86" i="26"/>
  <c r="AB85" i="26"/>
  <c r="M85" i="26"/>
  <c r="AB84" i="26"/>
  <c r="M84" i="26"/>
  <c r="AB83" i="26"/>
  <c r="M83" i="26"/>
  <c r="AB82" i="26"/>
  <c r="M82" i="26"/>
  <c r="AB81" i="26"/>
  <c r="M81" i="26"/>
  <c r="K81" i="26"/>
  <c r="AB80" i="26"/>
  <c r="M80" i="26"/>
  <c r="AB79" i="26"/>
  <c r="M79" i="26"/>
  <c r="AB78" i="26"/>
  <c r="M78" i="26"/>
  <c r="AB77" i="26"/>
  <c r="M77" i="26"/>
  <c r="AB76" i="26"/>
  <c r="M76" i="26"/>
  <c r="AB75" i="26"/>
  <c r="M75" i="26"/>
  <c r="AB74" i="26"/>
  <c r="M74" i="26"/>
  <c r="AB73" i="26"/>
  <c r="M73" i="26"/>
  <c r="AB72" i="26"/>
  <c r="M72" i="26"/>
  <c r="AB71" i="26"/>
  <c r="M71" i="26"/>
  <c r="AB70" i="26"/>
  <c r="M70" i="26"/>
  <c r="AB69" i="26"/>
  <c r="M69" i="26"/>
  <c r="AB68" i="26"/>
  <c r="M68" i="26"/>
  <c r="AB67" i="26"/>
  <c r="M67" i="26"/>
  <c r="AB66" i="26"/>
  <c r="M66" i="26"/>
  <c r="AB65" i="26"/>
  <c r="M65" i="26"/>
  <c r="AB64" i="26"/>
  <c r="M64" i="26"/>
  <c r="AB63" i="26"/>
  <c r="M63" i="26"/>
  <c r="AB62" i="26"/>
  <c r="M62" i="26"/>
  <c r="AB61" i="26"/>
  <c r="M61" i="26"/>
  <c r="K61" i="26"/>
  <c r="Y61" i="26" s="1"/>
  <c r="AB60" i="26"/>
  <c r="M60" i="26"/>
  <c r="AB59" i="26"/>
  <c r="M59" i="26"/>
  <c r="AB58" i="26"/>
  <c r="M58" i="26"/>
  <c r="AB57" i="26"/>
  <c r="M57" i="26"/>
  <c r="AB56" i="26"/>
  <c r="L56" i="26"/>
  <c r="M56" i="26" s="1"/>
  <c r="AB55" i="26"/>
  <c r="M55" i="26"/>
  <c r="AB54" i="26"/>
  <c r="L54" i="26"/>
  <c r="M54" i="26" s="1"/>
  <c r="AB53" i="26"/>
  <c r="M53" i="26"/>
  <c r="AB52" i="26"/>
  <c r="L52" i="26"/>
  <c r="M52" i="26" s="1"/>
  <c r="AB51" i="26"/>
  <c r="M51" i="26"/>
  <c r="AB50" i="26"/>
  <c r="L50" i="26"/>
  <c r="M50" i="26" s="1"/>
  <c r="AB49" i="26"/>
  <c r="L49" i="26"/>
  <c r="M49" i="26" s="1"/>
  <c r="AB48" i="26"/>
  <c r="M48" i="26"/>
  <c r="AB47" i="26"/>
  <c r="L47" i="26"/>
  <c r="M47" i="26" s="1"/>
  <c r="AB46" i="26"/>
  <c r="L46" i="26"/>
  <c r="M46" i="26" s="1"/>
  <c r="AB45" i="26"/>
  <c r="L45" i="26"/>
  <c r="M45" i="26" s="1"/>
  <c r="AB44" i="26"/>
  <c r="L44" i="26"/>
  <c r="M44" i="26" s="1"/>
  <c r="AB43" i="26"/>
  <c r="M43" i="26"/>
  <c r="AB42" i="26"/>
  <c r="M42" i="26"/>
  <c r="AB41" i="26"/>
  <c r="L41" i="26"/>
  <c r="M41" i="26" s="1"/>
  <c r="AB40" i="26"/>
  <c r="L40" i="26"/>
  <c r="M40" i="26" s="1"/>
  <c r="AB39" i="26"/>
  <c r="L39" i="26"/>
  <c r="M39" i="26" s="1"/>
  <c r="AB38" i="26"/>
  <c r="L38" i="26"/>
  <c r="M38" i="26" s="1"/>
  <c r="AB37" i="26"/>
  <c r="M37" i="26"/>
  <c r="K37" i="26"/>
  <c r="AB36" i="26"/>
  <c r="M36" i="26"/>
  <c r="AB35" i="26"/>
  <c r="L35" i="26"/>
  <c r="M35" i="26" s="1"/>
  <c r="AB34" i="26"/>
  <c r="L34" i="26"/>
  <c r="M34" i="26" s="1"/>
  <c r="AB33" i="26"/>
  <c r="L33" i="26"/>
  <c r="M33" i="26" s="1"/>
  <c r="AB32" i="26"/>
  <c r="M32" i="26"/>
  <c r="AB31" i="26"/>
  <c r="U139" i="26"/>
  <c r="L31" i="26"/>
  <c r="M31" i="26" s="1"/>
  <c r="AB30" i="26"/>
  <c r="S30" i="26"/>
  <c r="M30" i="26"/>
  <c r="AB29" i="26"/>
  <c r="S29" i="26"/>
  <c r="M29" i="26"/>
  <c r="AB28" i="26"/>
  <c r="S28" i="26"/>
  <c r="M28" i="26"/>
  <c r="AB27" i="26"/>
  <c r="S27" i="26"/>
  <c r="M27" i="26"/>
  <c r="AB26" i="26"/>
  <c r="S26" i="26"/>
  <c r="M26" i="26"/>
  <c r="AB25" i="26"/>
  <c r="S25" i="26"/>
  <c r="M25" i="26"/>
  <c r="AB24" i="26"/>
  <c r="S24" i="26"/>
  <c r="L24" i="26"/>
  <c r="M24" i="26" s="1"/>
  <c r="AB23" i="26"/>
  <c r="S23" i="26"/>
  <c r="L23" i="26"/>
  <c r="M23" i="26" s="1"/>
  <c r="AB22" i="26"/>
  <c r="S22" i="26"/>
  <c r="L22" i="26"/>
  <c r="M22" i="26" s="1"/>
  <c r="AB21" i="26"/>
  <c r="S21" i="26"/>
  <c r="M21" i="26"/>
  <c r="AB20" i="26"/>
  <c r="S20" i="26"/>
  <c r="M20" i="26"/>
  <c r="AB19" i="26"/>
  <c r="S19" i="26"/>
  <c r="L19" i="26"/>
  <c r="M19" i="26" s="1"/>
  <c r="AB18" i="26"/>
  <c r="S18" i="26"/>
  <c r="M18" i="26"/>
  <c r="AB17" i="26"/>
  <c r="S17" i="26"/>
  <c r="L17" i="26"/>
  <c r="M17" i="26" s="1"/>
  <c r="AB16" i="26"/>
  <c r="S16" i="26"/>
  <c r="M16" i="26"/>
  <c r="AB15" i="26"/>
  <c r="S15" i="26"/>
  <c r="L15" i="26"/>
  <c r="M15" i="26" s="1"/>
  <c r="AB14" i="26"/>
  <c r="S14" i="26"/>
  <c r="M14" i="26"/>
  <c r="K14" i="26"/>
  <c r="AB13" i="26"/>
  <c r="S13" i="26"/>
  <c r="L13" i="26"/>
  <c r="M13" i="26" s="1"/>
  <c r="AB12" i="26"/>
  <c r="S12" i="26"/>
  <c r="L12" i="26"/>
  <c r="M12" i="26" s="1"/>
  <c r="AB11" i="26"/>
  <c r="S11" i="26"/>
  <c r="L11" i="26"/>
  <c r="M11" i="26" s="1"/>
  <c r="AB10" i="26"/>
  <c r="S10" i="26"/>
  <c r="L10" i="26"/>
  <c r="M10" i="26" s="1"/>
  <c r="AB9" i="26"/>
  <c r="S9" i="26"/>
  <c r="L9" i="26"/>
  <c r="M9" i="26" s="1"/>
  <c r="K9" i="26"/>
  <c r="AB8" i="26"/>
  <c r="S8" i="26"/>
  <c r="L8" i="26"/>
  <c r="M8" i="26" s="1"/>
  <c r="AB7" i="26"/>
  <c r="S7" i="26"/>
  <c r="M7" i="26"/>
  <c r="AB6" i="26"/>
  <c r="S6" i="26"/>
  <c r="L6" i="26"/>
  <c r="M6" i="26" s="1"/>
  <c r="K6" i="26"/>
  <c r="AB5" i="26"/>
  <c r="S5" i="26"/>
  <c r="L5" i="26"/>
  <c r="M5" i="26" s="1"/>
  <c r="AB4" i="26"/>
  <c r="S4" i="26"/>
  <c r="L4" i="26"/>
  <c r="M4" i="26" s="1"/>
  <c r="K94" i="26" l="1"/>
  <c r="K58" i="26"/>
  <c r="K10" i="26"/>
  <c r="K11" i="26"/>
  <c r="K114" i="26"/>
  <c r="K78" i="26"/>
  <c r="K38" i="26"/>
  <c r="Y38" i="26" s="1"/>
  <c r="Z38" i="26" s="1"/>
  <c r="P10" i="26"/>
  <c r="K30" i="26"/>
  <c r="P136" i="26"/>
  <c r="P132" i="26"/>
  <c r="P128" i="26"/>
  <c r="P124" i="26"/>
  <c r="P120" i="26"/>
  <c r="P116" i="26"/>
  <c r="P112" i="26"/>
  <c r="P108" i="26"/>
  <c r="P104" i="26"/>
  <c r="P100" i="26"/>
  <c r="P96" i="26"/>
  <c r="P92" i="26"/>
  <c r="P88" i="26"/>
  <c r="P84" i="26"/>
  <c r="P80" i="26"/>
  <c r="P76" i="26"/>
  <c r="P72" i="26"/>
  <c r="P68" i="26"/>
  <c r="P64" i="26"/>
  <c r="P60" i="26"/>
  <c r="P56" i="26"/>
  <c r="P52" i="26"/>
  <c r="P48" i="26"/>
  <c r="P44" i="26"/>
  <c r="P40" i="26"/>
  <c r="P36" i="26"/>
  <c r="P32" i="26"/>
  <c r="P28" i="26"/>
  <c r="P24" i="26"/>
  <c r="P20" i="26"/>
  <c r="P16" i="26"/>
  <c r="P12" i="26"/>
  <c r="P8" i="26"/>
  <c r="P30" i="26"/>
  <c r="Y30" i="26" s="1"/>
  <c r="Z30" i="26" s="1"/>
  <c r="P22" i="26"/>
  <c r="P14" i="26"/>
  <c r="P6" i="26"/>
  <c r="H39" i="27"/>
  <c r="I9" i="28"/>
  <c r="P9" i="28" s="1"/>
  <c r="H71" i="27"/>
  <c r="I5" i="28"/>
  <c r="P5" i="28" s="1"/>
  <c r="H30" i="27"/>
  <c r="I17" i="28"/>
  <c r="P17" i="28" s="1"/>
  <c r="H15" i="27"/>
  <c r="I11" i="28"/>
  <c r="P11" i="28" s="1"/>
  <c r="H12" i="27"/>
  <c r="I10" i="28"/>
  <c r="P10" i="28" s="1"/>
  <c r="H74" i="27"/>
  <c r="I7" i="28"/>
  <c r="P7" i="28" s="1"/>
  <c r="H11" i="27"/>
  <c r="I19" i="28"/>
  <c r="P19" i="28" s="1"/>
  <c r="H13" i="27"/>
  <c r="I18" i="28"/>
  <c r="P18" i="28" s="1"/>
  <c r="H47" i="27"/>
  <c r="I14" i="28"/>
  <c r="P14" i="28" s="1"/>
  <c r="H57" i="27"/>
  <c r="I12" i="28"/>
  <c r="P12" i="28" s="1"/>
  <c r="H44" i="27"/>
  <c r="I3" i="28"/>
  <c r="H9" i="27"/>
  <c r="I13" i="28"/>
  <c r="P13" i="28" s="1"/>
  <c r="H92" i="27"/>
  <c r="I95" i="28"/>
  <c r="P95" i="28" s="1"/>
  <c r="H6" i="27"/>
  <c r="I93" i="28"/>
  <c r="P93" i="28" s="1"/>
  <c r="H94" i="27"/>
  <c r="I68" i="28"/>
  <c r="P68" i="28" s="1"/>
  <c r="H46" i="27"/>
  <c r="I56" i="28"/>
  <c r="P56" i="28" s="1"/>
  <c r="H69" i="27"/>
  <c r="I60" i="28"/>
  <c r="P60" i="28" s="1"/>
  <c r="H51" i="27"/>
  <c r="I80" i="28"/>
  <c r="P80" i="28" s="1"/>
  <c r="H84" i="27"/>
  <c r="I73" i="28"/>
  <c r="P73" i="28" s="1"/>
  <c r="H80" i="27"/>
  <c r="I33" i="28"/>
  <c r="P33" i="28" s="1"/>
  <c r="H16" i="27"/>
  <c r="I45" i="28"/>
  <c r="P45" i="28" s="1"/>
  <c r="H31" i="27"/>
  <c r="I90" i="28"/>
  <c r="P90" i="28" s="1"/>
  <c r="H32" i="27"/>
  <c r="I100" i="28"/>
  <c r="P100" i="28" s="1"/>
  <c r="H48" i="27"/>
  <c r="I94" i="28"/>
  <c r="P94" i="28" s="1"/>
  <c r="H72" i="27"/>
  <c r="I98" i="28"/>
  <c r="P98" i="28" s="1"/>
  <c r="H52" i="27"/>
  <c r="I77" i="28"/>
  <c r="P77" i="28" s="1"/>
  <c r="H22" i="27"/>
  <c r="I37" i="28"/>
  <c r="P37" i="28" s="1"/>
  <c r="H45" i="27"/>
  <c r="I61" i="28"/>
  <c r="P61" i="28" s="1"/>
  <c r="H95" i="27"/>
  <c r="I66" i="28"/>
  <c r="P66" i="28" s="1"/>
  <c r="H87" i="27"/>
  <c r="I16" i="28"/>
  <c r="P16" i="28" s="1"/>
  <c r="H65" i="27"/>
  <c r="I65" i="28"/>
  <c r="P65" i="28" s="1"/>
  <c r="H67" i="27"/>
  <c r="I78" i="28"/>
  <c r="P78" i="28" s="1"/>
  <c r="H41" i="27"/>
  <c r="I25" i="28"/>
  <c r="P25" i="28" s="1"/>
  <c r="H101" i="27"/>
  <c r="I6" i="28"/>
  <c r="P6" i="28" s="1"/>
  <c r="H89" i="27"/>
  <c r="I79" i="28"/>
  <c r="P79" i="28" s="1"/>
  <c r="H102" i="27"/>
  <c r="I27" i="28"/>
  <c r="P27" i="28" s="1"/>
  <c r="H49" i="27"/>
  <c r="I85" i="28"/>
  <c r="P85" i="28" s="1"/>
  <c r="H24" i="27"/>
  <c r="I42" i="28"/>
  <c r="P42" i="28" s="1"/>
  <c r="H4" i="27"/>
  <c r="I35" i="28"/>
  <c r="P35" i="28" s="1"/>
  <c r="H20" i="27"/>
  <c r="I69" i="28"/>
  <c r="P69" i="28" s="1"/>
  <c r="H7" i="27"/>
  <c r="I30" i="28"/>
  <c r="P30" i="28" s="1"/>
  <c r="H25" i="27"/>
  <c r="I96" i="28"/>
  <c r="P96" i="28" s="1"/>
  <c r="H59" i="27"/>
  <c r="I34" i="28"/>
  <c r="P34" i="28" s="1"/>
  <c r="H63" i="27"/>
  <c r="I71" i="28"/>
  <c r="P71" i="28" s="1"/>
  <c r="H86" i="27"/>
  <c r="I29" i="28"/>
  <c r="P29" i="28" s="1"/>
  <c r="H40" i="27"/>
  <c r="I91" i="28"/>
  <c r="P91" i="28" s="1"/>
  <c r="H76" i="27"/>
  <c r="I24" i="28"/>
  <c r="P24" i="28" s="1"/>
  <c r="H5" i="27"/>
  <c r="I88" i="28"/>
  <c r="P88" i="28" s="1"/>
  <c r="H83" i="27"/>
  <c r="I84" i="28"/>
  <c r="P84" i="28" s="1"/>
  <c r="H43" i="27"/>
  <c r="I75" i="28"/>
  <c r="P75" i="28" s="1"/>
  <c r="H19" i="27"/>
  <c r="I74" i="28"/>
  <c r="P74" i="28" s="1"/>
  <c r="H56" i="27"/>
  <c r="I26" i="28"/>
  <c r="P26" i="28" s="1"/>
  <c r="H21" i="27"/>
  <c r="I99" i="28"/>
  <c r="P99" i="28" s="1"/>
  <c r="H14" i="27"/>
  <c r="I89" i="28"/>
  <c r="P89" i="28" s="1"/>
  <c r="H26" i="27"/>
  <c r="I97" i="28"/>
  <c r="P97" i="28" s="1"/>
  <c r="H29" i="27"/>
  <c r="I58" i="28"/>
  <c r="P58" i="28" s="1"/>
  <c r="H54" i="27"/>
  <c r="I36" i="28"/>
  <c r="P36" i="28" s="1"/>
  <c r="H50" i="27"/>
  <c r="I48" i="28"/>
  <c r="P48" i="28" s="1"/>
  <c r="H18" i="27"/>
  <c r="I63" i="28"/>
  <c r="P63" i="28" s="1"/>
  <c r="H82" i="27"/>
  <c r="I4" i="28"/>
  <c r="P4" i="28" s="1"/>
  <c r="H78" i="27"/>
  <c r="I15" i="28"/>
  <c r="P15" i="28" s="1"/>
  <c r="H85" i="27"/>
  <c r="I41" i="28"/>
  <c r="P41" i="28" s="1"/>
  <c r="H68" i="27"/>
  <c r="I59" i="28"/>
  <c r="P59" i="28" s="1"/>
  <c r="H42" i="27"/>
  <c r="I43" i="28"/>
  <c r="P43" i="28" s="1"/>
  <c r="H91" i="27"/>
  <c r="I57" i="28"/>
  <c r="P57" i="28" s="1"/>
  <c r="H28" i="27"/>
  <c r="I70" i="28"/>
  <c r="P70" i="28" s="1"/>
  <c r="H88" i="27"/>
  <c r="I83" i="28"/>
  <c r="P83" i="28" s="1"/>
  <c r="H33" i="27"/>
  <c r="I31" i="28"/>
  <c r="P31" i="28" s="1"/>
  <c r="H53" i="27"/>
  <c r="I87" i="28"/>
  <c r="P87" i="28" s="1"/>
  <c r="H98" i="27"/>
  <c r="I67" i="28"/>
  <c r="P67" i="28" s="1"/>
  <c r="H36" i="27"/>
  <c r="I40" i="28"/>
  <c r="P40" i="28" s="1"/>
  <c r="H60" i="27"/>
  <c r="I72" i="28"/>
  <c r="P72" i="28" s="1"/>
  <c r="H58" i="27"/>
  <c r="I39" i="28"/>
  <c r="P39" i="28" s="1"/>
  <c r="H35" i="27"/>
  <c r="I62" i="28"/>
  <c r="P62" i="28" s="1"/>
  <c r="H81" i="27"/>
  <c r="I82" i="28"/>
  <c r="P82" i="28" s="1"/>
  <c r="H17" i="27"/>
  <c r="I38" i="28"/>
  <c r="P38" i="28" s="1"/>
  <c r="H77" i="27"/>
  <c r="I28" i="28"/>
  <c r="P28" i="28" s="1"/>
  <c r="H79" i="27"/>
  <c r="I86" i="28"/>
  <c r="P86" i="28" s="1"/>
  <c r="H64" i="27"/>
  <c r="I44" i="28"/>
  <c r="P44" i="28" s="1"/>
  <c r="H66" i="27"/>
  <c r="I76" i="28"/>
  <c r="P76" i="28" s="1"/>
  <c r="H27" i="27"/>
  <c r="I32" i="28"/>
  <c r="P32" i="28" s="1"/>
  <c r="H38" i="27"/>
  <c r="I92" i="28"/>
  <c r="P92" i="28" s="1"/>
  <c r="H96" i="27"/>
  <c r="I22" i="28"/>
  <c r="P22" i="28" s="1"/>
  <c r="L103" i="27"/>
  <c r="K21" i="28"/>
  <c r="H55" i="27"/>
  <c r="H62" i="27"/>
  <c r="E139" i="26"/>
  <c r="E140" i="26" s="1"/>
  <c r="K126" i="26"/>
  <c r="K122" i="26"/>
  <c r="Y122" i="26" s="1"/>
  <c r="Z122" i="26" s="1"/>
  <c r="K110" i="26"/>
  <c r="K106" i="26"/>
  <c r="K102" i="26"/>
  <c r="K98" i="26"/>
  <c r="K90" i="26"/>
  <c r="K86" i="26"/>
  <c r="K82" i="26"/>
  <c r="K74" i="26"/>
  <c r="Y74" i="26" s="1"/>
  <c r="Z74" i="26" s="1"/>
  <c r="K70" i="26"/>
  <c r="K66" i="26"/>
  <c r="K62" i="26"/>
  <c r="K54" i="26"/>
  <c r="Y54" i="26" s="1"/>
  <c r="Z54" i="26" s="1"/>
  <c r="K50" i="26"/>
  <c r="K46" i="26"/>
  <c r="K42" i="26"/>
  <c r="K83" i="26"/>
  <c r="K71" i="26"/>
  <c r="K67" i="26"/>
  <c r="K59" i="26"/>
  <c r="K43" i="26"/>
  <c r="K121" i="26"/>
  <c r="Y121" i="26" s="1"/>
  <c r="Z121" i="26" s="1"/>
  <c r="K26" i="26"/>
  <c r="Y26" i="26" s="1"/>
  <c r="Z26" i="26" s="1"/>
  <c r="K22" i="26"/>
  <c r="Y22" i="26" s="1"/>
  <c r="Z22" i="26" s="1"/>
  <c r="K18" i="26"/>
  <c r="Y18" i="26" s="1"/>
  <c r="Z18" i="26" s="1"/>
  <c r="D139" i="26"/>
  <c r="D140" i="26" s="1"/>
  <c r="K27" i="26"/>
  <c r="K4" i="26"/>
  <c r="Y5" i="26"/>
  <c r="Z5" i="26" s="1"/>
  <c r="Y9" i="26"/>
  <c r="Z9" i="26" s="1"/>
  <c r="Y13" i="26"/>
  <c r="Z13" i="26" s="1"/>
  <c r="Y29" i="26"/>
  <c r="Z29" i="26" s="1"/>
  <c r="N93" i="27"/>
  <c r="G34" i="27"/>
  <c r="I54" i="28" s="1"/>
  <c r="P54" i="28" s="1"/>
  <c r="G73" i="27"/>
  <c r="I55" i="28" s="1"/>
  <c r="P55" i="28" s="1"/>
  <c r="G99" i="27"/>
  <c r="I50" i="28" s="1"/>
  <c r="P50" i="28" s="1"/>
  <c r="G97" i="27"/>
  <c r="I53" i="28" s="1"/>
  <c r="P53" i="28" s="1"/>
  <c r="G23" i="27"/>
  <c r="I47" i="28" s="1"/>
  <c r="P47" i="28" s="1"/>
  <c r="G61" i="27"/>
  <c r="I51" i="28" s="1"/>
  <c r="P51" i="28" s="1"/>
  <c r="G10" i="27"/>
  <c r="I52" i="28" s="1"/>
  <c r="P52" i="28" s="1"/>
  <c r="G37" i="27"/>
  <c r="I46" i="28" s="1"/>
  <c r="P46" i="28" s="1"/>
  <c r="G90" i="27"/>
  <c r="I49" i="28" s="1"/>
  <c r="P49" i="28" s="1"/>
  <c r="K109" i="26"/>
  <c r="P109" i="26"/>
  <c r="K129" i="26"/>
  <c r="Y129" i="26" s="1"/>
  <c r="Z129" i="26" s="1"/>
  <c r="K117" i="26"/>
  <c r="Y117" i="26" s="1"/>
  <c r="Z117" i="26" s="1"/>
  <c r="K105" i="26"/>
  <c r="Y105" i="26" s="1"/>
  <c r="Z105" i="26" s="1"/>
  <c r="K69" i="26"/>
  <c r="Y69" i="26" s="1"/>
  <c r="Z69" i="26" s="1"/>
  <c r="K53" i="26"/>
  <c r="Y53" i="26" s="1"/>
  <c r="Z53" i="26" s="1"/>
  <c r="K45" i="26"/>
  <c r="Y45" i="26" s="1"/>
  <c r="Z45" i="26" s="1"/>
  <c r="K25" i="26"/>
  <c r="Y25" i="26" s="1"/>
  <c r="Z25" i="26" s="1"/>
  <c r="K17" i="26"/>
  <c r="Y17" i="26" s="1"/>
  <c r="Z17" i="26" s="1"/>
  <c r="Y6" i="26"/>
  <c r="Z6" i="26" s="1"/>
  <c r="Y7" i="26"/>
  <c r="Z7" i="26" s="1"/>
  <c r="Y10" i="26"/>
  <c r="Y11" i="26"/>
  <c r="Z11" i="26" s="1"/>
  <c r="Y14" i="26"/>
  <c r="Z14" i="26" s="1"/>
  <c r="Y15" i="26"/>
  <c r="Z15" i="26" s="1"/>
  <c r="K137" i="26"/>
  <c r="P137" i="26"/>
  <c r="K125" i="26"/>
  <c r="P125" i="26"/>
  <c r="K101" i="26"/>
  <c r="Y101" i="26" s="1"/>
  <c r="Z101" i="26" s="1"/>
  <c r="P101" i="26"/>
  <c r="K65" i="26"/>
  <c r="Y65" i="26" s="1"/>
  <c r="Z65" i="26" s="1"/>
  <c r="K77" i="26"/>
  <c r="Y77" i="26" s="1"/>
  <c r="Z77" i="26" s="1"/>
  <c r="K93" i="26"/>
  <c r="Y93" i="26" s="1"/>
  <c r="Z93" i="26" s="1"/>
  <c r="K97" i="26"/>
  <c r="Y97" i="26" s="1"/>
  <c r="Z97" i="26" s="1"/>
  <c r="K73" i="26"/>
  <c r="Y73" i="26" s="1"/>
  <c r="Z73" i="26" s="1"/>
  <c r="K57" i="26"/>
  <c r="Y57" i="26" s="1"/>
  <c r="Z57" i="26" s="1"/>
  <c r="K49" i="26"/>
  <c r="Y49" i="26" s="1"/>
  <c r="Z49" i="26" s="1"/>
  <c r="K41" i="26"/>
  <c r="Y41" i="26" s="1"/>
  <c r="Z41" i="26" s="1"/>
  <c r="K21" i="26"/>
  <c r="Y21" i="26" s="1"/>
  <c r="Z21" i="26" s="1"/>
  <c r="K23" i="26"/>
  <c r="Y23" i="26" s="1"/>
  <c r="Z23" i="26" s="1"/>
  <c r="K19" i="26"/>
  <c r="Y19" i="26" s="1"/>
  <c r="Z19" i="26" s="1"/>
  <c r="P27" i="26"/>
  <c r="P135" i="26"/>
  <c r="P127" i="26"/>
  <c r="P119" i="26"/>
  <c r="P111" i="26"/>
  <c r="P103" i="26"/>
  <c r="P95" i="26"/>
  <c r="P87" i="26"/>
  <c r="P83" i="26"/>
  <c r="P75" i="26"/>
  <c r="P67" i="26"/>
  <c r="P59" i="26"/>
  <c r="Y59" i="26" s="1"/>
  <c r="Z59" i="26" s="1"/>
  <c r="P51" i="26"/>
  <c r="P39" i="26"/>
  <c r="P31" i="26"/>
  <c r="P131" i="26"/>
  <c r="P123" i="26"/>
  <c r="P115" i="26"/>
  <c r="P107" i="26"/>
  <c r="P99" i="26"/>
  <c r="P91" i="26"/>
  <c r="P79" i="26"/>
  <c r="P71" i="26"/>
  <c r="P63" i="26"/>
  <c r="P55" i="26"/>
  <c r="P47" i="26"/>
  <c r="P43" i="26"/>
  <c r="P35" i="26"/>
  <c r="Y35" i="26" s="1"/>
  <c r="Z35" i="26" s="1"/>
  <c r="K63" i="26"/>
  <c r="K79" i="26"/>
  <c r="Y79" i="26" s="1"/>
  <c r="Z79" i="26" s="1"/>
  <c r="P134" i="26"/>
  <c r="P130" i="26"/>
  <c r="P126" i="26"/>
  <c r="P122" i="26"/>
  <c r="P118" i="26"/>
  <c r="P114" i="26"/>
  <c r="Y114" i="26" s="1"/>
  <c r="Z114" i="26" s="1"/>
  <c r="P110" i="26"/>
  <c r="P106" i="26"/>
  <c r="P102" i="26"/>
  <c r="P98" i="26"/>
  <c r="P94" i="26"/>
  <c r="Y94" i="26" s="1"/>
  <c r="Z94" i="26" s="1"/>
  <c r="P90" i="26"/>
  <c r="P86" i="26"/>
  <c r="P82" i="26"/>
  <c r="P78" i="26"/>
  <c r="P74" i="26"/>
  <c r="P70" i="26"/>
  <c r="P66" i="26"/>
  <c r="P62" i="26"/>
  <c r="P58" i="26"/>
  <c r="Y58" i="26" s="1"/>
  <c r="Z58" i="26" s="1"/>
  <c r="P54" i="26"/>
  <c r="P50" i="26"/>
  <c r="P46" i="26"/>
  <c r="P42" i="26"/>
  <c r="P38" i="26"/>
  <c r="P34" i="26"/>
  <c r="Y34" i="26" s="1"/>
  <c r="Z34" i="26" s="1"/>
  <c r="N8" i="27"/>
  <c r="R139" i="26"/>
  <c r="AB139" i="26"/>
  <c r="T139" i="26"/>
  <c r="Z10" i="26"/>
  <c r="Y37" i="26"/>
  <c r="Z37" i="26" s="1"/>
  <c r="K133" i="26"/>
  <c r="Y133" i="26" s="1"/>
  <c r="Z133" i="26" s="1"/>
  <c r="K56" i="26"/>
  <c r="Y56" i="26" s="1"/>
  <c r="Z56" i="26" s="1"/>
  <c r="K16" i="26"/>
  <c r="K8" i="26"/>
  <c r="Y75" i="26"/>
  <c r="Z75" i="26" s="1"/>
  <c r="Y78" i="26"/>
  <c r="Z78" i="26" s="1"/>
  <c r="Y81" i="26"/>
  <c r="Z81" i="26" s="1"/>
  <c r="K28" i="26"/>
  <c r="Y28" i="26" s="1"/>
  <c r="Z28" i="26" s="1"/>
  <c r="K24" i="26"/>
  <c r="K20" i="26"/>
  <c r="K12" i="26"/>
  <c r="G139" i="26"/>
  <c r="Y126" i="26"/>
  <c r="Z126" i="26" s="1"/>
  <c r="K60" i="26"/>
  <c r="Y60" i="26" s="1"/>
  <c r="Z60" i="26" s="1"/>
  <c r="K64" i="26"/>
  <c r="Y64" i="26" s="1"/>
  <c r="Z64" i="26" s="1"/>
  <c r="K68" i="26"/>
  <c r="Y68" i="26" s="1"/>
  <c r="Z68" i="26" s="1"/>
  <c r="K72" i="26"/>
  <c r="Y72" i="26" s="1"/>
  <c r="Z72" i="26" s="1"/>
  <c r="K76" i="26"/>
  <c r="Y76" i="26" s="1"/>
  <c r="Z76" i="26" s="1"/>
  <c r="K80" i="26"/>
  <c r="Y80" i="26" s="1"/>
  <c r="Z80" i="26" s="1"/>
  <c r="K84" i="26"/>
  <c r="K92" i="26"/>
  <c r="Y92" i="26" s="1"/>
  <c r="Z92" i="26" s="1"/>
  <c r="K36" i="26"/>
  <c r="K44" i="26"/>
  <c r="Y44" i="26" s="1"/>
  <c r="Z44" i="26" s="1"/>
  <c r="K48" i="26"/>
  <c r="Y48" i="26" s="1"/>
  <c r="Z48" i="26" s="1"/>
  <c r="Z61" i="26"/>
  <c r="H139" i="26"/>
  <c r="K31" i="26"/>
  <c r="K33" i="26"/>
  <c r="K51" i="26"/>
  <c r="Y51" i="26" s="1"/>
  <c r="Z51" i="26" s="1"/>
  <c r="I139" i="26"/>
  <c r="O139" i="26"/>
  <c r="L139" i="26"/>
  <c r="Q139" i="26"/>
  <c r="W139" i="26"/>
  <c r="K32" i="26"/>
  <c r="Y32" i="26" s="1"/>
  <c r="Z32" i="26" s="1"/>
  <c r="Y39" i="26"/>
  <c r="Z39" i="26" s="1"/>
  <c r="K47" i="26"/>
  <c r="Y47" i="26" s="1"/>
  <c r="Z47" i="26" s="1"/>
  <c r="K52" i="26"/>
  <c r="M139" i="26"/>
  <c r="K40" i="26"/>
  <c r="K55" i="26"/>
  <c r="Y55" i="26" s="1"/>
  <c r="Z55" i="26" s="1"/>
  <c r="K87" i="26"/>
  <c r="K91" i="26"/>
  <c r="K95" i="26"/>
  <c r="Y95" i="26" s="1"/>
  <c r="Z95" i="26" s="1"/>
  <c r="K99" i="26"/>
  <c r="K103" i="26"/>
  <c r="Y103" i="26" s="1"/>
  <c r="Z103" i="26" s="1"/>
  <c r="K107" i="26"/>
  <c r="Y107" i="26" s="1"/>
  <c r="Z107" i="26" s="1"/>
  <c r="K111" i="26"/>
  <c r="Y111" i="26" s="1"/>
  <c r="Z111" i="26" s="1"/>
  <c r="K118" i="26"/>
  <c r="K130" i="26"/>
  <c r="K134" i="26"/>
  <c r="K138" i="26"/>
  <c r="Y138" i="26" s="1"/>
  <c r="Z138" i="26" s="1"/>
  <c r="K88" i="26"/>
  <c r="Y88" i="26" s="1"/>
  <c r="Z88" i="26" s="1"/>
  <c r="K96" i="26"/>
  <c r="Y96" i="26" s="1"/>
  <c r="Z96" i="26" s="1"/>
  <c r="K100" i="26"/>
  <c r="K104" i="26"/>
  <c r="Y104" i="26" s="1"/>
  <c r="Z104" i="26" s="1"/>
  <c r="K108" i="26"/>
  <c r="Y108" i="26" s="1"/>
  <c r="Z108" i="26" s="1"/>
  <c r="K112" i="26"/>
  <c r="Y112" i="26" s="1"/>
  <c r="Y113" i="26"/>
  <c r="Z113" i="26" s="1"/>
  <c r="K115" i="26"/>
  <c r="Y115" i="26" s="1"/>
  <c r="Z115" i="26" s="1"/>
  <c r="K119" i="26"/>
  <c r="K123" i="26"/>
  <c r="K127" i="26"/>
  <c r="Y127" i="26" s="1"/>
  <c r="Z127" i="26" s="1"/>
  <c r="K131" i="26"/>
  <c r="Y131" i="26" s="1"/>
  <c r="Z131" i="26" s="1"/>
  <c r="K135" i="26"/>
  <c r="Y135" i="26" s="1"/>
  <c r="Z135" i="26" s="1"/>
  <c r="K85" i="26"/>
  <c r="Y85" i="26" s="1"/>
  <c r="Z85" i="26" s="1"/>
  <c r="K89" i="26"/>
  <c r="Y89" i="26" s="1"/>
  <c r="Z89" i="26" s="1"/>
  <c r="K116" i="26"/>
  <c r="K120" i="26"/>
  <c r="Y120" i="26" s="1"/>
  <c r="Z120" i="26" s="1"/>
  <c r="K124" i="26"/>
  <c r="Y124" i="26" s="1"/>
  <c r="Z124" i="26" s="1"/>
  <c r="K128" i="26"/>
  <c r="Y128" i="26" s="1"/>
  <c r="Z128" i="26" s="1"/>
  <c r="K132" i="26"/>
  <c r="Y132" i="26" s="1"/>
  <c r="Z132" i="26" s="1"/>
  <c r="K136" i="26"/>
  <c r="Y136" i="26" s="1"/>
  <c r="Z136" i="26" s="1"/>
  <c r="Y100" i="26" l="1"/>
  <c r="Z100" i="26" s="1"/>
  <c r="Y91" i="26"/>
  <c r="Z91" i="26" s="1"/>
  <c r="Y109" i="26"/>
  <c r="Z109" i="26" s="1"/>
  <c r="Y62" i="26"/>
  <c r="Z62" i="26" s="1"/>
  <c r="Y123" i="26"/>
  <c r="Z123" i="26" s="1"/>
  <c r="Y130" i="26"/>
  <c r="Z130" i="26" s="1"/>
  <c r="Y52" i="26"/>
  <c r="Z52" i="26" s="1"/>
  <c r="Y36" i="26"/>
  <c r="Z36" i="26" s="1"/>
  <c r="Y20" i="26"/>
  <c r="Z20" i="26" s="1"/>
  <c r="Y8" i="26"/>
  <c r="Z8" i="26" s="1"/>
  <c r="Y42" i="26"/>
  <c r="Z42" i="26" s="1"/>
  <c r="Y125" i="26"/>
  <c r="Z125" i="26" s="1"/>
  <c r="Y86" i="26"/>
  <c r="Z86" i="26" s="1"/>
  <c r="Y106" i="26"/>
  <c r="Z106" i="26" s="1"/>
  <c r="Y70" i="26"/>
  <c r="Z70" i="26" s="1"/>
  <c r="K3" i="28"/>
  <c r="P3" i="28"/>
  <c r="Y46" i="26"/>
  <c r="Z46" i="26" s="1"/>
  <c r="Y27" i="26"/>
  <c r="Z27" i="26" s="1"/>
  <c r="K27" i="28"/>
  <c r="Y83" i="26"/>
  <c r="Z83" i="26" s="1"/>
  <c r="Y82" i="26"/>
  <c r="Z82" i="26" s="1"/>
  <c r="Y98" i="26"/>
  <c r="Z98" i="26" s="1"/>
  <c r="Y102" i="26"/>
  <c r="Z102" i="26" s="1"/>
  <c r="Y43" i="26"/>
  <c r="Y67" i="26"/>
  <c r="Z67" i="26" s="1"/>
  <c r="Y66" i="26"/>
  <c r="Z66" i="26" s="1"/>
  <c r="K70" i="28"/>
  <c r="K40" i="28"/>
  <c r="K56" i="28"/>
  <c r="K35" i="28"/>
  <c r="K97" i="28"/>
  <c r="K33" i="28"/>
  <c r="K57" i="28"/>
  <c r="K62" i="28"/>
  <c r="K95" i="28"/>
  <c r="K22" i="28"/>
  <c r="K38" i="28"/>
  <c r="K68" i="28"/>
  <c r="K78" i="28"/>
  <c r="K92" i="28"/>
  <c r="K89" i="28"/>
  <c r="K45" i="28"/>
  <c r="K84" i="28"/>
  <c r="K80" i="28"/>
  <c r="K66" i="28"/>
  <c r="K37" i="28"/>
  <c r="K96" i="28"/>
  <c r="K87" i="28"/>
  <c r="K59" i="28"/>
  <c r="K79" i="28"/>
  <c r="K34" i="28"/>
  <c r="K74" i="28"/>
  <c r="K81" i="28"/>
  <c r="K67" i="28"/>
  <c r="K31" i="28"/>
  <c r="K41" i="28"/>
  <c r="K39" i="28"/>
  <c r="K32" i="28"/>
  <c r="K93" i="28"/>
  <c r="K30" i="28"/>
  <c r="K42" i="28"/>
  <c r="K63" i="28"/>
  <c r="K36" i="28"/>
  <c r="K94" i="28"/>
  <c r="K76" i="28"/>
  <c r="K29" i="28"/>
  <c r="K90" i="28"/>
  <c r="K73" i="28"/>
  <c r="K91" i="28"/>
  <c r="K77" i="28"/>
  <c r="K64" i="28"/>
  <c r="K28" i="28"/>
  <c r="K82" i="28"/>
  <c r="K24" i="28"/>
  <c r="K83" i="28"/>
  <c r="K43" i="28"/>
  <c r="K72" i="28"/>
  <c r="K99" i="28"/>
  <c r="K44" i="28"/>
  <c r="K60" i="28"/>
  <c r="K69" i="28"/>
  <c r="K85" i="28"/>
  <c r="K25" i="28"/>
  <c r="K48" i="28"/>
  <c r="K58" i="28"/>
  <c r="K100" i="28"/>
  <c r="K86" i="28"/>
  <c r="K71" i="28"/>
  <c r="K26" i="28"/>
  <c r="K75" i="28"/>
  <c r="K88" i="28"/>
  <c r="K65" i="28"/>
  <c r="K61" i="28"/>
  <c r="K98" i="28"/>
  <c r="G93" i="27"/>
  <c r="I20" i="28" s="1"/>
  <c r="P20" i="28" s="1"/>
  <c r="N103" i="27"/>
  <c r="U21" i="28"/>
  <c r="V21" i="28" s="1"/>
  <c r="K17" i="28"/>
  <c r="K5" i="28"/>
  <c r="K19" i="28"/>
  <c r="K7" i="28"/>
  <c r="K16" i="28"/>
  <c r="K12" i="28"/>
  <c r="K15" i="28"/>
  <c r="K10" i="28"/>
  <c r="K13" i="28"/>
  <c r="K6" i="28"/>
  <c r="K4" i="28"/>
  <c r="K9" i="28"/>
  <c r="K18" i="28"/>
  <c r="K11" i="28"/>
  <c r="K14" i="28"/>
  <c r="H61" i="27"/>
  <c r="H10" i="27"/>
  <c r="H37" i="27"/>
  <c r="H97" i="27"/>
  <c r="H34" i="27"/>
  <c r="H90" i="27"/>
  <c r="H23" i="27"/>
  <c r="H99" i="27"/>
  <c r="H73" i="27"/>
  <c r="Y90" i="26"/>
  <c r="Z90" i="26" s="1"/>
  <c r="Y110" i="26"/>
  <c r="Z110" i="26" s="1"/>
  <c r="Y137" i="26"/>
  <c r="Z137" i="26" s="1"/>
  <c r="Y50" i="26"/>
  <c r="Z50" i="26" s="1"/>
  <c r="Y63" i="26"/>
  <c r="Z63" i="26" s="1"/>
  <c r="Y71" i="26"/>
  <c r="Z71" i="26" s="1"/>
  <c r="Y16" i="26"/>
  <c r="Z16" i="26" s="1"/>
  <c r="Y118" i="26"/>
  <c r="Z118" i="26" s="1"/>
  <c r="Y12" i="26"/>
  <c r="Z12" i="26" s="1"/>
  <c r="Y87" i="26"/>
  <c r="Z87" i="26" s="1"/>
  <c r="Y119" i="26"/>
  <c r="Z119" i="26" s="1"/>
  <c r="Y134" i="26"/>
  <c r="Z134" i="26" s="1"/>
  <c r="Y99" i="26"/>
  <c r="Z99" i="26" s="1"/>
  <c r="Y24" i="26"/>
  <c r="Z24" i="26" s="1"/>
  <c r="G8" i="27"/>
  <c r="Y116" i="26"/>
  <c r="Z116" i="26" s="1"/>
  <c r="Y84" i="26"/>
  <c r="Y40" i="26"/>
  <c r="Z40" i="26" s="1"/>
  <c r="Y33" i="26"/>
  <c r="Z33" i="26" s="1"/>
  <c r="P139" i="26"/>
  <c r="K139" i="26"/>
  <c r="Y31" i="26"/>
  <c r="Y4" i="26"/>
  <c r="Z4" i="26" s="1"/>
  <c r="U83" i="28" l="1"/>
  <c r="U36" i="28"/>
  <c r="V36" i="28" s="1"/>
  <c r="U42" i="28"/>
  <c r="V42" i="28" s="1"/>
  <c r="U93" i="28"/>
  <c r="V93" i="28" s="1"/>
  <c r="U39" i="28"/>
  <c r="U31" i="28"/>
  <c r="V31" i="28" s="1"/>
  <c r="U78" i="28"/>
  <c r="V78" i="28" s="1"/>
  <c r="U57" i="28"/>
  <c r="V57" i="28" s="1"/>
  <c r="U97" i="28"/>
  <c r="U56" i="28"/>
  <c r="V56" i="28" s="1"/>
  <c r="U98" i="28"/>
  <c r="V98" i="28" s="1"/>
  <c r="U85" i="28"/>
  <c r="V85" i="28" s="1"/>
  <c r="U27" i="28"/>
  <c r="V27" i="28" s="1"/>
  <c r="H8" i="27"/>
  <c r="I8" i="28"/>
  <c r="P8" i="28" s="1"/>
  <c r="U90" i="28"/>
  <c r="V90" i="28" s="1"/>
  <c r="U72" i="28"/>
  <c r="V72" i="28" s="1"/>
  <c r="U91" i="28"/>
  <c r="V91" i="28" s="1"/>
  <c r="U66" i="28"/>
  <c r="V66" i="28" s="1"/>
  <c r="U84" i="28"/>
  <c r="V84" i="28" s="1"/>
  <c r="U65" i="28"/>
  <c r="V65" i="28" s="1"/>
  <c r="U71" i="28"/>
  <c r="V71" i="28" s="1"/>
  <c r="U100" i="28"/>
  <c r="V100" i="28" s="1"/>
  <c r="U44" i="28"/>
  <c r="V44" i="28" s="1"/>
  <c r="U82" i="28"/>
  <c r="V82" i="28" s="1"/>
  <c r="U95" i="28"/>
  <c r="V95" i="28" s="1"/>
  <c r="U81" i="28"/>
  <c r="V81" i="28" s="1"/>
  <c r="U73" i="28"/>
  <c r="V73" i="28" s="1"/>
  <c r="U75" i="28"/>
  <c r="V75" i="28" s="1"/>
  <c r="U48" i="28"/>
  <c r="V48" i="28" s="1"/>
  <c r="U64" i="28"/>
  <c r="V64" i="28" s="1"/>
  <c r="U34" i="28"/>
  <c r="V34" i="28" s="1"/>
  <c r="U59" i="28"/>
  <c r="V59" i="28" s="1"/>
  <c r="U96" i="28"/>
  <c r="V96" i="28" s="1"/>
  <c r="U89" i="28"/>
  <c r="V89" i="28" s="1"/>
  <c r="U38" i="28"/>
  <c r="V38" i="28" s="1"/>
  <c r="U70" i="28"/>
  <c r="V70" i="28" s="1"/>
  <c r="U61" i="28"/>
  <c r="V61" i="28" s="1"/>
  <c r="U88" i="28"/>
  <c r="V88" i="28" s="1"/>
  <c r="U26" i="28"/>
  <c r="V26" i="28" s="1"/>
  <c r="U86" i="28"/>
  <c r="V86" i="28" s="1"/>
  <c r="U60" i="28"/>
  <c r="V60" i="28" s="1"/>
  <c r="U99" i="28"/>
  <c r="V99" i="28" s="1"/>
  <c r="U43" i="28"/>
  <c r="V43" i="28" s="1"/>
  <c r="U24" i="28"/>
  <c r="V24" i="28" s="1"/>
  <c r="U29" i="28"/>
  <c r="V29" i="28" s="1"/>
  <c r="U94" i="28"/>
  <c r="V94" i="28" s="1"/>
  <c r="U63" i="28"/>
  <c r="V63" i="28" s="1"/>
  <c r="U30" i="28"/>
  <c r="V30" i="28" s="1"/>
  <c r="U32" i="28"/>
  <c r="V32" i="28" s="1"/>
  <c r="U41" i="28"/>
  <c r="V41" i="28" s="1"/>
  <c r="U67" i="28"/>
  <c r="V67" i="28" s="1"/>
  <c r="U79" i="28"/>
  <c r="V79" i="28" s="1"/>
  <c r="U87" i="28"/>
  <c r="V87" i="28" s="1"/>
  <c r="U37" i="28"/>
  <c r="V37" i="28" s="1"/>
  <c r="U45" i="28"/>
  <c r="V45" i="28" s="1"/>
  <c r="U62" i="28"/>
  <c r="U33" i="28"/>
  <c r="V33" i="28" s="1"/>
  <c r="U35" i="28"/>
  <c r="V35" i="28" s="1"/>
  <c r="U76" i="28"/>
  <c r="V76" i="28" s="1"/>
  <c r="U58" i="28"/>
  <c r="V58" i="28" s="1"/>
  <c r="U25" i="28"/>
  <c r="V25" i="28" s="1"/>
  <c r="U28" i="28"/>
  <c r="V28" i="28" s="1"/>
  <c r="U77" i="28"/>
  <c r="V77" i="28" s="1"/>
  <c r="U74" i="28"/>
  <c r="V74" i="28" s="1"/>
  <c r="U80" i="28"/>
  <c r="V80" i="28" s="1"/>
  <c r="U92" i="28"/>
  <c r="V92" i="28" s="1"/>
  <c r="U68" i="28"/>
  <c r="V68" i="28" s="1"/>
  <c r="U22" i="28"/>
  <c r="V22" i="28" s="1"/>
  <c r="U40" i="28"/>
  <c r="V40" i="28" s="1"/>
  <c r="U69" i="28"/>
  <c r="V69" i="28" s="1"/>
  <c r="K46" i="28"/>
  <c r="K51" i="28"/>
  <c r="K47" i="28"/>
  <c r="K50" i="28"/>
  <c r="K53" i="28"/>
  <c r="G103" i="27"/>
  <c r="U15" i="28"/>
  <c r="V15" i="28" s="1"/>
  <c r="U16" i="28"/>
  <c r="V16" i="28" s="1"/>
  <c r="U19" i="28"/>
  <c r="V19" i="28" s="1"/>
  <c r="U17" i="28"/>
  <c r="V17" i="28" s="1"/>
  <c r="U18" i="28"/>
  <c r="U12" i="28"/>
  <c r="V12" i="28" s="1"/>
  <c r="U7" i="28"/>
  <c r="V7" i="28" s="1"/>
  <c r="U5" i="28"/>
  <c r="V5" i="28" s="1"/>
  <c r="U14" i="28"/>
  <c r="V14" i="28" s="1"/>
  <c r="U4" i="28"/>
  <c r="V4" i="28" s="1"/>
  <c r="U3" i="28"/>
  <c r="U10" i="28"/>
  <c r="V10" i="28" s="1"/>
  <c r="U11" i="28"/>
  <c r="V11" i="28" s="1"/>
  <c r="U9" i="28"/>
  <c r="V9" i="28" s="1"/>
  <c r="U6" i="28"/>
  <c r="V6" i="28" s="1"/>
  <c r="U13" i="28"/>
  <c r="V13" i="28" s="1"/>
  <c r="V18" i="28"/>
  <c r="K49" i="28"/>
  <c r="U49" i="28" s="1"/>
  <c r="K52" i="28"/>
  <c r="U52" i="28" s="1"/>
  <c r="K54" i="28"/>
  <c r="U54" i="28" s="1"/>
  <c r="K55" i="28"/>
  <c r="U55" i="28" s="1"/>
  <c r="H93" i="27"/>
  <c r="V97" i="28"/>
  <c r="V39" i="28"/>
  <c r="V83" i="28"/>
  <c r="V62" i="28"/>
  <c r="Y139" i="26"/>
  <c r="Z31" i="26"/>
  <c r="Z139" i="26" s="1"/>
  <c r="H103" i="27" l="1"/>
  <c r="H104" i="27" s="1"/>
  <c r="U47" i="28"/>
  <c r="V47" i="28" s="1"/>
  <c r="U50" i="28"/>
  <c r="V50" i="28" s="1"/>
  <c r="U51" i="28"/>
  <c r="V51" i="28" s="1"/>
  <c r="U53" i="28"/>
  <c r="V53" i="28" s="1"/>
  <c r="U46" i="28"/>
  <c r="V46" i="28" s="1"/>
  <c r="V49" i="28"/>
  <c r="V54" i="28"/>
  <c r="V55" i="28"/>
  <c r="V52" i="28"/>
  <c r="K20" i="28"/>
  <c r="K8" i="28"/>
  <c r="H106" i="27"/>
  <c r="I103" i="28"/>
  <c r="V3" i="28"/>
  <c r="U8" i="28" l="1"/>
  <c r="U20" i="28"/>
  <c r="V20" i="28" s="1"/>
  <c r="K103" i="28"/>
  <c r="P103" i="28"/>
  <c r="H107" i="27"/>
  <c r="H108" i="27" s="1"/>
  <c r="H111" i="27" s="1"/>
  <c r="B88" i="24"/>
  <c r="A88" i="24"/>
  <c r="H112" i="27" l="1"/>
  <c r="H113" i="27" s="1"/>
  <c r="E11" i="29" s="1"/>
  <c r="J110" i="24"/>
  <c r="J108" i="24"/>
  <c r="J109" i="24" s="1"/>
  <c r="V8" i="28"/>
  <c r="U103" i="28"/>
  <c r="AF26" i="22"/>
  <c r="M44" i="22" s="1"/>
  <c r="AG26" i="22"/>
  <c r="AE26" i="22"/>
  <c r="AD26" i="22"/>
  <c r="AC26" i="22"/>
  <c r="AB26" i="22"/>
  <c r="AA26" i="22"/>
  <c r="Z26" i="22"/>
  <c r="Y26" i="22"/>
  <c r="M29" i="22" s="1"/>
  <c r="X26" i="22"/>
  <c r="W26" i="22"/>
  <c r="V26" i="22"/>
  <c r="M30" i="22" s="1"/>
  <c r="U26" i="22"/>
  <c r="M32" i="22" s="1"/>
  <c r="T26" i="22"/>
  <c r="S26" i="22"/>
  <c r="R26" i="22"/>
  <c r="Q26" i="22"/>
  <c r="P26" i="22"/>
  <c r="O26" i="22"/>
  <c r="N26" i="22"/>
  <c r="M26" i="22"/>
  <c r="M37" i="22" s="1"/>
  <c r="L26" i="22"/>
  <c r="K26" i="22"/>
  <c r="J26" i="22"/>
  <c r="I26" i="22"/>
  <c r="H26" i="22"/>
  <c r="G26" i="22"/>
  <c r="F26" i="22"/>
  <c r="E26" i="22"/>
  <c r="D26" i="22"/>
  <c r="C26" i="22"/>
  <c r="B26" i="22"/>
  <c r="A26" i="22"/>
  <c r="M36" i="22" l="1"/>
  <c r="V103" i="28"/>
  <c r="M45" i="22"/>
  <c r="M46" i="22" s="1"/>
  <c r="M47" i="22"/>
  <c r="M31" i="22"/>
  <c r="M33" i="22" s="1"/>
  <c r="J111" i="24"/>
  <c r="J112" i="24" s="1"/>
  <c r="J113" i="24" s="1"/>
  <c r="I10" i="29" s="1"/>
  <c r="M48" i="22" l="1"/>
  <c r="M49" i="22" s="1"/>
  <c r="M50" i="22" s="1"/>
  <c r="I9" i="29" s="1"/>
  <c r="I12" i="29" s="1"/>
  <c r="M34" i="22"/>
  <c r="D85" i="7"/>
  <c r="E85" i="7" s="1"/>
  <c r="C85" i="7"/>
  <c r="C13" i="7"/>
  <c r="D13" i="7" s="1"/>
  <c r="E13" i="7" s="1"/>
  <c r="F56" i="5"/>
  <c r="E56" i="5"/>
  <c r="D56" i="5"/>
  <c r="G54" i="5"/>
  <c r="G53" i="5"/>
  <c r="G52" i="5"/>
  <c r="G51" i="5"/>
  <c r="G50" i="5"/>
  <c r="G49" i="5"/>
  <c r="G48" i="5"/>
  <c r="G47" i="5"/>
  <c r="G46" i="5"/>
  <c r="G45" i="5"/>
  <c r="G44" i="5"/>
  <c r="G43" i="5"/>
  <c r="G42" i="5"/>
  <c r="G41" i="5"/>
  <c r="G40" i="5"/>
  <c r="G39" i="5"/>
  <c r="G38" i="5"/>
  <c r="G37" i="5"/>
  <c r="G36" i="5"/>
  <c r="G35" i="5"/>
  <c r="G34" i="5"/>
  <c r="G33" i="5"/>
  <c r="G32" i="5"/>
  <c r="G31" i="5"/>
  <c r="G30" i="5"/>
  <c r="G29" i="5"/>
  <c r="G28" i="5"/>
  <c r="G27" i="5"/>
  <c r="G26" i="5"/>
  <c r="G25" i="5"/>
  <c r="G24" i="5"/>
  <c r="G23" i="5"/>
  <c r="G22" i="5"/>
  <c r="G21" i="5"/>
  <c r="G20" i="5"/>
  <c r="G19" i="5"/>
  <c r="G18" i="5"/>
  <c r="G17" i="5"/>
  <c r="G16" i="5"/>
  <c r="G15" i="5"/>
  <c r="G14" i="5"/>
  <c r="G13" i="5"/>
  <c r="G12" i="5"/>
  <c r="G11" i="5"/>
  <c r="G10" i="5"/>
  <c r="G9" i="5"/>
  <c r="G8" i="5"/>
  <c r="G7" i="5"/>
  <c r="G56" i="5" s="1"/>
  <c r="G6" i="5"/>
  <c r="H152" i="15"/>
  <c r="H154" i="15" s="1"/>
  <c r="H135" i="15"/>
  <c r="I134" i="15"/>
  <c r="H134" i="15"/>
  <c r="H164" i="15" s="1"/>
  <c r="H166" i="15" s="1"/>
  <c r="G134" i="15"/>
  <c r="G135" i="15" s="1"/>
  <c r="F134" i="15"/>
  <c r="F135" i="15" s="1"/>
  <c r="E134" i="15"/>
  <c r="E135" i="15" s="1"/>
  <c r="D134" i="15"/>
  <c r="C134" i="15"/>
  <c r="B134" i="15"/>
  <c r="I121" i="15"/>
  <c r="H121" i="15"/>
  <c r="G121" i="15"/>
  <c r="F121" i="15"/>
  <c r="E121" i="15"/>
  <c r="D121" i="15"/>
  <c r="C121" i="15"/>
  <c r="B121" i="15"/>
  <c r="I117" i="15"/>
  <c r="H117" i="15"/>
  <c r="H140" i="15" s="1"/>
  <c r="H142" i="15" s="1"/>
  <c r="G117" i="15"/>
  <c r="F117" i="15"/>
  <c r="E117" i="15"/>
  <c r="D117" i="15"/>
  <c r="C117" i="15"/>
  <c r="B117" i="15"/>
  <c r="H155" i="15" l="1"/>
  <c r="H156" i="15" s="1"/>
  <c r="H159" i="15" s="1"/>
  <c r="H143" i="15"/>
  <c r="H144" i="15"/>
  <c r="H147" i="15" s="1"/>
  <c r="H167" i="15"/>
  <c r="H168" i="15" s="1"/>
  <c r="H171" i="15" s="1"/>
  <c r="I18" i="29"/>
  <c r="I17" i="29"/>
  <c r="I16" i="29"/>
  <c r="I15" i="29"/>
  <c r="M35" i="22"/>
  <c r="M38" i="22" s="1"/>
  <c r="H172" i="15" l="1"/>
  <c r="H173" i="15"/>
  <c r="H160" i="15"/>
  <c r="H161" i="15" s="1"/>
  <c r="M39" i="22"/>
  <c r="M40" i="22" s="1"/>
  <c r="E9" i="29" s="1"/>
  <c r="E12" i="29" s="1"/>
  <c r="H148" i="15"/>
  <c r="H149" i="15" s="1"/>
  <c r="I19" i="29"/>
  <c r="E16" i="29" l="1"/>
  <c r="E15" i="29"/>
  <c r="J173" i="15"/>
  <c r="E17" i="29"/>
  <c r="E18" i="29"/>
  <c r="E19" i="29" l="1"/>
</calcChain>
</file>

<file path=xl/sharedStrings.xml><?xml version="1.0" encoding="utf-8"?>
<sst xmlns="http://schemas.openxmlformats.org/spreadsheetml/2006/main" count="2461" uniqueCount="793">
  <si>
    <t>CONSULTORIA EN PROYECTOS DINAMICOS S DE RL DE CV</t>
  </si>
  <si>
    <t xml:space="preserve">CLAVE </t>
  </si>
  <si>
    <t>SUCURSAL</t>
  </si>
  <si>
    <t>NOMBRE</t>
  </si>
  <si>
    <t>SEI0006</t>
  </si>
  <si>
    <t>SEITON - (CONSULTORIA II)</t>
  </si>
  <si>
    <t>SANCHEZ OVANDO RAFAEL</t>
  </si>
  <si>
    <t>SEI0007</t>
  </si>
  <si>
    <t>GARCIA MORALES OCTAVIO</t>
  </si>
  <si>
    <t>SEI0009</t>
  </si>
  <si>
    <t>GUTIERREZ GUTIERREZ LUIS ARTURO</t>
  </si>
  <si>
    <t>SEI0026</t>
  </si>
  <si>
    <t>PATRICIO AGUILAR JHONATTAN CRISTIAN</t>
  </si>
  <si>
    <t>SEI0027</t>
  </si>
  <si>
    <t>TAVARES GUZMAN JOSE ENRIQUE</t>
  </si>
  <si>
    <t>SEI0088</t>
  </si>
  <si>
    <t>MORGADO FERNANDEZ MARTIN</t>
  </si>
  <si>
    <t>SEI0097</t>
  </si>
  <si>
    <t>ARREOLA JIMENEZ JOSE NIEVES</t>
  </si>
  <si>
    <t>SEI0099</t>
  </si>
  <si>
    <t>GARCIA VILLICA#A RICARDO PASCUAL</t>
  </si>
  <si>
    <t>SEI0108</t>
  </si>
  <si>
    <t>CABALLERO DIAZ FRANCISCO JAVIER</t>
  </si>
  <si>
    <t>SEI0116</t>
  </si>
  <si>
    <t>CASILLAS CARDONA CESAR ALEJANDRO</t>
  </si>
  <si>
    <t>SEI0117</t>
  </si>
  <si>
    <t>MARISCAL ROMERO LUIS ADRIAN</t>
  </si>
  <si>
    <t>SEI0118</t>
  </si>
  <si>
    <t>ARROYO RAMIREZ HECTOR HUGO</t>
  </si>
  <si>
    <t>SEI0120</t>
  </si>
  <si>
    <t>MACIAS TORRES ENRIQUE</t>
  </si>
  <si>
    <t>SEI0127</t>
  </si>
  <si>
    <t>HERNANDEZ OCHOA EDUARDO</t>
  </si>
  <si>
    <t>SEI0137</t>
  </si>
  <si>
    <t>DIAZ MARTINEZ JULIO ARTURO</t>
  </si>
  <si>
    <t>SEI0173</t>
  </si>
  <si>
    <t>NIETO ORTIZ JOSE LUIS</t>
  </si>
  <si>
    <t>SEI0228</t>
  </si>
  <si>
    <t>MASCORRO BARRAGAN NOE</t>
  </si>
  <si>
    <t>SEI0401</t>
  </si>
  <si>
    <t>DE LA TORRE ZAMBARA FRANCISCO ERNESTO</t>
  </si>
  <si>
    <t>SEI0425</t>
  </si>
  <si>
    <t>CARBAJAL CABUTO JOSE LUIS</t>
  </si>
  <si>
    <t>SEI0433</t>
  </si>
  <si>
    <t>MUNGUIA GODINEZ EVANGELINA</t>
  </si>
  <si>
    <t>TOTAL GENERAL:</t>
  </si>
  <si>
    <t>Devengado Salario</t>
  </si>
  <si>
    <t>RETORNOS</t>
  </si>
  <si>
    <t>Subtotal 1</t>
  </si>
  <si>
    <t>Comision</t>
  </si>
  <si>
    <t>Subtotal 2</t>
  </si>
  <si>
    <t>Costo Patronal Imss</t>
  </si>
  <si>
    <t xml:space="preserve">2% Sobre Nomina </t>
  </si>
  <si>
    <t>Importe de Factura</t>
  </si>
  <si>
    <t>IVA</t>
  </si>
  <si>
    <t>TOTAL</t>
  </si>
  <si>
    <t>SEI0002</t>
  </si>
  <si>
    <t>SEITON (IP INNOVA II)</t>
  </si>
  <si>
    <t>VALENCIA TORRES OMAR ISMAEL</t>
  </si>
  <si>
    <t>SEI0003</t>
  </si>
  <si>
    <t>ARELLANO LOPEZ ADRIANA ISELA</t>
  </si>
  <si>
    <t>SEI0004</t>
  </si>
  <si>
    <t>SALDIVAR BERNAL ALAN GABRIEL</t>
  </si>
  <si>
    <t>SEI0005</t>
  </si>
  <si>
    <t>GOMEZ CEJA JONATAN FERNANDO</t>
  </si>
  <si>
    <t>SEI0008</t>
  </si>
  <si>
    <t>GARCIA MOLINA GUSTAVO</t>
  </si>
  <si>
    <t>SEI0010</t>
  </si>
  <si>
    <t>TORRES RICARDEZ ALFREDO</t>
  </si>
  <si>
    <t>SEI0011</t>
  </si>
  <si>
    <t>GOMEZ ESPARZA JOSE LUIS</t>
  </si>
  <si>
    <t>SEI0012</t>
  </si>
  <si>
    <t>HERNANDEZ RENTERIA JAVIER ALFREDO</t>
  </si>
  <si>
    <t>SEI0013</t>
  </si>
  <si>
    <t>CASTILLO SANCHEZ MIGUEL ANGEL</t>
  </si>
  <si>
    <t>SEI0014</t>
  </si>
  <si>
    <t>MONTOYA PORTILLO CARLOS ALBERTO</t>
  </si>
  <si>
    <t>SEI0015</t>
  </si>
  <si>
    <t>COTA JARAMILLO MIGUEL ANGEL</t>
  </si>
  <si>
    <t>SEI0016</t>
  </si>
  <si>
    <t>NEGRETE BEJAR AIDE SARAI</t>
  </si>
  <si>
    <t>SEI0017</t>
  </si>
  <si>
    <t>MUÑOZ REYES LUIS EDUARDO</t>
  </si>
  <si>
    <t>SEI0018</t>
  </si>
  <si>
    <t>DOMINGUEZ MENDEZ VICTOR MANUEL</t>
  </si>
  <si>
    <t>SEI0019</t>
  </si>
  <si>
    <t>GONZALEZ RASGADO MIGUEL ISAIAS</t>
  </si>
  <si>
    <t>SEI0020</t>
  </si>
  <si>
    <t>MAR MARQUEZ CESAR EDUARDO</t>
  </si>
  <si>
    <t>SEI0021</t>
  </si>
  <si>
    <t>VELEZ RODRIGUEZ JAIME</t>
  </si>
  <si>
    <t>SEI0022</t>
  </si>
  <si>
    <t>NAJERA LOPEZ RAUL</t>
  </si>
  <si>
    <t>SEI0023</t>
  </si>
  <si>
    <t>PUENTE MURGUIA LUIS FELIPE</t>
  </si>
  <si>
    <t>SEI0024</t>
  </si>
  <si>
    <t>MIRELES CHAPA MIGUEL ANGEL</t>
  </si>
  <si>
    <t>SEI0025</t>
  </si>
  <si>
    <t>VEGA ZAMBRANO ANA LORENA</t>
  </si>
  <si>
    <t>SEI0028</t>
  </si>
  <si>
    <t>JIMENEZ ALCARAZ ELIZABETH</t>
  </si>
  <si>
    <t>SEI0029</t>
  </si>
  <si>
    <t>ARCEO GARCIA MANUEL FEDERICO</t>
  </si>
  <si>
    <t>SEI0030</t>
  </si>
  <si>
    <t>MARQUEZ ALTAMIRANO MARCO ANTONIO</t>
  </si>
  <si>
    <t>SEI0031</t>
  </si>
  <si>
    <t>CONTRERAS ZETINA VICTOR HUGO</t>
  </si>
  <si>
    <t>SEI0098</t>
  </si>
  <si>
    <t>CASTRO MEZA JORGE</t>
  </si>
  <si>
    <t>SEI0122</t>
  </si>
  <si>
    <t>SANCHEZ POLANCO DAISY LETICIA</t>
  </si>
  <si>
    <t>SEI0151</t>
  </si>
  <si>
    <t>PRUDENCIO FRIAS OSWALDO</t>
  </si>
  <si>
    <t>SEI0345</t>
  </si>
  <si>
    <t>RODRIGUEZ DIAZ CESAR SALVADOR</t>
  </si>
  <si>
    <t>SEI0376</t>
  </si>
  <si>
    <t>MARQUEZ ALCARAZ MARTIN</t>
  </si>
  <si>
    <t>Retornos</t>
  </si>
  <si>
    <t>NETO SALARIOS</t>
  </si>
  <si>
    <t xml:space="preserve">INFONAVIT </t>
  </si>
  <si>
    <t>NETO SINDICATO</t>
  </si>
  <si>
    <t>NETO A PAGAR</t>
  </si>
  <si>
    <t xml:space="preserve">ARCEO GARCIA MANUEL FEDERICO </t>
  </si>
  <si>
    <t>MARQUEZ ALTAMIRANO ANTONIO</t>
  </si>
  <si>
    <t xml:space="preserve">PAGO POR SINDICATO </t>
  </si>
  <si>
    <t>DATOS DEL TRABAJADOR</t>
  </si>
  <si>
    <t>NOMBRE COMPLETO</t>
  </si>
  <si>
    <t>TAvARES GUZMAN JOSE ENRIQUE</t>
  </si>
  <si>
    <t>SANCHEZ GONZALEZ MIGUEL ANGEL</t>
  </si>
  <si>
    <t>CAMARENA QUIROZ ERICK FRANK</t>
  </si>
  <si>
    <t>MOLINA RAMIREZ GERARDO DANIEL</t>
  </si>
  <si>
    <t>NARANJO CHAVEZ NOE SALVADOR</t>
  </si>
  <si>
    <t>Hernandez Ochoa Eduardo</t>
  </si>
  <si>
    <t>Carbajal Cabuto Jose Luis</t>
  </si>
  <si>
    <t>Munguia Godinez Evangelina</t>
  </si>
  <si>
    <t>Deduccion general</t>
  </si>
  <si>
    <t>Sueldo</t>
  </si>
  <si>
    <t>Ayuda de Transporte</t>
  </si>
  <si>
    <t>Ayuda Alimentaria</t>
  </si>
  <si>
    <t>Ayuda de Renta</t>
  </si>
  <si>
    <t>*TOTAL* *PERCEPCIONES*</t>
  </si>
  <si>
    <t>I.S.R. (sp)</t>
  </si>
  <si>
    <t>Subsidio al Empleo (sp)</t>
  </si>
  <si>
    <t>I.M.S.S.</t>
  </si>
  <si>
    <t>Préstamo Infonavit (vsm)</t>
  </si>
  <si>
    <t>Ajuste al neto</t>
  </si>
  <si>
    <t>*TOTAL* *DEDUCCIONES*</t>
  </si>
  <si>
    <t>*NETO*</t>
  </si>
  <si>
    <t>Invalidez y Vida</t>
  </si>
  <si>
    <t>Cesantia y Vejez</t>
  </si>
  <si>
    <t>Enf. y Mat. Patron</t>
  </si>
  <si>
    <t>2% Fondo retiro SAR (8)</t>
  </si>
  <si>
    <t>2% Impuesto estatal</t>
  </si>
  <si>
    <t>Riesgo de trabajo (9)</t>
  </si>
  <si>
    <t>I.M.S.S. empresa</t>
  </si>
  <si>
    <t>Infonavit empresa</t>
  </si>
  <si>
    <t>Guarderia I.M.S.S. (7)</t>
  </si>
  <si>
    <t xml:space="preserve">  -----------------------</t>
  </si>
  <si>
    <t>GARCIA VILLICAÑA RICARDO PASCUAL</t>
  </si>
  <si>
    <t>GONZALEZ VILLANUEVA ALEJANDRA</t>
  </si>
  <si>
    <t>Lista de Raya (forma tabular)</t>
  </si>
  <si>
    <t>Reg Pat IMSS: Z2940859106</t>
  </si>
  <si>
    <t xml:space="preserve">RFC: CPD -150911-FA3 </t>
  </si>
  <si>
    <t>Código</t>
  </si>
  <si>
    <t>Empleado</t>
  </si>
  <si>
    <t>Total Depto</t>
  </si>
  <si>
    <t>IP INNOVACION EN PROYECTOS S DE RL DE CV</t>
  </si>
  <si>
    <t>Reg Pat IMSS: Z2942442109</t>
  </si>
  <si>
    <t xml:space="preserve">RFC: IIP -150923-DT7 </t>
  </si>
  <si>
    <t>Vega Zambrano Ana Lorena</t>
  </si>
  <si>
    <t>Infonavit</t>
  </si>
  <si>
    <t>AGUILAR LEAL KARINA LIVIER</t>
  </si>
  <si>
    <t>ALONSO FLORES BEDA</t>
  </si>
  <si>
    <t>AMEZCUA CONTRERAS MARTHA FRINE</t>
  </si>
  <si>
    <t>CAMARILLO CANELA REYNALDO</t>
  </si>
  <si>
    <t>DIAZ MUNGUIA MARTHA LILIANA</t>
  </si>
  <si>
    <t>DOMINGUEZ LOPEZ MARIA DE JESUS</t>
  </si>
  <si>
    <t>DOMINGUEZ LOPEZ MAYELI DEL PILAR</t>
  </si>
  <si>
    <t>GOMEZ OLIVEROS ALIN</t>
  </si>
  <si>
    <t>GUIZAR PEREZ SERGIO</t>
  </si>
  <si>
    <t>GUTIERREZ MUÑOZ CARLOS ALEJANDRO</t>
  </si>
  <si>
    <t>LARA CAMPOS MAXIMINO</t>
  </si>
  <si>
    <t>LEAL MONTAÑO DIEGO</t>
  </si>
  <si>
    <t>MEDINA GARCIA JOSE LUIS</t>
  </si>
  <si>
    <t>MORA RAMIREZ ACAL ALDO ISIDRO</t>
  </si>
  <si>
    <t>NEGRETE RENTERIA JOSE LUIS</t>
  </si>
  <si>
    <t>NERI GUTIERREZ YESSICA ELIZABETH</t>
  </si>
  <si>
    <t>QUINTO VALLE MARTIN</t>
  </si>
  <si>
    <t>RAMIREZ VERA MARIA DEL CARMEN</t>
  </si>
  <si>
    <t>RODRIGUEZ CRUZ MARIA DEL CARMEN</t>
  </si>
  <si>
    <t>ROGEL TERAN MARCO ANTONIO</t>
  </si>
  <si>
    <t>ROJO AVELAR ADRIAN</t>
  </si>
  <si>
    <t>ROMERO MAYORAL LORENZO</t>
  </si>
  <si>
    <t>SAUCEDO DURAN JESUS ALFREDO</t>
  </si>
  <si>
    <t>SIERRA HERNANDEZ MARIA DEL ROCIO</t>
  </si>
  <si>
    <t>HernandezOchoaEduardo</t>
  </si>
  <si>
    <t>CarbajalCabutoJoseLuis</t>
  </si>
  <si>
    <t>MunguiaGodinezEvangelina</t>
  </si>
  <si>
    <t>HernandezRenteriaJavierAlfredo</t>
  </si>
  <si>
    <t>VegaZambranoAnaLorena</t>
  </si>
  <si>
    <t>ALMARAZ PACHECO VICTOR</t>
  </si>
  <si>
    <t>SEI0037</t>
  </si>
  <si>
    <t>SEI0039</t>
  </si>
  <si>
    <t>SEI0040</t>
  </si>
  <si>
    <t>SEI0041</t>
  </si>
  <si>
    <t>SEI0078</t>
  </si>
  <si>
    <t>SEI0079</t>
  </si>
  <si>
    <t>SEI0081</t>
  </si>
  <si>
    <t>SEI0100</t>
  </si>
  <si>
    <t>SEI0109</t>
  </si>
  <si>
    <t>SEI0119</t>
  </si>
  <si>
    <t>SEI0126</t>
  </si>
  <si>
    <t>SEI0133</t>
  </si>
  <si>
    <t>SEI0146</t>
  </si>
  <si>
    <t>SEI0147</t>
  </si>
  <si>
    <t>SEI0221</t>
  </si>
  <si>
    <t>SEI0222</t>
  </si>
  <si>
    <t>SEI0230</t>
  </si>
  <si>
    <t>SEI0332</t>
  </si>
  <si>
    <t>SEI0364</t>
  </si>
  <si>
    <t>SEI0377</t>
  </si>
  <si>
    <t>SEI0412</t>
  </si>
  <si>
    <t>GARCIAMORALESOCTAVIO</t>
  </si>
  <si>
    <t>AGUILARLEALKARINALIVIER</t>
  </si>
  <si>
    <t>ALONSOFLORESBEDA</t>
  </si>
  <si>
    <t>AMEZCUACONTRERASMARTHAFRINE</t>
  </si>
  <si>
    <t>ARCEOGARCIAMANUELFEDERICO</t>
  </si>
  <si>
    <t>ARELLANOLOPEZADRIANAISELA</t>
  </si>
  <si>
    <t>ARREOLAJIMENEZJOSENIEVES</t>
  </si>
  <si>
    <t>ARROYORAMIREZHECTORHUGO</t>
  </si>
  <si>
    <t>BENAVIDESHERRERAPABLO</t>
  </si>
  <si>
    <t>BUENOHERRERAMARIANAGUADALUPE</t>
  </si>
  <si>
    <t>CABALLERODIAZFRANCISCOJAVIER</t>
  </si>
  <si>
    <t>CAMARENAQUIROZERICKFRANK</t>
  </si>
  <si>
    <t>CAMARILLOCANELAREYNALDO</t>
  </si>
  <si>
    <t>CASILLASCARDONACESARALEJANDRO</t>
  </si>
  <si>
    <t>CASTILLOSANCHEZMIGUELANGEL</t>
  </si>
  <si>
    <t>CASTROMEZAJORGE</t>
  </si>
  <si>
    <t>CONTRERASZETINAVICTORHUGO</t>
  </si>
  <si>
    <t>COTAJARAMILLOMIGUELANGEL</t>
  </si>
  <si>
    <t>DELATORREZAMBARAFRANCISCOERNESTO</t>
  </si>
  <si>
    <t>DIAZMARTINEZJULIOARTURO</t>
  </si>
  <si>
    <t>DIAZMUNGUIAMARTHALILIANA</t>
  </si>
  <si>
    <t>DOMINGUEZLOPEZMARIADEJESUS</t>
  </si>
  <si>
    <t>DOMINGUEZLOPEZMAYELIDELPILAR</t>
  </si>
  <si>
    <t>DOMINGUEZMENDEZVICTORMANUEL</t>
  </si>
  <si>
    <t>GARCIAMOLINAGUSTAVO</t>
  </si>
  <si>
    <t>GOMEZCEJAJONATANFERNANDO</t>
  </si>
  <si>
    <t>GOMEZESPARZAJOSELUIS</t>
  </si>
  <si>
    <t>GOMEZOLIVEROSALIN</t>
  </si>
  <si>
    <t>GONZALEZRASGADOMIGUELISAIAS</t>
  </si>
  <si>
    <t>GONZALEZVILLANUEVAALEJANDRA</t>
  </si>
  <si>
    <t>GUIZARPEREZSERGIO</t>
  </si>
  <si>
    <t>GUTIERREZGUTIERREZLUISARTURO</t>
  </si>
  <si>
    <t>GUTIERREZMUÑOZCARLOSALEJANDRO</t>
  </si>
  <si>
    <t>JIMENEZALCARAZELIZABETH</t>
  </si>
  <si>
    <t>LARACAMPOSMAXIMINO</t>
  </si>
  <si>
    <t>LEALMONTAÑODIEGO</t>
  </si>
  <si>
    <t>MACIASTORRESENRIQUE</t>
  </si>
  <si>
    <t>MARMARQUEZCESAREDUARDO</t>
  </si>
  <si>
    <t>MARISCALROMEROLUISADRIAN</t>
  </si>
  <si>
    <t>MARQUEZALCARAZMARTIN</t>
  </si>
  <si>
    <t>MARQUEZALTAMIRANOMARCOANTONIO</t>
  </si>
  <si>
    <t>MASCORROBARRAGANNOE</t>
  </si>
  <si>
    <t>MEDINAGARCIAJOSELUIS</t>
  </si>
  <si>
    <t>MOLINARAMIREZGERARDODANIEL</t>
  </si>
  <si>
    <t>MONTOYAPORTILLOCARLOSALBERTO</t>
  </si>
  <si>
    <t>MORARAMIREZACALALDOISIDRO</t>
  </si>
  <si>
    <t>MORGADOFERNANDEZMARTIN</t>
  </si>
  <si>
    <t>MUÑOZREYESLUISEDUARDO</t>
  </si>
  <si>
    <t>NAJERALOPEZRAUL</t>
  </si>
  <si>
    <t>NARANJOCHAVEZNOESALVADOR</t>
  </si>
  <si>
    <t>NEGRETEBEJARAIDESARAI</t>
  </si>
  <si>
    <t>NEGRETERENTERIAJOSELUIS</t>
  </si>
  <si>
    <t>NERIGUTIERREZYESSICAELIZABETH</t>
  </si>
  <si>
    <t>NIETOORTIZJOSELUIS</t>
  </si>
  <si>
    <t>PATRICIOAGUILARJHONATTANCRISTIAN</t>
  </si>
  <si>
    <t>PRUDENCIOFRIASOSWALDO</t>
  </si>
  <si>
    <t>PUENTEMURGUIALUISFELIPE</t>
  </si>
  <si>
    <t>QUINTOVALLEMARTIN</t>
  </si>
  <si>
    <t>RAMIREZVERAMARIADELCARMEN</t>
  </si>
  <si>
    <t>RODRIGUEZDIAZCESARSALVADOR</t>
  </si>
  <si>
    <t>ROGELTERANMARCOANTONIO</t>
  </si>
  <si>
    <t>ROJOAVELARADRIAN</t>
  </si>
  <si>
    <t>ROMEROMAYORALLORENZO</t>
  </si>
  <si>
    <t>SALDIVARBERNALALANGABRIEL</t>
  </si>
  <si>
    <t>SANCHEZGONZALEZMIGUELANGEL</t>
  </si>
  <si>
    <t>SANCHEZPOLANCODAISYLETICIA</t>
  </si>
  <si>
    <t>SAUCEDODURANJESUSALFREDO</t>
  </si>
  <si>
    <t>SIERRAHERNANDEZMARIADELROCIO</t>
  </si>
  <si>
    <t>TORRESRICARDEZALFREDO</t>
  </si>
  <si>
    <t>VALENCIATORRESOMARISMAEL</t>
  </si>
  <si>
    <t>VAZQUEZPEREZMIGUELANGEL</t>
  </si>
  <si>
    <t>VELEZRODRIGUEZJAIME</t>
  </si>
  <si>
    <t>GARCIAVILLICAÑARICARDOPASCUAL</t>
  </si>
  <si>
    <t>SANCHEZOVANDORAFAEL</t>
  </si>
  <si>
    <t>TAvARESGUZMANJOSEENRIQUE</t>
  </si>
  <si>
    <t>MIRELESCHAPAMIGUELANGEL</t>
  </si>
  <si>
    <t>ALMARAZPACHECOVICTOR</t>
  </si>
  <si>
    <t>BENAVIDESHERRERAALEJANDRA</t>
  </si>
  <si>
    <t>RODRIGUEZCRUZMARIADELCARMEN</t>
  </si>
  <si>
    <t>COMPEAN TOBIAS BRAULIO GERARDO</t>
  </si>
  <si>
    <t>COMPEANTOBIASBRAULIO</t>
  </si>
  <si>
    <t>Compean Tobias Braulio Gerardo</t>
  </si>
  <si>
    <t>VILLAMOR MORA ANA LUISA</t>
  </si>
  <si>
    <t>Gutierrez Gutierrez Luis Arturo</t>
  </si>
  <si>
    <t>Patricio Aguilar Jhonattan Cristian</t>
  </si>
  <si>
    <t>Tavares Guzman Jose Enrique</t>
  </si>
  <si>
    <t>Benavides Herrera Pablo</t>
  </si>
  <si>
    <t>Mora Ramirez Acal Aldo Isidro</t>
  </si>
  <si>
    <t>Vazquez Perez Miguel Angel</t>
  </si>
  <si>
    <t>Morgado Fernandez Martin</t>
  </si>
  <si>
    <t>Arreola Jimenez Jose Nieves</t>
  </si>
  <si>
    <t>Garcia Villicaña Ricardo Pascual</t>
  </si>
  <si>
    <t>Caballero Diaz Francisco Javier</t>
  </si>
  <si>
    <t>Casillas Cardona Cesar Alejandro</t>
  </si>
  <si>
    <t>Mariscal Romero Luis Adrian</t>
  </si>
  <si>
    <t>Arroyo Ramirez Hector Hugo</t>
  </si>
  <si>
    <t>Dominguez Lopez Maria De Jesus</t>
  </si>
  <si>
    <t>Macias Torres Enrique</t>
  </si>
  <si>
    <t>Diaz Munguia Martha Liliana</t>
  </si>
  <si>
    <t>Nieto Ortiz Jose Luis</t>
  </si>
  <si>
    <t>Rogel Teran Marco Antonio</t>
  </si>
  <si>
    <t>Saucedo Duran Jesus Alfredo</t>
  </si>
  <si>
    <t>De La Torre Zambara Francisco Ernesto</t>
  </si>
  <si>
    <t>Villamor Mora Ana Luisa</t>
  </si>
  <si>
    <t>Prestamo Prospera</t>
  </si>
  <si>
    <t>Arellano Lopez Adriana Isela</t>
  </si>
  <si>
    <t>Torres Ricardez Alfredo</t>
  </si>
  <si>
    <t>Castillo Sanchez Miguel Angel</t>
  </si>
  <si>
    <t>Negrete Bejar Aide Sarai</t>
  </si>
  <si>
    <t>Muñoz Reyes Luis Eduardo</t>
  </si>
  <si>
    <t>Dominguez Mendez Victor Manuel</t>
  </si>
  <si>
    <t>Gonzalez Rasgado Miguel Isaias</t>
  </si>
  <si>
    <t>Velez Rodriguez Jaime</t>
  </si>
  <si>
    <t>Najera Lopez Raul</t>
  </si>
  <si>
    <t>Puente Murguia Luis Felipe</t>
  </si>
  <si>
    <t>Arceo Garcia Manuel Federico</t>
  </si>
  <si>
    <t>Marquez Altamirano Marco Antonio</t>
  </si>
  <si>
    <t>Contreras Zetina Victor Hugo</t>
  </si>
  <si>
    <t>Molina Ramirez Gerardo Daniel</t>
  </si>
  <si>
    <t>Gomez Oliveros Alin</t>
  </si>
  <si>
    <t>Aguilar Leal Karina Livier</t>
  </si>
  <si>
    <t>Amezcua Contreras Martha Frine</t>
  </si>
  <si>
    <t>Guizar Perez Sergio</t>
  </si>
  <si>
    <t>Gutierrez Muñoz Carlos Alejandro</t>
  </si>
  <si>
    <t>Camarillo Canela Reynaldo</t>
  </si>
  <si>
    <t>Quinto Valle Martin</t>
  </si>
  <si>
    <t>Negrete Renteria Jose Luis</t>
  </si>
  <si>
    <t>Alonso Flores Beda</t>
  </si>
  <si>
    <t>Romero Mayoral Lorenzo</t>
  </si>
  <si>
    <t>Ramirez Vera Maria Del Carmen</t>
  </si>
  <si>
    <t>Bueno Herrera Mariana Guadalupe</t>
  </si>
  <si>
    <t>Lara Campos Maximino</t>
  </si>
  <si>
    <t>Rodriguez Diaz Cesar Salvador</t>
  </si>
  <si>
    <t>Dominguez Lopez Mayeli Del Pilar</t>
  </si>
  <si>
    <t>Marquez Alcaraz Martin</t>
  </si>
  <si>
    <t>Rojo Avelar Adrian</t>
  </si>
  <si>
    <t>Hernandez Renteria Javier Fernando</t>
  </si>
  <si>
    <t>Benavides Herrera Alejandra</t>
  </si>
  <si>
    <t>PEREZ LOPEZ FRANCISCO JAVIER</t>
  </si>
  <si>
    <t xml:space="preserve"> SEI0014 </t>
  </si>
  <si>
    <t xml:space="preserve"> Montoya Portillo Carlos Alberto </t>
  </si>
  <si>
    <t xml:space="preserve"> SEI0015 </t>
  </si>
  <si>
    <t xml:space="preserve"> Cota Jaramillo Miguel Angel </t>
  </si>
  <si>
    <t xml:space="preserve"> Mar Marquez Cesar Eduardo </t>
  </si>
  <si>
    <t>Vacaciones a tiempo</t>
  </si>
  <si>
    <t>Prima de vacaciones a tiempo</t>
  </si>
  <si>
    <t>SEI0413</t>
  </si>
  <si>
    <t xml:space="preserve">Courtenay Gutierrez Barry Vladimir </t>
  </si>
  <si>
    <t>MENDEZ ALCOCER EDNA PAOLA</t>
  </si>
  <si>
    <t>Dias Laborados</t>
  </si>
  <si>
    <t>Solache Figueroa Jose Cuauhtemoc</t>
  </si>
  <si>
    <t>Diaz  Ceballos Miguel Angel Segundo</t>
  </si>
  <si>
    <t>De Anda Garcia Elisa Ximena</t>
  </si>
  <si>
    <t>Arellanos Maqueda Victor Leonardo</t>
  </si>
  <si>
    <t>Lara Zamora Christian</t>
  </si>
  <si>
    <t>Marin  Avila Hector</t>
  </si>
  <si>
    <t>SEI0421</t>
  </si>
  <si>
    <t>Mireles Casillas Brenda Cristina</t>
  </si>
  <si>
    <t>SEI032</t>
  </si>
  <si>
    <t>Camarena Quiroz Erick Frank</t>
  </si>
  <si>
    <t>Escobedo Olivares Juan Guadalupe</t>
  </si>
  <si>
    <t>Castillo Ramirez Hector Ivan</t>
  </si>
  <si>
    <t>HGD0416</t>
  </si>
  <si>
    <t>SEI0422</t>
  </si>
  <si>
    <t>Mulgado Guzman Ernesto</t>
  </si>
  <si>
    <t>comision y bono</t>
  </si>
  <si>
    <t>certificacion de cheque</t>
  </si>
  <si>
    <t>Dias Vacaciones</t>
  </si>
  <si>
    <t>SEI0424</t>
  </si>
  <si>
    <t>Palacios Ramos Jesus</t>
  </si>
  <si>
    <t>SEI0429</t>
  </si>
  <si>
    <t>Torres Gomez Valeria</t>
  </si>
  <si>
    <t>SEI0431</t>
  </si>
  <si>
    <t>Alcaraz Conde Zabdi Guadalupe</t>
  </si>
  <si>
    <t>aportacion voluntaria</t>
  </si>
  <si>
    <t>Garza  Herrera Yareci Anel</t>
  </si>
  <si>
    <t>Lopez Terron Roberto Porfirio</t>
  </si>
  <si>
    <t>Ramirez Romero Jose Luis</t>
  </si>
  <si>
    <t>Chavez Pedraza Samuel</t>
  </si>
  <si>
    <t>SEI0435</t>
  </si>
  <si>
    <t>SEI0438</t>
  </si>
  <si>
    <t>SEI0441</t>
  </si>
  <si>
    <t>SEI0442</t>
  </si>
  <si>
    <t>SEI0428</t>
  </si>
  <si>
    <t>Martinez Hernandez J. Antonio</t>
  </si>
  <si>
    <t>SEI0443</t>
  </si>
  <si>
    <t>Castillo Nungaray Nestor Roman</t>
  </si>
  <si>
    <t>SEI0444</t>
  </si>
  <si>
    <t>Marquez Hernandez Rogelio</t>
  </si>
  <si>
    <t xml:space="preserve"> SEI0448 </t>
  </si>
  <si>
    <t xml:space="preserve"> Picazo Gutierrez Jose Alfonso </t>
  </si>
  <si>
    <t>Cadena Ramirez Hugo</t>
  </si>
  <si>
    <t>Martinez Morales Tomas</t>
  </si>
  <si>
    <t>Medellin Colunga Ruben Dario</t>
  </si>
  <si>
    <t>Torres Perez Carlos Alberto</t>
  </si>
  <si>
    <t>Velazquez Herrera Nayeli</t>
  </si>
  <si>
    <t>Treviño Alvarez Jorge Alberto</t>
  </si>
  <si>
    <t>Tenorio Alvarez Alberto Antonio</t>
  </si>
  <si>
    <t>Chavez Dominguez Salvador</t>
  </si>
  <si>
    <t>Garcia Gutierrez Jose Juan</t>
  </si>
  <si>
    <t>Cruz Herrera Roberto</t>
  </si>
  <si>
    <t>Dominguez Escamilla Victor Hugo</t>
  </si>
  <si>
    <t>Martinez Rodriguez Paulo Cesar</t>
  </si>
  <si>
    <t>Martinez Malo Cesar</t>
  </si>
  <si>
    <t>Perez Balboa Cesar</t>
  </si>
  <si>
    <t>SEI0449</t>
  </si>
  <si>
    <t>Flores Cerrillos Jorge Humberto</t>
  </si>
  <si>
    <t>SEI0451</t>
  </si>
  <si>
    <t>Hurtado Avalos J.jesus</t>
  </si>
  <si>
    <t>SEI0452</t>
  </si>
  <si>
    <t>Leija Arevalo Guadalupe</t>
  </si>
  <si>
    <t>SEI0453</t>
  </si>
  <si>
    <t>Mora Cavazos Roberto Manuel</t>
  </si>
  <si>
    <t>SEI0454</t>
  </si>
  <si>
    <t>Martinez Rivera Maria Teresa</t>
  </si>
  <si>
    <t>SEI0455</t>
  </si>
  <si>
    <t>Perez Garcia Andres Alvaro</t>
  </si>
  <si>
    <t>SEI0456</t>
  </si>
  <si>
    <t>Chavira Garcia David Fernando</t>
  </si>
  <si>
    <t>SEI0457</t>
  </si>
  <si>
    <t>Guerrero Lara Cesar Adrian</t>
  </si>
  <si>
    <t>SEI0458</t>
  </si>
  <si>
    <t>Martinez Zamora Gerardo Mario</t>
  </si>
  <si>
    <t>SEI0460</t>
  </si>
  <si>
    <t>Castellon Ramos Rene</t>
  </si>
  <si>
    <t>SEI0461</t>
  </si>
  <si>
    <t>Flores Franco Marco</t>
  </si>
  <si>
    <t>SEI0463</t>
  </si>
  <si>
    <t>Hernandez Rangel Daniel</t>
  </si>
  <si>
    <t>SEI0464</t>
  </si>
  <si>
    <t>Hueramo Hueramo Jesus Daniel</t>
  </si>
  <si>
    <t>SEI0437</t>
  </si>
  <si>
    <t>Leal Montaño Diego</t>
  </si>
  <si>
    <t>SEI0465</t>
  </si>
  <si>
    <t>Sandoval Garcia Luis</t>
  </si>
  <si>
    <t>Diaz Saldierna Leonel Gonzalo</t>
  </si>
  <si>
    <t>Mejia  Duarte Jose Luis</t>
  </si>
  <si>
    <t>SEI0467</t>
  </si>
  <si>
    <t>Vaca Valdez Guillermo</t>
  </si>
  <si>
    <t xml:space="preserve"> SEI0468 </t>
  </si>
  <si>
    <t xml:space="preserve"> Ramirez Vera Eustolia </t>
  </si>
  <si>
    <t xml:space="preserve">Cerro  Garcia  Elvis </t>
  </si>
  <si>
    <t>SEI0469</t>
  </si>
  <si>
    <t>Martinez Morales Jose Martin</t>
  </si>
  <si>
    <t>SEI0472</t>
  </si>
  <si>
    <t>Arzate Gil Juan Sebastian</t>
  </si>
  <si>
    <t>prima vacaciones</t>
  </si>
  <si>
    <t>SEI0473</t>
  </si>
  <si>
    <t>Torres Velazquez Juan Antonio</t>
  </si>
  <si>
    <t>SEI0474</t>
  </si>
  <si>
    <t>Enriquez  Zamora Jessica Del Rocio</t>
  </si>
  <si>
    <t>SEI0475</t>
  </si>
  <si>
    <t>Moreno Quiroga  Ana Sarahi</t>
  </si>
  <si>
    <t>SEI0476</t>
  </si>
  <si>
    <t>Hernandez Garcia  Manuel Alejandro</t>
  </si>
  <si>
    <t>SEI0477</t>
  </si>
  <si>
    <t>Sandoval Medina Demetrio</t>
  </si>
  <si>
    <t>Leal  Montaño Francisco</t>
  </si>
  <si>
    <t>Cruz Perez Alejandro Nezahualcoyotl</t>
  </si>
  <si>
    <t>SEI0478</t>
  </si>
  <si>
    <t>SEI479</t>
  </si>
  <si>
    <t>SEI0480</t>
  </si>
  <si>
    <t>Sigala Marmolejo Sergio</t>
  </si>
  <si>
    <t>SEI0481</t>
  </si>
  <si>
    <t>Garcia Valdivia Benjamin Alonso</t>
  </si>
  <si>
    <t>Préstamo Infonavit (cf)</t>
  </si>
  <si>
    <t>Seguro de vivienda Infonavit</t>
  </si>
  <si>
    <t xml:space="preserve">Valdes  Arrioja  Karla Naborina </t>
  </si>
  <si>
    <t>SEI0482</t>
  </si>
  <si>
    <t>SEI0483</t>
  </si>
  <si>
    <t>SEI0485</t>
  </si>
  <si>
    <t>SEI0488</t>
  </si>
  <si>
    <t>SEI0489</t>
  </si>
  <si>
    <t>SEI0490</t>
  </si>
  <si>
    <t>SEI0492</t>
  </si>
  <si>
    <t>SEI0493</t>
  </si>
  <si>
    <t>SEI0494</t>
  </si>
  <si>
    <t>SEI0495</t>
  </si>
  <si>
    <t>SEI0496</t>
  </si>
  <si>
    <t>SEI0497</t>
  </si>
  <si>
    <t>SEI0498</t>
  </si>
  <si>
    <t>SEI0499</t>
  </si>
  <si>
    <t>SEI0500</t>
  </si>
  <si>
    <t>SEI0501</t>
  </si>
  <si>
    <t>SEI0502</t>
  </si>
  <si>
    <t>SEI0503</t>
  </si>
  <si>
    <t>SEI0504</t>
  </si>
  <si>
    <t>SEI0505</t>
  </si>
  <si>
    <t>SEI0506</t>
  </si>
  <si>
    <t>SEI0507</t>
  </si>
  <si>
    <t>SEI0508</t>
  </si>
  <si>
    <t xml:space="preserve">Gutierrez  Castillo  Jose De Jesus </t>
  </si>
  <si>
    <t>SEI0509</t>
  </si>
  <si>
    <t>SEI0510</t>
  </si>
  <si>
    <t xml:space="preserve">De La Fuente  Reynoso  Felipe </t>
  </si>
  <si>
    <t>PAGO QNA PASADA</t>
  </si>
  <si>
    <t>SEI0511</t>
  </si>
  <si>
    <t xml:space="preserve">Lizaran Maceda  Jose Guadalupe </t>
  </si>
  <si>
    <t>SEI0462</t>
  </si>
  <si>
    <t>Chavez Saucedo Jorge Arturo</t>
  </si>
  <si>
    <t>CC</t>
  </si>
  <si>
    <t>GERENTE</t>
  </si>
  <si>
    <t>AA</t>
  </si>
  <si>
    <t>DIRECCION</t>
  </si>
  <si>
    <t xml:space="preserve">Total  AA </t>
  </si>
  <si>
    <t xml:space="preserve">Total  DIRECCION </t>
  </si>
  <si>
    <t xml:space="preserve">Total  GERENTE </t>
  </si>
  <si>
    <t>codigo</t>
  </si>
  <si>
    <t>empres</t>
  </si>
  <si>
    <t>nombre</t>
  </si>
  <si>
    <t>DIRECION</t>
  </si>
  <si>
    <t>TOTAL A PAGAR</t>
  </si>
  <si>
    <t>Salario Diario</t>
  </si>
  <si>
    <t>Salario Diario Integrado</t>
  </si>
  <si>
    <t>SEI0440</t>
  </si>
  <si>
    <t>Montoya Portillo Carlos Alberto</t>
  </si>
  <si>
    <t>Mar Marquez Cesar Eduardo</t>
  </si>
  <si>
    <t>Ramirez Vera Eustolia</t>
  </si>
  <si>
    <t xml:space="preserve">Arzate Gil Juan Sebastian </t>
  </si>
  <si>
    <t>SEI0512</t>
  </si>
  <si>
    <t>Romo Sandoval Ma De Lourdez</t>
  </si>
  <si>
    <t>SEI0513</t>
  </si>
  <si>
    <t>Mendez Rivera Ivan Israel</t>
  </si>
  <si>
    <t>SEI0514</t>
  </si>
  <si>
    <t>Benavides Reyes Jorge</t>
  </si>
  <si>
    <t>SEI0515</t>
  </si>
  <si>
    <t xml:space="preserve">Ruiz  Flores  Aldo Tomas </t>
  </si>
  <si>
    <t>Jimenez Alcaraz Elizabeth</t>
  </si>
  <si>
    <t>SEI0517</t>
  </si>
  <si>
    <t xml:space="preserve">Macias  Torres  Enrique </t>
  </si>
  <si>
    <t>SEI0518</t>
  </si>
  <si>
    <t>Amezcua Magaña Tania Estefania</t>
  </si>
  <si>
    <t>SEI0519</t>
  </si>
  <si>
    <t>Palacios Vega Luis Rosendo</t>
  </si>
  <si>
    <t xml:space="preserve"> Dominguez Lopez Maria De Jesus </t>
  </si>
  <si>
    <t xml:space="preserve"> Sierra  Escamilla  Daniela  </t>
  </si>
  <si>
    <t>SEI0521</t>
  </si>
  <si>
    <t>Rondero Savin Jacinto</t>
  </si>
  <si>
    <t>SEI0522</t>
  </si>
  <si>
    <t>Peña Lopez Abigail</t>
  </si>
  <si>
    <t>SEI0523</t>
  </si>
  <si>
    <t>Hernandez Rodriguez Jorge</t>
  </si>
  <si>
    <t>SEI0524</t>
  </si>
  <si>
    <t>Orea Gonzalez Concepcion Esteban</t>
  </si>
  <si>
    <t>SEI0525</t>
  </si>
  <si>
    <t>Lizaran Maceda Jesus</t>
  </si>
  <si>
    <t>SEI0527</t>
  </si>
  <si>
    <t>Alejandro Peña Deivi</t>
  </si>
  <si>
    <t>SEI0528</t>
  </si>
  <si>
    <t>Casas Chavarria Rafael</t>
  </si>
  <si>
    <t>SEI0445</t>
  </si>
  <si>
    <t>Muñoz Melgoza Gabriel</t>
  </si>
  <si>
    <t>SEI0530</t>
  </si>
  <si>
    <t>Del Pilar Mendez Lucio</t>
  </si>
  <si>
    <t>SEI0531</t>
  </si>
  <si>
    <t>Garcia Valderrama Jose De Jesus</t>
  </si>
  <si>
    <t>SEI0534</t>
  </si>
  <si>
    <t>Gonzalez Ramirez Paul</t>
  </si>
  <si>
    <t>SEI0535</t>
  </si>
  <si>
    <t>Alejandro Vazquez Erasmo Miguel</t>
  </si>
  <si>
    <t>SEI0448</t>
  </si>
  <si>
    <t>Rodriguez Chavez Oswaldo Emmanuel</t>
  </si>
  <si>
    <t>SEI0536</t>
  </si>
  <si>
    <t>Hernandez Ojeda Julio Cesar</t>
  </si>
  <si>
    <t>SEI0537</t>
  </si>
  <si>
    <t>Serrano Esquivel Armando</t>
  </si>
  <si>
    <t>SEI0538</t>
  </si>
  <si>
    <t>Coronado Vega Carlos Eduardo</t>
  </si>
  <si>
    <t>Cota Jaramillo Miguel Angel</t>
  </si>
  <si>
    <t>Proporcion Aguinaldo</t>
  </si>
  <si>
    <t>SEI0539</t>
  </si>
  <si>
    <t>Montes De Oca Trujillo Gloria</t>
  </si>
  <si>
    <t>SEI0540</t>
  </si>
  <si>
    <t>Morales Martinez Eduardo</t>
  </si>
  <si>
    <t>SEI0541</t>
  </si>
  <si>
    <t>Chavez Govea Edgar Aram</t>
  </si>
  <si>
    <t>SEI0542</t>
  </si>
  <si>
    <t>Ramirez Elizalde Karen Viridiana</t>
  </si>
  <si>
    <t>FACTURACION PITS</t>
  </si>
  <si>
    <t>FACTURACON PITS</t>
  </si>
  <si>
    <t>SEI0543</t>
  </si>
  <si>
    <t>Diaz Ortiz Hiram Guillermo</t>
  </si>
  <si>
    <t>CLAVE</t>
  </si>
  <si>
    <t>EMPRESA</t>
  </si>
  <si>
    <t>DIAS DE VACACIONES</t>
  </si>
  <si>
    <t>SUELDO NETO MENSUAL</t>
  </si>
  <si>
    <t>MONTO PRIMA TOTAL</t>
  </si>
  <si>
    <t>MENOS PRIMA IMSS</t>
  </si>
  <si>
    <t>PRIMA A PAGAR SINDICATO</t>
  </si>
  <si>
    <t>SUELDOS Y SALARIOS</t>
  </si>
  <si>
    <t>SINDICATO</t>
  </si>
  <si>
    <t>NETOS</t>
  </si>
  <si>
    <t>EXTRAS</t>
  </si>
  <si>
    <t>NETO CPD</t>
  </si>
  <si>
    <t>NETO IP</t>
  </si>
  <si>
    <t>A</t>
  </si>
  <si>
    <t xml:space="preserve"> PAGO SINDICATO</t>
  </si>
  <si>
    <t>COMISION</t>
  </si>
  <si>
    <t>PRIMA VACACIONAL SINDICATO</t>
  </si>
  <si>
    <t>B</t>
  </si>
  <si>
    <t>NETO MENSUAL</t>
  </si>
  <si>
    <t>NETO QUINCENAL SEITON</t>
  </si>
  <si>
    <t>C</t>
  </si>
  <si>
    <t>prima vacacional</t>
  </si>
  <si>
    <t>COMISION Y PRIMA VACACIONAL</t>
  </si>
  <si>
    <t>INFONAVIT</t>
  </si>
  <si>
    <t>PRESTAMO</t>
  </si>
  <si>
    <t>APORTACION</t>
  </si>
  <si>
    <t>DESCUENTOS</t>
  </si>
  <si>
    <t>D</t>
  </si>
  <si>
    <t>TOTAL GENERAL</t>
  </si>
  <si>
    <t>DIFERENCIAS</t>
  </si>
  <si>
    <t>OBSERVACIONES</t>
  </si>
  <si>
    <t>subsidio</t>
  </si>
  <si>
    <t>100% IMSS</t>
  </si>
  <si>
    <t>SEI0415</t>
  </si>
  <si>
    <t>SEI0033</t>
  </si>
  <si>
    <t>SEI0095</t>
  </si>
  <si>
    <t>SEI0096</t>
  </si>
  <si>
    <t>SEI0416</t>
  </si>
  <si>
    <t>SEI0417</t>
  </si>
  <si>
    <t>SEI0420</t>
  </si>
  <si>
    <t>SEI0426</t>
  </si>
  <si>
    <t>SEI0430</t>
  </si>
  <si>
    <t>SEI0432</t>
  </si>
  <si>
    <t>TOTAL GENERAL IP</t>
  </si>
  <si>
    <t>PROVISION AGUINALDO</t>
  </si>
  <si>
    <t>TOTAL CPD</t>
  </si>
  <si>
    <t>TOTAL IP</t>
  </si>
  <si>
    <t>TOTAL SINDICATO</t>
  </si>
  <si>
    <t>EM 4%</t>
  </si>
  <si>
    <t>CPD 12%</t>
  </si>
  <si>
    <t>IP 11%</t>
  </si>
  <si>
    <t>ITA 73%</t>
  </si>
  <si>
    <t>TOTAL FACTURACION NOMINA</t>
  </si>
  <si>
    <t>PORCENTAJES POR EMPRESA</t>
  </si>
  <si>
    <t>Préstamo Infonavit</t>
  </si>
  <si>
    <t>Banco</t>
  </si>
  <si>
    <t>CONSULTORIA</t>
  </si>
  <si>
    <t>IP INNOVACION</t>
  </si>
  <si>
    <t xml:space="preserve">SUELDO SINDICATO </t>
  </si>
  <si>
    <t>BONO</t>
  </si>
  <si>
    <t>Sierra Escamilla Daniela</t>
  </si>
  <si>
    <t>SEI0544</t>
  </si>
  <si>
    <t>SEI0545</t>
  </si>
  <si>
    <t>SUELDO SINDICATO</t>
  </si>
  <si>
    <t>FONACOT</t>
  </si>
  <si>
    <t>Aguilar Aguirre Alfonso</t>
  </si>
  <si>
    <t>Vallarta Fonseca Mayra Karina</t>
  </si>
  <si>
    <t>Préstamo FONACOT</t>
  </si>
  <si>
    <t>Aportación voluntaria Infonavit</t>
  </si>
  <si>
    <t>PROVISION DE AGUINALDO</t>
  </si>
  <si>
    <t>PRIMA VACACIONAL</t>
  </si>
  <si>
    <t xml:space="preserve">TOTAL GENERAL </t>
  </si>
  <si>
    <t>Cerro Garcia Elvis</t>
  </si>
  <si>
    <t>Gutierrez Castillo Jose De Jesus</t>
  </si>
  <si>
    <t>Mejia Duarte Jose Luis</t>
  </si>
  <si>
    <t>Ruiz Flores Aldo Tomas</t>
  </si>
  <si>
    <t xml:space="preserve">  Nomina </t>
  </si>
  <si>
    <t xml:space="preserve">  Altas    </t>
  </si>
  <si>
    <t xml:space="preserve">  Bajas  </t>
  </si>
  <si>
    <t xml:space="preserve">  Total Nomina </t>
  </si>
  <si>
    <t>2 FALTAS</t>
  </si>
  <si>
    <t>1 FALTA</t>
  </si>
  <si>
    <t>Courtenay Gutierrez Barry Vladimir</t>
  </si>
  <si>
    <t>Enriquez Zamora Jessica Del Rocio</t>
  </si>
  <si>
    <t>Moreno Quiroga Ana Sarahi</t>
  </si>
  <si>
    <t>Hernandez Garcia Manuel Alejandro</t>
  </si>
  <si>
    <t>Lizaran Maceda Jose Guadalupe</t>
  </si>
  <si>
    <t xml:space="preserve"> SEI0009</t>
  </si>
  <si>
    <t xml:space="preserve"> SEI0026</t>
  </si>
  <si>
    <t xml:space="preserve"> SEI0040</t>
  </si>
  <si>
    <t xml:space="preserve"> SEI0041</t>
  </si>
  <si>
    <t xml:space="preserve"> SEI0088</t>
  </si>
  <si>
    <t xml:space="preserve"> SEI0097</t>
  </si>
  <si>
    <t xml:space="preserve"> SEI0099</t>
  </si>
  <si>
    <t xml:space="preserve"> SEI0108</t>
  </si>
  <si>
    <t xml:space="preserve"> SEI0116</t>
  </si>
  <si>
    <t xml:space="preserve"> SEI0117</t>
  </si>
  <si>
    <t xml:space="preserve"> SEI0118</t>
  </si>
  <si>
    <t xml:space="preserve"> SEI0127</t>
  </si>
  <si>
    <t xml:space="preserve"> SEI0173</t>
  </si>
  <si>
    <t xml:space="preserve"> SEI0221</t>
  </si>
  <si>
    <t xml:space="preserve"> SEI0401</t>
  </si>
  <si>
    <t xml:space="preserve"> SEI0453</t>
  </si>
  <si>
    <t xml:space="preserve"> SEI0377</t>
  </si>
  <si>
    <t xml:space="preserve"> SEI0618</t>
  </si>
  <si>
    <t xml:space="preserve"> SEI0632</t>
  </si>
  <si>
    <t xml:space="preserve"> SEI0010</t>
  </si>
  <si>
    <t xml:space="preserve"> SEI0014</t>
  </si>
  <si>
    <t xml:space="preserve"> SEI0017</t>
  </si>
  <si>
    <t xml:space="preserve"> SEI0019</t>
  </si>
  <si>
    <t xml:space="preserve"> SEI0020</t>
  </si>
  <si>
    <t xml:space="preserve"> SEI0021</t>
  </si>
  <si>
    <t xml:space="preserve"> SEI0022</t>
  </si>
  <si>
    <t xml:space="preserve"> SEI0023</t>
  </si>
  <si>
    <t xml:space="preserve"> SEI0029</t>
  </si>
  <si>
    <t xml:space="preserve"> SEI0364</t>
  </si>
  <si>
    <t xml:space="preserve"> SEI0436</t>
  </si>
  <si>
    <t xml:space="preserve"> SEI0424</t>
  </si>
  <si>
    <t xml:space="preserve"> SEI0452</t>
  </si>
  <si>
    <t xml:space="preserve"> SEI0456</t>
  </si>
  <si>
    <t xml:space="preserve"> SEI0463</t>
  </si>
  <si>
    <t xml:space="preserve"> SEI0467</t>
  </si>
  <si>
    <t xml:space="preserve"> SEI0468</t>
  </si>
  <si>
    <t xml:space="preserve"> SEI0469</t>
  </si>
  <si>
    <t xml:space="preserve"> SEI0474</t>
  </si>
  <si>
    <t xml:space="preserve"> SEI0494</t>
  </si>
  <si>
    <t xml:space="preserve"> SEI0495</t>
  </si>
  <si>
    <t xml:space="preserve"> SEI0496</t>
  </si>
  <si>
    <t xml:space="preserve"> SEI0497</t>
  </si>
  <si>
    <t xml:space="preserve"> SEI0499</t>
  </si>
  <si>
    <t xml:space="preserve"> SEI0500</t>
  </si>
  <si>
    <t xml:space="preserve"> SEI0516</t>
  </si>
  <si>
    <t xml:space="preserve"> SEI 502</t>
  </si>
  <si>
    <t xml:space="preserve"> SEI0503</t>
  </si>
  <si>
    <t xml:space="preserve"> SEI0505</t>
  </si>
  <si>
    <t xml:space="preserve"> SEI0511</t>
  </si>
  <si>
    <t xml:space="preserve"> SEI0550</t>
  </si>
  <si>
    <t xml:space="preserve"> SEI0604</t>
  </si>
  <si>
    <t xml:space="preserve"> SEI0600</t>
  </si>
  <si>
    <t xml:space="preserve"> SEI0601</t>
  </si>
  <si>
    <t xml:space="preserve"> SEI0602</t>
  </si>
  <si>
    <t xml:space="preserve"> SEI0603</t>
  </si>
  <si>
    <t xml:space="preserve"> SEI0606</t>
  </si>
  <si>
    <t xml:space="preserve"> SEI0446</t>
  </si>
  <si>
    <t xml:space="preserve"> SEI0033</t>
  </si>
  <si>
    <t xml:space="preserve"> SEI0095</t>
  </si>
  <si>
    <t xml:space="preserve"> SEI0447</t>
  </si>
  <si>
    <t xml:space="preserve"> SEI0448</t>
  </si>
  <si>
    <t xml:space="preserve"> SEI0477</t>
  </si>
  <si>
    <t xml:space="preserve"> SEI0478</t>
  </si>
  <si>
    <t xml:space="preserve"> SEI0479</t>
  </si>
  <si>
    <t xml:space="preserve"> SEI0481</t>
  </si>
  <si>
    <t xml:space="preserve"> SEI0482</t>
  </si>
  <si>
    <t xml:space="preserve"> SEI0483</t>
  </si>
  <si>
    <t xml:space="preserve"> SEI0485</t>
  </si>
  <si>
    <t xml:space="preserve"> SEI0487</t>
  </si>
  <si>
    <t xml:space="preserve"> SEI0488</t>
  </si>
  <si>
    <t xml:space="preserve"> SEI0489</t>
  </si>
  <si>
    <t xml:space="preserve"> SEI0513</t>
  </si>
  <si>
    <t xml:space="preserve"> SEI0610</t>
  </si>
  <si>
    <t xml:space="preserve"> SEI0506</t>
  </si>
  <si>
    <t xml:space="preserve"> SEI0517</t>
  </si>
  <si>
    <t xml:space="preserve"> SEI0612</t>
  </si>
  <si>
    <t xml:space="preserve"> SEI0615</t>
  </si>
  <si>
    <t xml:space="preserve"> SEI0028</t>
  </si>
  <si>
    <t xml:space="preserve"> SEI0120</t>
  </si>
  <si>
    <t xml:space="preserve"> SEI0519</t>
  </si>
  <si>
    <t xml:space="preserve"> SEI0622</t>
  </si>
  <si>
    <t xml:space="preserve"> SEI0623</t>
  </si>
  <si>
    <t xml:space="preserve"> SEI0624</t>
  </si>
  <si>
    <t xml:space="preserve"> SEI0625</t>
  </si>
  <si>
    <t xml:space="preserve"> SEI0626</t>
  </si>
  <si>
    <t xml:space="preserve"> SEI0628</t>
  </si>
  <si>
    <t xml:space="preserve"> SEI0629</t>
  </si>
  <si>
    <t xml:space="preserve"> SEI0630</t>
  </si>
  <si>
    <t>0SEI0635</t>
  </si>
  <si>
    <t xml:space="preserve"> SEI0484</t>
  </si>
  <si>
    <t xml:space="preserve"> SEI0638</t>
  </si>
  <si>
    <t xml:space="preserve"> SEI0640</t>
  </si>
  <si>
    <t xml:space="preserve"> SEI0641</t>
  </si>
  <si>
    <t xml:space="preserve"> SEI0642</t>
  </si>
  <si>
    <t xml:space="preserve"> SEI0015</t>
  </si>
  <si>
    <t xml:space="preserve"> SEI0648</t>
  </si>
  <si>
    <t xml:space="preserve"> SEI0644</t>
  </si>
  <si>
    <t xml:space="preserve"> SEI0646</t>
  </si>
  <si>
    <t xml:space="preserve"> SEI0652</t>
  </si>
  <si>
    <t xml:space="preserve"> SEI0653</t>
  </si>
  <si>
    <t>TOTAL PROV AGUINALDOS</t>
  </si>
  <si>
    <t>aumento 13125 marzo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</si>
</sst>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;[Red]\-&quot;$&quot;#,##0.00"/>
    <numFmt numFmtId="43" formatCode="_-* #,##0.00_-;\-* #,##0.00_-;_-* &quot;-&quot;??_-;_-@_-"/>
  </numFmts>
  <fonts count="3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9"/>
      <name val="Calibri"/>
      <family val="2"/>
    </font>
    <font>
      <i/>
      <sz val="9"/>
      <name val="Calibri"/>
      <family val="2"/>
    </font>
    <font>
      <sz val="11"/>
      <name val="Calibri"/>
      <family val="2"/>
    </font>
    <font>
      <b/>
      <sz val="10"/>
      <name val="Calibri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</font>
    <font>
      <sz val="12"/>
      <color theme="1"/>
      <name val="Calibri"/>
      <family val="2"/>
    </font>
    <font>
      <b/>
      <sz val="11"/>
      <name val="Calibri"/>
      <family val="2"/>
    </font>
    <font>
      <b/>
      <sz val="11"/>
      <color theme="1"/>
      <name val="Calibri"/>
      <family val="2"/>
    </font>
    <font>
      <i/>
      <sz val="11"/>
      <name val="Calibri"/>
      <family val="2"/>
    </font>
    <font>
      <b/>
      <i/>
      <sz val="11"/>
      <name val="Calibri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indexed="12"/>
      <name val="Calibri"/>
      <family val="2"/>
      <scheme val="minor"/>
    </font>
    <font>
      <sz val="10"/>
      <color theme="1"/>
      <name val="Calibri"/>
      <family val="2"/>
    </font>
    <font>
      <i/>
      <sz val="10"/>
      <color rgb="FFFF9900"/>
      <name val="Calibri"/>
      <family val="2"/>
    </font>
    <font>
      <b/>
      <sz val="10"/>
      <color theme="1"/>
      <name val="Calibri"/>
      <family val="2"/>
    </font>
    <font>
      <sz val="10"/>
      <name val="Calibri"/>
      <family val="2"/>
    </font>
    <font>
      <sz val="10"/>
      <color indexed="10"/>
      <name val="Calibri"/>
      <family val="2"/>
    </font>
    <font>
      <i/>
      <sz val="10"/>
      <name val="Calibri"/>
      <family val="2"/>
    </font>
    <font>
      <b/>
      <sz val="10"/>
      <name val="Calibri"/>
      <family val="2"/>
    </font>
    <font>
      <i/>
      <sz val="10"/>
      <color rgb="FFFF990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</font>
    <font>
      <b/>
      <i/>
      <sz val="10"/>
      <name val="Calibri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2"/>
      <name val="Calibri"/>
      <family val="2"/>
      <scheme val="minor"/>
    </font>
    <font>
      <b/>
      <sz val="12"/>
      <name val="Calibri"/>
      <family val="2"/>
      <scheme val="minor"/>
    </font>
    <font>
      <b/>
      <sz val="14"/>
      <color theme="1"/>
      <name val="Calibri"/>
      <family val="2"/>
    </font>
    <font>
      <sz val="14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rgb="FF0000FD"/>
      </left>
      <right style="thin">
        <color rgb="FF0000FD"/>
      </right>
      <top style="thin">
        <color rgb="FF0000FD"/>
      </top>
      <bottom style="double">
        <color rgb="FF0000FD"/>
      </bottom>
      <diagonal/>
    </border>
    <border>
      <left style="thin">
        <color rgb="FF0000FD"/>
      </left>
      <right/>
      <top style="thin">
        <color rgb="FF0000FD"/>
      </top>
      <bottom style="double">
        <color rgb="FF0000FD"/>
      </bottom>
      <diagonal/>
    </border>
    <border>
      <left/>
      <right/>
      <top/>
      <bottom style="thin">
        <color rgb="FF0000FD"/>
      </bottom>
      <diagonal/>
    </border>
    <border>
      <left/>
      <right/>
      <top style="thin">
        <color rgb="FF0000FD"/>
      </top>
      <bottom style="double">
        <color rgb="FF0000FD"/>
      </bottom>
      <diagonal/>
    </border>
    <border>
      <left/>
      <right style="thin">
        <color rgb="FF0000FD"/>
      </right>
      <top style="thin">
        <color rgb="FF0000FD"/>
      </top>
      <bottom style="double">
        <color rgb="FF0000FD"/>
      </bottom>
      <diagonal/>
    </border>
    <border>
      <left style="thin">
        <color rgb="FF0000FD"/>
      </left>
      <right/>
      <top/>
      <bottom/>
      <diagonal/>
    </border>
  </borders>
  <cellStyleXfs count="4">
    <xf numFmtId="0" fontId="0" fillId="0" borderId="0"/>
    <xf numFmtId="0" fontId="2" fillId="0" borderId="0"/>
    <xf numFmtId="0" fontId="3" fillId="0" borderId="0"/>
    <xf numFmtId="0" fontId="2" fillId="0" borderId="0"/>
  </cellStyleXfs>
  <cellXfs count="167">
    <xf numFmtId="0" fontId="0" fillId="0" borderId="0" xfId="0"/>
    <xf numFmtId="49" fontId="5" fillId="3" borderId="1" xfId="2" applyNumberFormat="1" applyFont="1" applyFill="1" applyBorder="1" applyAlignment="1">
      <alignment horizontal="center" vertical="center" wrapText="1"/>
    </xf>
    <xf numFmtId="43" fontId="4" fillId="2" borderId="0" xfId="1" applyNumberFormat="1" applyFont="1" applyFill="1"/>
    <xf numFmtId="0" fontId="0" fillId="2" borderId="0" xfId="0" applyFill="1"/>
    <xf numFmtId="49" fontId="5" fillId="2" borderId="0" xfId="2" applyNumberFormat="1" applyFont="1" applyFill="1" applyBorder="1" applyAlignment="1">
      <alignment horizontal="center" vertical="center" wrapText="1"/>
    </xf>
    <xf numFmtId="43" fontId="1" fillId="2" borderId="0" xfId="0" applyNumberFormat="1" applyFont="1" applyFill="1"/>
    <xf numFmtId="0" fontId="0" fillId="2" borderId="0" xfId="0" applyFont="1" applyFill="1" applyBorder="1"/>
    <xf numFmtId="0" fontId="6" fillId="2" borderId="0" xfId="0" applyFont="1" applyFill="1" applyBorder="1" applyAlignment="1">
      <alignment horizontal="center" vertical="center"/>
    </xf>
    <xf numFmtId="43" fontId="7" fillId="2" borderId="0" xfId="0" applyNumberFormat="1" applyFont="1" applyFill="1" applyBorder="1" applyAlignment="1">
      <alignment vertical="center" wrapText="1"/>
    </xf>
    <xf numFmtId="43" fontId="0" fillId="2" borderId="0" xfId="0" applyNumberFormat="1" applyFont="1" applyFill="1" applyBorder="1"/>
    <xf numFmtId="0" fontId="6" fillId="2" borderId="0" xfId="0" applyFont="1" applyFill="1" applyBorder="1" applyAlignment="1">
      <alignment horizontal="center" vertical="center"/>
    </xf>
    <xf numFmtId="43" fontId="7" fillId="0" borderId="0" xfId="0" applyNumberFormat="1" applyFont="1"/>
    <xf numFmtId="43" fontId="4" fillId="2" borderId="0" xfId="1" applyNumberFormat="1" applyFont="1" applyFill="1" applyAlignment="1">
      <alignment horizontal="left"/>
    </xf>
    <xf numFmtId="43" fontId="4" fillId="2" borderId="0" xfId="1" applyNumberFormat="1" applyFont="1" applyFill="1" applyAlignment="1">
      <alignment horizontal="left" vertical="center"/>
    </xf>
    <xf numFmtId="43" fontId="0" fillId="2" borderId="0" xfId="0" applyNumberFormat="1" applyFont="1" applyFill="1"/>
    <xf numFmtId="43" fontId="7" fillId="0" borderId="0" xfId="0" applyNumberFormat="1" applyFont="1"/>
    <xf numFmtId="43" fontId="7" fillId="0" borderId="0" xfId="0" applyNumberFormat="1" applyFont="1" applyFill="1"/>
    <xf numFmtId="43" fontId="7" fillId="0" borderId="0" xfId="0" applyNumberFormat="1" applyFont="1"/>
    <xf numFmtId="0" fontId="1" fillId="2" borderId="0" xfId="0" applyFont="1" applyFill="1" applyBorder="1"/>
    <xf numFmtId="43" fontId="1" fillId="2" borderId="0" xfId="0" applyNumberFormat="1" applyFont="1" applyFill="1" applyBorder="1"/>
    <xf numFmtId="43" fontId="7" fillId="2" borderId="0" xfId="0" applyNumberFormat="1" applyFont="1" applyFill="1"/>
    <xf numFmtId="43" fontId="0" fillId="0" borderId="0" xfId="0" applyNumberFormat="1" applyFont="1"/>
    <xf numFmtId="43" fontId="7" fillId="0" borderId="0" xfId="0" applyNumberFormat="1" applyFont="1"/>
    <xf numFmtId="43" fontId="8" fillId="0" borderId="0" xfId="0" applyNumberFormat="1" applyFont="1" applyFill="1"/>
    <xf numFmtId="43" fontId="9" fillId="2" borderId="0" xfId="1" applyNumberFormat="1" applyFont="1" applyFill="1"/>
    <xf numFmtId="43" fontId="11" fillId="0" borderId="0" xfId="1" applyNumberFormat="1" applyFont="1"/>
    <xf numFmtId="43" fontId="9" fillId="3" borderId="1" xfId="2" applyNumberFormat="1" applyFont="1" applyFill="1" applyBorder="1" applyAlignment="1">
      <alignment horizontal="center" vertical="center" wrapText="1"/>
    </xf>
    <xf numFmtId="43" fontId="7" fillId="6" borderId="0" xfId="0" applyNumberFormat="1" applyFont="1" applyFill="1"/>
    <xf numFmtId="43" fontId="12" fillId="5" borderId="0" xfId="2" applyNumberFormat="1" applyFont="1" applyFill="1"/>
    <xf numFmtId="43" fontId="11" fillId="5" borderId="0" xfId="2" applyNumberFormat="1" applyFont="1" applyFill="1"/>
    <xf numFmtId="43" fontId="8" fillId="0" borderId="0" xfId="0" applyNumberFormat="1" applyFont="1"/>
    <xf numFmtId="43" fontId="10" fillId="0" borderId="0" xfId="0" applyNumberFormat="1" applyFont="1" applyFill="1"/>
    <xf numFmtId="43" fontId="9" fillId="4" borderId="2" xfId="2" applyNumberFormat="1" applyFont="1" applyFill="1" applyBorder="1" applyAlignment="1">
      <alignment horizontal="center" vertical="center" wrapText="1"/>
    </xf>
    <xf numFmtId="43" fontId="7" fillId="0" borderId="0" xfId="0" applyNumberFormat="1" applyFont="1" applyFill="1" applyBorder="1"/>
    <xf numFmtId="43" fontId="9" fillId="0" borderId="0" xfId="2" applyNumberFormat="1" applyFont="1" applyFill="1" applyBorder="1" applyAlignment="1">
      <alignment horizontal="center" vertical="center" wrapText="1"/>
    </xf>
    <xf numFmtId="43" fontId="9" fillId="0" borderId="0" xfId="1" applyNumberFormat="1" applyFont="1" applyFill="1" applyBorder="1"/>
    <xf numFmtId="43" fontId="11" fillId="0" borderId="0" xfId="2" applyNumberFormat="1" applyFont="1" applyFill="1" applyBorder="1"/>
    <xf numFmtId="43" fontId="12" fillId="0" borderId="0" xfId="2" applyNumberFormat="1" applyFont="1" applyFill="1" applyBorder="1"/>
    <xf numFmtId="43" fontId="7" fillId="6" borderId="0" xfId="0" applyNumberFormat="1" applyFont="1" applyFill="1" applyBorder="1"/>
    <xf numFmtId="43" fontId="7" fillId="0" borderId="0" xfId="0" applyNumberFormat="1" applyFont="1" applyBorder="1"/>
    <xf numFmtId="43" fontId="7" fillId="0" borderId="0" xfId="0" applyNumberFormat="1" applyFont="1" applyFill="1" applyBorder="1" applyAlignment="1">
      <alignment horizontal="center"/>
    </xf>
    <xf numFmtId="43" fontId="9" fillId="0" borderId="0" xfId="1" applyNumberFormat="1" applyFont="1" applyFill="1" applyBorder="1" applyAlignment="1">
      <alignment horizontal="center"/>
    </xf>
    <xf numFmtId="43" fontId="11" fillId="0" borderId="0" xfId="2" applyNumberFormat="1" applyFont="1" applyFill="1" applyBorder="1" applyAlignment="1">
      <alignment horizontal="center"/>
    </xf>
    <xf numFmtId="43" fontId="12" fillId="0" borderId="0" xfId="2" applyNumberFormat="1" applyFont="1" applyFill="1" applyBorder="1" applyAlignment="1">
      <alignment horizontal="center"/>
    </xf>
    <xf numFmtId="43" fontId="10" fillId="0" borderId="0" xfId="0" applyNumberFormat="1" applyFont="1"/>
    <xf numFmtId="43" fontId="10" fillId="0" borderId="0" xfId="0" applyNumberFormat="1" applyFont="1" applyFill="1" applyBorder="1"/>
    <xf numFmtId="43" fontId="13" fillId="0" borderId="0" xfId="0" applyNumberFormat="1" applyFont="1" applyFill="1"/>
    <xf numFmtId="43" fontId="13" fillId="0" borderId="0" xfId="0" applyNumberFormat="1" applyFont="1"/>
    <xf numFmtId="43" fontId="14" fillId="3" borderId="1" xfId="0" applyNumberFormat="1" applyFont="1" applyFill="1" applyBorder="1" applyAlignment="1">
      <alignment horizontal="center" vertical="center" wrapText="1"/>
    </xf>
    <xf numFmtId="43" fontId="15" fillId="3" borderId="1" xfId="0" applyNumberFormat="1" applyFont="1" applyFill="1" applyBorder="1" applyAlignment="1">
      <alignment horizontal="center" vertical="center" wrapText="1"/>
    </xf>
    <xf numFmtId="43" fontId="13" fillId="0" borderId="0" xfId="0" applyNumberFormat="1" applyFont="1" applyAlignment="1">
      <alignment horizontal="center"/>
    </xf>
    <xf numFmtId="43" fontId="16" fillId="0" borderId="0" xfId="0" applyNumberFormat="1" applyFont="1"/>
    <xf numFmtId="43" fontId="16" fillId="0" borderId="0" xfId="0" applyNumberFormat="1" applyFont="1" applyFill="1"/>
    <xf numFmtId="43" fontId="16" fillId="2" borderId="0" xfId="0" applyNumberFormat="1" applyFont="1" applyFill="1" applyBorder="1"/>
    <xf numFmtId="43" fontId="17" fillId="0" borderId="0" xfId="0" applyNumberFormat="1" applyFont="1" applyAlignment="1">
      <alignment horizontal="centerContinuous" vertical="top"/>
    </xf>
    <xf numFmtId="43" fontId="16" fillId="0" borderId="0" xfId="0" applyNumberFormat="1" applyFont="1" applyFill="1" applyBorder="1"/>
    <xf numFmtId="43" fontId="18" fillId="3" borderId="1" xfId="0" applyNumberFormat="1" applyFont="1" applyFill="1" applyBorder="1" applyAlignment="1">
      <alignment horizontal="center" vertical="center" wrapText="1"/>
    </xf>
    <xf numFmtId="43" fontId="18" fillId="4" borderId="1" xfId="0" applyNumberFormat="1" applyFont="1" applyFill="1" applyBorder="1" applyAlignment="1">
      <alignment horizontal="center" vertical="center" wrapText="1"/>
    </xf>
    <xf numFmtId="43" fontId="16" fillId="2" borderId="0" xfId="0" applyNumberFormat="1" applyFont="1" applyFill="1"/>
    <xf numFmtId="43" fontId="20" fillId="0" borderId="0" xfId="0" applyNumberFormat="1" applyFont="1"/>
    <xf numFmtId="43" fontId="20" fillId="0" borderId="0" xfId="0" applyNumberFormat="1" applyFont="1" applyFill="1"/>
    <xf numFmtId="43" fontId="18" fillId="0" borderId="0" xfId="0" applyNumberFormat="1" applyFont="1" applyAlignment="1">
      <alignment horizontal="left"/>
    </xf>
    <xf numFmtId="43" fontId="16" fillId="0" borderId="0" xfId="0" applyNumberFormat="1" applyFont="1" applyAlignment="1">
      <alignment horizontal="right"/>
    </xf>
    <xf numFmtId="43" fontId="18" fillId="0" borderId="0" xfId="0" applyNumberFormat="1" applyFont="1"/>
    <xf numFmtId="8" fontId="16" fillId="2" borderId="0" xfId="0" applyNumberFormat="1" applyFont="1" applyFill="1" applyBorder="1"/>
    <xf numFmtId="43" fontId="14" fillId="0" borderId="0" xfId="0" applyNumberFormat="1" applyFont="1"/>
    <xf numFmtId="43" fontId="21" fillId="2" borderId="0" xfId="1" applyNumberFormat="1" applyFont="1" applyFill="1" applyBorder="1"/>
    <xf numFmtId="43" fontId="22" fillId="2" borderId="0" xfId="2" applyNumberFormat="1" applyFont="1" applyFill="1" applyBorder="1"/>
    <xf numFmtId="13" fontId="21" fillId="2" borderId="0" xfId="1" applyNumberFormat="1" applyFont="1" applyFill="1" applyBorder="1"/>
    <xf numFmtId="43" fontId="13" fillId="0" borderId="0" xfId="0" applyNumberFormat="1" applyFont="1" applyAlignment="1">
      <alignment vertical="center"/>
    </xf>
    <xf numFmtId="43" fontId="23" fillId="0" borderId="0" xfId="0" applyNumberFormat="1" applyFont="1" applyAlignment="1">
      <alignment horizontal="centerContinuous" vertical="top"/>
    </xf>
    <xf numFmtId="43" fontId="13" fillId="0" borderId="0" xfId="0" applyNumberFormat="1" applyFont="1" applyAlignment="1">
      <alignment horizontal="center" vertical="center"/>
    </xf>
    <xf numFmtId="43" fontId="13" fillId="4" borderId="0" xfId="0" applyNumberFormat="1" applyFont="1" applyFill="1"/>
    <xf numFmtId="43" fontId="14" fillId="0" borderId="0" xfId="0" applyNumberFormat="1" applyFont="1" applyAlignment="1">
      <alignment horizontal="left"/>
    </xf>
    <xf numFmtId="43" fontId="13" fillId="0" borderId="0" xfId="0" applyNumberFormat="1" applyFont="1" applyAlignment="1">
      <alignment horizontal="right"/>
    </xf>
    <xf numFmtId="43" fontId="13" fillId="0" borderId="0" xfId="0" applyNumberFormat="1" applyFont="1" applyAlignment="1"/>
    <xf numFmtId="43" fontId="13" fillId="0" borderId="0" xfId="0" applyNumberFormat="1" applyFont="1" applyAlignment="1">
      <alignment horizontal="left"/>
    </xf>
    <xf numFmtId="43" fontId="16" fillId="0" borderId="0" xfId="0" applyNumberFormat="1" applyFont="1" applyAlignment="1">
      <alignment horizontal="left"/>
    </xf>
    <xf numFmtId="43" fontId="14" fillId="0" borderId="0" xfId="0" applyNumberFormat="1" applyFont="1" applyAlignment="1">
      <alignment horizontal="left" vertical="center"/>
    </xf>
    <xf numFmtId="43" fontId="13" fillId="0" borderId="0" xfId="0" applyNumberFormat="1" applyFont="1" applyAlignment="1">
      <alignment horizontal="left" vertical="center"/>
    </xf>
    <xf numFmtId="43" fontId="14" fillId="0" borderId="0" xfId="0" applyNumberFormat="1" applyFont="1" applyAlignment="1">
      <alignment horizontal="left" vertical="center"/>
    </xf>
    <xf numFmtId="43" fontId="13" fillId="0" borderId="0" xfId="0" applyNumberFormat="1" applyFont="1" applyAlignment="1">
      <alignment horizontal="left" vertical="center"/>
    </xf>
    <xf numFmtId="43" fontId="22" fillId="2" borderId="0" xfId="1" applyNumberFormat="1" applyFont="1" applyFill="1"/>
    <xf numFmtId="43" fontId="21" fillId="0" borderId="0" xfId="1" applyNumberFormat="1" applyFont="1"/>
    <xf numFmtId="43" fontId="22" fillId="3" borderId="1" xfId="3" applyNumberFormat="1" applyFont="1" applyFill="1" applyBorder="1" applyAlignment="1">
      <alignment horizontal="center" vertical="center" wrapText="1"/>
    </xf>
    <xf numFmtId="43" fontId="16" fillId="6" borderId="0" xfId="0" applyNumberFormat="1" applyFont="1" applyFill="1"/>
    <xf numFmtId="43" fontId="19" fillId="2" borderId="0" xfId="1" applyNumberFormat="1" applyFont="1" applyFill="1" applyAlignment="1">
      <alignment horizontal="left" vertical="center"/>
    </xf>
    <xf numFmtId="43" fontId="19" fillId="2" borderId="0" xfId="1" applyNumberFormat="1" applyFont="1" applyFill="1"/>
    <xf numFmtId="43" fontId="13" fillId="2" borderId="0" xfId="0" applyNumberFormat="1" applyFont="1" applyFill="1"/>
    <xf numFmtId="43" fontId="19" fillId="0" borderId="0" xfId="1" applyNumberFormat="1" applyFont="1" applyFill="1" applyAlignment="1">
      <alignment horizontal="left" vertical="center"/>
    </xf>
    <xf numFmtId="43" fontId="19" fillId="0" borderId="0" xfId="1" applyNumberFormat="1" applyFont="1" applyFill="1"/>
    <xf numFmtId="43" fontId="19" fillId="6" borderId="0" xfId="1" applyNumberFormat="1" applyFont="1" applyFill="1"/>
    <xf numFmtId="43" fontId="13" fillId="7" borderId="0" xfId="0" applyNumberFormat="1" applyFont="1" applyFill="1"/>
    <xf numFmtId="43" fontId="13" fillId="7" borderId="0" xfId="0" applyNumberFormat="1" applyFont="1" applyFill="1" applyAlignment="1">
      <alignment horizontal="left" vertical="center"/>
    </xf>
    <xf numFmtId="43" fontId="13" fillId="7" borderId="0" xfId="0" applyNumberFormat="1" applyFont="1" applyFill="1" applyBorder="1"/>
    <xf numFmtId="43" fontId="13" fillId="8" borderId="0" xfId="0" applyNumberFormat="1" applyFont="1" applyFill="1" applyBorder="1"/>
    <xf numFmtId="43" fontId="13" fillId="0" borderId="0" xfId="0" applyNumberFormat="1" applyFont="1" applyFill="1" applyAlignment="1"/>
    <xf numFmtId="43" fontId="5" fillId="3" borderId="1" xfId="3" applyNumberFormat="1" applyFont="1" applyFill="1" applyBorder="1" applyAlignment="1">
      <alignment horizontal="center" vertical="center" wrapText="1"/>
    </xf>
    <xf numFmtId="43" fontId="5" fillId="3" borderId="2" xfId="3" applyNumberFormat="1" applyFont="1" applyFill="1" applyBorder="1" applyAlignment="1">
      <alignment horizontal="center" vertical="center" wrapText="1"/>
    </xf>
    <xf numFmtId="43" fontId="5" fillId="7" borderId="0" xfId="3" applyNumberFormat="1" applyFont="1" applyFill="1" applyBorder="1" applyAlignment="1">
      <alignment horizontal="center" vertical="center" wrapText="1"/>
    </xf>
    <xf numFmtId="43" fontId="5" fillId="3" borderId="4" xfId="3" applyNumberFormat="1" applyFont="1" applyFill="1" applyBorder="1" applyAlignment="1">
      <alignment horizontal="center" vertical="center" wrapText="1"/>
    </xf>
    <xf numFmtId="43" fontId="5" fillId="3" borderId="5" xfId="3" applyNumberFormat="1" applyFont="1" applyFill="1" applyBorder="1" applyAlignment="1">
      <alignment horizontal="center" vertical="center" wrapText="1"/>
    </xf>
    <xf numFmtId="43" fontId="5" fillId="4" borderId="1" xfId="3" applyNumberFormat="1" applyFont="1" applyFill="1" applyBorder="1" applyAlignment="1">
      <alignment horizontal="center" vertical="center" wrapText="1"/>
    </xf>
    <xf numFmtId="43" fontId="5" fillId="8" borderId="0" xfId="3" applyNumberFormat="1" applyFont="1" applyFill="1" applyBorder="1" applyAlignment="1">
      <alignment horizontal="center" vertical="center" wrapText="1"/>
    </xf>
    <xf numFmtId="43" fontId="5" fillId="3" borderId="6" xfId="3" applyNumberFormat="1" applyFont="1" applyFill="1" applyBorder="1" applyAlignment="1">
      <alignment horizontal="center" vertical="center" wrapText="1"/>
    </xf>
    <xf numFmtId="43" fontId="5" fillId="0" borderId="6" xfId="3" applyNumberFormat="1" applyFont="1" applyFill="1" applyBorder="1" applyAlignment="1">
      <alignment horizontal="center" vertical="center" wrapText="1"/>
    </xf>
    <xf numFmtId="43" fontId="5" fillId="0" borderId="6" xfId="3" applyNumberFormat="1" applyFont="1" applyFill="1" applyBorder="1" applyAlignment="1">
      <alignment vertical="center" wrapText="1"/>
    </xf>
    <xf numFmtId="43" fontId="19" fillId="7" borderId="0" xfId="1" applyNumberFormat="1" applyFont="1" applyFill="1" applyBorder="1"/>
    <xf numFmtId="43" fontId="14" fillId="7" borderId="0" xfId="0" applyNumberFormat="1" applyFont="1" applyFill="1" applyBorder="1"/>
    <xf numFmtId="43" fontId="14" fillId="2" borderId="0" xfId="0" applyNumberFormat="1" applyFont="1" applyFill="1"/>
    <xf numFmtId="43" fontId="13" fillId="6" borderId="0" xfId="0" applyNumberFormat="1" applyFont="1" applyFill="1"/>
    <xf numFmtId="43" fontId="13" fillId="6" borderId="0" xfId="0" applyNumberFormat="1" applyFont="1" applyFill="1" applyAlignment="1"/>
    <xf numFmtId="14" fontId="13" fillId="0" borderId="0" xfId="0" applyNumberFormat="1" applyFont="1" applyFill="1"/>
    <xf numFmtId="43" fontId="14" fillId="0" borderId="0" xfId="0" applyNumberFormat="1" applyFont="1" applyFill="1" applyBorder="1"/>
    <xf numFmtId="43" fontId="13" fillId="0" borderId="0" xfId="0" applyNumberFormat="1" applyFont="1" applyFill="1" applyBorder="1"/>
    <xf numFmtId="14" fontId="14" fillId="0" borderId="0" xfId="0" applyNumberFormat="1" applyFont="1" applyFill="1"/>
    <xf numFmtId="14" fontId="13" fillId="0" borderId="0" xfId="0" applyNumberFormat="1" applyFont="1" applyFill="1" applyAlignment="1"/>
    <xf numFmtId="0" fontId="13" fillId="0" borderId="0" xfId="0" applyNumberFormat="1" applyFont="1" applyFill="1" applyAlignment="1"/>
    <xf numFmtId="43" fontId="14" fillId="0" borderId="0" xfId="0" applyNumberFormat="1" applyFont="1" applyFill="1"/>
    <xf numFmtId="13" fontId="13" fillId="0" borderId="0" xfId="0" applyNumberFormat="1" applyFont="1" applyFill="1"/>
    <xf numFmtId="43" fontId="13" fillId="9" borderId="0" xfId="0" applyNumberFormat="1" applyFont="1" applyFill="1"/>
    <xf numFmtId="14" fontId="13" fillId="9" borderId="0" xfId="0" applyNumberFormat="1" applyFont="1" applyFill="1"/>
    <xf numFmtId="43" fontId="14" fillId="4" borderId="0" xfId="0" applyNumberFormat="1" applyFont="1" applyFill="1" applyAlignment="1">
      <alignment vertical="center"/>
    </xf>
    <xf numFmtId="43" fontId="14" fillId="8" borderId="0" xfId="0" applyNumberFormat="1" applyFont="1" applyFill="1" applyBorder="1"/>
    <xf numFmtId="43" fontId="14" fillId="6" borderId="0" xfId="0" applyNumberFormat="1" applyFont="1" applyFill="1" applyBorder="1"/>
    <xf numFmtId="43" fontId="13" fillId="6" borderId="0" xfId="0" applyNumberFormat="1" applyFont="1" applyFill="1" applyBorder="1"/>
    <xf numFmtId="43" fontId="5" fillId="3" borderId="6" xfId="3" applyNumberFormat="1" applyFont="1" applyFill="1" applyBorder="1" applyAlignment="1">
      <alignment horizontal="center" vertical="center"/>
    </xf>
    <xf numFmtId="43" fontId="28" fillId="0" borderId="0" xfId="0" applyNumberFormat="1" applyFont="1"/>
    <xf numFmtId="43" fontId="27" fillId="0" borderId="0" xfId="0" applyNumberFormat="1" applyFont="1" applyFill="1"/>
    <xf numFmtId="43" fontId="28" fillId="0" borderId="0" xfId="0" applyNumberFormat="1" applyFont="1" applyFill="1"/>
    <xf numFmtId="43" fontId="29" fillId="0" borderId="0" xfId="3" applyNumberFormat="1" applyFont="1" applyFill="1"/>
    <xf numFmtId="43" fontId="27" fillId="0" borderId="0" xfId="0" applyNumberFormat="1" applyFont="1"/>
    <xf numFmtId="43" fontId="30" fillId="0" borderId="0" xfId="3" applyNumberFormat="1" applyFont="1" applyFill="1"/>
    <xf numFmtId="43" fontId="14" fillId="4" borderId="1" xfId="0" applyNumberFormat="1" applyFont="1" applyFill="1" applyBorder="1" applyAlignment="1">
      <alignment horizontal="center" vertical="center" wrapText="1"/>
    </xf>
    <xf numFmtId="43" fontId="14" fillId="3" borderId="0" xfId="0" applyNumberFormat="1" applyFont="1" applyFill="1"/>
    <xf numFmtId="43" fontId="13" fillId="3" borderId="0" xfId="0" applyNumberFormat="1" applyFont="1" applyFill="1"/>
    <xf numFmtId="43" fontId="22" fillId="4" borderId="2" xfId="3" applyNumberFormat="1" applyFont="1" applyFill="1" applyBorder="1" applyAlignment="1">
      <alignment horizontal="center" vertical="center" wrapText="1"/>
    </xf>
    <xf numFmtId="43" fontId="22" fillId="3" borderId="5" xfId="3" applyNumberFormat="1" applyFont="1" applyFill="1" applyBorder="1" applyAlignment="1">
      <alignment horizontal="center" vertical="center" wrapText="1"/>
    </xf>
    <xf numFmtId="43" fontId="16" fillId="7" borderId="0" xfId="0" applyNumberFormat="1" applyFont="1" applyFill="1" applyBorder="1"/>
    <xf numFmtId="43" fontId="22" fillId="7" borderId="0" xfId="3" applyNumberFormat="1" applyFont="1" applyFill="1" applyBorder="1" applyAlignment="1">
      <alignment horizontal="center" vertical="center" wrapText="1"/>
    </xf>
    <xf numFmtId="43" fontId="21" fillId="7" borderId="0" xfId="3" applyNumberFormat="1" applyFont="1" applyFill="1" applyBorder="1"/>
    <xf numFmtId="43" fontId="26" fillId="7" borderId="0" xfId="3" applyNumberFormat="1" applyFont="1" applyFill="1" applyBorder="1"/>
    <xf numFmtId="43" fontId="14" fillId="8" borderId="0" xfId="0" applyNumberFormat="1" applyFont="1" applyFill="1" applyAlignment="1">
      <alignment vertical="center"/>
    </xf>
    <xf numFmtId="43" fontId="16" fillId="0" borderId="0" xfId="0" applyNumberFormat="1" applyFont="1" applyAlignment="1">
      <alignment horizontal="center"/>
    </xf>
    <xf numFmtId="14" fontId="13" fillId="6" borderId="0" xfId="0" applyNumberFormat="1" applyFont="1" applyFill="1" applyAlignment="1">
      <alignment horizontal="center"/>
    </xf>
    <xf numFmtId="43" fontId="13" fillId="6" borderId="0" xfId="0" applyNumberFormat="1" applyFont="1" applyFill="1" applyAlignment="1">
      <alignment horizontal="center"/>
    </xf>
    <xf numFmtId="43" fontId="22" fillId="3" borderId="0" xfId="2" applyNumberFormat="1" applyFont="1" applyFill="1" applyBorder="1"/>
    <xf numFmtId="43" fontId="19" fillId="3" borderId="0" xfId="2" applyNumberFormat="1" applyFont="1" applyFill="1" applyBorder="1"/>
    <xf numFmtId="43" fontId="16" fillId="3" borderId="0" xfId="0" applyNumberFormat="1" applyFont="1" applyFill="1" applyBorder="1"/>
    <xf numFmtId="43" fontId="26" fillId="3" borderId="0" xfId="3" applyNumberFormat="1" applyFont="1" applyFill="1"/>
    <xf numFmtId="43" fontId="21" fillId="3" borderId="0" xfId="3" applyNumberFormat="1" applyFont="1" applyFill="1"/>
    <xf numFmtId="43" fontId="32" fillId="6" borderId="0" xfId="0" applyNumberFormat="1" applyFont="1" applyFill="1"/>
    <xf numFmtId="43" fontId="7" fillId="0" borderId="0" xfId="0" applyNumberFormat="1" applyFont="1" applyAlignment="1">
      <alignment horizontal="center"/>
    </xf>
    <xf numFmtId="43" fontId="14" fillId="4" borderId="0" xfId="0" applyNumberFormat="1" applyFont="1" applyFill="1" applyAlignment="1">
      <alignment horizontal="center"/>
    </xf>
    <xf numFmtId="43" fontId="27" fillId="4" borderId="0" xfId="0" applyNumberFormat="1" applyFont="1" applyFill="1" applyAlignment="1">
      <alignment horizontal="center" wrapText="1"/>
    </xf>
    <xf numFmtId="43" fontId="14" fillId="0" borderId="0" xfId="0" applyNumberFormat="1" applyFont="1" applyAlignment="1">
      <alignment horizontal="left" vertical="center"/>
    </xf>
    <xf numFmtId="43" fontId="13" fillId="0" borderId="0" xfId="0" applyNumberFormat="1" applyFont="1" applyAlignment="1">
      <alignment horizontal="left" vertical="center"/>
    </xf>
    <xf numFmtId="43" fontId="13" fillId="0" borderId="0" xfId="0" applyNumberFormat="1" applyFont="1" applyAlignment="1">
      <alignment horizontal="left"/>
    </xf>
    <xf numFmtId="43" fontId="24" fillId="4" borderId="0" xfId="0" applyNumberFormat="1" applyFont="1" applyFill="1" applyAlignment="1">
      <alignment horizontal="center" wrapText="1"/>
    </xf>
    <xf numFmtId="43" fontId="18" fillId="0" borderId="0" xfId="0" applyNumberFormat="1" applyFont="1" applyAlignment="1">
      <alignment horizontal="left" vertical="center"/>
    </xf>
    <xf numFmtId="43" fontId="16" fillId="0" borderId="0" xfId="0" applyNumberFormat="1" applyFont="1" applyAlignment="1">
      <alignment horizontal="left" vertical="center"/>
    </xf>
    <xf numFmtId="43" fontId="16" fillId="0" borderId="0" xfId="0" applyNumberFormat="1" applyFont="1" applyAlignment="1">
      <alignment horizontal="left"/>
    </xf>
    <xf numFmtId="43" fontId="25" fillId="4" borderId="0" xfId="0" applyNumberFormat="1" applyFont="1" applyFill="1" applyBorder="1" applyAlignment="1">
      <alignment horizontal="center" wrapText="1"/>
    </xf>
    <xf numFmtId="43" fontId="31" fillId="7" borderId="3" xfId="0" applyNumberFormat="1" applyFont="1" applyFill="1" applyBorder="1" applyAlignment="1">
      <alignment horizontal="center" vertical="center" wrapText="1"/>
    </xf>
    <xf numFmtId="43" fontId="14" fillId="7" borderId="3" xfId="0" applyNumberFormat="1" applyFont="1" applyFill="1" applyBorder="1" applyAlignment="1">
      <alignment horizontal="center" vertical="center" wrapText="1"/>
    </xf>
    <xf numFmtId="43" fontId="27" fillId="3" borderId="0" xfId="0" applyNumberFormat="1" applyFont="1" applyFill="1" applyAlignment="1">
      <alignment horizontal="center" vertical="center" wrapText="1"/>
    </xf>
    <xf numFmtId="43" fontId="27" fillId="3" borderId="0" xfId="0" applyNumberFormat="1" applyFont="1" applyFill="1" applyAlignment="1">
      <alignment horizontal="center" vertical="center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3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bro1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g-servidor-pc\servidor%20hg\CONSULTORIA%20EN%20PROYECTOS\II-.-%20NOMINAS\NOMINAS%202019\SUELDOS%20Y%20SALARIOS\SEITON\03%20MARZO\05\NOMINA%20QUINCENAL%20NO.05%20SEITON%20DE%20MEXIC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P"/>
      <sheetName val="CPD"/>
    </sheetNames>
    <sheetDataSet>
      <sheetData sheetId="0">
        <row r="9">
          <cell r="B9" t="str">
            <v>Torres Ricardez Alfredo</v>
          </cell>
          <cell r="C9">
            <v>15</v>
          </cell>
          <cell r="D9">
            <v>0</v>
          </cell>
          <cell r="E9">
            <v>266.67</v>
          </cell>
          <cell r="F9">
            <v>278.72000000000003</v>
          </cell>
          <cell r="G9">
            <v>4000.05</v>
          </cell>
          <cell r="H9">
            <v>0</v>
          </cell>
          <cell r="I9">
            <v>0</v>
          </cell>
          <cell r="J9">
            <v>4000.05</v>
          </cell>
          <cell r="K9">
            <v>313.87</v>
          </cell>
          <cell r="L9">
            <v>0</v>
          </cell>
          <cell r="M9">
            <v>100.81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T9">
            <v>-0.03</v>
          </cell>
          <cell r="U9">
            <v>414.65</v>
          </cell>
          <cell r="V9">
            <v>3585.4</v>
          </cell>
        </row>
        <row r="10">
          <cell r="B10" t="str">
            <v>Montoya Portillo Carlos Alberto</v>
          </cell>
          <cell r="C10">
            <v>15</v>
          </cell>
          <cell r="D10">
            <v>0</v>
          </cell>
          <cell r="E10">
            <v>266.67</v>
          </cell>
          <cell r="F10">
            <v>278.72000000000003</v>
          </cell>
          <cell r="G10">
            <v>4000.05</v>
          </cell>
          <cell r="H10">
            <v>0</v>
          </cell>
          <cell r="I10">
            <v>0</v>
          </cell>
          <cell r="J10">
            <v>4000.05</v>
          </cell>
          <cell r="K10">
            <v>313.87</v>
          </cell>
          <cell r="L10">
            <v>0</v>
          </cell>
          <cell r="M10">
            <v>100.81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T10">
            <v>0.17</v>
          </cell>
          <cell r="U10">
            <v>414.85</v>
          </cell>
          <cell r="V10">
            <v>3585.2</v>
          </cell>
        </row>
        <row r="11">
          <cell r="B11" t="str">
            <v>Cota Jaramillo Miguel Angel</v>
          </cell>
          <cell r="C11">
            <v>15</v>
          </cell>
          <cell r="D11">
            <v>0</v>
          </cell>
          <cell r="E11">
            <v>200</v>
          </cell>
          <cell r="F11">
            <v>209.04</v>
          </cell>
          <cell r="G11">
            <v>3000</v>
          </cell>
          <cell r="H11">
            <v>0</v>
          </cell>
          <cell r="I11">
            <v>0</v>
          </cell>
          <cell r="J11">
            <v>3000</v>
          </cell>
          <cell r="K11">
            <v>59.69</v>
          </cell>
          <cell r="L11">
            <v>0</v>
          </cell>
          <cell r="M11">
            <v>74.48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T11">
            <v>0.03</v>
          </cell>
          <cell r="U11">
            <v>134.19999999999999</v>
          </cell>
          <cell r="V11">
            <v>2865.8</v>
          </cell>
        </row>
        <row r="12">
          <cell r="B12" t="str">
            <v>Muñoz Reyes Luis Eduardo</v>
          </cell>
          <cell r="C12">
            <v>15</v>
          </cell>
          <cell r="D12">
            <v>0</v>
          </cell>
          <cell r="E12">
            <v>266.67</v>
          </cell>
          <cell r="F12">
            <v>278.72000000000003</v>
          </cell>
          <cell r="G12">
            <v>4000.05</v>
          </cell>
          <cell r="H12">
            <v>0</v>
          </cell>
          <cell r="I12">
            <v>0</v>
          </cell>
          <cell r="J12">
            <v>4000.05</v>
          </cell>
          <cell r="K12">
            <v>313.87</v>
          </cell>
          <cell r="L12">
            <v>0</v>
          </cell>
          <cell r="M12">
            <v>100.81</v>
          </cell>
          <cell r="N12">
            <v>877.59</v>
          </cell>
          <cell r="O12">
            <v>0</v>
          </cell>
          <cell r="P12">
            <v>15</v>
          </cell>
          <cell r="Q12">
            <v>0</v>
          </cell>
          <cell r="R12">
            <v>0</v>
          </cell>
          <cell r="T12">
            <v>-0.02</v>
          </cell>
          <cell r="U12">
            <v>1307.25</v>
          </cell>
          <cell r="V12">
            <v>2692.8</v>
          </cell>
        </row>
        <row r="13">
          <cell r="B13" t="str">
            <v>Gonzalez Rasgado Miguel Isaias</v>
          </cell>
          <cell r="C13">
            <v>15</v>
          </cell>
          <cell r="D13">
            <v>0</v>
          </cell>
          <cell r="E13">
            <v>400</v>
          </cell>
          <cell r="F13">
            <v>424.2</v>
          </cell>
          <cell r="G13">
            <v>6000</v>
          </cell>
          <cell r="H13">
            <v>0</v>
          </cell>
          <cell r="I13">
            <v>0</v>
          </cell>
          <cell r="J13">
            <v>6000</v>
          </cell>
          <cell r="K13">
            <v>643.38</v>
          </cell>
          <cell r="L13">
            <v>0</v>
          </cell>
          <cell r="M13">
            <v>161.36000000000001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T13">
            <v>0.06</v>
          </cell>
          <cell r="U13">
            <v>804.8</v>
          </cell>
          <cell r="V13">
            <v>5195.2</v>
          </cell>
        </row>
        <row r="14">
          <cell r="B14" t="str">
            <v>Mar Marquez Cesar Eduardo</v>
          </cell>
          <cell r="C14">
            <v>15</v>
          </cell>
          <cell r="D14">
            <v>0</v>
          </cell>
          <cell r="E14">
            <v>266.67</v>
          </cell>
          <cell r="F14">
            <v>278.72000000000003</v>
          </cell>
          <cell r="G14">
            <v>4000.05</v>
          </cell>
          <cell r="H14">
            <v>0</v>
          </cell>
          <cell r="I14">
            <v>0</v>
          </cell>
          <cell r="J14">
            <v>4000.05</v>
          </cell>
          <cell r="K14">
            <v>313.87</v>
          </cell>
          <cell r="L14">
            <v>0</v>
          </cell>
          <cell r="M14">
            <v>100.81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T14">
            <v>-0.03</v>
          </cell>
          <cell r="U14">
            <v>414.65</v>
          </cell>
          <cell r="V14">
            <v>3585.4</v>
          </cell>
        </row>
        <row r="15">
          <cell r="B15" t="str">
            <v>Velez Rodriguez Jaime</v>
          </cell>
          <cell r="C15">
            <v>15</v>
          </cell>
          <cell r="D15">
            <v>0</v>
          </cell>
          <cell r="E15">
            <v>200</v>
          </cell>
          <cell r="F15">
            <v>212.1</v>
          </cell>
          <cell r="G15">
            <v>3000</v>
          </cell>
          <cell r="H15">
            <v>0</v>
          </cell>
          <cell r="I15">
            <v>0</v>
          </cell>
          <cell r="J15">
            <v>3000</v>
          </cell>
          <cell r="K15">
            <v>59.69</v>
          </cell>
          <cell r="L15">
            <v>0</v>
          </cell>
          <cell r="M15">
            <v>75.55</v>
          </cell>
          <cell r="N15">
            <v>1359.23</v>
          </cell>
          <cell r="O15">
            <v>0</v>
          </cell>
          <cell r="P15">
            <v>15</v>
          </cell>
          <cell r="Q15">
            <v>0</v>
          </cell>
          <cell r="R15">
            <v>0</v>
          </cell>
          <cell r="T15">
            <v>-7.0000000000000007E-2</v>
          </cell>
          <cell r="U15">
            <v>1509.4</v>
          </cell>
          <cell r="V15">
            <v>1490.6</v>
          </cell>
        </row>
        <row r="16">
          <cell r="B16" t="str">
            <v>Najera Lopez Raul</v>
          </cell>
          <cell r="C16">
            <v>15</v>
          </cell>
          <cell r="D16">
            <v>0</v>
          </cell>
          <cell r="E16">
            <v>333.33</v>
          </cell>
          <cell r="F16">
            <v>353.5</v>
          </cell>
          <cell r="G16">
            <v>4999.95</v>
          </cell>
          <cell r="H16">
            <v>0</v>
          </cell>
          <cell r="I16">
            <v>0</v>
          </cell>
          <cell r="J16">
            <v>4999.95</v>
          </cell>
          <cell r="K16">
            <v>461.63</v>
          </cell>
          <cell r="L16">
            <v>0</v>
          </cell>
          <cell r="M16">
            <v>131.93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T16">
            <v>-0.01</v>
          </cell>
          <cell r="U16">
            <v>593.54999999999995</v>
          </cell>
          <cell r="V16">
            <v>4406.3999999999996</v>
          </cell>
        </row>
        <row r="17">
          <cell r="B17" t="str">
            <v>Puente Murguia Luis Felipe</v>
          </cell>
          <cell r="C17">
            <v>15</v>
          </cell>
          <cell r="D17">
            <v>0</v>
          </cell>
          <cell r="E17">
            <v>233.33</v>
          </cell>
          <cell r="F17">
            <v>247.45</v>
          </cell>
          <cell r="G17">
            <v>3499.95</v>
          </cell>
          <cell r="H17">
            <v>0</v>
          </cell>
          <cell r="I17">
            <v>0</v>
          </cell>
          <cell r="J17">
            <v>3499.95</v>
          </cell>
          <cell r="K17">
            <v>134.36000000000001</v>
          </cell>
          <cell r="L17">
            <v>0</v>
          </cell>
          <cell r="M17">
            <v>88.16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T17">
            <v>0.03</v>
          </cell>
          <cell r="U17">
            <v>222.55</v>
          </cell>
          <cell r="V17">
            <v>3277.4</v>
          </cell>
        </row>
        <row r="18">
          <cell r="B18" t="str">
            <v>Jimenez Alcaraz Elizabeth</v>
          </cell>
          <cell r="C18">
            <v>15</v>
          </cell>
          <cell r="D18">
            <v>0</v>
          </cell>
          <cell r="E18">
            <v>200</v>
          </cell>
          <cell r="F18">
            <v>212.11</v>
          </cell>
          <cell r="G18">
            <v>3000</v>
          </cell>
          <cell r="H18">
            <v>0</v>
          </cell>
          <cell r="I18">
            <v>0</v>
          </cell>
          <cell r="J18">
            <v>3000</v>
          </cell>
          <cell r="K18">
            <v>59.69</v>
          </cell>
          <cell r="L18">
            <v>0</v>
          </cell>
          <cell r="M18">
            <v>75.56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T18">
            <v>-0.05</v>
          </cell>
          <cell r="U18">
            <v>135.19999999999999</v>
          </cell>
          <cell r="V18">
            <v>2864.8</v>
          </cell>
        </row>
        <row r="19">
          <cell r="B19" t="str">
            <v>Arceo Garcia Manuel Federico</v>
          </cell>
          <cell r="C19">
            <v>14</v>
          </cell>
          <cell r="D19">
            <v>0</v>
          </cell>
          <cell r="E19">
            <v>200</v>
          </cell>
          <cell r="F19">
            <v>212.1</v>
          </cell>
          <cell r="G19">
            <v>2800</v>
          </cell>
          <cell r="H19">
            <v>0</v>
          </cell>
          <cell r="I19">
            <v>0</v>
          </cell>
          <cell r="J19">
            <v>2800</v>
          </cell>
          <cell r="K19">
            <v>37.93</v>
          </cell>
          <cell r="L19">
            <v>0</v>
          </cell>
          <cell r="M19">
            <v>71.849999999999994</v>
          </cell>
          <cell r="N19">
            <v>0</v>
          </cell>
          <cell r="O19">
            <v>0</v>
          </cell>
          <cell r="P19">
            <v>0</v>
          </cell>
          <cell r="Q19">
            <v>600</v>
          </cell>
          <cell r="R19">
            <v>0</v>
          </cell>
          <cell r="T19">
            <v>0.02</v>
          </cell>
          <cell r="U19">
            <v>709.8</v>
          </cell>
          <cell r="V19">
            <v>2090.1999999999998</v>
          </cell>
        </row>
        <row r="20">
          <cell r="B20" t="str">
            <v>Dominguez Lopez Mayeli Del Pilar</v>
          </cell>
          <cell r="C20">
            <v>15</v>
          </cell>
          <cell r="D20">
            <v>0</v>
          </cell>
          <cell r="E20">
            <v>266.67</v>
          </cell>
          <cell r="F20">
            <v>282.81</v>
          </cell>
          <cell r="G20">
            <v>4000.05</v>
          </cell>
          <cell r="H20">
            <v>0</v>
          </cell>
          <cell r="I20">
            <v>0</v>
          </cell>
          <cell r="J20">
            <v>4000.05</v>
          </cell>
          <cell r="K20">
            <v>313.87</v>
          </cell>
          <cell r="L20">
            <v>0</v>
          </cell>
          <cell r="M20">
            <v>102.51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1666.67</v>
          </cell>
          <cell r="T20">
            <v>0</v>
          </cell>
          <cell r="U20">
            <v>2083.0500000000002</v>
          </cell>
          <cell r="V20">
            <v>1917</v>
          </cell>
        </row>
        <row r="21">
          <cell r="B21" t="str">
            <v xml:space="preserve">Courtenay Gutierrez Barry Vladimir </v>
          </cell>
          <cell r="C21">
            <v>15</v>
          </cell>
          <cell r="D21">
            <v>0</v>
          </cell>
          <cell r="E21">
            <v>166.67</v>
          </cell>
          <cell r="F21">
            <v>174.2</v>
          </cell>
          <cell r="G21">
            <v>2500.0500000000002</v>
          </cell>
          <cell r="H21">
            <v>0</v>
          </cell>
          <cell r="I21">
            <v>0</v>
          </cell>
          <cell r="J21">
            <v>2500.0500000000002</v>
          </cell>
          <cell r="K21">
            <v>0</v>
          </cell>
          <cell r="L21">
            <v>-9.6199999999999992</v>
          </cell>
          <cell r="M21">
            <v>62.06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T21">
            <v>0.01</v>
          </cell>
          <cell r="U21">
            <v>52.45</v>
          </cell>
          <cell r="V21">
            <v>2447.6</v>
          </cell>
        </row>
        <row r="22">
          <cell r="B22" t="str">
            <v>Palacios Ramos Jesus</v>
          </cell>
          <cell r="C22">
            <v>15</v>
          </cell>
          <cell r="D22">
            <v>0</v>
          </cell>
          <cell r="E22">
            <v>266.67</v>
          </cell>
          <cell r="F22">
            <v>282.81</v>
          </cell>
          <cell r="G22">
            <v>4000.05</v>
          </cell>
          <cell r="H22">
            <v>0</v>
          </cell>
          <cell r="I22">
            <v>0</v>
          </cell>
          <cell r="J22">
            <v>4000.05</v>
          </cell>
          <cell r="K22">
            <v>313.87</v>
          </cell>
          <cell r="L22">
            <v>0</v>
          </cell>
          <cell r="M22">
            <v>102.51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T22">
            <v>7.0000000000000007E-2</v>
          </cell>
          <cell r="U22">
            <v>416.45</v>
          </cell>
          <cell r="V22">
            <v>3583.6</v>
          </cell>
        </row>
        <row r="23">
          <cell r="B23" t="str">
            <v>Martinez Hernandez J. Antonio</v>
          </cell>
          <cell r="C23">
            <v>15</v>
          </cell>
          <cell r="D23">
            <v>0</v>
          </cell>
          <cell r="E23">
            <v>266.67</v>
          </cell>
          <cell r="F23">
            <v>282.81</v>
          </cell>
          <cell r="G23">
            <v>4000.05</v>
          </cell>
          <cell r="H23">
            <v>0</v>
          </cell>
          <cell r="I23">
            <v>0</v>
          </cell>
          <cell r="J23">
            <v>4000.05</v>
          </cell>
          <cell r="K23">
            <v>313.87</v>
          </cell>
          <cell r="L23">
            <v>0</v>
          </cell>
          <cell r="M23">
            <v>102.51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T23">
            <v>-0.13</v>
          </cell>
          <cell r="U23">
            <v>416.25</v>
          </cell>
          <cell r="V23">
            <v>3583.8</v>
          </cell>
        </row>
        <row r="24">
          <cell r="B24" t="str">
            <v>Alcaraz Conde Zabdi Guadalupe</v>
          </cell>
          <cell r="C24">
            <v>15</v>
          </cell>
          <cell r="D24">
            <v>0</v>
          </cell>
          <cell r="E24">
            <v>200</v>
          </cell>
          <cell r="F24">
            <v>212.11</v>
          </cell>
          <cell r="G24">
            <v>3000</v>
          </cell>
          <cell r="H24">
            <v>0</v>
          </cell>
          <cell r="I24">
            <v>0</v>
          </cell>
          <cell r="J24">
            <v>3000</v>
          </cell>
          <cell r="K24">
            <v>59.69</v>
          </cell>
          <cell r="L24">
            <v>0</v>
          </cell>
          <cell r="M24">
            <v>75.56</v>
          </cell>
          <cell r="N24">
            <v>0</v>
          </cell>
          <cell r="O24">
            <v>1120.4000000000001</v>
          </cell>
          <cell r="P24">
            <v>15</v>
          </cell>
          <cell r="Q24">
            <v>600</v>
          </cell>
          <cell r="R24">
            <v>0</v>
          </cell>
          <cell r="T24">
            <v>-0.05</v>
          </cell>
          <cell r="U24">
            <v>1870.6</v>
          </cell>
          <cell r="V24">
            <v>1129.4000000000001</v>
          </cell>
        </row>
        <row r="25">
          <cell r="B25" t="str">
            <v>Lopez Terron Roberto Porfirio</v>
          </cell>
          <cell r="C25">
            <v>15</v>
          </cell>
          <cell r="D25">
            <v>0</v>
          </cell>
          <cell r="E25">
            <v>466.67</v>
          </cell>
          <cell r="F25">
            <v>494.92</v>
          </cell>
          <cell r="G25">
            <v>7000.05</v>
          </cell>
          <cell r="H25">
            <v>0</v>
          </cell>
          <cell r="I25">
            <v>0</v>
          </cell>
          <cell r="J25">
            <v>7000.05</v>
          </cell>
          <cell r="K25">
            <v>856.99</v>
          </cell>
          <cell r="L25">
            <v>0</v>
          </cell>
          <cell r="M25">
            <v>190.81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T25">
            <v>0.05</v>
          </cell>
          <cell r="U25">
            <v>1047.8499999999999</v>
          </cell>
          <cell r="V25">
            <v>5952.2</v>
          </cell>
        </row>
        <row r="26">
          <cell r="B26" t="str">
            <v>Chavez Pedraza Samuel</v>
          </cell>
          <cell r="C26">
            <v>15</v>
          </cell>
          <cell r="D26">
            <v>0</v>
          </cell>
          <cell r="E26">
            <v>466.67</v>
          </cell>
          <cell r="F26">
            <v>494.92</v>
          </cell>
          <cell r="G26">
            <v>7000.05</v>
          </cell>
          <cell r="H26">
            <v>0</v>
          </cell>
          <cell r="I26">
            <v>0</v>
          </cell>
          <cell r="J26">
            <v>7000.05</v>
          </cell>
          <cell r="K26">
            <v>856.99</v>
          </cell>
          <cell r="L26">
            <v>0</v>
          </cell>
          <cell r="M26">
            <v>190.81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T26">
            <v>0.05</v>
          </cell>
          <cell r="U26">
            <v>1047.8499999999999</v>
          </cell>
          <cell r="V26">
            <v>5952.2</v>
          </cell>
        </row>
        <row r="27">
          <cell r="B27" t="str">
            <v>Castillo Nungaray Nestor Roman</v>
          </cell>
          <cell r="C27">
            <v>15</v>
          </cell>
          <cell r="D27">
            <v>0</v>
          </cell>
          <cell r="E27">
            <v>200</v>
          </cell>
          <cell r="F27">
            <v>212.11</v>
          </cell>
          <cell r="G27">
            <v>3000</v>
          </cell>
          <cell r="H27">
            <v>0</v>
          </cell>
          <cell r="I27">
            <v>0</v>
          </cell>
          <cell r="J27">
            <v>3000</v>
          </cell>
          <cell r="K27">
            <v>59.69</v>
          </cell>
          <cell r="L27">
            <v>0</v>
          </cell>
          <cell r="M27">
            <v>75.56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T27">
            <v>-0.05</v>
          </cell>
          <cell r="U27">
            <v>135.19999999999999</v>
          </cell>
          <cell r="V27">
            <v>2864.8</v>
          </cell>
        </row>
        <row r="28">
          <cell r="B28" t="str">
            <v>Marquez Hernandez Rogelio</v>
          </cell>
          <cell r="C28">
            <v>15</v>
          </cell>
          <cell r="D28">
            <v>0</v>
          </cell>
          <cell r="E28">
            <v>266.67</v>
          </cell>
          <cell r="F28">
            <v>282.81</v>
          </cell>
          <cell r="G28">
            <v>4000.05</v>
          </cell>
          <cell r="H28">
            <v>0</v>
          </cell>
          <cell r="I28">
            <v>0</v>
          </cell>
          <cell r="J28">
            <v>4000.05</v>
          </cell>
          <cell r="K28">
            <v>313.87</v>
          </cell>
          <cell r="L28">
            <v>0</v>
          </cell>
          <cell r="M28">
            <v>102.51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T28">
            <v>7.0000000000000007E-2</v>
          </cell>
          <cell r="U28">
            <v>416.45</v>
          </cell>
          <cell r="V28">
            <v>3583.6</v>
          </cell>
        </row>
        <row r="29">
          <cell r="B29" t="str">
            <v>Flores Cerrillos Jorge Humberto</v>
          </cell>
          <cell r="C29">
            <v>15</v>
          </cell>
          <cell r="D29">
            <v>0</v>
          </cell>
          <cell r="E29">
            <v>266.67</v>
          </cell>
          <cell r="F29">
            <v>282.81</v>
          </cell>
          <cell r="G29">
            <v>4000.05</v>
          </cell>
          <cell r="H29">
            <v>0</v>
          </cell>
          <cell r="I29">
            <v>0</v>
          </cell>
          <cell r="J29">
            <v>4000.05</v>
          </cell>
          <cell r="K29">
            <v>313.87</v>
          </cell>
          <cell r="L29">
            <v>0</v>
          </cell>
          <cell r="M29">
            <v>102.51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T29">
            <v>7.0000000000000007E-2</v>
          </cell>
          <cell r="U29">
            <v>416.45</v>
          </cell>
          <cell r="V29">
            <v>3583.6</v>
          </cell>
        </row>
        <row r="30">
          <cell r="B30" t="str">
            <v>Perez Garcia Andres Alvaro</v>
          </cell>
          <cell r="C30">
            <v>15</v>
          </cell>
          <cell r="D30">
            <v>0</v>
          </cell>
          <cell r="E30">
            <v>266.67</v>
          </cell>
          <cell r="F30">
            <v>282.81</v>
          </cell>
          <cell r="G30">
            <v>4000</v>
          </cell>
          <cell r="H30">
            <v>0</v>
          </cell>
          <cell r="I30">
            <v>0</v>
          </cell>
          <cell r="J30">
            <v>4000</v>
          </cell>
          <cell r="K30">
            <v>313.87</v>
          </cell>
          <cell r="L30">
            <v>0</v>
          </cell>
          <cell r="M30">
            <v>102.51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T30">
            <v>0.02</v>
          </cell>
          <cell r="U30">
            <v>416.4</v>
          </cell>
          <cell r="V30">
            <v>3583.6</v>
          </cell>
        </row>
        <row r="31">
          <cell r="B31" t="str">
            <v>Chavira Garcia David Fernando</v>
          </cell>
          <cell r="C31">
            <v>15</v>
          </cell>
          <cell r="D31">
            <v>0</v>
          </cell>
          <cell r="E31">
            <v>333.33</v>
          </cell>
          <cell r="F31">
            <v>353.52</v>
          </cell>
          <cell r="G31">
            <v>5000</v>
          </cell>
          <cell r="H31">
            <v>0</v>
          </cell>
          <cell r="I31">
            <v>0</v>
          </cell>
          <cell r="J31">
            <v>5000</v>
          </cell>
          <cell r="K31">
            <v>461.64</v>
          </cell>
          <cell r="L31">
            <v>0</v>
          </cell>
          <cell r="M31">
            <v>131.94999999999999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T31">
            <v>0.01</v>
          </cell>
          <cell r="U31">
            <v>593.6</v>
          </cell>
          <cell r="V31">
            <v>4406.3999999999996</v>
          </cell>
        </row>
        <row r="32">
          <cell r="B32" t="str">
            <v>Guerrero Lara Cesar Adrian</v>
          </cell>
          <cell r="C32">
            <v>15</v>
          </cell>
          <cell r="D32">
            <v>0</v>
          </cell>
          <cell r="E32">
            <v>266.67</v>
          </cell>
          <cell r="F32">
            <v>282.81</v>
          </cell>
          <cell r="G32">
            <v>4000</v>
          </cell>
          <cell r="H32">
            <v>0</v>
          </cell>
          <cell r="I32">
            <v>0</v>
          </cell>
          <cell r="J32">
            <v>4000</v>
          </cell>
          <cell r="K32">
            <v>313.87</v>
          </cell>
          <cell r="L32">
            <v>0</v>
          </cell>
          <cell r="M32">
            <v>102.51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345.25</v>
          </cell>
          <cell r="T32">
            <v>-0.03</v>
          </cell>
          <cell r="U32">
            <v>761.6</v>
          </cell>
          <cell r="V32">
            <v>3238.4</v>
          </cell>
        </row>
        <row r="33">
          <cell r="B33" t="str">
            <v>Martinez Zamora Gerardo Mario</v>
          </cell>
          <cell r="C33">
            <v>15</v>
          </cell>
          <cell r="D33">
            <v>0</v>
          </cell>
          <cell r="E33">
            <v>318.33</v>
          </cell>
          <cell r="F33">
            <v>337.61</v>
          </cell>
          <cell r="G33">
            <v>4775</v>
          </cell>
          <cell r="H33">
            <v>0</v>
          </cell>
          <cell r="I33">
            <v>0</v>
          </cell>
          <cell r="J33">
            <v>4775</v>
          </cell>
          <cell r="K33">
            <v>424.67</v>
          </cell>
          <cell r="L33">
            <v>0</v>
          </cell>
          <cell r="M33">
            <v>125.32</v>
          </cell>
          <cell r="N33">
            <v>1528.5</v>
          </cell>
          <cell r="O33">
            <v>0</v>
          </cell>
          <cell r="P33">
            <v>15</v>
          </cell>
          <cell r="Q33">
            <v>0</v>
          </cell>
          <cell r="R33">
            <v>0</v>
          </cell>
          <cell r="T33">
            <v>-0.09</v>
          </cell>
          <cell r="U33">
            <v>2093.4</v>
          </cell>
          <cell r="V33">
            <v>2681.6</v>
          </cell>
        </row>
        <row r="34">
          <cell r="B34" t="str">
            <v>Castellon Ramos Rene</v>
          </cell>
          <cell r="C34">
            <v>15</v>
          </cell>
          <cell r="D34">
            <v>0</v>
          </cell>
          <cell r="E34">
            <v>250</v>
          </cell>
          <cell r="F34">
            <v>265.14</v>
          </cell>
          <cell r="G34">
            <v>3750</v>
          </cell>
          <cell r="H34">
            <v>0</v>
          </cell>
          <cell r="I34">
            <v>0</v>
          </cell>
          <cell r="J34">
            <v>3750</v>
          </cell>
          <cell r="K34">
            <v>286.67</v>
          </cell>
          <cell r="L34">
            <v>0</v>
          </cell>
          <cell r="M34">
            <v>95.15</v>
          </cell>
          <cell r="N34">
            <v>0</v>
          </cell>
          <cell r="O34">
            <v>1346.54</v>
          </cell>
          <cell r="P34">
            <v>15</v>
          </cell>
          <cell r="Q34">
            <v>0</v>
          </cell>
          <cell r="R34">
            <v>848.88</v>
          </cell>
          <cell r="T34">
            <v>-0.04</v>
          </cell>
          <cell r="U34">
            <v>2592.1999999999998</v>
          </cell>
          <cell r="V34">
            <v>1157.8</v>
          </cell>
        </row>
        <row r="35">
          <cell r="B35" t="str">
            <v>Flores Franco Marco</v>
          </cell>
          <cell r="C35">
            <v>15</v>
          </cell>
          <cell r="D35">
            <v>0</v>
          </cell>
          <cell r="E35">
            <v>283.33</v>
          </cell>
          <cell r="F35">
            <v>300.49</v>
          </cell>
          <cell r="G35">
            <v>4250</v>
          </cell>
          <cell r="H35">
            <v>0</v>
          </cell>
          <cell r="I35">
            <v>0</v>
          </cell>
          <cell r="J35">
            <v>4250</v>
          </cell>
          <cell r="K35">
            <v>341.07</v>
          </cell>
          <cell r="L35">
            <v>0</v>
          </cell>
          <cell r="M35">
            <v>109.87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T35">
            <v>0.06</v>
          </cell>
          <cell r="U35">
            <v>451</v>
          </cell>
          <cell r="V35">
            <v>3799</v>
          </cell>
        </row>
        <row r="36">
          <cell r="B36" t="str">
            <v>Chavez Saucedo Jorge Arturo</v>
          </cell>
          <cell r="C36">
            <v>15</v>
          </cell>
          <cell r="D36">
            <v>0</v>
          </cell>
          <cell r="E36">
            <v>266.67</v>
          </cell>
          <cell r="F36">
            <v>278.72000000000003</v>
          </cell>
          <cell r="G36">
            <v>4000.05</v>
          </cell>
          <cell r="H36">
            <v>0</v>
          </cell>
          <cell r="I36">
            <v>0</v>
          </cell>
          <cell r="J36">
            <v>4000.05</v>
          </cell>
          <cell r="K36">
            <v>313.87</v>
          </cell>
          <cell r="L36">
            <v>0</v>
          </cell>
          <cell r="M36">
            <v>100.81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T36">
            <v>-0.03</v>
          </cell>
          <cell r="U36">
            <v>414.65</v>
          </cell>
          <cell r="V36">
            <v>3585.4</v>
          </cell>
        </row>
        <row r="37">
          <cell r="B37" t="str">
            <v>Hueramo Hueramo Jesus Daniel</v>
          </cell>
          <cell r="C37">
            <v>15</v>
          </cell>
          <cell r="D37">
            <v>0</v>
          </cell>
          <cell r="E37">
            <v>283.33</v>
          </cell>
          <cell r="F37">
            <v>300.49</v>
          </cell>
          <cell r="G37">
            <v>4250</v>
          </cell>
          <cell r="H37">
            <v>0</v>
          </cell>
          <cell r="I37">
            <v>0</v>
          </cell>
          <cell r="J37">
            <v>4250</v>
          </cell>
          <cell r="K37">
            <v>341.07</v>
          </cell>
          <cell r="L37">
            <v>0</v>
          </cell>
          <cell r="M37">
            <v>109.87</v>
          </cell>
          <cell r="N37">
            <v>0</v>
          </cell>
          <cell r="O37">
            <v>592.54</v>
          </cell>
          <cell r="P37">
            <v>15</v>
          </cell>
          <cell r="Q37">
            <v>0</v>
          </cell>
          <cell r="R37">
            <v>322.5</v>
          </cell>
          <cell r="T37">
            <v>0.02</v>
          </cell>
          <cell r="U37">
            <v>1381</v>
          </cell>
          <cell r="V37">
            <v>2869</v>
          </cell>
        </row>
        <row r="38">
          <cell r="B38" t="str">
            <v>Sandoval Garcia Luis</v>
          </cell>
          <cell r="C38">
            <v>15</v>
          </cell>
          <cell r="D38">
            <v>0</v>
          </cell>
          <cell r="E38">
            <v>266.67</v>
          </cell>
          <cell r="F38">
            <v>282.81</v>
          </cell>
          <cell r="G38">
            <v>4000.05</v>
          </cell>
          <cell r="H38">
            <v>0</v>
          </cell>
          <cell r="I38">
            <v>0</v>
          </cell>
          <cell r="J38">
            <v>4000.05</v>
          </cell>
          <cell r="K38">
            <v>313.87</v>
          </cell>
          <cell r="L38">
            <v>0</v>
          </cell>
          <cell r="M38">
            <v>102.51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T38">
            <v>7.0000000000000007E-2</v>
          </cell>
          <cell r="U38">
            <v>416.45</v>
          </cell>
          <cell r="V38">
            <v>3583.6</v>
          </cell>
        </row>
        <row r="39">
          <cell r="B39" t="str">
            <v>Vaca Valdez Guillermo</v>
          </cell>
          <cell r="C39">
            <v>15</v>
          </cell>
          <cell r="D39">
            <v>0</v>
          </cell>
          <cell r="E39">
            <v>266.67</v>
          </cell>
          <cell r="F39">
            <v>282.81</v>
          </cell>
          <cell r="G39">
            <v>4000.05</v>
          </cell>
          <cell r="H39">
            <v>0</v>
          </cell>
          <cell r="I39">
            <v>0</v>
          </cell>
          <cell r="J39">
            <v>4000.05</v>
          </cell>
          <cell r="K39">
            <v>313.87</v>
          </cell>
          <cell r="L39">
            <v>0</v>
          </cell>
          <cell r="M39">
            <v>102.51</v>
          </cell>
          <cell r="N39">
            <v>1848.35</v>
          </cell>
          <cell r="O39">
            <v>0</v>
          </cell>
          <cell r="P39">
            <v>15</v>
          </cell>
          <cell r="Q39">
            <v>0</v>
          </cell>
          <cell r="R39">
            <v>400</v>
          </cell>
          <cell r="T39">
            <v>-0.08</v>
          </cell>
          <cell r="U39">
            <v>2679.65</v>
          </cell>
          <cell r="V39">
            <v>1320.4</v>
          </cell>
        </row>
        <row r="40">
          <cell r="B40" t="str">
            <v>Martinez Morales Jose Martin</v>
          </cell>
          <cell r="C40">
            <v>15</v>
          </cell>
          <cell r="D40">
            <v>0</v>
          </cell>
          <cell r="E40">
            <v>466.67</v>
          </cell>
          <cell r="F40">
            <v>494.92</v>
          </cell>
          <cell r="G40">
            <v>7000.05</v>
          </cell>
          <cell r="H40">
            <v>0</v>
          </cell>
          <cell r="I40">
            <v>0</v>
          </cell>
          <cell r="J40">
            <v>7000.05</v>
          </cell>
          <cell r="K40">
            <v>856.99</v>
          </cell>
          <cell r="L40">
            <v>0</v>
          </cell>
          <cell r="M40">
            <v>190.81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T40">
            <v>0.05</v>
          </cell>
          <cell r="U40">
            <v>1047.8499999999999</v>
          </cell>
          <cell r="V40">
            <v>5952.2</v>
          </cell>
        </row>
        <row r="41">
          <cell r="B41" t="str">
            <v xml:space="preserve">Arzate Gil Juan Sebastian </v>
          </cell>
          <cell r="C41">
            <v>15</v>
          </cell>
          <cell r="D41">
            <v>0</v>
          </cell>
          <cell r="E41">
            <v>266.67</v>
          </cell>
          <cell r="F41">
            <v>282.81</v>
          </cell>
          <cell r="G41">
            <v>4000.05</v>
          </cell>
          <cell r="H41">
            <v>0</v>
          </cell>
          <cell r="I41">
            <v>0</v>
          </cell>
          <cell r="J41">
            <v>4000.05</v>
          </cell>
          <cell r="K41">
            <v>313.87</v>
          </cell>
          <cell r="L41">
            <v>0</v>
          </cell>
          <cell r="M41">
            <v>102.51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688.8</v>
          </cell>
          <cell r="T41">
            <v>-0.13</v>
          </cell>
          <cell r="U41">
            <v>1105.05</v>
          </cell>
          <cell r="V41">
            <v>2895</v>
          </cell>
        </row>
        <row r="42">
          <cell r="B42" t="str">
            <v>Torres Velazquez Juan Antonio</v>
          </cell>
          <cell r="C42">
            <v>15</v>
          </cell>
          <cell r="D42">
            <v>0</v>
          </cell>
          <cell r="E42">
            <v>266.67</v>
          </cell>
          <cell r="F42">
            <v>282.81</v>
          </cell>
          <cell r="G42">
            <v>4000.05</v>
          </cell>
          <cell r="H42">
            <v>0</v>
          </cell>
          <cell r="I42">
            <v>0</v>
          </cell>
          <cell r="J42">
            <v>4000.05</v>
          </cell>
          <cell r="K42">
            <v>313.87</v>
          </cell>
          <cell r="L42">
            <v>0</v>
          </cell>
          <cell r="M42">
            <v>102.51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T42">
            <v>7.0000000000000007E-2</v>
          </cell>
          <cell r="U42">
            <v>416.45</v>
          </cell>
          <cell r="V42">
            <v>3583.6</v>
          </cell>
        </row>
        <row r="43">
          <cell r="B43" t="str">
            <v>Enriquez  Zamora Jessica Del Rocio</v>
          </cell>
          <cell r="C43">
            <v>15</v>
          </cell>
          <cell r="D43">
            <v>0</v>
          </cell>
          <cell r="E43">
            <v>200</v>
          </cell>
          <cell r="F43">
            <v>212.11</v>
          </cell>
          <cell r="G43">
            <v>3000</v>
          </cell>
          <cell r="H43">
            <v>0</v>
          </cell>
          <cell r="I43">
            <v>0</v>
          </cell>
          <cell r="J43">
            <v>3000</v>
          </cell>
          <cell r="K43">
            <v>59.69</v>
          </cell>
          <cell r="L43">
            <v>0</v>
          </cell>
          <cell r="M43">
            <v>75.56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T43">
            <v>-0.05</v>
          </cell>
          <cell r="U43">
            <v>135.19999999999999</v>
          </cell>
          <cell r="V43">
            <v>2864.8</v>
          </cell>
        </row>
        <row r="44">
          <cell r="B44" t="str">
            <v>Moreno Quiroga  Ana Sarahi</v>
          </cell>
          <cell r="C44">
            <v>15</v>
          </cell>
          <cell r="D44">
            <v>0</v>
          </cell>
          <cell r="E44">
            <v>266.67</v>
          </cell>
          <cell r="F44">
            <v>282.81</v>
          </cell>
          <cell r="G44">
            <v>4000.05</v>
          </cell>
          <cell r="H44">
            <v>0</v>
          </cell>
          <cell r="I44">
            <v>0</v>
          </cell>
          <cell r="J44">
            <v>4000.05</v>
          </cell>
          <cell r="K44">
            <v>313.87</v>
          </cell>
          <cell r="L44">
            <v>0</v>
          </cell>
          <cell r="M44">
            <v>102.51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T44">
            <v>-0.13</v>
          </cell>
          <cell r="U44">
            <v>416.25</v>
          </cell>
          <cell r="V44">
            <v>3583.8</v>
          </cell>
        </row>
        <row r="45">
          <cell r="B45" t="str">
            <v>Hernandez Garcia  Manuel Alejandro</v>
          </cell>
          <cell r="C45">
            <v>15</v>
          </cell>
          <cell r="D45">
            <v>0</v>
          </cell>
          <cell r="E45">
            <v>266.67</v>
          </cell>
          <cell r="F45">
            <v>278.72000000000003</v>
          </cell>
          <cell r="G45">
            <v>4000.05</v>
          </cell>
          <cell r="H45">
            <v>0</v>
          </cell>
          <cell r="I45">
            <v>0</v>
          </cell>
          <cell r="J45">
            <v>4000.05</v>
          </cell>
          <cell r="K45">
            <v>313.87</v>
          </cell>
          <cell r="L45">
            <v>0</v>
          </cell>
          <cell r="M45">
            <v>100.81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T45">
            <v>-0.03</v>
          </cell>
          <cell r="U45">
            <v>414.65</v>
          </cell>
          <cell r="V45">
            <v>3585.4</v>
          </cell>
        </row>
        <row r="46">
          <cell r="B46" t="str">
            <v>Sandoval Medina Demetrio</v>
          </cell>
          <cell r="C46">
            <v>15</v>
          </cell>
          <cell r="D46">
            <v>0</v>
          </cell>
          <cell r="E46">
            <v>266.67</v>
          </cell>
          <cell r="F46">
            <v>278.72000000000003</v>
          </cell>
          <cell r="G46">
            <v>4000.05</v>
          </cell>
          <cell r="H46">
            <v>0</v>
          </cell>
          <cell r="I46">
            <v>0</v>
          </cell>
          <cell r="J46">
            <v>4000.05</v>
          </cell>
          <cell r="K46">
            <v>313.87</v>
          </cell>
          <cell r="L46">
            <v>0</v>
          </cell>
          <cell r="M46">
            <v>100.81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T46">
            <v>-0.03</v>
          </cell>
          <cell r="U46">
            <v>414.65</v>
          </cell>
          <cell r="V46">
            <v>3585.4</v>
          </cell>
        </row>
        <row r="47">
          <cell r="B47" t="str">
            <v>Gutierrez Muñoz Carlos Alejandro</v>
          </cell>
          <cell r="C47">
            <v>15</v>
          </cell>
          <cell r="D47">
            <v>0</v>
          </cell>
          <cell r="E47">
            <v>220.83</v>
          </cell>
          <cell r="F47">
            <v>234.2</v>
          </cell>
          <cell r="G47">
            <v>3312.45</v>
          </cell>
          <cell r="H47">
            <v>0</v>
          </cell>
          <cell r="I47">
            <v>0</v>
          </cell>
          <cell r="J47">
            <v>3312.45</v>
          </cell>
          <cell r="K47">
            <v>113.96</v>
          </cell>
          <cell r="L47">
            <v>0</v>
          </cell>
          <cell r="M47">
            <v>83.43</v>
          </cell>
          <cell r="N47">
            <v>2034.26</v>
          </cell>
          <cell r="O47">
            <v>0</v>
          </cell>
          <cell r="P47">
            <v>15</v>
          </cell>
          <cell r="Q47">
            <v>0</v>
          </cell>
          <cell r="R47">
            <v>0</v>
          </cell>
          <cell r="T47">
            <v>0</v>
          </cell>
          <cell r="U47">
            <v>2246.65</v>
          </cell>
          <cell r="V47">
            <v>1065.8</v>
          </cell>
        </row>
        <row r="48">
          <cell r="B48" t="str">
            <v>Molina Ramirez Gerardo Daniel</v>
          </cell>
          <cell r="C48">
            <v>15</v>
          </cell>
          <cell r="D48">
            <v>0</v>
          </cell>
          <cell r="E48">
            <v>150</v>
          </cell>
          <cell r="F48">
            <v>156.78</v>
          </cell>
          <cell r="G48">
            <v>2250</v>
          </cell>
          <cell r="H48">
            <v>0</v>
          </cell>
          <cell r="I48">
            <v>0</v>
          </cell>
          <cell r="J48">
            <v>2250</v>
          </cell>
          <cell r="K48">
            <v>0</v>
          </cell>
          <cell r="L48">
            <v>-43.57</v>
          </cell>
          <cell r="M48">
            <v>55.86</v>
          </cell>
          <cell r="N48">
            <v>0</v>
          </cell>
          <cell r="O48">
            <v>763.03</v>
          </cell>
          <cell r="P48">
            <v>15</v>
          </cell>
          <cell r="Q48">
            <v>0</v>
          </cell>
          <cell r="R48">
            <v>0</v>
          </cell>
          <cell r="T48">
            <v>0.08</v>
          </cell>
          <cell r="U48">
            <v>790.4</v>
          </cell>
          <cell r="V48">
            <v>1459.6</v>
          </cell>
        </row>
        <row r="49">
          <cell r="B49" t="str">
            <v>Mireles Casillas Brenda Cristina</v>
          </cell>
          <cell r="C49">
            <v>15</v>
          </cell>
          <cell r="D49">
            <v>0</v>
          </cell>
          <cell r="E49">
            <v>150</v>
          </cell>
          <cell r="F49">
            <v>156.78</v>
          </cell>
          <cell r="G49">
            <v>2250</v>
          </cell>
          <cell r="H49">
            <v>0</v>
          </cell>
          <cell r="I49">
            <v>0</v>
          </cell>
          <cell r="J49">
            <v>2250</v>
          </cell>
          <cell r="K49">
            <v>0</v>
          </cell>
          <cell r="L49">
            <v>-43.57</v>
          </cell>
          <cell r="M49">
            <v>55.86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T49">
            <v>-0.09</v>
          </cell>
          <cell r="U49">
            <v>12.2</v>
          </cell>
          <cell r="V49">
            <v>2237.8000000000002</v>
          </cell>
        </row>
        <row r="50">
          <cell r="B50" t="str">
            <v>Escobedo Olivares Juan Guadalupe</v>
          </cell>
          <cell r="C50">
            <v>15</v>
          </cell>
          <cell r="D50">
            <v>0</v>
          </cell>
          <cell r="E50">
            <v>233.33</v>
          </cell>
          <cell r="F50">
            <v>243.88</v>
          </cell>
          <cell r="G50">
            <v>3499.95</v>
          </cell>
          <cell r="H50">
            <v>0</v>
          </cell>
          <cell r="I50">
            <v>0</v>
          </cell>
          <cell r="J50">
            <v>3499.95</v>
          </cell>
          <cell r="K50">
            <v>134.36000000000001</v>
          </cell>
          <cell r="L50">
            <v>0</v>
          </cell>
          <cell r="M50">
            <v>86.88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T50">
            <v>-0.09</v>
          </cell>
          <cell r="U50">
            <v>221.15</v>
          </cell>
          <cell r="V50">
            <v>3278.8</v>
          </cell>
        </row>
        <row r="51">
          <cell r="B51" t="str">
            <v>Castillo Ramirez Hector Ivan</v>
          </cell>
          <cell r="C51">
            <v>15</v>
          </cell>
          <cell r="D51">
            <v>0</v>
          </cell>
          <cell r="E51">
            <v>233.33</v>
          </cell>
          <cell r="F51">
            <v>243.88</v>
          </cell>
          <cell r="G51">
            <v>3499.95</v>
          </cell>
          <cell r="H51">
            <v>0</v>
          </cell>
          <cell r="I51">
            <v>0</v>
          </cell>
          <cell r="J51">
            <v>3499.95</v>
          </cell>
          <cell r="K51">
            <v>134.36000000000001</v>
          </cell>
          <cell r="L51">
            <v>0</v>
          </cell>
          <cell r="M51">
            <v>86.88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550.83000000000004</v>
          </cell>
          <cell r="T51">
            <v>0.08</v>
          </cell>
          <cell r="U51">
            <v>772.15</v>
          </cell>
          <cell r="V51">
            <v>2727.8</v>
          </cell>
        </row>
        <row r="52">
          <cell r="B52" t="str">
            <v>Martinez Morales Tomas</v>
          </cell>
          <cell r="C52">
            <v>15</v>
          </cell>
          <cell r="D52">
            <v>0</v>
          </cell>
          <cell r="E52">
            <v>312.87</v>
          </cell>
          <cell r="F52">
            <v>327.01</v>
          </cell>
          <cell r="G52">
            <v>4693.05</v>
          </cell>
          <cell r="H52">
            <v>0</v>
          </cell>
          <cell r="I52">
            <v>0</v>
          </cell>
          <cell r="J52">
            <v>4693.05</v>
          </cell>
          <cell r="K52">
            <v>411.56</v>
          </cell>
          <cell r="L52">
            <v>0</v>
          </cell>
          <cell r="M52">
            <v>120.9</v>
          </cell>
          <cell r="N52">
            <v>1881.2</v>
          </cell>
          <cell r="O52">
            <v>0</v>
          </cell>
          <cell r="P52">
            <v>15</v>
          </cell>
          <cell r="Q52">
            <v>0</v>
          </cell>
          <cell r="R52">
            <v>301.5</v>
          </cell>
          <cell r="T52">
            <v>0.09</v>
          </cell>
          <cell r="U52">
            <v>2730.25</v>
          </cell>
          <cell r="V52">
            <v>1962.8</v>
          </cell>
        </row>
        <row r="53">
          <cell r="B53" t="str">
            <v>Medellin Colunga Ruben Dario</v>
          </cell>
          <cell r="C53">
            <v>15</v>
          </cell>
          <cell r="D53">
            <v>0</v>
          </cell>
          <cell r="E53">
            <v>312.87</v>
          </cell>
          <cell r="F53">
            <v>327.01</v>
          </cell>
          <cell r="G53">
            <v>4693.05</v>
          </cell>
          <cell r="H53">
            <v>0</v>
          </cell>
          <cell r="I53">
            <v>0</v>
          </cell>
          <cell r="J53">
            <v>4693.05</v>
          </cell>
          <cell r="K53">
            <v>411.56</v>
          </cell>
          <cell r="L53">
            <v>0</v>
          </cell>
          <cell r="M53">
            <v>120.9</v>
          </cell>
          <cell r="N53">
            <v>2177.34</v>
          </cell>
          <cell r="O53">
            <v>0</v>
          </cell>
          <cell r="P53">
            <v>15</v>
          </cell>
          <cell r="Q53">
            <v>0</v>
          </cell>
          <cell r="R53">
            <v>395.82</v>
          </cell>
          <cell r="T53">
            <v>0.03</v>
          </cell>
          <cell r="U53">
            <v>3120.65</v>
          </cell>
          <cell r="V53">
            <v>1572.4</v>
          </cell>
        </row>
        <row r="54">
          <cell r="B54" t="str">
            <v>Torres Perez Carlos Alberto</v>
          </cell>
          <cell r="C54">
            <v>15</v>
          </cell>
          <cell r="D54">
            <v>0</v>
          </cell>
          <cell r="E54">
            <v>238.84</v>
          </cell>
          <cell r="F54">
            <v>249.64</v>
          </cell>
          <cell r="G54">
            <v>3582.6</v>
          </cell>
          <cell r="H54">
            <v>0</v>
          </cell>
          <cell r="I54">
            <v>0</v>
          </cell>
          <cell r="J54">
            <v>3582.6</v>
          </cell>
          <cell r="K54">
            <v>161.08000000000001</v>
          </cell>
          <cell r="L54">
            <v>0</v>
          </cell>
          <cell r="M54">
            <v>88.93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253.5</v>
          </cell>
          <cell r="T54">
            <v>-0.11</v>
          </cell>
          <cell r="U54">
            <v>503.4</v>
          </cell>
          <cell r="V54">
            <v>3079.2</v>
          </cell>
        </row>
        <row r="55">
          <cell r="B55" t="str">
            <v>Treviño Alvarez Jorge Alberto</v>
          </cell>
          <cell r="C55">
            <v>15</v>
          </cell>
          <cell r="D55">
            <v>0</v>
          </cell>
          <cell r="E55">
            <v>238.84</v>
          </cell>
          <cell r="F55">
            <v>249.64</v>
          </cell>
          <cell r="G55">
            <v>3582.6</v>
          </cell>
          <cell r="H55">
            <v>0</v>
          </cell>
          <cell r="I55">
            <v>0</v>
          </cell>
          <cell r="J55">
            <v>3582.6</v>
          </cell>
          <cell r="K55">
            <v>161.08000000000001</v>
          </cell>
          <cell r="L55">
            <v>0</v>
          </cell>
          <cell r="M55">
            <v>88.93</v>
          </cell>
          <cell r="N55">
            <v>1202.43</v>
          </cell>
          <cell r="O55">
            <v>0</v>
          </cell>
          <cell r="P55">
            <v>15</v>
          </cell>
          <cell r="Q55">
            <v>0</v>
          </cell>
          <cell r="R55">
            <v>310</v>
          </cell>
          <cell r="T55">
            <v>-0.04</v>
          </cell>
          <cell r="U55">
            <v>1777.4</v>
          </cell>
          <cell r="V55">
            <v>1805.2</v>
          </cell>
        </row>
        <row r="56">
          <cell r="B56" t="str">
            <v>Tenorio Alvarez Alberto Antonio</v>
          </cell>
          <cell r="C56">
            <v>15</v>
          </cell>
          <cell r="D56">
            <v>0</v>
          </cell>
          <cell r="E56">
            <v>238.84</v>
          </cell>
          <cell r="F56">
            <v>249.64</v>
          </cell>
          <cell r="G56">
            <v>3582.6</v>
          </cell>
          <cell r="H56">
            <v>0</v>
          </cell>
          <cell r="I56">
            <v>0</v>
          </cell>
          <cell r="J56">
            <v>3582.6</v>
          </cell>
          <cell r="K56">
            <v>161.08000000000001</v>
          </cell>
          <cell r="L56">
            <v>0</v>
          </cell>
          <cell r="M56">
            <v>88.93</v>
          </cell>
          <cell r="N56">
            <v>0</v>
          </cell>
          <cell r="O56">
            <v>1122.6300000000001</v>
          </cell>
          <cell r="P56">
            <v>15</v>
          </cell>
          <cell r="Q56">
            <v>0</v>
          </cell>
          <cell r="R56">
            <v>0</v>
          </cell>
          <cell r="T56">
            <v>-0.04</v>
          </cell>
          <cell r="U56">
            <v>1387.6</v>
          </cell>
          <cell r="V56">
            <v>2195</v>
          </cell>
        </row>
        <row r="57">
          <cell r="B57" t="str">
            <v>Chavez Dominguez Salvador</v>
          </cell>
          <cell r="C57">
            <v>15</v>
          </cell>
          <cell r="D57">
            <v>0</v>
          </cell>
          <cell r="E57">
            <v>238.84</v>
          </cell>
          <cell r="F57">
            <v>249.64</v>
          </cell>
          <cell r="G57">
            <v>3582.6</v>
          </cell>
          <cell r="H57">
            <v>0</v>
          </cell>
          <cell r="I57">
            <v>0</v>
          </cell>
          <cell r="J57">
            <v>3582.6</v>
          </cell>
          <cell r="K57">
            <v>161.08000000000001</v>
          </cell>
          <cell r="L57">
            <v>0</v>
          </cell>
          <cell r="M57">
            <v>88.93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T57">
            <v>-0.01</v>
          </cell>
          <cell r="U57">
            <v>250</v>
          </cell>
          <cell r="V57">
            <v>3332.6</v>
          </cell>
        </row>
        <row r="58">
          <cell r="B58" t="str">
            <v>Garcia Gutierrez Jose Juan</v>
          </cell>
          <cell r="C58">
            <v>15</v>
          </cell>
          <cell r="D58">
            <v>0</v>
          </cell>
          <cell r="E58">
            <v>200</v>
          </cell>
          <cell r="F58">
            <v>212.11</v>
          </cell>
          <cell r="G58">
            <v>3000</v>
          </cell>
          <cell r="H58">
            <v>0</v>
          </cell>
          <cell r="I58">
            <v>0</v>
          </cell>
          <cell r="J58">
            <v>3000</v>
          </cell>
          <cell r="K58">
            <v>59.69</v>
          </cell>
          <cell r="L58">
            <v>0</v>
          </cell>
          <cell r="M58">
            <v>75.56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T58">
            <v>-0.05</v>
          </cell>
          <cell r="U58">
            <v>135.19999999999999</v>
          </cell>
          <cell r="V58">
            <v>2864.8</v>
          </cell>
        </row>
        <row r="59">
          <cell r="B59" t="str">
            <v>Cruz Herrera Roberto</v>
          </cell>
          <cell r="C59">
            <v>15</v>
          </cell>
          <cell r="D59">
            <v>0</v>
          </cell>
          <cell r="E59">
            <v>238.84</v>
          </cell>
          <cell r="F59">
            <v>249.64</v>
          </cell>
          <cell r="G59">
            <v>3582.6</v>
          </cell>
          <cell r="H59">
            <v>0</v>
          </cell>
          <cell r="I59">
            <v>0</v>
          </cell>
          <cell r="J59">
            <v>3582.6</v>
          </cell>
          <cell r="K59">
            <v>161.08000000000001</v>
          </cell>
          <cell r="L59">
            <v>0</v>
          </cell>
          <cell r="M59">
            <v>88.93</v>
          </cell>
          <cell r="N59">
            <v>692.93</v>
          </cell>
          <cell r="O59">
            <v>0</v>
          </cell>
          <cell r="P59">
            <v>15</v>
          </cell>
          <cell r="Q59">
            <v>0</v>
          </cell>
          <cell r="R59">
            <v>0</v>
          </cell>
          <cell r="T59">
            <v>0.06</v>
          </cell>
          <cell r="U59">
            <v>958</v>
          </cell>
          <cell r="V59">
            <v>2624.6</v>
          </cell>
        </row>
        <row r="60">
          <cell r="B60" t="str">
            <v>Martinez Rodriguez Paulo Cesar</v>
          </cell>
          <cell r="C60">
            <v>15</v>
          </cell>
          <cell r="D60">
            <v>0</v>
          </cell>
          <cell r="E60">
            <v>166.67</v>
          </cell>
          <cell r="F60">
            <v>174.2</v>
          </cell>
          <cell r="G60">
            <v>2500.0500000000002</v>
          </cell>
          <cell r="H60">
            <v>0</v>
          </cell>
          <cell r="I60">
            <v>0</v>
          </cell>
          <cell r="J60">
            <v>2500.0500000000002</v>
          </cell>
          <cell r="K60">
            <v>0</v>
          </cell>
          <cell r="L60">
            <v>-9.6199999999999992</v>
          </cell>
          <cell r="M60">
            <v>62.06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T60">
            <v>0.01</v>
          </cell>
          <cell r="U60">
            <v>52.45</v>
          </cell>
          <cell r="V60">
            <v>2447.6</v>
          </cell>
        </row>
        <row r="61">
          <cell r="B61" t="str">
            <v>Martinez Malo Cesar</v>
          </cell>
          <cell r="C61">
            <v>15</v>
          </cell>
          <cell r="D61">
            <v>0</v>
          </cell>
          <cell r="E61">
            <v>195.38</v>
          </cell>
          <cell r="F61">
            <v>204.21</v>
          </cell>
          <cell r="G61">
            <v>2930.7</v>
          </cell>
          <cell r="H61">
            <v>0</v>
          </cell>
          <cell r="I61">
            <v>0</v>
          </cell>
          <cell r="J61">
            <v>2930.7</v>
          </cell>
          <cell r="K61">
            <v>52.15</v>
          </cell>
          <cell r="L61">
            <v>0</v>
          </cell>
          <cell r="M61">
            <v>72.75</v>
          </cell>
          <cell r="N61">
            <v>898.5</v>
          </cell>
          <cell r="O61">
            <v>0</v>
          </cell>
          <cell r="P61">
            <v>15</v>
          </cell>
          <cell r="Q61">
            <v>0</v>
          </cell>
          <cell r="R61">
            <v>0</v>
          </cell>
          <cell r="T61">
            <v>-0.1</v>
          </cell>
          <cell r="U61">
            <v>1038.3</v>
          </cell>
          <cell r="V61">
            <v>1892.4</v>
          </cell>
        </row>
        <row r="62">
          <cell r="B62" t="str">
            <v>Perez Balboa Cesar</v>
          </cell>
          <cell r="C62">
            <v>15</v>
          </cell>
          <cell r="D62">
            <v>0</v>
          </cell>
          <cell r="E62">
            <v>195.38</v>
          </cell>
          <cell r="F62">
            <v>204.21</v>
          </cell>
          <cell r="G62">
            <v>2930.7</v>
          </cell>
          <cell r="H62">
            <v>0</v>
          </cell>
          <cell r="I62">
            <v>0</v>
          </cell>
          <cell r="J62">
            <v>2930.7</v>
          </cell>
          <cell r="K62">
            <v>52.15</v>
          </cell>
          <cell r="L62">
            <v>0</v>
          </cell>
          <cell r="M62">
            <v>72.75</v>
          </cell>
          <cell r="N62">
            <v>909.21</v>
          </cell>
          <cell r="O62">
            <v>0</v>
          </cell>
          <cell r="P62">
            <v>15</v>
          </cell>
          <cell r="Q62">
            <v>0</v>
          </cell>
          <cell r="R62">
            <v>0</v>
          </cell>
          <cell r="T62">
            <v>-0.01</v>
          </cell>
          <cell r="U62">
            <v>1049.0999999999999</v>
          </cell>
          <cell r="V62">
            <v>1881.6</v>
          </cell>
        </row>
        <row r="63">
          <cell r="B63" t="str">
            <v>Mejia  Duarte Jose Luis</v>
          </cell>
          <cell r="C63">
            <v>15</v>
          </cell>
          <cell r="D63">
            <v>0</v>
          </cell>
          <cell r="E63">
            <v>166.67</v>
          </cell>
          <cell r="F63">
            <v>176.76</v>
          </cell>
          <cell r="G63">
            <v>2500.0500000000002</v>
          </cell>
          <cell r="H63">
            <v>0</v>
          </cell>
          <cell r="I63">
            <v>0</v>
          </cell>
          <cell r="J63">
            <v>2500.0500000000002</v>
          </cell>
          <cell r="K63">
            <v>0</v>
          </cell>
          <cell r="L63">
            <v>-9.6199999999999992</v>
          </cell>
          <cell r="M63">
            <v>62.97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T63">
            <v>0.1</v>
          </cell>
          <cell r="U63">
            <v>53.45</v>
          </cell>
          <cell r="V63">
            <v>2446.6</v>
          </cell>
        </row>
        <row r="64">
          <cell r="B64" t="str">
            <v xml:space="preserve">Cerro  Garcia  Elvis </v>
          </cell>
          <cell r="C64">
            <v>15</v>
          </cell>
          <cell r="D64">
            <v>0</v>
          </cell>
          <cell r="E64">
            <v>166.67</v>
          </cell>
          <cell r="F64">
            <v>177.03</v>
          </cell>
          <cell r="G64">
            <v>2500.0500000000002</v>
          </cell>
          <cell r="H64">
            <v>0</v>
          </cell>
          <cell r="I64">
            <v>0</v>
          </cell>
          <cell r="J64">
            <v>2500.0500000000002</v>
          </cell>
          <cell r="K64">
            <v>0</v>
          </cell>
          <cell r="L64">
            <v>-9.6199999999999992</v>
          </cell>
          <cell r="M64">
            <v>63.07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T64">
            <v>0</v>
          </cell>
          <cell r="U64">
            <v>53.45</v>
          </cell>
          <cell r="V64">
            <v>2446.6</v>
          </cell>
        </row>
        <row r="65">
          <cell r="B65" t="str">
            <v xml:space="preserve">Gutierrez  Castillo  Jose De Jesus </v>
          </cell>
          <cell r="C65">
            <v>15</v>
          </cell>
          <cell r="D65">
            <v>0</v>
          </cell>
          <cell r="E65">
            <v>200</v>
          </cell>
          <cell r="F65">
            <v>209.04</v>
          </cell>
          <cell r="G65">
            <v>3000</v>
          </cell>
          <cell r="H65">
            <v>0</v>
          </cell>
          <cell r="I65">
            <v>0</v>
          </cell>
          <cell r="J65">
            <v>3000</v>
          </cell>
          <cell r="K65">
            <v>59.69</v>
          </cell>
          <cell r="L65">
            <v>0</v>
          </cell>
          <cell r="M65">
            <v>74.48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T65">
            <v>0.03</v>
          </cell>
          <cell r="U65">
            <v>134.19999999999999</v>
          </cell>
          <cell r="V65">
            <v>2865.8</v>
          </cell>
        </row>
        <row r="66">
          <cell r="B66" t="str">
            <v xml:space="preserve">Lizaran Maceda  Jose Guadalupe </v>
          </cell>
          <cell r="C66">
            <v>15</v>
          </cell>
          <cell r="D66">
            <v>0</v>
          </cell>
          <cell r="E66">
            <v>166.67</v>
          </cell>
          <cell r="F66">
            <v>175.8</v>
          </cell>
          <cell r="G66">
            <v>2500.0500000000002</v>
          </cell>
          <cell r="H66">
            <v>0</v>
          </cell>
          <cell r="I66">
            <v>0</v>
          </cell>
          <cell r="J66">
            <v>2500.0500000000002</v>
          </cell>
          <cell r="K66">
            <v>0</v>
          </cell>
          <cell r="L66">
            <v>-9.6199999999999992</v>
          </cell>
          <cell r="M66">
            <v>62.63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T66">
            <v>-0.16</v>
          </cell>
          <cell r="U66">
            <v>52.85</v>
          </cell>
          <cell r="V66">
            <v>2447.1999999999998</v>
          </cell>
        </row>
        <row r="67">
          <cell r="B67" t="str">
            <v>Mendez Rivera Ivan Israel</v>
          </cell>
          <cell r="C67">
            <v>15</v>
          </cell>
          <cell r="D67">
            <v>0</v>
          </cell>
          <cell r="E67">
            <v>166.66</v>
          </cell>
          <cell r="F67">
            <v>174.19</v>
          </cell>
          <cell r="G67">
            <v>2499.9</v>
          </cell>
          <cell r="H67">
            <v>0</v>
          </cell>
          <cell r="I67">
            <v>0</v>
          </cell>
          <cell r="J67">
            <v>2499.9</v>
          </cell>
          <cell r="K67">
            <v>0</v>
          </cell>
          <cell r="L67">
            <v>-9.64</v>
          </cell>
          <cell r="M67">
            <v>62.06</v>
          </cell>
          <cell r="N67">
            <v>417.76</v>
          </cell>
          <cell r="O67">
            <v>0</v>
          </cell>
          <cell r="P67">
            <v>15</v>
          </cell>
          <cell r="Q67">
            <v>0</v>
          </cell>
          <cell r="R67">
            <v>0</v>
          </cell>
          <cell r="T67">
            <v>-0.08</v>
          </cell>
          <cell r="U67">
            <v>485.1</v>
          </cell>
          <cell r="V67">
            <v>2014.8</v>
          </cell>
        </row>
        <row r="68">
          <cell r="B68" t="str">
            <v xml:space="preserve">Ruiz  Flores  Aldo Tomas </v>
          </cell>
          <cell r="C68">
            <v>15</v>
          </cell>
          <cell r="D68">
            <v>0</v>
          </cell>
          <cell r="E68">
            <v>200</v>
          </cell>
          <cell r="F68">
            <v>212.11</v>
          </cell>
          <cell r="G68">
            <v>3000</v>
          </cell>
          <cell r="H68">
            <v>0</v>
          </cell>
          <cell r="I68">
            <v>0</v>
          </cell>
          <cell r="J68">
            <v>3000</v>
          </cell>
          <cell r="K68">
            <v>59.69</v>
          </cell>
          <cell r="L68">
            <v>0</v>
          </cell>
          <cell r="M68">
            <v>75.56</v>
          </cell>
          <cell r="N68">
            <v>0</v>
          </cell>
          <cell r="O68">
            <v>0</v>
          </cell>
          <cell r="P68">
            <v>0</v>
          </cell>
          <cell r="Q68">
            <v>581.73</v>
          </cell>
          <cell r="R68">
            <v>0</v>
          </cell>
          <cell r="T68">
            <v>0.02</v>
          </cell>
          <cell r="U68">
            <v>717</v>
          </cell>
          <cell r="V68">
            <v>2283</v>
          </cell>
        </row>
        <row r="69">
          <cell r="B69" t="str">
            <v xml:space="preserve">Macias  Torres  Enrique </v>
          </cell>
          <cell r="C69">
            <v>13</v>
          </cell>
          <cell r="D69">
            <v>0</v>
          </cell>
          <cell r="E69">
            <v>256.67</v>
          </cell>
          <cell r="F69">
            <v>272.20999999999998</v>
          </cell>
          <cell r="G69">
            <v>3336.71</v>
          </cell>
          <cell r="H69">
            <v>0</v>
          </cell>
          <cell r="I69">
            <v>0</v>
          </cell>
          <cell r="J69">
            <v>3336.71</v>
          </cell>
          <cell r="K69">
            <v>116.6</v>
          </cell>
          <cell r="L69">
            <v>0</v>
          </cell>
          <cell r="M69">
            <v>88.57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616.65</v>
          </cell>
          <cell r="T69">
            <v>-0.11</v>
          </cell>
          <cell r="U69">
            <v>821.71</v>
          </cell>
          <cell r="V69">
            <v>2515</v>
          </cell>
        </row>
        <row r="70">
          <cell r="B70" t="str">
            <v>Palacios Vega Luis Rosendo</v>
          </cell>
          <cell r="C70">
            <v>15</v>
          </cell>
          <cell r="D70">
            <v>0</v>
          </cell>
          <cell r="E70">
            <v>166.67</v>
          </cell>
          <cell r="F70">
            <v>174.2</v>
          </cell>
          <cell r="G70">
            <v>2500.0500000000002</v>
          </cell>
          <cell r="H70">
            <v>0</v>
          </cell>
          <cell r="I70">
            <v>0</v>
          </cell>
          <cell r="J70">
            <v>2500.0500000000002</v>
          </cell>
          <cell r="K70">
            <v>0</v>
          </cell>
          <cell r="L70">
            <v>-9.6199999999999992</v>
          </cell>
          <cell r="M70">
            <v>62.06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T70">
            <v>0.01</v>
          </cell>
          <cell r="U70">
            <v>52.45</v>
          </cell>
          <cell r="V70">
            <v>2447.6</v>
          </cell>
        </row>
        <row r="71">
          <cell r="B71" t="str">
            <v>Rondero Savin Jacinto</v>
          </cell>
          <cell r="C71">
            <v>15</v>
          </cell>
          <cell r="D71">
            <v>0</v>
          </cell>
          <cell r="E71">
            <v>233.33</v>
          </cell>
          <cell r="F71">
            <v>243.88</v>
          </cell>
          <cell r="G71">
            <v>3499.95</v>
          </cell>
          <cell r="H71">
            <v>0</v>
          </cell>
          <cell r="I71">
            <v>0</v>
          </cell>
          <cell r="J71">
            <v>3499.95</v>
          </cell>
          <cell r="K71">
            <v>134.36000000000001</v>
          </cell>
          <cell r="L71">
            <v>0</v>
          </cell>
          <cell r="M71">
            <v>86.88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T71">
            <v>-0.09</v>
          </cell>
          <cell r="U71">
            <v>221.15</v>
          </cell>
          <cell r="V71">
            <v>3278.8</v>
          </cell>
        </row>
        <row r="72">
          <cell r="B72" t="str">
            <v>Peña Lopez Abigail</v>
          </cell>
          <cell r="C72">
            <v>15</v>
          </cell>
          <cell r="D72">
            <v>0</v>
          </cell>
          <cell r="E72">
            <v>230</v>
          </cell>
          <cell r="F72">
            <v>243.93</v>
          </cell>
          <cell r="G72">
            <v>3450</v>
          </cell>
          <cell r="H72">
            <v>0</v>
          </cell>
          <cell r="I72">
            <v>0</v>
          </cell>
          <cell r="J72">
            <v>3450</v>
          </cell>
          <cell r="K72">
            <v>128.93</v>
          </cell>
          <cell r="L72">
            <v>0</v>
          </cell>
          <cell r="M72">
            <v>86.9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T72">
            <v>-0.03</v>
          </cell>
          <cell r="U72">
            <v>215.8</v>
          </cell>
          <cell r="V72">
            <v>3234.2</v>
          </cell>
        </row>
        <row r="73">
          <cell r="B73" t="str">
            <v>Hernandez Rodriguez Jorge</v>
          </cell>
          <cell r="C73">
            <v>15</v>
          </cell>
          <cell r="D73">
            <v>0</v>
          </cell>
          <cell r="E73">
            <v>233.33</v>
          </cell>
          <cell r="F73">
            <v>247.46</v>
          </cell>
          <cell r="G73">
            <v>3499.95</v>
          </cell>
          <cell r="H73">
            <v>0</v>
          </cell>
          <cell r="I73">
            <v>0</v>
          </cell>
          <cell r="J73">
            <v>3499.95</v>
          </cell>
          <cell r="K73">
            <v>134.36000000000001</v>
          </cell>
          <cell r="L73">
            <v>0</v>
          </cell>
          <cell r="M73">
            <v>88.16</v>
          </cell>
          <cell r="N73">
            <v>1463.13</v>
          </cell>
          <cell r="O73">
            <v>0</v>
          </cell>
          <cell r="P73">
            <v>15</v>
          </cell>
          <cell r="Q73">
            <v>0</v>
          </cell>
          <cell r="R73">
            <v>0</v>
          </cell>
          <cell r="T73">
            <v>-0.1</v>
          </cell>
          <cell r="U73">
            <v>1700.55</v>
          </cell>
          <cell r="V73">
            <v>1799.4</v>
          </cell>
        </row>
        <row r="74">
          <cell r="B74" t="str">
            <v>Orea Gonzalez Concepcion Esteban</v>
          </cell>
          <cell r="C74">
            <v>15</v>
          </cell>
          <cell r="D74">
            <v>0</v>
          </cell>
          <cell r="E74">
            <v>210</v>
          </cell>
          <cell r="F74">
            <v>222.72</v>
          </cell>
          <cell r="G74">
            <v>3150</v>
          </cell>
          <cell r="H74">
            <v>0</v>
          </cell>
          <cell r="I74">
            <v>0</v>
          </cell>
          <cell r="J74">
            <v>3150</v>
          </cell>
          <cell r="K74">
            <v>96.29</v>
          </cell>
          <cell r="L74">
            <v>0</v>
          </cell>
          <cell r="M74">
            <v>79.34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T74">
            <v>0.17</v>
          </cell>
          <cell r="U74">
            <v>175.8</v>
          </cell>
          <cell r="V74">
            <v>2974.2</v>
          </cell>
        </row>
        <row r="75">
          <cell r="B75" t="str">
            <v>Lizaran Maceda Jesus</v>
          </cell>
          <cell r="C75">
            <v>15</v>
          </cell>
          <cell r="D75">
            <v>0</v>
          </cell>
          <cell r="E75">
            <v>210</v>
          </cell>
          <cell r="F75">
            <v>222.72</v>
          </cell>
          <cell r="G75">
            <v>3150</v>
          </cell>
          <cell r="H75">
            <v>0</v>
          </cell>
          <cell r="I75">
            <v>0</v>
          </cell>
          <cell r="J75">
            <v>3150</v>
          </cell>
          <cell r="K75">
            <v>96.29</v>
          </cell>
          <cell r="L75">
            <v>0</v>
          </cell>
          <cell r="M75">
            <v>79.34</v>
          </cell>
          <cell r="N75">
            <v>0</v>
          </cell>
          <cell r="O75">
            <v>312.35000000000002</v>
          </cell>
          <cell r="P75">
            <v>15</v>
          </cell>
          <cell r="Q75">
            <v>0</v>
          </cell>
          <cell r="R75">
            <v>0</v>
          </cell>
          <cell r="T75">
            <v>0.02</v>
          </cell>
          <cell r="U75">
            <v>503</v>
          </cell>
          <cell r="V75">
            <v>2647</v>
          </cell>
        </row>
        <row r="76">
          <cell r="B76" t="str">
            <v>Alejandro Peña Deivi</v>
          </cell>
          <cell r="C76">
            <v>15</v>
          </cell>
          <cell r="D76">
            <v>0</v>
          </cell>
          <cell r="E76">
            <v>210</v>
          </cell>
          <cell r="F76">
            <v>222.72</v>
          </cell>
          <cell r="G76">
            <v>3150</v>
          </cell>
          <cell r="H76">
            <v>0</v>
          </cell>
          <cell r="I76">
            <v>0</v>
          </cell>
          <cell r="J76">
            <v>3150</v>
          </cell>
          <cell r="K76">
            <v>96.29</v>
          </cell>
          <cell r="L76">
            <v>0</v>
          </cell>
          <cell r="M76">
            <v>79.34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T76">
            <v>0.17</v>
          </cell>
          <cell r="U76">
            <v>175.8</v>
          </cell>
          <cell r="V76">
            <v>2974.2</v>
          </cell>
        </row>
        <row r="77">
          <cell r="B77" t="str">
            <v>Casas Chavarria Rafael</v>
          </cell>
          <cell r="C77">
            <v>15</v>
          </cell>
          <cell r="D77">
            <v>0</v>
          </cell>
          <cell r="E77">
            <v>210</v>
          </cell>
          <cell r="F77">
            <v>222.72</v>
          </cell>
          <cell r="G77">
            <v>3150</v>
          </cell>
          <cell r="H77">
            <v>0</v>
          </cell>
          <cell r="I77">
            <v>0</v>
          </cell>
          <cell r="J77">
            <v>3150</v>
          </cell>
          <cell r="K77">
            <v>96.29</v>
          </cell>
          <cell r="L77">
            <v>0</v>
          </cell>
          <cell r="M77">
            <v>79.34</v>
          </cell>
          <cell r="N77">
            <v>0</v>
          </cell>
          <cell r="O77">
            <v>961.79</v>
          </cell>
          <cell r="P77">
            <v>15</v>
          </cell>
          <cell r="Q77">
            <v>0</v>
          </cell>
          <cell r="R77">
            <v>0</v>
          </cell>
          <cell r="T77">
            <v>-0.02</v>
          </cell>
          <cell r="U77">
            <v>1152.4000000000001</v>
          </cell>
          <cell r="V77">
            <v>1997.6</v>
          </cell>
        </row>
        <row r="78">
          <cell r="B78" t="str">
            <v>Del Pilar Mendez Lucio</v>
          </cell>
          <cell r="C78">
            <v>15</v>
          </cell>
          <cell r="D78">
            <v>0</v>
          </cell>
          <cell r="E78">
            <v>200</v>
          </cell>
          <cell r="F78">
            <v>209.04</v>
          </cell>
          <cell r="G78">
            <v>3000</v>
          </cell>
          <cell r="H78">
            <v>0</v>
          </cell>
          <cell r="I78">
            <v>0</v>
          </cell>
          <cell r="J78">
            <v>3000</v>
          </cell>
          <cell r="K78">
            <v>59.69</v>
          </cell>
          <cell r="L78">
            <v>0</v>
          </cell>
          <cell r="M78">
            <v>74.48</v>
          </cell>
          <cell r="N78">
            <v>0</v>
          </cell>
          <cell r="O78">
            <v>1605.6</v>
          </cell>
          <cell r="P78">
            <v>15</v>
          </cell>
          <cell r="Q78">
            <v>0</v>
          </cell>
          <cell r="R78">
            <v>0</v>
          </cell>
          <cell r="T78">
            <v>0.03</v>
          </cell>
          <cell r="U78">
            <v>1754.8</v>
          </cell>
          <cell r="V78">
            <v>1245.2</v>
          </cell>
        </row>
        <row r="79">
          <cell r="B79" t="str">
            <v>Garcia Valderrama Jose De Jesus</v>
          </cell>
          <cell r="C79">
            <v>15</v>
          </cell>
          <cell r="D79">
            <v>0</v>
          </cell>
          <cell r="E79">
            <v>200</v>
          </cell>
          <cell r="F79">
            <v>209.04</v>
          </cell>
          <cell r="G79">
            <v>3000</v>
          </cell>
          <cell r="H79">
            <v>0</v>
          </cell>
          <cell r="I79">
            <v>0</v>
          </cell>
          <cell r="J79">
            <v>3000</v>
          </cell>
          <cell r="K79">
            <v>59.69</v>
          </cell>
          <cell r="L79">
            <v>0</v>
          </cell>
          <cell r="M79">
            <v>74.48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T79">
            <v>-0.17</v>
          </cell>
          <cell r="U79">
            <v>134</v>
          </cell>
          <cell r="V79">
            <v>2866</v>
          </cell>
        </row>
        <row r="80">
          <cell r="B80" t="str">
            <v>Gonzalez Ramirez Paul</v>
          </cell>
          <cell r="C80">
            <v>15</v>
          </cell>
          <cell r="D80">
            <v>0</v>
          </cell>
          <cell r="E80">
            <v>200</v>
          </cell>
          <cell r="F80">
            <v>209.04</v>
          </cell>
          <cell r="G80">
            <v>3000</v>
          </cell>
          <cell r="H80">
            <v>0</v>
          </cell>
          <cell r="I80">
            <v>0</v>
          </cell>
          <cell r="J80">
            <v>3000</v>
          </cell>
          <cell r="K80">
            <v>59.69</v>
          </cell>
          <cell r="L80">
            <v>0</v>
          </cell>
          <cell r="M80">
            <v>74.48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  <cell r="T80">
            <v>0.03</v>
          </cell>
          <cell r="U80">
            <v>134.19999999999999</v>
          </cell>
          <cell r="V80">
            <v>2865.8</v>
          </cell>
        </row>
        <row r="81">
          <cell r="B81" t="str">
            <v>Alejandro Vazquez Erasmo Miguel</v>
          </cell>
          <cell r="C81">
            <v>15</v>
          </cell>
          <cell r="D81">
            <v>0</v>
          </cell>
          <cell r="E81">
            <v>200</v>
          </cell>
          <cell r="F81">
            <v>212.11</v>
          </cell>
          <cell r="G81">
            <v>3000</v>
          </cell>
          <cell r="H81">
            <v>0</v>
          </cell>
          <cell r="I81">
            <v>0</v>
          </cell>
          <cell r="J81">
            <v>3000</v>
          </cell>
          <cell r="K81">
            <v>59.69</v>
          </cell>
          <cell r="L81">
            <v>0</v>
          </cell>
          <cell r="M81">
            <v>75.56</v>
          </cell>
          <cell r="N81">
            <v>0</v>
          </cell>
          <cell r="O81">
            <v>477.81</v>
          </cell>
          <cell r="P81">
            <v>15</v>
          </cell>
          <cell r="Q81">
            <v>0</v>
          </cell>
          <cell r="R81">
            <v>0</v>
          </cell>
          <cell r="T81">
            <v>-0.06</v>
          </cell>
          <cell r="U81">
            <v>628</v>
          </cell>
          <cell r="V81">
            <v>2372</v>
          </cell>
        </row>
        <row r="82">
          <cell r="B82" t="str">
            <v>Hernandez Ojeda Julio Cesar</v>
          </cell>
          <cell r="C82">
            <v>15</v>
          </cell>
          <cell r="D82">
            <v>0</v>
          </cell>
          <cell r="E82">
            <v>116.67</v>
          </cell>
          <cell r="F82">
            <v>123.73</v>
          </cell>
          <cell r="G82">
            <v>1750.05</v>
          </cell>
          <cell r="H82">
            <v>0</v>
          </cell>
          <cell r="I82">
            <v>0</v>
          </cell>
          <cell r="J82">
            <v>1750.05</v>
          </cell>
          <cell r="K82">
            <v>0</v>
          </cell>
          <cell r="L82">
            <v>-89.5</v>
          </cell>
          <cell r="M82">
            <v>44.08</v>
          </cell>
          <cell r="N82">
            <v>0</v>
          </cell>
          <cell r="O82">
            <v>854.85</v>
          </cell>
          <cell r="P82">
            <v>15</v>
          </cell>
          <cell r="Q82">
            <v>0</v>
          </cell>
          <cell r="R82">
            <v>0</v>
          </cell>
          <cell r="T82">
            <v>0.02</v>
          </cell>
          <cell r="U82">
            <v>824.45</v>
          </cell>
          <cell r="V82">
            <v>925.6</v>
          </cell>
        </row>
        <row r="83">
          <cell r="B83" t="str">
            <v>Serrano Esquivel Armando</v>
          </cell>
          <cell r="C83">
            <v>15</v>
          </cell>
          <cell r="D83">
            <v>0</v>
          </cell>
          <cell r="E83">
            <v>116.67</v>
          </cell>
          <cell r="F83">
            <v>123.73</v>
          </cell>
          <cell r="G83">
            <v>1750.05</v>
          </cell>
          <cell r="H83">
            <v>0</v>
          </cell>
          <cell r="I83">
            <v>0</v>
          </cell>
          <cell r="J83">
            <v>1750.05</v>
          </cell>
          <cell r="K83">
            <v>0</v>
          </cell>
          <cell r="L83">
            <v>-89.5</v>
          </cell>
          <cell r="M83">
            <v>44.08</v>
          </cell>
          <cell r="N83">
            <v>801.02</v>
          </cell>
          <cell r="O83">
            <v>0</v>
          </cell>
          <cell r="P83">
            <v>15</v>
          </cell>
          <cell r="Q83">
            <v>0</v>
          </cell>
          <cell r="R83">
            <v>0</v>
          </cell>
          <cell r="T83">
            <v>0.05</v>
          </cell>
          <cell r="U83">
            <v>770.65</v>
          </cell>
          <cell r="V83">
            <v>979.4</v>
          </cell>
        </row>
        <row r="84">
          <cell r="B84" t="str">
            <v>Coronado Vega Carlos Eduardo</v>
          </cell>
          <cell r="C84">
            <v>15</v>
          </cell>
          <cell r="D84">
            <v>0</v>
          </cell>
          <cell r="E84">
            <v>210</v>
          </cell>
          <cell r="F84">
            <v>222.72</v>
          </cell>
          <cell r="G84">
            <v>3150</v>
          </cell>
          <cell r="H84">
            <v>0</v>
          </cell>
          <cell r="I84">
            <v>0</v>
          </cell>
          <cell r="J84">
            <v>3150</v>
          </cell>
          <cell r="K84">
            <v>96.29</v>
          </cell>
          <cell r="L84">
            <v>0</v>
          </cell>
          <cell r="M84">
            <v>79.34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T84">
            <v>-0.03</v>
          </cell>
          <cell r="U84">
            <v>175.6</v>
          </cell>
          <cell r="V84">
            <v>2974.4</v>
          </cell>
        </row>
        <row r="85">
          <cell r="B85" t="str">
            <v>Montes De Oca Trujillo Gloria</v>
          </cell>
          <cell r="C85">
            <v>15</v>
          </cell>
          <cell r="D85">
            <v>0</v>
          </cell>
          <cell r="E85">
            <v>166.67</v>
          </cell>
          <cell r="F85">
            <v>176.76</v>
          </cell>
          <cell r="G85">
            <v>2500.0500000000002</v>
          </cell>
          <cell r="H85">
            <v>0</v>
          </cell>
          <cell r="I85">
            <v>0</v>
          </cell>
          <cell r="J85">
            <v>2500.0500000000002</v>
          </cell>
          <cell r="K85">
            <v>0</v>
          </cell>
          <cell r="L85">
            <v>-9.6199999999999992</v>
          </cell>
          <cell r="M85">
            <v>62.97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T85">
            <v>0.1</v>
          </cell>
          <cell r="U85">
            <v>53.45</v>
          </cell>
          <cell r="V85">
            <v>2446.6</v>
          </cell>
        </row>
        <row r="86">
          <cell r="B86" t="str">
            <v>Morales Martinez Eduardo</v>
          </cell>
          <cell r="C86">
            <v>15</v>
          </cell>
          <cell r="D86">
            <v>0</v>
          </cell>
          <cell r="E86">
            <v>210</v>
          </cell>
          <cell r="F86">
            <v>222.72</v>
          </cell>
          <cell r="G86">
            <v>3150</v>
          </cell>
          <cell r="H86">
            <v>0</v>
          </cell>
          <cell r="I86">
            <v>0</v>
          </cell>
          <cell r="J86">
            <v>3150</v>
          </cell>
          <cell r="K86">
            <v>96.29</v>
          </cell>
          <cell r="L86">
            <v>0</v>
          </cell>
          <cell r="M86">
            <v>79.34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T86">
            <v>0.17</v>
          </cell>
          <cell r="U86">
            <v>175.8</v>
          </cell>
          <cell r="V86">
            <v>2974.2</v>
          </cell>
        </row>
        <row r="87">
          <cell r="B87" t="str">
            <v>Chavez Govea Edgar Aram</v>
          </cell>
          <cell r="C87">
            <v>15</v>
          </cell>
          <cell r="D87">
            <v>0</v>
          </cell>
          <cell r="E87">
            <v>233.33</v>
          </cell>
          <cell r="F87">
            <v>247.46</v>
          </cell>
          <cell r="G87">
            <v>3499.95</v>
          </cell>
          <cell r="H87">
            <v>0</v>
          </cell>
          <cell r="I87">
            <v>0</v>
          </cell>
          <cell r="J87">
            <v>3499.95</v>
          </cell>
          <cell r="K87">
            <v>134.36000000000001</v>
          </cell>
          <cell r="L87">
            <v>0</v>
          </cell>
          <cell r="M87">
            <v>88.16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T87">
            <v>-0.17</v>
          </cell>
          <cell r="U87">
            <v>222.35</v>
          </cell>
          <cell r="V87">
            <v>3277.6</v>
          </cell>
        </row>
        <row r="88">
          <cell r="B88" t="str">
            <v>Ramirez Elizalde Karen Viridiana</v>
          </cell>
          <cell r="C88">
            <v>15</v>
          </cell>
          <cell r="D88">
            <v>0</v>
          </cell>
          <cell r="E88">
            <v>200</v>
          </cell>
          <cell r="F88">
            <v>209.04</v>
          </cell>
          <cell r="G88">
            <v>3000</v>
          </cell>
          <cell r="H88">
            <v>0</v>
          </cell>
          <cell r="I88">
            <v>0</v>
          </cell>
          <cell r="J88">
            <v>3000</v>
          </cell>
          <cell r="K88">
            <v>59.69</v>
          </cell>
          <cell r="L88">
            <v>0</v>
          </cell>
          <cell r="M88">
            <v>74.48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T88">
            <v>0.03</v>
          </cell>
          <cell r="U88">
            <v>134.19999999999999</v>
          </cell>
          <cell r="V88">
            <v>2865.8</v>
          </cell>
        </row>
        <row r="89">
          <cell r="B89" t="str">
            <v>Cruz Perez Alejandro Nezahualcoyotl</v>
          </cell>
          <cell r="C89">
            <v>15</v>
          </cell>
          <cell r="D89">
            <v>0</v>
          </cell>
          <cell r="E89">
            <v>266.67</v>
          </cell>
          <cell r="F89">
            <v>282.81</v>
          </cell>
          <cell r="G89">
            <v>4000.05</v>
          </cell>
          <cell r="H89">
            <v>0</v>
          </cell>
          <cell r="I89">
            <v>0</v>
          </cell>
          <cell r="J89">
            <v>4000.05</v>
          </cell>
          <cell r="K89">
            <v>313.87</v>
          </cell>
          <cell r="L89">
            <v>0</v>
          </cell>
          <cell r="M89">
            <v>102.51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T89">
            <v>7.0000000000000007E-2</v>
          </cell>
          <cell r="U89">
            <v>416.45</v>
          </cell>
          <cell r="V89">
            <v>3583.6</v>
          </cell>
        </row>
        <row r="90">
          <cell r="B90" t="str">
            <v>Negrete Bejar Aide Sarai</v>
          </cell>
          <cell r="C90">
            <v>15</v>
          </cell>
          <cell r="D90">
            <v>0</v>
          </cell>
          <cell r="E90">
            <v>154</v>
          </cell>
          <cell r="F90">
            <v>160.96</v>
          </cell>
          <cell r="G90">
            <v>2310</v>
          </cell>
          <cell r="H90">
            <v>0</v>
          </cell>
          <cell r="I90">
            <v>0</v>
          </cell>
          <cell r="J90">
            <v>2310</v>
          </cell>
          <cell r="K90">
            <v>0</v>
          </cell>
          <cell r="L90">
            <v>-39.729999999999997</v>
          </cell>
          <cell r="M90">
            <v>57.34</v>
          </cell>
          <cell r="N90">
            <v>999.51</v>
          </cell>
          <cell r="O90">
            <v>0</v>
          </cell>
          <cell r="P90">
            <v>15</v>
          </cell>
          <cell r="Q90">
            <v>0</v>
          </cell>
          <cell r="R90">
            <v>0</v>
          </cell>
          <cell r="T90">
            <v>-0.12</v>
          </cell>
          <cell r="U90">
            <v>1032</v>
          </cell>
          <cell r="V90">
            <v>1278</v>
          </cell>
        </row>
        <row r="91">
          <cell r="B91" t="str">
            <v>Contreras Zetina Victor Hugo</v>
          </cell>
          <cell r="C91">
            <v>15</v>
          </cell>
          <cell r="D91">
            <v>0</v>
          </cell>
          <cell r="E91">
            <v>230</v>
          </cell>
          <cell r="F91">
            <v>243.91</v>
          </cell>
          <cell r="G91">
            <v>3450</v>
          </cell>
          <cell r="H91">
            <v>0</v>
          </cell>
          <cell r="I91">
            <v>0</v>
          </cell>
          <cell r="J91">
            <v>3450</v>
          </cell>
          <cell r="K91">
            <v>128.93</v>
          </cell>
          <cell r="L91">
            <v>0</v>
          </cell>
          <cell r="M91">
            <v>86.9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T91">
            <v>-0.03</v>
          </cell>
          <cell r="U91">
            <v>215.8</v>
          </cell>
          <cell r="V91">
            <v>3234.2</v>
          </cell>
        </row>
        <row r="92">
          <cell r="B92" t="str">
            <v>Gomez Oliveros Alin</v>
          </cell>
          <cell r="C92">
            <v>15</v>
          </cell>
          <cell r="D92">
            <v>0</v>
          </cell>
          <cell r="E92">
            <v>200</v>
          </cell>
          <cell r="F92">
            <v>212.11</v>
          </cell>
          <cell r="G92">
            <v>3000</v>
          </cell>
          <cell r="H92">
            <v>0</v>
          </cell>
          <cell r="I92">
            <v>0</v>
          </cell>
          <cell r="J92">
            <v>3000</v>
          </cell>
          <cell r="K92">
            <v>59.69</v>
          </cell>
          <cell r="L92">
            <v>0</v>
          </cell>
          <cell r="M92">
            <v>75.56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  <cell r="T92">
            <v>-0.05</v>
          </cell>
          <cell r="U92">
            <v>135.19999999999999</v>
          </cell>
          <cell r="V92">
            <v>2864.8</v>
          </cell>
        </row>
        <row r="93">
          <cell r="B93" t="str">
            <v>Aguilar Leal Karina Livier</v>
          </cell>
          <cell r="C93">
            <v>15</v>
          </cell>
          <cell r="D93">
            <v>0</v>
          </cell>
          <cell r="E93">
            <v>266.67</v>
          </cell>
          <cell r="F93">
            <v>282.81</v>
          </cell>
          <cell r="G93">
            <v>4000.05</v>
          </cell>
          <cell r="H93">
            <v>0</v>
          </cell>
          <cell r="I93">
            <v>0</v>
          </cell>
          <cell r="J93">
            <v>4000.05</v>
          </cell>
          <cell r="K93">
            <v>313.87</v>
          </cell>
          <cell r="L93">
            <v>0</v>
          </cell>
          <cell r="M93">
            <v>102.51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T93">
            <v>7.0000000000000007E-2</v>
          </cell>
          <cell r="U93">
            <v>416.45</v>
          </cell>
          <cell r="V93">
            <v>3583.6</v>
          </cell>
        </row>
        <row r="94">
          <cell r="B94" t="str">
            <v>Amezcua Contreras Martha Frine</v>
          </cell>
          <cell r="C94">
            <v>15</v>
          </cell>
          <cell r="D94">
            <v>0</v>
          </cell>
          <cell r="E94">
            <v>566.66999999999996</v>
          </cell>
          <cell r="F94">
            <v>600.98</v>
          </cell>
          <cell r="G94">
            <v>8500.0499999999993</v>
          </cell>
          <cell r="H94">
            <v>0</v>
          </cell>
          <cell r="I94">
            <v>0</v>
          </cell>
          <cell r="J94">
            <v>8500.0499999999993</v>
          </cell>
          <cell r="K94">
            <v>1177.3900000000001</v>
          </cell>
          <cell r="L94">
            <v>0</v>
          </cell>
          <cell r="M94">
            <v>234.96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T94">
            <v>-0.1</v>
          </cell>
          <cell r="U94">
            <v>1412.25</v>
          </cell>
          <cell r="V94">
            <v>7087.8</v>
          </cell>
        </row>
        <row r="95">
          <cell r="B95" t="str">
            <v>Guizar Perez Sergio</v>
          </cell>
          <cell r="C95">
            <v>13</v>
          </cell>
          <cell r="D95">
            <v>2</v>
          </cell>
          <cell r="E95">
            <v>250</v>
          </cell>
          <cell r="F95">
            <v>265.14</v>
          </cell>
          <cell r="G95">
            <v>3250</v>
          </cell>
          <cell r="H95">
            <v>500</v>
          </cell>
          <cell r="I95">
            <v>150</v>
          </cell>
          <cell r="J95">
            <v>3900</v>
          </cell>
          <cell r="K95">
            <v>286.67</v>
          </cell>
          <cell r="L95">
            <v>0</v>
          </cell>
          <cell r="M95">
            <v>95.15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T95">
            <v>-0.02</v>
          </cell>
          <cell r="U95">
            <v>381.8</v>
          </cell>
          <cell r="V95">
            <v>3518.2</v>
          </cell>
        </row>
        <row r="96">
          <cell r="B96" t="str">
            <v>Quinto Valle Martin</v>
          </cell>
          <cell r="C96">
            <v>15</v>
          </cell>
          <cell r="D96">
            <v>0</v>
          </cell>
          <cell r="E96">
            <v>333.33</v>
          </cell>
          <cell r="F96">
            <v>353.52</v>
          </cell>
          <cell r="G96">
            <v>4999.95</v>
          </cell>
          <cell r="H96">
            <v>0</v>
          </cell>
          <cell r="I96">
            <v>0</v>
          </cell>
          <cell r="J96">
            <v>4999.95</v>
          </cell>
          <cell r="K96">
            <v>461.63</v>
          </cell>
          <cell r="L96">
            <v>0</v>
          </cell>
          <cell r="M96">
            <v>131.94999999999999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  <cell r="S96">
            <v>500</v>
          </cell>
          <cell r="T96">
            <v>-0.03</v>
          </cell>
          <cell r="U96">
            <v>1093.55</v>
          </cell>
          <cell r="V96">
            <v>3906.4</v>
          </cell>
        </row>
        <row r="97">
          <cell r="B97" t="str">
            <v>Negrete Renteria Jose Luis</v>
          </cell>
          <cell r="C97">
            <v>15</v>
          </cell>
          <cell r="D97">
            <v>0</v>
          </cell>
          <cell r="E97">
            <v>281.67</v>
          </cell>
          <cell r="F97">
            <v>298.72000000000003</v>
          </cell>
          <cell r="G97">
            <v>4225.05</v>
          </cell>
          <cell r="H97">
            <v>0</v>
          </cell>
          <cell r="I97">
            <v>0</v>
          </cell>
          <cell r="J97">
            <v>4225.05</v>
          </cell>
          <cell r="K97">
            <v>338.35</v>
          </cell>
          <cell r="L97">
            <v>0</v>
          </cell>
          <cell r="M97">
            <v>109.14</v>
          </cell>
          <cell r="N97">
            <v>1637.48</v>
          </cell>
          <cell r="O97">
            <v>0</v>
          </cell>
          <cell r="P97">
            <v>15</v>
          </cell>
          <cell r="Q97">
            <v>0</v>
          </cell>
          <cell r="R97">
            <v>0</v>
          </cell>
          <cell r="T97">
            <v>-0.12</v>
          </cell>
          <cell r="U97">
            <v>2099.85</v>
          </cell>
          <cell r="V97">
            <v>2125.1999999999998</v>
          </cell>
        </row>
        <row r="98">
          <cell r="B98" t="str">
            <v>Alonso Flores Beda</v>
          </cell>
          <cell r="C98">
            <v>12</v>
          </cell>
          <cell r="D98">
            <v>3</v>
          </cell>
          <cell r="E98">
            <v>341.35</v>
          </cell>
          <cell r="F98">
            <v>357.25</v>
          </cell>
          <cell r="G98">
            <v>4096.2</v>
          </cell>
          <cell r="H98">
            <v>1024.05</v>
          </cell>
          <cell r="I98">
            <v>307.22000000000003</v>
          </cell>
          <cell r="J98">
            <v>5427.47</v>
          </cell>
          <cell r="K98">
            <v>483.19</v>
          </cell>
          <cell r="L98">
            <v>0</v>
          </cell>
          <cell r="M98">
            <v>133.51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T98">
            <v>-0.03</v>
          </cell>
          <cell r="U98">
            <v>616.66999999999996</v>
          </cell>
          <cell r="V98">
            <v>4810.8</v>
          </cell>
        </row>
        <row r="99">
          <cell r="B99" t="str">
            <v>Romero Mayoral Lorenzo</v>
          </cell>
          <cell r="C99">
            <v>15</v>
          </cell>
          <cell r="D99">
            <v>0</v>
          </cell>
          <cell r="E99">
            <v>266.67</v>
          </cell>
          <cell r="F99">
            <v>282.81</v>
          </cell>
          <cell r="G99">
            <v>4000.05</v>
          </cell>
          <cell r="H99">
            <v>0</v>
          </cell>
          <cell r="I99">
            <v>0</v>
          </cell>
          <cell r="J99">
            <v>4000.05</v>
          </cell>
          <cell r="K99">
            <v>313.87</v>
          </cell>
          <cell r="L99">
            <v>0</v>
          </cell>
          <cell r="M99">
            <v>102.51</v>
          </cell>
          <cell r="N99">
            <v>1088.47</v>
          </cell>
          <cell r="O99">
            <v>0</v>
          </cell>
          <cell r="P99">
            <v>15</v>
          </cell>
          <cell r="Q99">
            <v>0</v>
          </cell>
          <cell r="R99">
            <v>0</v>
          </cell>
          <cell r="T99">
            <v>0</v>
          </cell>
          <cell r="U99">
            <v>1519.85</v>
          </cell>
          <cell r="V99">
            <v>2480.1999999999998</v>
          </cell>
        </row>
        <row r="100">
          <cell r="B100" t="str">
            <v>Ramirez Vera Maria Del Carmen</v>
          </cell>
          <cell r="C100">
            <v>12</v>
          </cell>
          <cell r="D100">
            <v>3</v>
          </cell>
          <cell r="E100">
            <v>266.67</v>
          </cell>
          <cell r="F100">
            <v>282.81</v>
          </cell>
          <cell r="G100">
            <v>3200.04</v>
          </cell>
          <cell r="H100">
            <v>800.01</v>
          </cell>
          <cell r="I100">
            <v>240</v>
          </cell>
          <cell r="J100">
            <v>4240.05</v>
          </cell>
          <cell r="K100">
            <v>313.87</v>
          </cell>
          <cell r="L100">
            <v>0</v>
          </cell>
          <cell r="M100">
            <v>102.51</v>
          </cell>
          <cell r="N100">
            <v>878.84</v>
          </cell>
          <cell r="O100">
            <v>0</v>
          </cell>
          <cell r="P100">
            <v>15</v>
          </cell>
          <cell r="Q100">
            <v>0</v>
          </cell>
          <cell r="R100">
            <v>0</v>
          </cell>
          <cell r="T100">
            <v>0.03</v>
          </cell>
          <cell r="U100">
            <v>1310.25</v>
          </cell>
          <cell r="V100">
            <v>2929.8</v>
          </cell>
        </row>
        <row r="101">
          <cell r="B101" t="str">
            <v>Bueno Herrera Mariana Guadalupe</v>
          </cell>
          <cell r="C101">
            <v>15</v>
          </cell>
          <cell r="D101">
            <v>0</v>
          </cell>
          <cell r="E101">
            <v>266.67</v>
          </cell>
          <cell r="F101">
            <v>282.81</v>
          </cell>
          <cell r="G101">
            <v>4000.05</v>
          </cell>
          <cell r="H101">
            <v>0</v>
          </cell>
          <cell r="I101">
            <v>0</v>
          </cell>
          <cell r="J101">
            <v>4000.05</v>
          </cell>
          <cell r="K101">
            <v>313.87</v>
          </cell>
          <cell r="L101">
            <v>0</v>
          </cell>
          <cell r="M101">
            <v>102.51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T101">
            <v>7.0000000000000007E-2</v>
          </cell>
          <cell r="U101">
            <v>416.45</v>
          </cell>
          <cell r="V101">
            <v>3583.6</v>
          </cell>
        </row>
        <row r="102">
          <cell r="B102" t="str">
            <v>Lara Campos Maximino</v>
          </cell>
          <cell r="C102">
            <v>15</v>
          </cell>
          <cell r="D102">
            <v>0</v>
          </cell>
          <cell r="E102">
            <v>362.41</v>
          </cell>
          <cell r="F102">
            <v>379.29</v>
          </cell>
          <cell r="G102">
            <v>5436.15</v>
          </cell>
          <cell r="H102">
            <v>0</v>
          </cell>
          <cell r="I102">
            <v>0</v>
          </cell>
          <cell r="J102">
            <v>5436.15</v>
          </cell>
          <cell r="K102">
            <v>539.79</v>
          </cell>
          <cell r="L102">
            <v>0</v>
          </cell>
          <cell r="M102">
            <v>142.68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T102">
            <v>-0.12</v>
          </cell>
          <cell r="U102">
            <v>682.35</v>
          </cell>
          <cell r="V102">
            <v>4753.8</v>
          </cell>
        </row>
        <row r="103">
          <cell r="B103" t="str">
            <v>Rodriguez Diaz Cesar Salvador</v>
          </cell>
          <cell r="C103">
            <v>15</v>
          </cell>
          <cell r="D103">
            <v>0</v>
          </cell>
          <cell r="E103">
            <v>266.67</v>
          </cell>
          <cell r="F103">
            <v>282.8</v>
          </cell>
          <cell r="G103">
            <v>4000.05</v>
          </cell>
          <cell r="H103">
            <v>0</v>
          </cell>
          <cell r="I103">
            <v>0</v>
          </cell>
          <cell r="J103">
            <v>4000.05</v>
          </cell>
          <cell r="K103">
            <v>313.87</v>
          </cell>
          <cell r="L103">
            <v>0</v>
          </cell>
          <cell r="M103">
            <v>102.51</v>
          </cell>
          <cell r="N103">
            <v>565.24</v>
          </cell>
          <cell r="O103">
            <v>0</v>
          </cell>
          <cell r="P103">
            <v>15</v>
          </cell>
          <cell r="Q103">
            <v>0</v>
          </cell>
          <cell r="R103">
            <v>0</v>
          </cell>
          <cell r="T103">
            <v>0.03</v>
          </cell>
          <cell r="U103">
            <v>996.65</v>
          </cell>
          <cell r="V103">
            <v>3003.4</v>
          </cell>
        </row>
        <row r="104">
          <cell r="B104" t="str">
            <v>Marquez Alcaraz Martin</v>
          </cell>
          <cell r="C104">
            <v>15</v>
          </cell>
          <cell r="D104">
            <v>0</v>
          </cell>
          <cell r="E104">
            <v>266.67</v>
          </cell>
          <cell r="F104">
            <v>282.8</v>
          </cell>
          <cell r="G104">
            <v>4000.05</v>
          </cell>
          <cell r="H104">
            <v>0</v>
          </cell>
          <cell r="I104">
            <v>0</v>
          </cell>
          <cell r="J104">
            <v>4000.05</v>
          </cell>
          <cell r="K104">
            <v>313.87</v>
          </cell>
          <cell r="L104">
            <v>0</v>
          </cell>
          <cell r="M104">
            <v>102.51</v>
          </cell>
          <cell r="N104">
            <v>0</v>
          </cell>
          <cell r="O104">
            <v>1217.5999999999999</v>
          </cell>
          <cell r="P104">
            <v>15</v>
          </cell>
          <cell r="Q104">
            <v>0</v>
          </cell>
          <cell r="R104">
            <v>0</v>
          </cell>
          <cell r="T104">
            <v>7.0000000000000007E-2</v>
          </cell>
          <cell r="U104">
            <v>1649.05</v>
          </cell>
          <cell r="V104">
            <v>2351</v>
          </cell>
        </row>
        <row r="105">
          <cell r="B105" t="str">
            <v>Rojo Avelar Adrian</v>
          </cell>
          <cell r="C105">
            <v>15</v>
          </cell>
          <cell r="D105">
            <v>0</v>
          </cell>
          <cell r="E105">
            <v>200</v>
          </cell>
          <cell r="F105">
            <v>212.11</v>
          </cell>
          <cell r="G105">
            <v>3000</v>
          </cell>
          <cell r="H105">
            <v>0</v>
          </cell>
          <cell r="I105">
            <v>0</v>
          </cell>
          <cell r="J105">
            <v>3000</v>
          </cell>
          <cell r="K105">
            <v>59.69</v>
          </cell>
          <cell r="L105">
            <v>0</v>
          </cell>
          <cell r="M105">
            <v>75.56</v>
          </cell>
          <cell r="N105">
            <v>1075.99</v>
          </cell>
          <cell r="O105">
            <v>0</v>
          </cell>
          <cell r="P105">
            <v>15</v>
          </cell>
          <cell r="Q105">
            <v>0</v>
          </cell>
          <cell r="R105">
            <v>0</v>
          </cell>
          <cell r="T105">
            <v>-0.04</v>
          </cell>
          <cell r="U105">
            <v>1226.2</v>
          </cell>
          <cell r="V105">
            <v>1773.8</v>
          </cell>
        </row>
        <row r="106">
          <cell r="B106" t="str">
            <v>Marin  Avila Hector</v>
          </cell>
          <cell r="C106">
            <v>15</v>
          </cell>
          <cell r="D106">
            <v>0</v>
          </cell>
          <cell r="E106">
            <v>275</v>
          </cell>
          <cell r="F106">
            <v>287.43</v>
          </cell>
          <cell r="G106">
            <v>4125</v>
          </cell>
          <cell r="H106">
            <v>0</v>
          </cell>
          <cell r="I106">
            <v>0</v>
          </cell>
          <cell r="J106">
            <v>4125</v>
          </cell>
          <cell r="K106">
            <v>327.47000000000003</v>
          </cell>
          <cell r="L106">
            <v>0</v>
          </cell>
          <cell r="M106">
            <v>104.44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  <cell r="T106">
            <v>-0.11</v>
          </cell>
          <cell r="U106">
            <v>431.8</v>
          </cell>
          <cell r="V106">
            <v>3693.2</v>
          </cell>
        </row>
        <row r="107">
          <cell r="B107" t="str">
            <v>Hurtado Avalos J.jesus</v>
          </cell>
          <cell r="C107">
            <v>15</v>
          </cell>
          <cell r="D107">
            <v>0</v>
          </cell>
          <cell r="E107">
            <v>200</v>
          </cell>
          <cell r="F107">
            <v>212.11</v>
          </cell>
          <cell r="G107">
            <v>3000</v>
          </cell>
          <cell r="H107">
            <v>0</v>
          </cell>
          <cell r="I107">
            <v>0</v>
          </cell>
          <cell r="J107">
            <v>3000</v>
          </cell>
          <cell r="K107">
            <v>59.69</v>
          </cell>
          <cell r="L107">
            <v>0</v>
          </cell>
          <cell r="M107">
            <v>75.56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T107">
            <v>0.15</v>
          </cell>
          <cell r="U107">
            <v>135.4</v>
          </cell>
          <cell r="V107">
            <v>2864.6</v>
          </cell>
        </row>
        <row r="108">
          <cell r="B108" t="str">
            <v>Mora Cavazos Roberto Manuel</v>
          </cell>
          <cell r="C108">
            <v>15</v>
          </cell>
          <cell r="D108">
            <v>0</v>
          </cell>
          <cell r="E108">
            <v>266.67</v>
          </cell>
          <cell r="F108">
            <v>282.81</v>
          </cell>
          <cell r="G108">
            <v>4000</v>
          </cell>
          <cell r="H108">
            <v>0</v>
          </cell>
          <cell r="I108">
            <v>0</v>
          </cell>
          <cell r="J108">
            <v>4000</v>
          </cell>
          <cell r="K108">
            <v>313.87</v>
          </cell>
          <cell r="L108">
            <v>0</v>
          </cell>
          <cell r="M108">
            <v>102.51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T108">
            <v>-0.18</v>
          </cell>
          <cell r="U108">
            <v>416.2</v>
          </cell>
          <cell r="V108">
            <v>3583.8</v>
          </cell>
        </row>
        <row r="109">
          <cell r="B109" t="str">
            <v>Martinez Rivera Maria Teresa</v>
          </cell>
          <cell r="C109">
            <v>15</v>
          </cell>
          <cell r="D109">
            <v>0</v>
          </cell>
          <cell r="E109">
            <v>341.35</v>
          </cell>
          <cell r="F109">
            <v>357.25</v>
          </cell>
          <cell r="G109">
            <v>5120.25</v>
          </cell>
          <cell r="H109">
            <v>0</v>
          </cell>
          <cell r="I109">
            <v>0</v>
          </cell>
          <cell r="J109">
            <v>5120.25</v>
          </cell>
          <cell r="K109">
            <v>483.19</v>
          </cell>
          <cell r="L109">
            <v>0</v>
          </cell>
          <cell r="M109">
            <v>133.51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  <cell r="T109">
            <v>0.15</v>
          </cell>
          <cell r="U109">
            <v>616.85</v>
          </cell>
          <cell r="V109">
            <v>4503.3999999999996</v>
          </cell>
        </row>
        <row r="110">
          <cell r="B110" t="str">
            <v>Ramirez Vera Eustolia</v>
          </cell>
          <cell r="C110">
            <v>15</v>
          </cell>
          <cell r="D110">
            <v>0</v>
          </cell>
          <cell r="E110">
            <v>300.23</v>
          </cell>
          <cell r="F110">
            <v>318.41000000000003</v>
          </cell>
          <cell r="G110">
            <v>4503.45</v>
          </cell>
          <cell r="H110">
            <v>0</v>
          </cell>
          <cell r="I110">
            <v>0</v>
          </cell>
          <cell r="J110">
            <v>4503.45</v>
          </cell>
          <cell r="K110">
            <v>381.22</v>
          </cell>
          <cell r="L110">
            <v>0</v>
          </cell>
          <cell r="M110">
            <v>117.33</v>
          </cell>
          <cell r="N110">
            <v>428.6</v>
          </cell>
          <cell r="O110">
            <v>0</v>
          </cell>
          <cell r="P110">
            <v>15</v>
          </cell>
          <cell r="Q110">
            <v>0</v>
          </cell>
          <cell r="R110">
            <v>0</v>
          </cell>
          <cell r="T110">
            <v>-0.1</v>
          </cell>
          <cell r="U110">
            <v>942.05</v>
          </cell>
          <cell r="V110">
            <v>3561.4</v>
          </cell>
        </row>
        <row r="111">
          <cell r="B111" t="str">
            <v>Leal  Montaño Francisco</v>
          </cell>
          <cell r="C111">
            <v>15</v>
          </cell>
          <cell r="D111">
            <v>0</v>
          </cell>
          <cell r="E111">
            <v>200</v>
          </cell>
          <cell r="F111">
            <v>212.11</v>
          </cell>
          <cell r="G111">
            <v>3000</v>
          </cell>
          <cell r="H111">
            <v>0</v>
          </cell>
          <cell r="I111">
            <v>0</v>
          </cell>
          <cell r="J111">
            <v>3000</v>
          </cell>
          <cell r="K111">
            <v>59.69</v>
          </cell>
          <cell r="L111">
            <v>0</v>
          </cell>
          <cell r="M111">
            <v>75.56</v>
          </cell>
          <cell r="N111">
            <v>1018.71</v>
          </cell>
          <cell r="O111">
            <v>0</v>
          </cell>
          <cell r="P111">
            <v>15</v>
          </cell>
          <cell r="Q111">
            <v>0</v>
          </cell>
          <cell r="R111">
            <v>0</v>
          </cell>
          <cell r="T111">
            <v>0.04</v>
          </cell>
          <cell r="U111">
            <v>1169</v>
          </cell>
          <cell r="V111">
            <v>1831</v>
          </cell>
        </row>
        <row r="112">
          <cell r="B112" t="str">
            <v>Camarillo Canela Reynaldo</v>
          </cell>
          <cell r="C112">
            <v>15</v>
          </cell>
          <cell r="D112">
            <v>0</v>
          </cell>
          <cell r="E112">
            <v>185.83</v>
          </cell>
          <cell r="F112">
            <v>197.09</v>
          </cell>
          <cell r="G112">
            <v>2787.45</v>
          </cell>
          <cell r="H112">
            <v>0</v>
          </cell>
          <cell r="I112">
            <v>0</v>
          </cell>
          <cell r="J112">
            <v>2787.45</v>
          </cell>
          <cell r="K112">
            <v>36.57</v>
          </cell>
          <cell r="L112">
            <v>0</v>
          </cell>
          <cell r="M112">
            <v>70.22</v>
          </cell>
          <cell r="N112">
            <v>1366.67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T112">
            <v>-0.01</v>
          </cell>
          <cell r="U112">
            <v>1473.45</v>
          </cell>
          <cell r="V112">
            <v>1314</v>
          </cell>
        </row>
        <row r="113">
          <cell r="B113" t="str">
            <v>Romo Sandoval Ma De Lourdez</v>
          </cell>
          <cell r="C113">
            <v>15</v>
          </cell>
          <cell r="D113">
            <v>0</v>
          </cell>
          <cell r="E113">
            <v>333.33</v>
          </cell>
          <cell r="F113">
            <v>353.52</v>
          </cell>
          <cell r="G113">
            <v>4999.95</v>
          </cell>
          <cell r="H113">
            <v>0</v>
          </cell>
          <cell r="I113">
            <v>0</v>
          </cell>
          <cell r="J113">
            <v>4999.95</v>
          </cell>
          <cell r="K113">
            <v>461.63</v>
          </cell>
          <cell r="L113">
            <v>0</v>
          </cell>
          <cell r="M113">
            <v>131.94999999999999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T113">
            <v>0.17</v>
          </cell>
          <cell r="U113">
            <v>593.75</v>
          </cell>
          <cell r="V113">
            <v>4406.2</v>
          </cell>
        </row>
        <row r="114">
          <cell r="B114" t="str">
            <v>Benavides Reyes Jorge</v>
          </cell>
          <cell r="C114">
            <v>15</v>
          </cell>
          <cell r="D114">
            <v>0</v>
          </cell>
          <cell r="E114">
            <v>200</v>
          </cell>
          <cell r="F114">
            <v>209.04</v>
          </cell>
          <cell r="G114">
            <v>3000</v>
          </cell>
          <cell r="H114">
            <v>0</v>
          </cell>
          <cell r="I114">
            <v>0</v>
          </cell>
          <cell r="J114">
            <v>3000</v>
          </cell>
          <cell r="K114">
            <v>59.69</v>
          </cell>
          <cell r="L114">
            <v>0</v>
          </cell>
          <cell r="M114">
            <v>74.48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T114">
            <v>0.03</v>
          </cell>
          <cell r="U114">
            <v>134.19999999999999</v>
          </cell>
          <cell r="V114">
            <v>2865.8</v>
          </cell>
        </row>
        <row r="115">
          <cell r="B115" t="str">
            <v>Amezcua Magaña Tania Estefania</v>
          </cell>
          <cell r="C115">
            <v>15</v>
          </cell>
          <cell r="D115">
            <v>0</v>
          </cell>
          <cell r="E115">
            <v>233.33</v>
          </cell>
          <cell r="F115">
            <v>243.88</v>
          </cell>
          <cell r="G115">
            <v>3499.95</v>
          </cell>
          <cell r="H115">
            <v>0</v>
          </cell>
          <cell r="I115">
            <v>0</v>
          </cell>
          <cell r="J115">
            <v>3499.95</v>
          </cell>
          <cell r="K115">
            <v>134.36000000000001</v>
          </cell>
          <cell r="L115">
            <v>0</v>
          </cell>
          <cell r="M115">
            <v>86.88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T115">
            <v>0.11</v>
          </cell>
          <cell r="U115">
            <v>221.35</v>
          </cell>
          <cell r="V115">
            <v>3278.6</v>
          </cell>
        </row>
        <row r="116">
          <cell r="B116" t="str">
            <v>Diaz Ortiz Hiram Guillermo</v>
          </cell>
          <cell r="C116">
            <v>12</v>
          </cell>
          <cell r="D116">
            <v>0</v>
          </cell>
          <cell r="E116">
            <v>210</v>
          </cell>
          <cell r="F116">
            <v>219.49</v>
          </cell>
          <cell r="G116">
            <v>2520</v>
          </cell>
          <cell r="H116">
            <v>0</v>
          </cell>
          <cell r="I116">
            <v>0</v>
          </cell>
          <cell r="J116">
            <v>2520</v>
          </cell>
          <cell r="K116">
            <v>0</v>
          </cell>
          <cell r="L116">
            <v>-7.45</v>
          </cell>
          <cell r="M116">
            <v>62.55</v>
          </cell>
          <cell r="N116">
            <v>600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T116">
            <v>0.1</v>
          </cell>
          <cell r="U116">
            <v>655.20000000000005</v>
          </cell>
          <cell r="V116">
            <v>1864.8</v>
          </cell>
        </row>
      </sheetData>
      <sheetData sheetId="1">
        <row r="9">
          <cell r="B9" t="str">
            <v>Gutierrez Gutierrez Luis Arturo</v>
          </cell>
          <cell r="C9">
            <v>15</v>
          </cell>
          <cell r="D9">
            <v>0</v>
          </cell>
          <cell r="E9">
            <v>141.66999999999999</v>
          </cell>
          <cell r="F9">
            <v>150.25</v>
          </cell>
          <cell r="G9">
            <v>2125.0500000000002</v>
          </cell>
          <cell r="H9">
            <v>0</v>
          </cell>
          <cell r="I9">
            <v>0</v>
          </cell>
          <cell r="J9">
            <v>212.51</v>
          </cell>
          <cell r="K9">
            <v>212.51</v>
          </cell>
          <cell r="L9">
            <v>212.51</v>
          </cell>
          <cell r="M9">
            <v>2762.58</v>
          </cell>
          <cell r="N9">
            <v>0</v>
          </cell>
          <cell r="O9">
            <v>-65.5</v>
          </cell>
          <cell r="P9">
            <v>53.52</v>
          </cell>
          <cell r="Q9">
            <v>0</v>
          </cell>
          <cell r="R9">
            <v>0</v>
          </cell>
          <cell r="T9">
            <v>0</v>
          </cell>
          <cell r="V9">
            <v>0</v>
          </cell>
          <cell r="W9">
            <v>-0.04</v>
          </cell>
          <cell r="X9">
            <v>-12.02</v>
          </cell>
          <cell r="Y9">
            <v>2774.6</v>
          </cell>
        </row>
        <row r="10">
          <cell r="B10" t="str">
            <v>Patricio Aguilar Jhonattan Cristian</v>
          </cell>
          <cell r="C10">
            <v>15</v>
          </cell>
          <cell r="D10">
            <v>0</v>
          </cell>
          <cell r="E10">
            <v>150</v>
          </cell>
          <cell r="F10">
            <v>159.07</v>
          </cell>
          <cell r="G10">
            <v>2250</v>
          </cell>
          <cell r="H10">
            <v>0</v>
          </cell>
          <cell r="I10">
            <v>0</v>
          </cell>
          <cell r="J10">
            <v>225</v>
          </cell>
          <cell r="K10">
            <v>225</v>
          </cell>
          <cell r="L10">
            <v>225</v>
          </cell>
          <cell r="M10">
            <v>2925</v>
          </cell>
          <cell r="N10">
            <v>0</v>
          </cell>
          <cell r="O10">
            <v>-43.57</v>
          </cell>
          <cell r="P10">
            <v>56.67</v>
          </cell>
          <cell r="Q10">
            <v>0</v>
          </cell>
          <cell r="R10">
            <v>0</v>
          </cell>
          <cell r="T10">
            <v>0</v>
          </cell>
          <cell r="V10">
            <v>0</v>
          </cell>
          <cell r="W10">
            <v>0.1</v>
          </cell>
          <cell r="X10">
            <v>13.2</v>
          </cell>
          <cell r="Y10">
            <v>2911.8</v>
          </cell>
        </row>
        <row r="11">
          <cell r="B11" t="str">
            <v>Mora Ramirez Acal Aldo Isidro</v>
          </cell>
          <cell r="C11">
            <v>15</v>
          </cell>
          <cell r="D11">
            <v>0</v>
          </cell>
          <cell r="E11">
            <v>216.67</v>
          </cell>
          <cell r="F11">
            <v>229.79</v>
          </cell>
          <cell r="G11">
            <v>3250.05</v>
          </cell>
          <cell r="H11">
            <v>0</v>
          </cell>
          <cell r="I11">
            <v>0</v>
          </cell>
          <cell r="J11">
            <v>325.01</v>
          </cell>
          <cell r="K11">
            <v>325.01</v>
          </cell>
          <cell r="L11">
            <v>325.01</v>
          </cell>
          <cell r="M11">
            <v>4225.08</v>
          </cell>
          <cell r="N11">
            <v>107.17</v>
          </cell>
          <cell r="O11">
            <v>0</v>
          </cell>
          <cell r="P11">
            <v>81.87</v>
          </cell>
          <cell r="Q11">
            <v>0</v>
          </cell>
          <cell r="R11">
            <v>0</v>
          </cell>
          <cell r="T11">
            <v>0</v>
          </cell>
          <cell r="V11">
            <v>0</v>
          </cell>
          <cell r="W11">
            <v>0.04</v>
          </cell>
          <cell r="X11">
            <v>189.08</v>
          </cell>
          <cell r="Y11">
            <v>4036</v>
          </cell>
        </row>
        <row r="12">
          <cell r="B12" t="str">
            <v>Vazquez Perez Miguel Angel</v>
          </cell>
          <cell r="C12">
            <v>15</v>
          </cell>
          <cell r="D12">
            <v>0</v>
          </cell>
          <cell r="E12">
            <v>283.33</v>
          </cell>
          <cell r="F12">
            <v>300.49</v>
          </cell>
          <cell r="G12">
            <v>4249.95</v>
          </cell>
          <cell r="H12">
            <v>0</v>
          </cell>
          <cell r="I12">
            <v>0</v>
          </cell>
          <cell r="J12">
            <v>425</v>
          </cell>
          <cell r="K12">
            <v>425</v>
          </cell>
          <cell r="L12">
            <v>425</v>
          </cell>
          <cell r="M12">
            <v>5524.95</v>
          </cell>
          <cell r="N12">
            <v>341.06</v>
          </cell>
          <cell r="O12">
            <v>0</v>
          </cell>
          <cell r="P12">
            <v>109.87</v>
          </cell>
          <cell r="Q12">
            <v>0</v>
          </cell>
          <cell r="R12">
            <v>0</v>
          </cell>
          <cell r="T12">
            <v>0</v>
          </cell>
          <cell r="V12">
            <v>0</v>
          </cell>
          <cell r="W12">
            <v>0.02</v>
          </cell>
          <cell r="X12">
            <v>450.95</v>
          </cell>
          <cell r="Y12">
            <v>5074</v>
          </cell>
        </row>
        <row r="13">
          <cell r="B13" t="str">
            <v>Morgado Fernandez Martin</v>
          </cell>
          <cell r="C13">
            <v>15</v>
          </cell>
          <cell r="D13">
            <v>0</v>
          </cell>
          <cell r="E13">
            <v>273.33</v>
          </cell>
          <cell r="F13">
            <v>289.87</v>
          </cell>
          <cell r="G13">
            <v>4099.95</v>
          </cell>
          <cell r="H13">
            <v>0</v>
          </cell>
          <cell r="I13">
            <v>0</v>
          </cell>
          <cell r="J13">
            <v>410</v>
          </cell>
          <cell r="K13">
            <v>410</v>
          </cell>
          <cell r="L13">
            <v>410</v>
          </cell>
          <cell r="M13">
            <v>5329.95</v>
          </cell>
          <cell r="N13">
            <v>324.74</v>
          </cell>
          <cell r="O13">
            <v>0</v>
          </cell>
          <cell r="P13">
            <v>105.46</v>
          </cell>
          <cell r="Q13">
            <v>0</v>
          </cell>
          <cell r="R13">
            <v>0</v>
          </cell>
          <cell r="T13">
            <v>0</v>
          </cell>
          <cell r="V13">
            <v>0</v>
          </cell>
          <cell r="W13">
            <v>0.15</v>
          </cell>
          <cell r="X13">
            <v>430.35</v>
          </cell>
          <cell r="Y13">
            <v>4899.6000000000004</v>
          </cell>
        </row>
        <row r="14">
          <cell r="B14" t="str">
            <v>Arreola Jimenez Jose Nieves</v>
          </cell>
          <cell r="C14">
            <v>15</v>
          </cell>
          <cell r="D14">
            <v>0</v>
          </cell>
          <cell r="E14">
            <v>185.83</v>
          </cell>
          <cell r="F14">
            <v>197.07</v>
          </cell>
          <cell r="G14">
            <v>2787.45</v>
          </cell>
          <cell r="H14">
            <v>0</v>
          </cell>
          <cell r="I14">
            <v>0</v>
          </cell>
          <cell r="J14">
            <v>278.75</v>
          </cell>
          <cell r="K14">
            <v>278.75</v>
          </cell>
          <cell r="L14">
            <v>278.75</v>
          </cell>
          <cell r="M14">
            <v>3623.7</v>
          </cell>
          <cell r="N14">
            <v>36.57</v>
          </cell>
          <cell r="O14">
            <v>0</v>
          </cell>
          <cell r="P14">
            <v>70.22</v>
          </cell>
          <cell r="Q14">
            <v>0</v>
          </cell>
          <cell r="R14">
            <v>1574.29</v>
          </cell>
          <cell r="T14">
            <v>15</v>
          </cell>
          <cell r="V14">
            <v>0</v>
          </cell>
          <cell r="W14">
            <v>0.02</v>
          </cell>
          <cell r="X14">
            <v>1696.1</v>
          </cell>
          <cell r="Y14">
            <v>1927.6</v>
          </cell>
        </row>
        <row r="15">
          <cell r="B15" t="str">
            <v>Garcia Villicaña Ricardo Pascual</v>
          </cell>
          <cell r="C15">
            <v>15</v>
          </cell>
          <cell r="D15">
            <v>0</v>
          </cell>
          <cell r="E15">
            <v>273.33</v>
          </cell>
          <cell r="F15">
            <v>289.87</v>
          </cell>
          <cell r="G15">
            <v>4099.95</v>
          </cell>
          <cell r="H15">
            <v>0</v>
          </cell>
          <cell r="I15">
            <v>0</v>
          </cell>
          <cell r="J15">
            <v>410</v>
          </cell>
          <cell r="K15">
            <v>410</v>
          </cell>
          <cell r="L15">
            <v>410</v>
          </cell>
          <cell r="M15">
            <v>5329.95</v>
          </cell>
          <cell r="N15">
            <v>324.74</v>
          </cell>
          <cell r="O15">
            <v>0</v>
          </cell>
          <cell r="P15">
            <v>105.46</v>
          </cell>
          <cell r="Q15">
            <v>0</v>
          </cell>
          <cell r="R15">
            <v>0</v>
          </cell>
          <cell r="T15">
            <v>0</v>
          </cell>
          <cell r="V15">
            <v>0</v>
          </cell>
          <cell r="W15">
            <v>-0.05</v>
          </cell>
          <cell r="X15">
            <v>430.15</v>
          </cell>
          <cell r="Y15">
            <v>4899.8</v>
          </cell>
        </row>
        <row r="16">
          <cell r="B16" t="str">
            <v>Caballero Diaz Francisco Javier</v>
          </cell>
          <cell r="C16">
            <v>15</v>
          </cell>
          <cell r="D16">
            <v>0</v>
          </cell>
          <cell r="E16">
            <v>185.83</v>
          </cell>
          <cell r="F16">
            <v>197.07</v>
          </cell>
          <cell r="G16">
            <v>2787.45</v>
          </cell>
          <cell r="H16">
            <v>0</v>
          </cell>
          <cell r="I16">
            <v>0</v>
          </cell>
          <cell r="J16">
            <v>278.75</v>
          </cell>
          <cell r="K16">
            <v>278.75</v>
          </cell>
          <cell r="L16">
            <v>278.75</v>
          </cell>
          <cell r="M16">
            <v>3623.7</v>
          </cell>
          <cell r="N16">
            <v>36.57</v>
          </cell>
          <cell r="O16">
            <v>0</v>
          </cell>
          <cell r="P16">
            <v>70.22</v>
          </cell>
          <cell r="Q16">
            <v>0</v>
          </cell>
          <cell r="R16">
            <v>1826.51</v>
          </cell>
          <cell r="T16">
            <v>15</v>
          </cell>
          <cell r="V16">
            <v>0</v>
          </cell>
          <cell r="W16">
            <v>0</v>
          </cell>
          <cell r="X16">
            <v>1948.3</v>
          </cell>
          <cell r="Y16">
            <v>1675.4</v>
          </cell>
        </row>
        <row r="17">
          <cell r="B17" t="str">
            <v>Casillas Cardona Cesar Alejandro</v>
          </cell>
          <cell r="C17">
            <v>15</v>
          </cell>
          <cell r="D17">
            <v>0</v>
          </cell>
          <cell r="E17">
            <v>220.83</v>
          </cell>
          <cell r="F17">
            <v>234.19</v>
          </cell>
          <cell r="G17">
            <v>3312.45</v>
          </cell>
          <cell r="H17">
            <v>0</v>
          </cell>
          <cell r="I17">
            <v>0</v>
          </cell>
          <cell r="J17">
            <v>331.25</v>
          </cell>
          <cell r="K17">
            <v>331.25</v>
          </cell>
          <cell r="L17">
            <v>331.25</v>
          </cell>
          <cell r="M17">
            <v>4306.2</v>
          </cell>
          <cell r="N17">
            <v>113.96</v>
          </cell>
          <cell r="O17">
            <v>0</v>
          </cell>
          <cell r="P17">
            <v>83.43</v>
          </cell>
          <cell r="Q17">
            <v>0</v>
          </cell>
          <cell r="R17">
            <v>757.32</v>
          </cell>
          <cell r="T17">
            <v>15</v>
          </cell>
          <cell r="V17">
            <v>0</v>
          </cell>
          <cell r="W17">
            <v>-0.11</v>
          </cell>
          <cell r="X17">
            <v>969.6</v>
          </cell>
          <cell r="Y17">
            <v>3336.6</v>
          </cell>
        </row>
        <row r="18">
          <cell r="B18" t="str">
            <v>Mariscal Romero Luis Adrian</v>
          </cell>
          <cell r="C18">
            <v>15</v>
          </cell>
          <cell r="D18">
            <v>0</v>
          </cell>
          <cell r="E18">
            <v>264.58</v>
          </cell>
          <cell r="F18">
            <v>276.54000000000002</v>
          </cell>
          <cell r="G18">
            <v>3968.7</v>
          </cell>
          <cell r="H18">
            <v>0</v>
          </cell>
          <cell r="I18">
            <v>0</v>
          </cell>
          <cell r="J18">
            <v>396.87</v>
          </cell>
          <cell r="K18">
            <v>396.87</v>
          </cell>
          <cell r="L18">
            <v>396.87</v>
          </cell>
          <cell r="M18">
            <v>5159.3100000000004</v>
          </cell>
          <cell r="N18">
            <v>310.45999999999998</v>
          </cell>
          <cell r="O18">
            <v>0</v>
          </cell>
          <cell r="P18">
            <v>99.91</v>
          </cell>
          <cell r="Q18">
            <v>0</v>
          </cell>
          <cell r="R18">
            <v>1674</v>
          </cell>
          <cell r="T18">
            <v>15</v>
          </cell>
          <cell r="V18">
            <v>0</v>
          </cell>
          <cell r="W18">
            <v>-0.06</v>
          </cell>
          <cell r="X18">
            <v>2099.31</v>
          </cell>
          <cell r="Y18">
            <v>3060</v>
          </cell>
        </row>
        <row r="19">
          <cell r="B19" t="str">
            <v>Arroyo Ramirez Hector Hugo</v>
          </cell>
          <cell r="C19">
            <v>15</v>
          </cell>
          <cell r="D19">
            <v>0</v>
          </cell>
          <cell r="E19">
            <v>238.33</v>
          </cell>
          <cell r="F19">
            <v>252.75</v>
          </cell>
          <cell r="G19">
            <v>3574.95</v>
          </cell>
          <cell r="H19">
            <v>0</v>
          </cell>
          <cell r="I19">
            <v>285.99</v>
          </cell>
          <cell r="J19">
            <v>357.5</v>
          </cell>
          <cell r="K19">
            <v>357.5</v>
          </cell>
          <cell r="L19">
            <v>357.5</v>
          </cell>
          <cell r="M19">
            <v>4933.4399999999996</v>
          </cell>
          <cell r="N19">
            <v>160.25</v>
          </cell>
          <cell r="O19">
            <v>0</v>
          </cell>
          <cell r="P19">
            <v>90.05</v>
          </cell>
          <cell r="Q19">
            <v>0</v>
          </cell>
          <cell r="R19">
            <v>1432.4</v>
          </cell>
          <cell r="T19">
            <v>15</v>
          </cell>
          <cell r="V19">
            <v>268.35000000000002</v>
          </cell>
          <cell r="W19">
            <v>-0.01</v>
          </cell>
          <cell r="X19">
            <v>1966.04</v>
          </cell>
          <cell r="Y19">
            <v>2967.4</v>
          </cell>
        </row>
        <row r="20">
          <cell r="B20" t="str">
            <v>Hernandez Ochoa Eduardo</v>
          </cell>
          <cell r="C20">
            <v>15</v>
          </cell>
          <cell r="D20">
            <v>0</v>
          </cell>
          <cell r="E20">
            <v>273.33</v>
          </cell>
          <cell r="F20">
            <v>289.87</v>
          </cell>
          <cell r="G20">
            <v>4099.95</v>
          </cell>
          <cell r="H20">
            <v>0</v>
          </cell>
          <cell r="I20">
            <v>0</v>
          </cell>
          <cell r="J20">
            <v>410</v>
          </cell>
          <cell r="K20">
            <v>410</v>
          </cell>
          <cell r="L20">
            <v>410</v>
          </cell>
          <cell r="M20">
            <v>5329.95</v>
          </cell>
          <cell r="N20">
            <v>324.74</v>
          </cell>
          <cell r="O20">
            <v>0</v>
          </cell>
          <cell r="P20">
            <v>105.46</v>
          </cell>
          <cell r="Q20">
            <v>0</v>
          </cell>
          <cell r="R20">
            <v>0</v>
          </cell>
          <cell r="T20">
            <v>0</v>
          </cell>
          <cell r="V20">
            <v>0</v>
          </cell>
          <cell r="W20">
            <v>-0.05</v>
          </cell>
          <cell r="X20">
            <v>430.15</v>
          </cell>
          <cell r="Y20">
            <v>4899.8</v>
          </cell>
        </row>
        <row r="21">
          <cell r="B21" t="str">
            <v>Nieto Ortiz Jose Luis</v>
          </cell>
          <cell r="C21">
            <v>15</v>
          </cell>
          <cell r="D21">
            <v>0</v>
          </cell>
          <cell r="E21">
            <v>185.83</v>
          </cell>
          <cell r="F21">
            <v>197.07</v>
          </cell>
          <cell r="G21">
            <v>2787.45</v>
          </cell>
          <cell r="H21">
            <v>0</v>
          </cell>
          <cell r="I21">
            <v>0</v>
          </cell>
          <cell r="J21">
            <v>278.75</v>
          </cell>
          <cell r="K21">
            <v>278.75</v>
          </cell>
          <cell r="L21">
            <v>278.75</v>
          </cell>
          <cell r="M21">
            <v>3623.7</v>
          </cell>
          <cell r="N21">
            <v>36.57</v>
          </cell>
          <cell r="O21">
            <v>0</v>
          </cell>
          <cell r="P21">
            <v>70.22</v>
          </cell>
          <cell r="Q21">
            <v>0</v>
          </cell>
          <cell r="R21">
            <v>2169.67</v>
          </cell>
          <cell r="T21">
            <v>15</v>
          </cell>
          <cell r="V21">
            <v>0</v>
          </cell>
          <cell r="W21">
            <v>0.04</v>
          </cell>
          <cell r="X21">
            <v>2291.5</v>
          </cell>
          <cell r="Y21">
            <v>1332.2</v>
          </cell>
        </row>
        <row r="22">
          <cell r="B22" t="str">
            <v>Rogel Teran Marco Antonio</v>
          </cell>
          <cell r="C22">
            <v>15</v>
          </cell>
          <cell r="D22">
            <v>0</v>
          </cell>
          <cell r="E22">
            <v>1060.83</v>
          </cell>
          <cell r="F22">
            <v>1125.06</v>
          </cell>
          <cell r="G22">
            <v>15912.45</v>
          </cell>
          <cell r="H22">
            <v>0</v>
          </cell>
          <cell r="I22">
            <v>0</v>
          </cell>
          <cell r="J22">
            <v>1591.25</v>
          </cell>
          <cell r="K22">
            <v>1591.25</v>
          </cell>
          <cell r="L22">
            <v>1591.25</v>
          </cell>
          <cell r="M22">
            <v>20686.2</v>
          </cell>
          <cell r="N22">
            <v>2846.24</v>
          </cell>
          <cell r="O22">
            <v>0</v>
          </cell>
          <cell r="P22">
            <v>453.09</v>
          </cell>
          <cell r="Q22">
            <v>0</v>
          </cell>
          <cell r="R22">
            <v>0</v>
          </cell>
          <cell r="T22">
            <v>0</v>
          </cell>
          <cell r="V22">
            <v>417.6</v>
          </cell>
          <cell r="W22">
            <v>7.0000000000000007E-2</v>
          </cell>
          <cell r="X22">
            <v>3717</v>
          </cell>
          <cell r="Y22">
            <v>16969.2</v>
          </cell>
        </row>
        <row r="23">
          <cell r="B23" t="str">
            <v>De La Torre Zambara Francisco Ernesto</v>
          </cell>
          <cell r="C23">
            <v>15</v>
          </cell>
          <cell r="D23">
            <v>0</v>
          </cell>
          <cell r="E23">
            <v>185.83</v>
          </cell>
          <cell r="F23">
            <v>197.07</v>
          </cell>
          <cell r="G23">
            <v>2787.45</v>
          </cell>
          <cell r="H23">
            <v>0</v>
          </cell>
          <cell r="I23">
            <v>0</v>
          </cell>
          <cell r="J23">
            <v>278.75</v>
          </cell>
          <cell r="K23">
            <v>278.75</v>
          </cell>
          <cell r="L23">
            <v>278.75</v>
          </cell>
          <cell r="M23">
            <v>3623.7</v>
          </cell>
          <cell r="N23">
            <v>36.57</v>
          </cell>
          <cell r="O23">
            <v>0</v>
          </cell>
          <cell r="P23">
            <v>70.22</v>
          </cell>
          <cell r="Q23">
            <v>0</v>
          </cell>
          <cell r="R23">
            <v>0</v>
          </cell>
          <cell r="T23">
            <v>0</v>
          </cell>
          <cell r="V23">
            <v>313.2</v>
          </cell>
          <cell r="W23">
            <v>-0.09</v>
          </cell>
          <cell r="X23">
            <v>419.9</v>
          </cell>
          <cell r="Y23">
            <v>3203.8</v>
          </cell>
        </row>
        <row r="24">
          <cell r="B24" t="str">
            <v>Carbajal Cabuto Jose Luis</v>
          </cell>
          <cell r="C24">
            <v>15</v>
          </cell>
          <cell r="D24">
            <v>0</v>
          </cell>
          <cell r="E24">
            <v>185.83</v>
          </cell>
          <cell r="F24">
            <v>197.07</v>
          </cell>
          <cell r="G24">
            <v>2787.45</v>
          </cell>
          <cell r="H24">
            <v>0</v>
          </cell>
          <cell r="I24">
            <v>0</v>
          </cell>
          <cell r="J24">
            <v>278.75</v>
          </cell>
          <cell r="K24">
            <v>278.75</v>
          </cell>
          <cell r="L24">
            <v>278.75</v>
          </cell>
          <cell r="M24">
            <v>3623.7</v>
          </cell>
          <cell r="N24">
            <v>36.57</v>
          </cell>
          <cell r="O24">
            <v>0</v>
          </cell>
          <cell r="P24">
            <v>70.22</v>
          </cell>
          <cell r="Q24">
            <v>0</v>
          </cell>
          <cell r="R24">
            <v>1506.5</v>
          </cell>
          <cell r="T24">
            <v>15</v>
          </cell>
          <cell r="V24">
            <v>0</v>
          </cell>
          <cell r="W24">
            <v>0.01</v>
          </cell>
          <cell r="X24">
            <v>1628.3</v>
          </cell>
          <cell r="Y24">
            <v>1995.4</v>
          </cell>
        </row>
        <row r="25">
          <cell r="B25" t="str">
            <v>Benavides Herrera Alejandra</v>
          </cell>
          <cell r="C25">
            <v>15</v>
          </cell>
          <cell r="D25">
            <v>0</v>
          </cell>
          <cell r="E25">
            <v>166.67</v>
          </cell>
          <cell r="F25">
            <v>176.76</v>
          </cell>
          <cell r="G25">
            <v>2500.0500000000002</v>
          </cell>
          <cell r="H25">
            <v>0</v>
          </cell>
          <cell r="I25">
            <v>0</v>
          </cell>
          <cell r="J25">
            <v>250.01</v>
          </cell>
          <cell r="K25">
            <v>250.01</v>
          </cell>
          <cell r="L25">
            <v>250.01</v>
          </cell>
          <cell r="M25">
            <v>3250.08</v>
          </cell>
          <cell r="N25">
            <v>0</v>
          </cell>
          <cell r="O25">
            <v>-9.6199999999999992</v>
          </cell>
          <cell r="P25">
            <v>62.97</v>
          </cell>
          <cell r="Q25">
            <v>0</v>
          </cell>
          <cell r="R25">
            <v>0</v>
          </cell>
          <cell r="T25">
            <v>0</v>
          </cell>
          <cell r="V25">
            <v>0</v>
          </cell>
          <cell r="W25">
            <v>-7.0000000000000007E-2</v>
          </cell>
          <cell r="X25">
            <v>53.28</v>
          </cell>
          <cell r="Y25">
            <v>3196.8</v>
          </cell>
        </row>
        <row r="26">
          <cell r="B26" t="str">
            <v xml:space="preserve"> Sierra  Escamilla  Daniela  </v>
          </cell>
          <cell r="C26">
            <v>15</v>
          </cell>
          <cell r="D26">
            <v>0</v>
          </cell>
          <cell r="E26">
            <v>216.67</v>
          </cell>
          <cell r="F26">
            <v>229.79</v>
          </cell>
          <cell r="G26">
            <v>3250.05</v>
          </cell>
          <cell r="H26">
            <v>0</v>
          </cell>
          <cell r="I26">
            <v>0</v>
          </cell>
          <cell r="J26">
            <v>325.01</v>
          </cell>
          <cell r="K26">
            <v>325.01</v>
          </cell>
          <cell r="L26">
            <v>325.01</v>
          </cell>
          <cell r="M26">
            <v>4225.08</v>
          </cell>
          <cell r="N26">
            <v>107.17</v>
          </cell>
          <cell r="O26">
            <v>0</v>
          </cell>
          <cell r="P26">
            <v>81.87</v>
          </cell>
          <cell r="Q26">
            <v>0</v>
          </cell>
          <cell r="R26">
            <v>0</v>
          </cell>
          <cell r="T26">
            <v>0</v>
          </cell>
          <cell r="V26">
            <v>0</v>
          </cell>
          <cell r="W26">
            <v>0.04</v>
          </cell>
          <cell r="X26">
            <v>189.08</v>
          </cell>
          <cell r="Y26">
            <v>4036</v>
          </cell>
        </row>
        <row r="27">
          <cell r="B27" t="str">
            <v>Muñoz Melgoza Gabriel</v>
          </cell>
          <cell r="C27">
            <v>15</v>
          </cell>
          <cell r="D27">
            <v>0</v>
          </cell>
          <cell r="E27">
            <v>256.67</v>
          </cell>
          <cell r="F27">
            <v>272.20999999999998</v>
          </cell>
          <cell r="G27">
            <v>3850.05</v>
          </cell>
          <cell r="H27">
            <v>0</v>
          </cell>
          <cell r="I27">
            <v>0</v>
          </cell>
          <cell r="J27">
            <v>385.01</v>
          </cell>
          <cell r="K27">
            <v>385.01</v>
          </cell>
          <cell r="L27">
            <v>385.01</v>
          </cell>
          <cell r="M27">
            <v>5005.08</v>
          </cell>
          <cell r="N27">
            <v>297.55</v>
          </cell>
          <cell r="O27">
            <v>0</v>
          </cell>
          <cell r="P27">
            <v>98.1</v>
          </cell>
          <cell r="Q27">
            <v>0</v>
          </cell>
          <cell r="R27">
            <v>0</v>
          </cell>
          <cell r="T27">
            <v>0</v>
          </cell>
          <cell r="V27">
            <v>0</v>
          </cell>
          <cell r="W27">
            <v>0.03</v>
          </cell>
          <cell r="X27">
            <v>395.68</v>
          </cell>
          <cell r="Y27">
            <v>4609.3999999999996</v>
          </cell>
        </row>
        <row r="28">
          <cell r="B28" t="str">
            <v>Compean Tobias Braulio Gerardo</v>
          </cell>
          <cell r="C28">
            <v>15</v>
          </cell>
          <cell r="D28">
            <v>0</v>
          </cell>
          <cell r="E28">
            <v>300</v>
          </cell>
          <cell r="F28">
            <v>313.56</v>
          </cell>
          <cell r="G28">
            <v>4500</v>
          </cell>
          <cell r="H28">
            <v>0</v>
          </cell>
          <cell r="I28">
            <v>0</v>
          </cell>
          <cell r="J28">
            <v>450</v>
          </cell>
          <cell r="K28">
            <v>450</v>
          </cell>
          <cell r="L28">
            <v>450</v>
          </cell>
          <cell r="M28">
            <v>5850</v>
          </cell>
          <cell r="N28">
            <v>380.67</v>
          </cell>
          <cell r="O28">
            <v>0</v>
          </cell>
          <cell r="P28">
            <v>115.32</v>
          </cell>
          <cell r="Q28">
            <v>0</v>
          </cell>
          <cell r="R28">
            <v>1333.87</v>
          </cell>
          <cell r="T28">
            <v>15</v>
          </cell>
          <cell r="V28">
            <v>0</v>
          </cell>
          <cell r="W28">
            <v>-0.06</v>
          </cell>
          <cell r="X28">
            <v>1844.8</v>
          </cell>
          <cell r="Y28">
            <v>4005.2</v>
          </cell>
        </row>
        <row r="29">
          <cell r="B29" t="str">
            <v xml:space="preserve"> Dominguez Lopez Maria De Jesus </v>
          </cell>
          <cell r="C29">
            <v>4</v>
          </cell>
          <cell r="D29">
            <v>11</v>
          </cell>
          <cell r="E29">
            <v>238.33</v>
          </cell>
          <cell r="F29">
            <v>252.76</v>
          </cell>
          <cell r="G29">
            <v>953.32</v>
          </cell>
          <cell r="H29">
            <v>2621.63</v>
          </cell>
          <cell r="I29">
            <v>786.49</v>
          </cell>
          <cell r="J29">
            <v>357.5</v>
          </cell>
          <cell r="K29">
            <v>357.5</v>
          </cell>
          <cell r="L29">
            <v>357.5</v>
          </cell>
          <cell r="M29">
            <v>5433.94</v>
          </cell>
          <cell r="N29">
            <v>160.25</v>
          </cell>
          <cell r="O29">
            <v>0</v>
          </cell>
          <cell r="P29">
            <v>90.05</v>
          </cell>
          <cell r="Q29">
            <v>533.16</v>
          </cell>
          <cell r="R29">
            <v>0</v>
          </cell>
          <cell r="T29">
            <v>15</v>
          </cell>
          <cell r="V29">
            <v>0</v>
          </cell>
          <cell r="W29">
            <v>0.08</v>
          </cell>
          <cell r="X29">
            <v>798.54</v>
          </cell>
          <cell r="Y29">
            <v>4635.3999999999996</v>
          </cell>
        </row>
        <row r="30">
          <cell r="B30" t="str">
            <v>Diaz Munguia Martha Liliana</v>
          </cell>
          <cell r="C30">
            <v>15</v>
          </cell>
          <cell r="D30">
            <v>0</v>
          </cell>
          <cell r="E30">
            <v>308.33</v>
          </cell>
          <cell r="F30">
            <v>327</v>
          </cell>
          <cell r="G30">
            <v>4624.95</v>
          </cell>
          <cell r="H30">
            <v>0</v>
          </cell>
          <cell r="I30">
            <v>0</v>
          </cell>
          <cell r="J30">
            <v>462.5</v>
          </cell>
          <cell r="K30">
            <v>462.5</v>
          </cell>
          <cell r="L30">
            <v>462.5</v>
          </cell>
          <cell r="M30">
            <v>6012.45</v>
          </cell>
          <cell r="N30">
            <v>400.66</v>
          </cell>
          <cell r="O30">
            <v>0</v>
          </cell>
          <cell r="P30">
            <v>120.9</v>
          </cell>
          <cell r="Q30">
            <v>0</v>
          </cell>
          <cell r="R30">
            <v>419.76</v>
          </cell>
          <cell r="T30">
            <v>15</v>
          </cell>
          <cell r="V30">
            <v>0</v>
          </cell>
          <cell r="W30">
            <v>-7.0000000000000007E-2</v>
          </cell>
          <cell r="X30">
            <v>956.25</v>
          </cell>
          <cell r="Y30">
            <v>5056.2</v>
          </cell>
        </row>
        <row r="31">
          <cell r="B31" t="str">
            <v>Saucedo Duran Jesus Alfredo</v>
          </cell>
          <cell r="C31">
            <v>13</v>
          </cell>
          <cell r="D31">
            <v>2</v>
          </cell>
          <cell r="E31">
            <v>220.83</v>
          </cell>
          <cell r="F31">
            <v>234.2</v>
          </cell>
          <cell r="G31">
            <v>2870.79</v>
          </cell>
          <cell r="H31">
            <v>441.66</v>
          </cell>
          <cell r="I31">
            <v>132.5</v>
          </cell>
          <cell r="J31">
            <v>331.25</v>
          </cell>
          <cell r="K31">
            <v>331.25</v>
          </cell>
          <cell r="L31">
            <v>331.25</v>
          </cell>
          <cell r="M31">
            <v>4438.7</v>
          </cell>
          <cell r="N31">
            <v>113.96</v>
          </cell>
          <cell r="O31">
            <v>0</v>
          </cell>
          <cell r="P31">
            <v>83.43</v>
          </cell>
          <cell r="Q31">
            <v>0</v>
          </cell>
          <cell r="R31">
            <v>0</v>
          </cell>
          <cell r="T31">
            <v>0</v>
          </cell>
          <cell r="V31">
            <v>0</v>
          </cell>
          <cell r="W31">
            <v>-0.09</v>
          </cell>
          <cell r="X31">
            <v>197.3</v>
          </cell>
          <cell r="Y31">
            <v>4241.3999999999996</v>
          </cell>
        </row>
        <row r="32">
          <cell r="B32" t="str">
            <v>Camarena Quiroz Erick Frank</v>
          </cell>
          <cell r="C32">
            <v>15</v>
          </cell>
          <cell r="D32">
            <v>0</v>
          </cell>
          <cell r="E32">
            <v>150</v>
          </cell>
          <cell r="F32">
            <v>159.07</v>
          </cell>
          <cell r="G32">
            <v>2250</v>
          </cell>
          <cell r="H32">
            <v>0</v>
          </cell>
          <cell r="I32">
            <v>0</v>
          </cell>
          <cell r="J32">
            <v>225</v>
          </cell>
          <cell r="K32">
            <v>225</v>
          </cell>
          <cell r="L32">
            <v>225</v>
          </cell>
          <cell r="M32">
            <v>2925</v>
          </cell>
          <cell r="N32">
            <v>0</v>
          </cell>
          <cell r="O32">
            <v>-43.57</v>
          </cell>
          <cell r="P32">
            <v>56.67</v>
          </cell>
          <cell r="Q32">
            <v>0</v>
          </cell>
          <cell r="R32">
            <v>0</v>
          </cell>
          <cell r="T32">
            <v>0</v>
          </cell>
          <cell r="V32">
            <v>0</v>
          </cell>
          <cell r="W32">
            <v>0.1</v>
          </cell>
          <cell r="X32">
            <v>13.2</v>
          </cell>
          <cell r="Y32">
            <v>2911.8</v>
          </cell>
        </row>
        <row r="33">
          <cell r="B33" t="str">
            <v>Leal Montaño Diego</v>
          </cell>
          <cell r="C33">
            <v>15</v>
          </cell>
          <cell r="D33">
            <v>0</v>
          </cell>
          <cell r="E33">
            <v>166.67</v>
          </cell>
          <cell r="F33">
            <v>176.76</v>
          </cell>
          <cell r="G33">
            <v>2500.0500000000002</v>
          </cell>
          <cell r="H33">
            <v>0</v>
          </cell>
          <cell r="I33">
            <v>0</v>
          </cell>
          <cell r="J33">
            <v>250.01</v>
          </cell>
          <cell r="K33">
            <v>250.01</v>
          </cell>
          <cell r="L33">
            <v>250.01</v>
          </cell>
          <cell r="M33">
            <v>3250.08</v>
          </cell>
          <cell r="N33">
            <v>0</v>
          </cell>
          <cell r="O33">
            <v>-9.6199999999999992</v>
          </cell>
          <cell r="P33">
            <v>62.97</v>
          </cell>
          <cell r="Q33">
            <v>0</v>
          </cell>
          <cell r="R33">
            <v>398.98</v>
          </cell>
          <cell r="T33">
            <v>15</v>
          </cell>
          <cell r="V33">
            <v>0</v>
          </cell>
          <cell r="W33">
            <v>-0.05</v>
          </cell>
          <cell r="X33">
            <v>467.28</v>
          </cell>
          <cell r="Y33">
            <v>2782.8</v>
          </cell>
        </row>
        <row r="34">
          <cell r="B34" t="str">
            <v>Leija Arevalo Guadalupe</v>
          </cell>
          <cell r="C34">
            <v>15</v>
          </cell>
          <cell r="D34">
            <v>0</v>
          </cell>
          <cell r="E34">
            <v>133.33000000000001</v>
          </cell>
          <cell r="F34">
            <v>139.36000000000001</v>
          </cell>
          <cell r="G34">
            <v>1999.95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1999.95</v>
          </cell>
          <cell r="N34">
            <v>0</v>
          </cell>
          <cell r="O34">
            <v>-73.5</v>
          </cell>
          <cell r="P34">
            <v>49.65</v>
          </cell>
          <cell r="Q34">
            <v>0</v>
          </cell>
          <cell r="R34">
            <v>1005.81</v>
          </cell>
          <cell r="T34">
            <v>15</v>
          </cell>
          <cell r="V34">
            <v>0</v>
          </cell>
          <cell r="W34">
            <v>-0.01</v>
          </cell>
          <cell r="X34">
            <v>996.95</v>
          </cell>
          <cell r="Y34">
            <v>1003</v>
          </cell>
        </row>
        <row r="35">
          <cell r="B35" t="str">
            <v>Rodriguez Chavez Oswaldo Emmanuel</v>
          </cell>
          <cell r="C35">
            <v>15</v>
          </cell>
          <cell r="D35">
            <v>0</v>
          </cell>
          <cell r="E35">
            <v>233.33</v>
          </cell>
          <cell r="F35">
            <v>247.46</v>
          </cell>
          <cell r="G35">
            <v>3499.95</v>
          </cell>
          <cell r="H35">
            <v>0</v>
          </cell>
          <cell r="I35">
            <v>0</v>
          </cell>
          <cell r="J35">
            <v>350</v>
          </cell>
          <cell r="K35">
            <v>350</v>
          </cell>
          <cell r="L35">
            <v>350</v>
          </cell>
          <cell r="M35">
            <v>4549.95</v>
          </cell>
          <cell r="N35">
            <v>134.36000000000001</v>
          </cell>
          <cell r="O35">
            <v>0</v>
          </cell>
          <cell r="P35">
            <v>88.16</v>
          </cell>
          <cell r="Q35">
            <v>0</v>
          </cell>
          <cell r="R35">
            <v>0</v>
          </cell>
          <cell r="T35">
            <v>0</v>
          </cell>
          <cell r="V35">
            <v>0</v>
          </cell>
          <cell r="W35">
            <v>0.03</v>
          </cell>
          <cell r="X35">
            <v>222.55</v>
          </cell>
          <cell r="Y35">
            <v>4327.3999999999996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ACTURACION SINDICATO"/>
      <sheetName val="CPD"/>
      <sheetName val="CPD SEITON"/>
      <sheetName val="IP"/>
      <sheetName val="IP SEITON"/>
      <sheetName val="SINDICATO"/>
      <sheetName val="RESUMEN"/>
      <sheetName val="RESUMEN SEITON"/>
      <sheetName val="NETOS"/>
      <sheetName val="ABC"/>
      <sheetName val="Hoja4"/>
    </sheetNames>
    <sheetDataSet>
      <sheetData sheetId="0"/>
      <sheetData sheetId="1">
        <row r="9">
          <cell r="B9" t="str">
            <v>Gutierrez Gutierrez Luis Arturo</v>
          </cell>
          <cell r="C9">
            <v>15</v>
          </cell>
          <cell r="D9">
            <v>0</v>
          </cell>
          <cell r="E9">
            <v>141.66999999999999</v>
          </cell>
          <cell r="F9">
            <v>150.25</v>
          </cell>
          <cell r="G9">
            <v>2125.0500000000002</v>
          </cell>
          <cell r="H9">
            <v>0</v>
          </cell>
          <cell r="I9">
            <v>0</v>
          </cell>
          <cell r="J9">
            <v>212.51</v>
          </cell>
          <cell r="K9">
            <v>212.51</v>
          </cell>
          <cell r="L9">
            <v>212.51</v>
          </cell>
          <cell r="M9">
            <v>2762.58</v>
          </cell>
          <cell r="N9">
            <v>0</v>
          </cell>
          <cell r="O9">
            <v>-65.5</v>
          </cell>
          <cell r="P9">
            <v>53.52</v>
          </cell>
          <cell r="Q9">
            <v>0</v>
          </cell>
          <cell r="R9">
            <v>0</v>
          </cell>
          <cell r="S9">
            <v>0</v>
          </cell>
        </row>
        <row r="10">
          <cell r="B10" t="str">
            <v>Patricio Aguilar Jhonattan Cristian</v>
          </cell>
          <cell r="C10">
            <v>15</v>
          </cell>
          <cell r="D10">
            <v>0</v>
          </cell>
          <cell r="E10">
            <v>150</v>
          </cell>
          <cell r="F10">
            <v>159.07</v>
          </cell>
          <cell r="G10">
            <v>2250</v>
          </cell>
          <cell r="H10">
            <v>0</v>
          </cell>
          <cell r="I10">
            <v>0</v>
          </cell>
          <cell r="J10">
            <v>225</v>
          </cell>
          <cell r="K10">
            <v>225</v>
          </cell>
          <cell r="L10">
            <v>225</v>
          </cell>
          <cell r="M10">
            <v>2925</v>
          </cell>
          <cell r="N10">
            <v>0</v>
          </cell>
          <cell r="O10">
            <v>-43.57</v>
          </cell>
          <cell r="P10">
            <v>56.67</v>
          </cell>
          <cell r="Q10">
            <v>0</v>
          </cell>
          <cell r="R10">
            <v>0</v>
          </cell>
          <cell r="S10">
            <v>0</v>
          </cell>
        </row>
        <row r="11">
          <cell r="B11" t="str">
            <v>Mora Ramirez Acal Aldo Isidro</v>
          </cell>
          <cell r="C11">
            <v>15</v>
          </cell>
          <cell r="D11">
            <v>0</v>
          </cell>
          <cell r="E11">
            <v>216.67</v>
          </cell>
          <cell r="F11">
            <v>229.79</v>
          </cell>
          <cell r="G11">
            <v>3250.05</v>
          </cell>
          <cell r="H11">
            <v>0</v>
          </cell>
          <cell r="I11">
            <v>0</v>
          </cell>
          <cell r="J11">
            <v>325.01</v>
          </cell>
          <cell r="K11">
            <v>325.01</v>
          </cell>
          <cell r="L11">
            <v>325.01</v>
          </cell>
          <cell r="M11">
            <v>4225.08</v>
          </cell>
          <cell r="N11">
            <v>107.17</v>
          </cell>
          <cell r="O11">
            <v>0</v>
          </cell>
          <cell r="P11">
            <v>81.87</v>
          </cell>
          <cell r="Q11">
            <v>0</v>
          </cell>
          <cell r="R11">
            <v>0</v>
          </cell>
          <cell r="S11">
            <v>0</v>
          </cell>
        </row>
        <row r="12">
          <cell r="B12" t="str">
            <v>Vazquez Perez Miguel Angel</v>
          </cell>
          <cell r="C12">
            <v>15</v>
          </cell>
          <cell r="D12">
            <v>0</v>
          </cell>
          <cell r="E12">
            <v>283.33</v>
          </cell>
          <cell r="F12">
            <v>300.49</v>
          </cell>
          <cell r="G12">
            <v>4249.95</v>
          </cell>
          <cell r="H12">
            <v>0</v>
          </cell>
          <cell r="I12">
            <v>0</v>
          </cell>
          <cell r="J12">
            <v>425</v>
          </cell>
          <cell r="K12">
            <v>425</v>
          </cell>
          <cell r="L12">
            <v>425</v>
          </cell>
          <cell r="M12">
            <v>5524.95</v>
          </cell>
          <cell r="N12">
            <v>341.06</v>
          </cell>
          <cell r="O12">
            <v>0</v>
          </cell>
          <cell r="P12">
            <v>109.87</v>
          </cell>
          <cell r="Q12">
            <v>0</v>
          </cell>
          <cell r="R12">
            <v>0</v>
          </cell>
          <cell r="S12">
            <v>0</v>
          </cell>
        </row>
        <row r="13">
          <cell r="B13" t="str">
            <v>Morgado Fernandez Martin</v>
          </cell>
          <cell r="C13">
            <v>15</v>
          </cell>
          <cell r="D13">
            <v>0</v>
          </cell>
          <cell r="E13">
            <v>273.33</v>
          </cell>
          <cell r="F13">
            <v>289.87</v>
          </cell>
          <cell r="G13">
            <v>4099.95</v>
          </cell>
          <cell r="H13">
            <v>0</v>
          </cell>
          <cell r="I13">
            <v>0</v>
          </cell>
          <cell r="J13">
            <v>410</v>
          </cell>
          <cell r="K13">
            <v>410</v>
          </cell>
          <cell r="L13">
            <v>410</v>
          </cell>
          <cell r="M13">
            <v>5329.95</v>
          </cell>
          <cell r="N13">
            <v>324.74</v>
          </cell>
          <cell r="O13">
            <v>0</v>
          </cell>
          <cell r="P13">
            <v>105.46</v>
          </cell>
          <cell r="Q13">
            <v>0</v>
          </cell>
          <cell r="R13">
            <v>0</v>
          </cell>
          <cell r="S13">
            <v>0</v>
          </cell>
        </row>
        <row r="14">
          <cell r="B14" t="str">
            <v>Arreola Jimenez Jose Nieves</v>
          </cell>
          <cell r="C14">
            <v>15</v>
          </cell>
          <cell r="D14">
            <v>0</v>
          </cell>
          <cell r="E14">
            <v>185.83</v>
          </cell>
          <cell r="F14">
            <v>197.07</v>
          </cell>
          <cell r="G14">
            <v>2787.45</v>
          </cell>
          <cell r="H14">
            <v>0</v>
          </cell>
          <cell r="I14">
            <v>0</v>
          </cell>
          <cell r="J14">
            <v>278.75</v>
          </cell>
          <cell r="K14">
            <v>278.75</v>
          </cell>
          <cell r="L14">
            <v>278.75</v>
          </cell>
          <cell r="M14">
            <v>3623.7</v>
          </cell>
          <cell r="N14">
            <v>36.57</v>
          </cell>
          <cell r="O14">
            <v>0</v>
          </cell>
          <cell r="P14">
            <v>70.22</v>
          </cell>
          <cell r="Q14">
            <v>0</v>
          </cell>
          <cell r="R14">
            <v>1574.29</v>
          </cell>
          <cell r="S14">
            <v>0</v>
          </cell>
        </row>
        <row r="15">
          <cell r="B15" t="str">
            <v>Garcia Villicaña Ricardo Pascual</v>
          </cell>
          <cell r="C15">
            <v>15</v>
          </cell>
          <cell r="D15">
            <v>0</v>
          </cell>
          <cell r="E15">
            <v>273.33</v>
          </cell>
          <cell r="F15">
            <v>289.87</v>
          </cell>
          <cell r="G15">
            <v>4099.95</v>
          </cell>
          <cell r="H15">
            <v>0</v>
          </cell>
          <cell r="I15">
            <v>0</v>
          </cell>
          <cell r="J15">
            <v>410</v>
          </cell>
          <cell r="K15">
            <v>410</v>
          </cell>
          <cell r="L15">
            <v>410</v>
          </cell>
          <cell r="M15">
            <v>5329.95</v>
          </cell>
          <cell r="N15">
            <v>324.74</v>
          </cell>
          <cell r="O15">
            <v>0</v>
          </cell>
          <cell r="P15">
            <v>105.46</v>
          </cell>
          <cell r="Q15">
            <v>0</v>
          </cell>
          <cell r="R15">
            <v>0</v>
          </cell>
          <cell r="S15">
            <v>0</v>
          </cell>
        </row>
        <row r="16">
          <cell r="B16" t="str">
            <v>Caballero Diaz Francisco Javier</v>
          </cell>
          <cell r="C16">
            <v>15</v>
          </cell>
          <cell r="D16">
            <v>0</v>
          </cell>
          <cell r="E16">
            <v>185.83</v>
          </cell>
          <cell r="F16">
            <v>197.07</v>
          </cell>
          <cell r="G16">
            <v>2787.45</v>
          </cell>
          <cell r="H16">
            <v>0</v>
          </cell>
          <cell r="I16">
            <v>0</v>
          </cell>
          <cell r="J16">
            <v>278.75</v>
          </cell>
          <cell r="K16">
            <v>278.75</v>
          </cell>
          <cell r="L16">
            <v>278.75</v>
          </cell>
          <cell r="M16">
            <v>3623.7</v>
          </cell>
          <cell r="N16">
            <v>36.57</v>
          </cell>
          <cell r="O16">
            <v>0</v>
          </cell>
          <cell r="P16">
            <v>70.22</v>
          </cell>
          <cell r="Q16">
            <v>0</v>
          </cell>
          <cell r="R16">
            <v>1826.51</v>
          </cell>
          <cell r="S16">
            <v>0</v>
          </cell>
        </row>
        <row r="17">
          <cell r="B17" t="str">
            <v>Casillas Cardona Cesar Alejandro</v>
          </cell>
          <cell r="C17">
            <v>15</v>
          </cell>
          <cell r="D17">
            <v>0</v>
          </cell>
          <cell r="E17">
            <v>220.83</v>
          </cell>
          <cell r="F17">
            <v>234.19</v>
          </cell>
          <cell r="G17">
            <v>3312.45</v>
          </cell>
          <cell r="H17">
            <v>0</v>
          </cell>
          <cell r="I17">
            <v>0</v>
          </cell>
          <cell r="J17">
            <v>331.25</v>
          </cell>
          <cell r="K17">
            <v>331.25</v>
          </cell>
          <cell r="L17">
            <v>331.25</v>
          </cell>
          <cell r="M17">
            <v>4306.2</v>
          </cell>
          <cell r="N17">
            <v>113.96</v>
          </cell>
          <cell r="O17">
            <v>0</v>
          </cell>
          <cell r="P17">
            <v>83.43</v>
          </cell>
          <cell r="Q17">
            <v>0</v>
          </cell>
          <cell r="R17">
            <v>757.32</v>
          </cell>
          <cell r="S17">
            <v>0</v>
          </cell>
        </row>
        <row r="18">
          <cell r="B18" t="str">
            <v>Mariscal Romero Luis Adrian</v>
          </cell>
          <cell r="C18">
            <v>15</v>
          </cell>
          <cell r="D18">
            <v>0</v>
          </cell>
          <cell r="E18">
            <v>264.58</v>
          </cell>
          <cell r="F18">
            <v>276.54000000000002</v>
          </cell>
          <cell r="G18">
            <v>3968.7</v>
          </cell>
          <cell r="H18">
            <v>0</v>
          </cell>
          <cell r="I18">
            <v>0</v>
          </cell>
          <cell r="J18">
            <v>396.87</v>
          </cell>
          <cell r="K18">
            <v>396.87</v>
          </cell>
          <cell r="L18">
            <v>396.87</v>
          </cell>
          <cell r="M18">
            <v>5159.3100000000004</v>
          </cell>
          <cell r="N18">
            <v>310.45999999999998</v>
          </cell>
          <cell r="O18">
            <v>0</v>
          </cell>
          <cell r="P18">
            <v>99.91</v>
          </cell>
          <cell r="Q18">
            <v>0</v>
          </cell>
          <cell r="R18">
            <v>1674</v>
          </cell>
          <cell r="S18">
            <v>0</v>
          </cell>
        </row>
        <row r="19">
          <cell r="B19" t="str">
            <v>Arroyo Ramirez Hector Hugo</v>
          </cell>
          <cell r="C19">
            <v>15</v>
          </cell>
          <cell r="D19">
            <v>0</v>
          </cell>
          <cell r="E19">
            <v>238.33</v>
          </cell>
          <cell r="F19">
            <v>252.75</v>
          </cell>
          <cell r="G19">
            <v>3574.95</v>
          </cell>
          <cell r="H19">
            <v>0</v>
          </cell>
          <cell r="I19">
            <v>285.99</v>
          </cell>
          <cell r="J19">
            <v>357.5</v>
          </cell>
          <cell r="K19">
            <v>357.5</v>
          </cell>
          <cell r="L19">
            <v>357.5</v>
          </cell>
          <cell r="M19">
            <v>4933.4399999999996</v>
          </cell>
          <cell r="N19">
            <v>160.25</v>
          </cell>
          <cell r="O19">
            <v>0</v>
          </cell>
          <cell r="P19">
            <v>90.05</v>
          </cell>
          <cell r="Q19">
            <v>0</v>
          </cell>
          <cell r="R19">
            <v>1432.4</v>
          </cell>
          <cell r="S19">
            <v>0</v>
          </cell>
        </row>
        <row r="20">
          <cell r="B20" t="str">
            <v>Hernandez Ochoa Eduardo</v>
          </cell>
          <cell r="C20">
            <v>15</v>
          </cell>
          <cell r="D20">
            <v>0</v>
          </cell>
          <cell r="E20">
            <v>273.33</v>
          </cell>
          <cell r="F20">
            <v>289.87</v>
          </cell>
          <cell r="G20">
            <v>4099.95</v>
          </cell>
          <cell r="H20">
            <v>0</v>
          </cell>
          <cell r="I20">
            <v>0</v>
          </cell>
          <cell r="J20">
            <v>410</v>
          </cell>
          <cell r="K20">
            <v>410</v>
          </cell>
          <cell r="L20">
            <v>410</v>
          </cell>
          <cell r="M20">
            <v>5329.95</v>
          </cell>
          <cell r="N20">
            <v>324.74</v>
          </cell>
          <cell r="O20">
            <v>0</v>
          </cell>
          <cell r="P20">
            <v>105.46</v>
          </cell>
          <cell r="Q20">
            <v>0</v>
          </cell>
          <cell r="R20">
            <v>0</v>
          </cell>
          <cell r="S20">
            <v>0</v>
          </cell>
        </row>
        <row r="21">
          <cell r="B21" t="str">
            <v>Nieto Ortiz Jose Luis</v>
          </cell>
          <cell r="C21">
            <v>15</v>
          </cell>
          <cell r="D21">
            <v>0</v>
          </cell>
          <cell r="E21">
            <v>185.83</v>
          </cell>
          <cell r="F21">
            <v>197.07</v>
          </cell>
          <cell r="G21">
            <v>2787.45</v>
          </cell>
          <cell r="H21">
            <v>0</v>
          </cell>
          <cell r="I21">
            <v>0</v>
          </cell>
          <cell r="J21">
            <v>278.75</v>
          </cell>
          <cell r="K21">
            <v>278.75</v>
          </cell>
          <cell r="L21">
            <v>278.75</v>
          </cell>
          <cell r="M21">
            <v>3623.7</v>
          </cell>
          <cell r="N21">
            <v>36.57</v>
          </cell>
          <cell r="O21">
            <v>0</v>
          </cell>
          <cell r="P21">
            <v>70.22</v>
          </cell>
          <cell r="Q21">
            <v>0</v>
          </cell>
          <cell r="R21">
            <v>2169.67</v>
          </cell>
          <cell r="S21">
            <v>0</v>
          </cell>
        </row>
        <row r="22">
          <cell r="B22" t="str">
            <v>Rogel Teran Marco Antonio</v>
          </cell>
          <cell r="C22">
            <v>15</v>
          </cell>
          <cell r="D22">
            <v>0</v>
          </cell>
          <cell r="E22">
            <v>1060.83</v>
          </cell>
          <cell r="F22">
            <v>1125.06</v>
          </cell>
          <cell r="G22">
            <v>15912.45</v>
          </cell>
          <cell r="H22">
            <v>0</v>
          </cell>
          <cell r="I22">
            <v>0</v>
          </cell>
          <cell r="J22">
            <v>1591.25</v>
          </cell>
          <cell r="K22">
            <v>1591.25</v>
          </cell>
          <cell r="L22">
            <v>1591.25</v>
          </cell>
          <cell r="M22">
            <v>20686.2</v>
          </cell>
          <cell r="N22">
            <v>2846.24</v>
          </cell>
          <cell r="O22">
            <v>0</v>
          </cell>
          <cell r="P22">
            <v>453.09</v>
          </cell>
          <cell r="Q22">
            <v>0</v>
          </cell>
          <cell r="R22">
            <v>0</v>
          </cell>
          <cell r="S22">
            <v>0</v>
          </cell>
        </row>
        <row r="23">
          <cell r="B23" t="str">
            <v>De La Torre Zambara Francisco Ernesto</v>
          </cell>
          <cell r="C23">
            <v>15</v>
          </cell>
          <cell r="D23">
            <v>0</v>
          </cell>
          <cell r="E23">
            <v>185.83</v>
          </cell>
          <cell r="F23">
            <v>197.07</v>
          </cell>
          <cell r="G23">
            <v>2787.45</v>
          </cell>
          <cell r="H23">
            <v>0</v>
          </cell>
          <cell r="I23">
            <v>0</v>
          </cell>
          <cell r="J23">
            <v>278.75</v>
          </cell>
          <cell r="K23">
            <v>278.75</v>
          </cell>
          <cell r="L23">
            <v>278.75</v>
          </cell>
          <cell r="M23">
            <v>3623.7</v>
          </cell>
          <cell r="N23">
            <v>36.57</v>
          </cell>
          <cell r="O23">
            <v>0</v>
          </cell>
          <cell r="P23">
            <v>70.22</v>
          </cell>
          <cell r="Q23">
            <v>0</v>
          </cell>
          <cell r="R23">
            <v>0</v>
          </cell>
          <cell r="S23">
            <v>0</v>
          </cell>
        </row>
        <row r="24">
          <cell r="B24" t="str">
            <v>Carbajal Cabuto Jose Luis</v>
          </cell>
          <cell r="C24">
            <v>15</v>
          </cell>
          <cell r="D24">
            <v>0</v>
          </cell>
          <cell r="E24">
            <v>185.83</v>
          </cell>
          <cell r="F24">
            <v>197.07</v>
          </cell>
          <cell r="G24">
            <v>2787.45</v>
          </cell>
          <cell r="H24">
            <v>0</v>
          </cell>
          <cell r="I24">
            <v>0</v>
          </cell>
          <cell r="J24">
            <v>278.75</v>
          </cell>
          <cell r="K24">
            <v>278.75</v>
          </cell>
          <cell r="L24">
            <v>278.75</v>
          </cell>
          <cell r="M24">
            <v>3623.7</v>
          </cell>
          <cell r="N24">
            <v>36.57</v>
          </cell>
          <cell r="O24">
            <v>0</v>
          </cell>
          <cell r="P24">
            <v>70.22</v>
          </cell>
          <cell r="Q24">
            <v>0</v>
          </cell>
          <cell r="R24">
            <v>1506.5</v>
          </cell>
          <cell r="S24">
            <v>0</v>
          </cell>
        </row>
        <row r="25">
          <cell r="B25" t="str">
            <v>Benavides Herrera Alejandra</v>
          </cell>
          <cell r="C25">
            <v>15</v>
          </cell>
          <cell r="D25">
            <v>0</v>
          </cell>
          <cell r="E25">
            <v>166.67</v>
          </cell>
          <cell r="F25">
            <v>176.76</v>
          </cell>
          <cell r="G25">
            <v>2500.0500000000002</v>
          </cell>
          <cell r="H25">
            <v>0</v>
          </cell>
          <cell r="I25">
            <v>0</v>
          </cell>
          <cell r="J25">
            <v>250.01</v>
          </cell>
          <cell r="K25">
            <v>250.01</v>
          </cell>
          <cell r="L25">
            <v>250.01</v>
          </cell>
          <cell r="M25">
            <v>3250.08</v>
          </cell>
          <cell r="N25">
            <v>0</v>
          </cell>
          <cell r="O25">
            <v>-9.6199999999999992</v>
          </cell>
          <cell r="P25">
            <v>62.97</v>
          </cell>
          <cell r="Q25">
            <v>0</v>
          </cell>
          <cell r="R25">
            <v>0</v>
          </cell>
          <cell r="S25">
            <v>0</v>
          </cell>
        </row>
        <row r="26">
          <cell r="B26" t="str">
            <v xml:space="preserve"> Sierra  Escamilla  Daniela  </v>
          </cell>
          <cell r="C26">
            <v>15</v>
          </cell>
          <cell r="D26">
            <v>0</v>
          </cell>
          <cell r="E26">
            <v>216.67</v>
          </cell>
          <cell r="F26">
            <v>229.79</v>
          </cell>
          <cell r="G26">
            <v>3250.05</v>
          </cell>
          <cell r="H26">
            <v>0</v>
          </cell>
          <cell r="I26">
            <v>0</v>
          </cell>
          <cell r="J26">
            <v>325.01</v>
          </cell>
          <cell r="K26">
            <v>325.01</v>
          </cell>
          <cell r="L26">
            <v>325.01</v>
          </cell>
          <cell r="M26">
            <v>4225.08</v>
          </cell>
          <cell r="N26">
            <v>107.17</v>
          </cell>
          <cell r="O26">
            <v>0</v>
          </cell>
          <cell r="P26">
            <v>81.87</v>
          </cell>
          <cell r="Q26">
            <v>0</v>
          </cell>
          <cell r="R26">
            <v>0</v>
          </cell>
          <cell r="S26">
            <v>0</v>
          </cell>
        </row>
        <row r="27">
          <cell r="B27" t="str">
            <v>Muñoz Melgoza Gabriel</v>
          </cell>
          <cell r="C27">
            <v>15</v>
          </cell>
          <cell r="D27">
            <v>0</v>
          </cell>
          <cell r="E27">
            <v>256.67</v>
          </cell>
          <cell r="F27">
            <v>272.20999999999998</v>
          </cell>
          <cell r="G27">
            <v>3850.05</v>
          </cell>
          <cell r="H27">
            <v>0</v>
          </cell>
          <cell r="I27">
            <v>0</v>
          </cell>
          <cell r="J27">
            <v>385.01</v>
          </cell>
          <cell r="K27">
            <v>385.01</v>
          </cell>
          <cell r="L27">
            <v>385.01</v>
          </cell>
          <cell r="M27">
            <v>5005.08</v>
          </cell>
          <cell r="N27">
            <v>297.55</v>
          </cell>
          <cell r="O27">
            <v>0</v>
          </cell>
          <cell r="P27">
            <v>98.1</v>
          </cell>
          <cell r="Q27">
            <v>0</v>
          </cell>
          <cell r="R27">
            <v>0</v>
          </cell>
          <cell r="S27">
            <v>0</v>
          </cell>
        </row>
        <row r="28">
          <cell r="B28" t="str">
            <v>Compean Tobias Braulio Gerardo</v>
          </cell>
          <cell r="C28">
            <v>15</v>
          </cell>
          <cell r="D28">
            <v>0</v>
          </cell>
          <cell r="E28">
            <v>300</v>
          </cell>
          <cell r="F28">
            <v>313.56</v>
          </cell>
          <cell r="G28">
            <v>4500</v>
          </cell>
          <cell r="H28">
            <v>0</v>
          </cell>
          <cell r="I28">
            <v>0</v>
          </cell>
          <cell r="J28">
            <v>450</v>
          </cell>
          <cell r="K28">
            <v>450</v>
          </cell>
          <cell r="L28">
            <v>450</v>
          </cell>
          <cell r="M28">
            <v>5850</v>
          </cell>
          <cell r="N28">
            <v>380.67</v>
          </cell>
          <cell r="O28">
            <v>0</v>
          </cell>
          <cell r="P28">
            <v>115.32</v>
          </cell>
          <cell r="Q28">
            <v>0</v>
          </cell>
          <cell r="R28">
            <v>1333.87</v>
          </cell>
          <cell r="S28">
            <v>0</v>
          </cell>
        </row>
        <row r="29">
          <cell r="B29" t="str">
            <v xml:space="preserve"> Dominguez Lopez Maria De Jesus </v>
          </cell>
          <cell r="C29">
            <v>4</v>
          </cell>
          <cell r="D29">
            <v>11</v>
          </cell>
          <cell r="E29">
            <v>238.33</v>
          </cell>
          <cell r="F29">
            <v>252.76</v>
          </cell>
          <cell r="G29">
            <v>953.32</v>
          </cell>
          <cell r="H29">
            <v>2621.63</v>
          </cell>
          <cell r="I29">
            <v>786.49</v>
          </cell>
          <cell r="J29">
            <v>357.5</v>
          </cell>
          <cell r="K29">
            <v>357.5</v>
          </cell>
          <cell r="L29">
            <v>357.5</v>
          </cell>
          <cell r="M29">
            <v>5433.94</v>
          </cell>
          <cell r="N29">
            <v>160.25</v>
          </cell>
          <cell r="O29">
            <v>0</v>
          </cell>
          <cell r="P29">
            <v>90.05</v>
          </cell>
          <cell r="Q29">
            <v>533.16</v>
          </cell>
          <cell r="R29">
            <v>0</v>
          </cell>
          <cell r="S29">
            <v>0</v>
          </cell>
        </row>
        <row r="30">
          <cell r="B30" t="str">
            <v>Diaz Munguia Martha Liliana</v>
          </cell>
          <cell r="C30">
            <v>15</v>
          </cell>
          <cell r="D30">
            <v>0</v>
          </cell>
          <cell r="E30">
            <v>308.33</v>
          </cell>
          <cell r="F30">
            <v>327</v>
          </cell>
          <cell r="G30">
            <v>4624.95</v>
          </cell>
          <cell r="H30">
            <v>0</v>
          </cell>
          <cell r="I30">
            <v>0</v>
          </cell>
          <cell r="J30">
            <v>462.5</v>
          </cell>
          <cell r="K30">
            <v>462.5</v>
          </cell>
          <cell r="L30">
            <v>462.5</v>
          </cell>
          <cell r="M30">
            <v>6012.45</v>
          </cell>
          <cell r="N30">
            <v>400.66</v>
          </cell>
          <cell r="O30">
            <v>0</v>
          </cell>
          <cell r="P30">
            <v>120.9</v>
          </cell>
          <cell r="Q30">
            <v>0</v>
          </cell>
          <cell r="R30">
            <v>419.76</v>
          </cell>
          <cell r="S30">
            <v>0</v>
          </cell>
        </row>
        <row r="31">
          <cell r="B31" t="str">
            <v>Saucedo Duran Jesus Alfredo</v>
          </cell>
          <cell r="C31">
            <v>13</v>
          </cell>
          <cell r="D31">
            <v>2</v>
          </cell>
          <cell r="E31">
            <v>220.83</v>
          </cell>
          <cell r="F31">
            <v>234.2</v>
          </cell>
          <cell r="G31">
            <v>2870.79</v>
          </cell>
          <cell r="H31">
            <v>441.66</v>
          </cell>
          <cell r="I31">
            <v>132.5</v>
          </cell>
          <cell r="J31">
            <v>331.25</v>
          </cell>
          <cell r="K31">
            <v>331.25</v>
          </cell>
          <cell r="L31">
            <v>331.25</v>
          </cell>
          <cell r="M31">
            <v>4438.7</v>
          </cell>
          <cell r="N31">
            <v>113.96</v>
          </cell>
          <cell r="O31">
            <v>0</v>
          </cell>
          <cell r="P31">
            <v>83.43</v>
          </cell>
          <cell r="Q31">
            <v>0</v>
          </cell>
          <cell r="R31">
            <v>0</v>
          </cell>
          <cell r="S31">
            <v>0</v>
          </cell>
        </row>
        <row r="32">
          <cell r="B32" t="str">
            <v>Camarena Quiroz Erick Frank</v>
          </cell>
          <cell r="C32">
            <v>15</v>
          </cell>
          <cell r="D32">
            <v>0</v>
          </cell>
          <cell r="E32">
            <v>150</v>
          </cell>
          <cell r="F32">
            <v>159.07</v>
          </cell>
          <cell r="G32">
            <v>2250</v>
          </cell>
          <cell r="H32">
            <v>0</v>
          </cell>
          <cell r="I32">
            <v>0</v>
          </cell>
          <cell r="J32">
            <v>225</v>
          </cell>
          <cell r="K32">
            <v>225</v>
          </cell>
          <cell r="L32">
            <v>225</v>
          </cell>
          <cell r="M32">
            <v>2925</v>
          </cell>
          <cell r="N32">
            <v>0</v>
          </cell>
          <cell r="O32">
            <v>-43.57</v>
          </cell>
          <cell r="P32">
            <v>56.67</v>
          </cell>
          <cell r="Q32">
            <v>0</v>
          </cell>
          <cell r="R32">
            <v>0</v>
          </cell>
          <cell r="S32">
            <v>0</v>
          </cell>
        </row>
        <row r="33">
          <cell r="B33" t="str">
            <v>Leal Montaño Diego</v>
          </cell>
          <cell r="C33">
            <v>15</v>
          </cell>
          <cell r="D33">
            <v>0</v>
          </cell>
          <cell r="E33">
            <v>166.67</v>
          </cell>
          <cell r="F33">
            <v>176.76</v>
          </cell>
          <cell r="G33">
            <v>2500.0500000000002</v>
          </cell>
          <cell r="H33">
            <v>0</v>
          </cell>
          <cell r="I33">
            <v>0</v>
          </cell>
          <cell r="J33">
            <v>250.01</v>
          </cell>
          <cell r="K33">
            <v>250.01</v>
          </cell>
          <cell r="L33">
            <v>250.01</v>
          </cell>
          <cell r="M33">
            <v>3250.08</v>
          </cell>
          <cell r="N33">
            <v>0</v>
          </cell>
          <cell r="O33">
            <v>-9.6199999999999992</v>
          </cell>
          <cell r="P33">
            <v>62.97</v>
          </cell>
          <cell r="Q33">
            <v>0</v>
          </cell>
          <cell r="R33">
            <v>398.98</v>
          </cell>
          <cell r="S33">
            <v>0</v>
          </cell>
        </row>
        <row r="34">
          <cell r="B34" t="str">
            <v>Leija Arevalo Guadalupe</v>
          </cell>
          <cell r="C34">
            <v>15</v>
          </cell>
          <cell r="D34">
            <v>0</v>
          </cell>
          <cell r="E34">
            <v>133.33000000000001</v>
          </cell>
          <cell r="F34">
            <v>139.36000000000001</v>
          </cell>
          <cell r="G34">
            <v>1999.95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1999.95</v>
          </cell>
          <cell r="N34">
            <v>0</v>
          </cell>
          <cell r="O34">
            <v>-73.5</v>
          </cell>
          <cell r="P34">
            <v>49.65</v>
          </cell>
          <cell r="Q34">
            <v>0</v>
          </cell>
          <cell r="R34">
            <v>1005.81</v>
          </cell>
          <cell r="S34">
            <v>0</v>
          </cell>
        </row>
        <row r="35">
          <cell r="B35" t="str">
            <v>Rodriguez Chavez Oswaldo Emmanuel</v>
          </cell>
          <cell r="C35">
            <v>15</v>
          </cell>
          <cell r="D35">
            <v>0</v>
          </cell>
          <cell r="E35">
            <v>233.33</v>
          </cell>
          <cell r="F35">
            <v>247.46</v>
          </cell>
          <cell r="G35">
            <v>3499.95</v>
          </cell>
          <cell r="H35">
            <v>0</v>
          </cell>
          <cell r="I35">
            <v>0</v>
          </cell>
          <cell r="J35">
            <v>350</v>
          </cell>
          <cell r="K35">
            <v>350</v>
          </cell>
          <cell r="L35">
            <v>350</v>
          </cell>
          <cell r="M35">
            <v>4549.95</v>
          </cell>
          <cell r="N35">
            <v>134.36000000000001</v>
          </cell>
          <cell r="O35">
            <v>0</v>
          </cell>
          <cell r="P35">
            <v>88.16</v>
          </cell>
          <cell r="Q35">
            <v>0</v>
          </cell>
          <cell r="R35">
            <v>0</v>
          </cell>
          <cell r="S35">
            <v>0</v>
          </cell>
        </row>
      </sheetData>
      <sheetData sheetId="2"/>
      <sheetData sheetId="3">
        <row r="9">
          <cell r="B9" t="str">
            <v>Torres Ricardez Alfredo</v>
          </cell>
        </row>
      </sheetData>
      <sheetData sheetId="4"/>
      <sheetData sheetId="5">
        <row r="7">
          <cell r="C7" t="str">
            <v xml:space="preserve"> Dominguez Lopez Maria De Jesus </v>
          </cell>
          <cell r="D7">
            <v>2102.9300000000003</v>
          </cell>
          <cell r="E7">
            <v>0</v>
          </cell>
          <cell r="F7">
            <v>643.50999999999976</v>
          </cell>
          <cell r="G7">
            <v>2746.44</v>
          </cell>
          <cell r="H7">
            <v>11</v>
          </cell>
          <cell r="I7">
            <v>13000</v>
          </cell>
          <cell r="J7">
            <v>1429.9999999999998</v>
          </cell>
          <cell r="K7">
            <v>786.49</v>
          </cell>
          <cell r="L7">
            <v>643.50999999999976</v>
          </cell>
          <cell r="M7" t="str">
            <v>SEITON</v>
          </cell>
        </row>
        <row r="8">
          <cell r="C8" t="str">
            <v>Aguilar Leal Karina Livier</v>
          </cell>
          <cell r="D8">
            <v>917</v>
          </cell>
          <cell r="E8">
            <v>6710.33</v>
          </cell>
          <cell r="F8">
            <v>0</v>
          </cell>
          <cell r="G8">
            <v>7627.33</v>
          </cell>
          <cell r="H8">
            <v>0</v>
          </cell>
          <cell r="I8">
            <v>9000</v>
          </cell>
          <cell r="J8">
            <v>0</v>
          </cell>
          <cell r="K8">
            <v>0</v>
          </cell>
          <cell r="L8">
            <v>0</v>
          </cell>
          <cell r="M8" t="str">
            <v>SEITON</v>
          </cell>
        </row>
        <row r="9">
          <cell r="C9" t="str">
            <v>Alonso Flores Beda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3</v>
          </cell>
          <cell r="I9">
            <v>9000</v>
          </cell>
          <cell r="J9">
            <v>270</v>
          </cell>
          <cell r="K9">
            <v>307.22000000000003</v>
          </cell>
          <cell r="L9">
            <v>-37.220000000000027</v>
          </cell>
          <cell r="M9" t="str">
            <v>SEITON</v>
          </cell>
        </row>
        <row r="10">
          <cell r="C10" t="str">
            <v>Amezcua Contreras Martha Frine</v>
          </cell>
          <cell r="D10">
            <v>2162.2000000000007</v>
          </cell>
          <cell r="E10">
            <v>750</v>
          </cell>
          <cell r="F10">
            <v>0</v>
          </cell>
          <cell r="G10">
            <v>2912.2000000000007</v>
          </cell>
          <cell r="H10">
            <v>0</v>
          </cell>
          <cell r="I10">
            <v>18500</v>
          </cell>
          <cell r="J10">
            <v>0</v>
          </cell>
          <cell r="K10">
            <v>0</v>
          </cell>
          <cell r="L10">
            <v>0</v>
          </cell>
          <cell r="M10" t="str">
            <v>SEITON</v>
          </cell>
        </row>
        <row r="11">
          <cell r="C11" t="str">
            <v>Amezcua Magaña Tania Estefania</v>
          </cell>
          <cell r="D11">
            <v>2721.4</v>
          </cell>
          <cell r="E11">
            <v>1673.3</v>
          </cell>
          <cell r="F11">
            <v>0</v>
          </cell>
          <cell r="G11">
            <v>4394.7</v>
          </cell>
          <cell r="H11">
            <v>0</v>
          </cell>
          <cell r="I11">
            <v>12000</v>
          </cell>
          <cell r="J11">
            <v>0</v>
          </cell>
          <cell r="K11">
            <v>0</v>
          </cell>
          <cell r="L11">
            <v>0</v>
          </cell>
          <cell r="M11" t="str">
            <v>SEITON</v>
          </cell>
        </row>
        <row r="12">
          <cell r="C12" t="str">
            <v>Benavides Reyes Jorge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 t="str">
            <v>SEITON</v>
          </cell>
        </row>
        <row r="13">
          <cell r="C13" t="str">
            <v>Bueno Herrera Mariana Guadalupe</v>
          </cell>
          <cell r="D13">
            <v>2716.4000000000005</v>
          </cell>
          <cell r="E13">
            <v>3263</v>
          </cell>
          <cell r="F13">
            <v>0</v>
          </cell>
          <cell r="G13">
            <v>5979.4000000000005</v>
          </cell>
          <cell r="H13">
            <v>0</v>
          </cell>
          <cell r="I13">
            <v>12600</v>
          </cell>
          <cell r="J13">
            <v>0</v>
          </cell>
          <cell r="K13">
            <v>0</v>
          </cell>
          <cell r="L13">
            <v>0</v>
          </cell>
          <cell r="M13" t="str">
            <v>SEITON</v>
          </cell>
        </row>
        <row r="14">
          <cell r="C14" t="str">
            <v>Camarena Quiroz Erick Frank</v>
          </cell>
          <cell r="D14">
            <v>1588.1999999999998</v>
          </cell>
          <cell r="E14">
            <v>845</v>
          </cell>
          <cell r="F14">
            <v>0</v>
          </cell>
          <cell r="G14">
            <v>2433.1999999999998</v>
          </cell>
          <cell r="H14">
            <v>0</v>
          </cell>
          <cell r="I14">
            <v>9000</v>
          </cell>
          <cell r="J14">
            <v>0</v>
          </cell>
          <cell r="K14">
            <v>0</v>
          </cell>
          <cell r="L14">
            <v>0</v>
          </cell>
          <cell r="M14" t="str">
            <v>SEITON</v>
          </cell>
        </row>
        <row r="15">
          <cell r="C15" t="str">
            <v>Camarillo Canela Reynaldo</v>
          </cell>
          <cell r="D15">
            <v>2219.3299999999995</v>
          </cell>
          <cell r="E15">
            <v>1000</v>
          </cell>
          <cell r="F15">
            <v>0</v>
          </cell>
          <cell r="G15">
            <v>3219.3299999999995</v>
          </cell>
          <cell r="H15">
            <v>0</v>
          </cell>
          <cell r="I15">
            <v>9800</v>
          </cell>
          <cell r="J15">
            <v>0</v>
          </cell>
          <cell r="K15">
            <v>0</v>
          </cell>
          <cell r="L15">
            <v>0</v>
          </cell>
          <cell r="M15" t="str">
            <v>SEITON</v>
          </cell>
        </row>
        <row r="16">
          <cell r="C16" t="str">
            <v>Compean Tobias Braulio Gerardo</v>
          </cell>
          <cell r="D16">
            <v>3645.9299999999994</v>
          </cell>
          <cell r="E16">
            <v>2000</v>
          </cell>
          <cell r="F16">
            <v>0</v>
          </cell>
          <cell r="G16">
            <v>5645.9299999999994</v>
          </cell>
          <cell r="H16">
            <v>0</v>
          </cell>
          <cell r="I16">
            <v>18000</v>
          </cell>
          <cell r="J16">
            <v>0</v>
          </cell>
          <cell r="K16">
            <v>0</v>
          </cell>
          <cell r="L16">
            <v>0</v>
          </cell>
          <cell r="M16" t="str">
            <v>SEITON</v>
          </cell>
        </row>
        <row r="17">
          <cell r="C17" t="str">
            <v>Contreras Zetina Victor Hugo</v>
          </cell>
          <cell r="D17">
            <v>215.80000000000018</v>
          </cell>
          <cell r="E17">
            <v>0</v>
          </cell>
          <cell r="F17">
            <v>0</v>
          </cell>
          <cell r="G17">
            <v>215.80000000000018</v>
          </cell>
          <cell r="H17">
            <v>0</v>
          </cell>
          <cell r="I17">
            <v>6900</v>
          </cell>
          <cell r="J17">
            <v>0</v>
          </cell>
          <cell r="K17">
            <v>0</v>
          </cell>
          <cell r="L17">
            <v>0</v>
          </cell>
          <cell r="M17" t="str">
            <v>SEITON</v>
          </cell>
        </row>
        <row r="18">
          <cell r="C18" t="str">
            <v>Diaz Munguia Martha Liliana</v>
          </cell>
          <cell r="D18">
            <v>7009.04</v>
          </cell>
          <cell r="E18">
            <v>0</v>
          </cell>
          <cell r="F18">
            <v>0</v>
          </cell>
          <cell r="G18">
            <v>7009.04</v>
          </cell>
          <cell r="H18">
            <v>0</v>
          </cell>
          <cell r="I18">
            <v>25000</v>
          </cell>
          <cell r="J18">
            <v>0</v>
          </cell>
          <cell r="K18">
            <v>0</v>
          </cell>
          <cell r="L18">
            <v>0</v>
          </cell>
          <cell r="M18" t="str">
            <v>SEITON</v>
          </cell>
        </row>
        <row r="19">
          <cell r="C19" t="str">
            <v>Gomez Oliveros Alin</v>
          </cell>
          <cell r="D19">
            <v>2135.1999999999998</v>
          </cell>
          <cell r="E19">
            <v>300.17</v>
          </cell>
          <cell r="F19">
            <v>0</v>
          </cell>
          <cell r="G19">
            <v>2435.37</v>
          </cell>
          <cell r="H19">
            <v>0</v>
          </cell>
          <cell r="I19">
            <v>10000</v>
          </cell>
          <cell r="J19">
            <v>0</v>
          </cell>
          <cell r="K19">
            <v>0</v>
          </cell>
          <cell r="L19">
            <v>0</v>
          </cell>
          <cell r="M19" t="str">
            <v>SEITON</v>
          </cell>
        </row>
        <row r="20">
          <cell r="C20" t="str">
            <v>Guizar Perez Sergio</v>
          </cell>
          <cell r="D20">
            <v>881.80000000000064</v>
          </cell>
          <cell r="E20">
            <v>250</v>
          </cell>
          <cell r="F20">
            <v>19.999999999999972</v>
          </cell>
          <cell r="G20">
            <v>1151.8000000000006</v>
          </cell>
          <cell r="H20">
            <v>2</v>
          </cell>
          <cell r="I20">
            <v>8500</v>
          </cell>
          <cell r="J20">
            <v>169.99999999999997</v>
          </cell>
          <cell r="K20">
            <v>150</v>
          </cell>
          <cell r="L20">
            <v>19.999999999999972</v>
          </cell>
          <cell r="M20" t="str">
            <v>SEITON</v>
          </cell>
        </row>
        <row r="21">
          <cell r="C21" t="str">
            <v>Hurtado Avalos J.jesus</v>
          </cell>
          <cell r="D21">
            <v>135.40000000000009</v>
          </cell>
          <cell r="E21">
            <v>0</v>
          </cell>
          <cell r="F21">
            <v>0</v>
          </cell>
          <cell r="G21">
            <v>135.40000000000009</v>
          </cell>
          <cell r="H21">
            <v>0</v>
          </cell>
          <cell r="I21">
            <v>6000</v>
          </cell>
          <cell r="J21">
            <v>0</v>
          </cell>
          <cell r="K21">
            <v>0</v>
          </cell>
          <cell r="L21">
            <v>0</v>
          </cell>
          <cell r="M21" t="str">
            <v>SEITON</v>
          </cell>
        </row>
        <row r="22">
          <cell r="C22" t="str">
            <v>Lara Campos Maximino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9500</v>
          </cell>
          <cell r="J22">
            <v>0</v>
          </cell>
          <cell r="K22">
            <v>0</v>
          </cell>
          <cell r="L22">
            <v>0</v>
          </cell>
          <cell r="M22" t="str">
            <v>SEITON</v>
          </cell>
        </row>
        <row r="23">
          <cell r="C23" t="str">
            <v>Leal  Montaño Francisco</v>
          </cell>
          <cell r="D23">
            <v>135.29000000000008</v>
          </cell>
          <cell r="E23">
            <v>1000</v>
          </cell>
          <cell r="F23">
            <v>0</v>
          </cell>
          <cell r="G23">
            <v>1135.29</v>
          </cell>
          <cell r="H23">
            <v>0</v>
          </cell>
          <cell r="I23">
            <v>6000</v>
          </cell>
          <cell r="J23">
            <v>0</v>
          </cell>
          <cell r="K23">
            <v>0</v>
          </cell>
          <cell r="L23">
            <v>0</v>
          </cell>
          <cell r="M23" t="str">
            <v>SEITON</v>
          </cell>
        </row>
        <row r="24">
          <cell r="C24" t="str">
            <v>Leal Montaño Diego</v>
          </cell>
          <cell r="D24">
            <v>1803.2200000000003</v>
          </cell>
          <cell r="E24">
            <v>3510.32</v>
          </cell>
          <cell r="F24">
            <v>0</v>
          </cell>
          <cell r="G24">
            <v>5313.5400000000009</v>
          </cell>
          <cell r="H24">
            <v>0</v>
          </cell>
          <cell r="I24">
            <v>10000</v>
          </cell>
          <cell r="J24">
            <v>0</v>
          </cell>
          <cell r="K24">
            <v>0</v>
          </cell>
          <cell r="L24">
            <v>0</v>
          </cell>
          <cell r="M24" t="str">
            <v>SEITON</v>
          </cell>
        </row>
        <row r="25">
          <cell r="C25" t="str">
            <v>Leija Arevalo Guadalupe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4000</v>
          </cell>
          <cell r="J25">
            <v>0</v>
          </cell>
          <cell r="K25">
            <v>0</v>
          </cell>
          <cell r="L25">
            <v>0</v>
          </cell>
          <cell r="M25" t="str">
            <v>SEITON</v>
          </cell>
        </row>
        <row r="26">
          <cell r="C26" t="str">
            <v>Marin  Avila Hector</v>
          </cell>
          <cell r="D26">
            <v>706.80000000000064</v>
          </cell>
          <cell r="E26">
            <v>0</v>
          </cell>
          <cell r="F26">
            <v>0</v>
          </cell>
          <cell r="G26">
            <v>706.80000000000064</v>
          </cell>
          <cell r="H26">
            <v>0</v>
          </cell>
          <cell r="I26">
            <v>8800</v>
          </cell>
          <cell r="J26">
            <v>0</v>
          </cell>
          <cell r="K26">
            <v>0</v>
          </cell>
          <cell r="L26">
            <v>0</v>
          </cell>
          <cell r="M26" t="str">
            <v>SEITON</v>
          </cell>
        </row>
        <row r="27">
          <cell r="C27" t="str">
            <v>Marquez Alcaraz Martin</v>
          </cell>
          <cell r="D27">
            <v>941.40000000000009</v>
          </cell>
          <cell r="E27">
            <v>725</v>
          </cell>
          <cell r="F27">
            <v>0</v>
          </cell>
          <cell r="G27">
            <v>1666.4</v>
          </cell>
          <cell r="H27">
            <v>0</v>
          </cell>
          <cell r="I27">
            <v>9050</v>
          </cell>
          <cell r="J27">
            <v>0</v>
          </cell>
          <cell r="K27">
            <v>0</v>
          </cell>
          <cell r="L27">
            <v>0</v>
          </cell>
          <cell r="M27" t="str">
            <v>SEITON</v>
          </cell>
        </row>
        <row r="28">
          <cell r="C28" t="str">
            <v>Martinez Rivera Maria Teresa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9000</v>
          </cell>
          <cell r="J28">
            <v>0</v>
          </cell>
          <cell r="K28">
            <v>0</v>
          </cell>
          <cell r="L28">
            <v>0</v>
          </cell>
          <cell r="M28" t="str">
            <v>SEITON</v>
          </cell>
        </row>
        <row r="29">
          <cell r="C29" t="str">
            <v>Mora Cavazos Roberto Manuel</v>
          </cell>
          <cell r="D29">
            <v>416.19999999999982</v>
          </cell>
          <cell r="F29">
            <v>0</v>
          </cell>
          <cell r="G29">
            <v>416.19999999999982</v>
          </cell>
          <cell r="H29">
            <v>0</v>
          </cell>
          <cell r="I29">
            <v>8000</v>
          </cell>
          <cell r="J29">
            <v>0</v>
          </cell>
          <cell r="K29">
            <v>0</v>
          </cell>
          <cell r="L29">
            <v>0</v>
          </cell>
          <cell r="M29" t="str">
            <v>SEITON</v>
          </cell>
        </row>
        <row r="30">
          <cell r="C30" t="str">
            <v>Negrete Bejar Aide Sarai</v>
          </cell>
          <cell r="D30">
            <v>17.490000000000236</v>
          </cell>
          <cell r="E30">
            <v>2111.1799999999998</v>
          </cell>
          <cell r="F30">
            <v>0</v>
          </cell>
          <cell r="G30">
            <v>2128.67</v>
          </cell>
          <cell r="H30">
            <v>0</v>
          </cell>
          <cell r="I30">
            <v>4620</v>
          </cell>
          <cell r="J30">
            <v>0</v>
          </cell>
          <cell r="K30">
            <v>0</v>
          </cell>
          <cell r="L30">
            <v>0</v>
          </cell>
          <cell r="M30" t="str">
            <v>SEITON</v>
          </cell>
        </row>
        <row r="31">
          <cell r="C31" t="str">
            <v>Negrete Renteria Jose Luis</v>
          </cell>
          <cell r="D31">
            <v>1122.3199999999997</v>
          </cell>
          <cell r="E31">
            <v>500</v>
          </cell>
          <cell r="F31">
            <v>0</v>
          </cell>
          <cell r="G31">
            <v>1622.3199999999997</v>
          </cell>
          <cell r="H31">
            <v>0</v>
          </cell>
          <cell r="I31">
            <v>9800</v>
          </cell>
          <cell r="J31">
            <v>0</v>
          </cell>
          <cell r="K31">
            <v>0</v>
          </cell>
          <cell r="L31">
            <v>0</v>
          </cell>
          <cell r="M31" t="str">
            <v>SEITON</v>
          </cell>
        </row>
        <row r="32">
          <cell r="C32" t="str">
            <v>Quinto Valle Martin</v>
          </cell>
          <cell r="D32">
            <v>593.60000000000036</v>
          </cell>
          <cell r="E32">
            <v>500</v>
          </cell>
          <cell r="F32">
            <v>0</v>
          </cell>
          <cell r="G32">
            <v>1093.6000000000004</v>
          </cell>
          <cell r="H32">
            <v>0</v>
          </cell>
          <cell r="I32">
            <v>10000</v>
          </cell>
          <cell r="J32">
            <v>0</v>
          </cell>
          <cell r="K32">
            <v>0</v>
          </cell>
          <cell r="L32">
            <v>0</v>
          </cell>
          <cell r="M32" t="str">
            <v>SEITON</v>
          </cell>
        </row>
        <row r="33">
          <cell r="C33" t="str">
            <v>Ramirez Vera Eustolia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7900</v>
          </cell>
          <cell r="J33">
            <v>0</v>
          </cell>
          <cell r="K33">
            <v>0</v>
          </cell>
          <cell r="L33">
            <v>0</v>
          </cell>
          <cell r="M33" t="str">
            <v>SEITON</v>
          </cell>
        </row>
        <row r="34">
          <cell r="C34" t="str">
            <v>Ramirez Vera Maria Del Carmen</v>
          </cell>
          <cell r="D34">
            <v>1416.3599999999997</v>
          </cell>
          <cell r="E34">
            <v>0</v>
          </cell>
          <cell r="F34">
            <v>60</v>
          </cell>
          <cell r="G34">
            <v>1476.3599999999997</v>
          </cell>
          <cell r="H34">
            <v>3</v>
          </cell>
          <cell r="I34">
            <v>10000</v>
          </cell>
          <cell r="J34">
            <v>300</v>
          </cell>
          <cell r="K34">
            <v>240</v>
          </cell>
          <cell r="L34">
            <v>60</v>
          </cell>
          <cell r="M34" t="str">
            <v>SEITON</v>
          </cell>
        </row>
        <row r="35">
          <cell r="C35" t="str">
            <v>Rodriguez Chavez Oswaldo Emmanuel</v>
          </cell>
          <cell r="D35">
            <v>2672.6000000000004</v>
          </cell>
          <cell r="E35">
            <v>2000</v>
          </cell>
          <cell r="F35">
            <v>0</v>
          </cell>
          <cell r="G35">
            <v>4672.6000000000004</v>
          </cell>
          <cell r="H35">
            <v>0</v>
          </cell>
          <cell r="I35">
            <v>14000</v>
          </cell>
          <cell r="K35">
            <v>0</v>
          </cell>
          <cell r="M35" t="str">
            <v>SEITON</v>
          </cell>
        </row>
        <row r="36">
          <cell r="C36" t="str">
            <v>Rodriguez Diaz Cesar Salvador</v>
          </cell>
          <cell r="D36">
            <v>941.36000000000058</v>
          </cell>
          <cell r="E36">
            <v>725</v>
          </cell>
          <cell r="F36">
            <v>0</v>
          </cell>
          <cell r="G36">
            <v>1666.3600000000006</v>
          </cell>
          <cell r="H36">
            <v>0</v>
          </cell>
          <cell r="I36">
            <v>9050</v>
          </cell>
          <cell r="J36">
            <v>0</v>
          </cell>
          <cell r="K36">
            <v>0</v>
          </cell>
          <cell r="L36">
            <v>0</v>
          </cell>
          <cell r="M36" t="str">
            <v>SEITON</v>
          </cell>
        </row>
        <row r="37">
          <cell r="C37" t="str">
            <v>Rojo Avelar Adrian</v>
          </cell>
          <cell r="D37">
            <v>885.21</v>
          </cell>
          <cell r="E37">
            <v>250</v>
          </cell>
          <cell r="F37">
            <v>0</v>
          </cell>
          <cell r="G37">
            <v>1135.21</v>
          </cell>
          <cell r="H37">
            <v>0</v>
          </cell>
          <cell r="I37">
            <v>7500</v>
          </cell>
          <cell r="J37">
            <v>0</v>
          </cell>
          <cell r="K37">
            <v>0</v>
          </cell>
          <cell r="L37">
            <v>0</v>
          </cell>
          <cell r="M37" t="str">
            <v>SEITON</v>
          </cell>
        </row>
        <row r="38">
          <cell r="C38" t="str">
            <v>Romero Mayoral Lorenzo</v>
          </cell>
          <cell r="D38">
            <v>2166.33</v>
          </cell>
          <cell r="E38">
            <v>0</v>
          </cell>
          <cell r="F38">
            <v>0</v>
          </cell>
          <cell r="G38">
            <v>2166.33</v>
          </cell>
          <cell r="H38">
            <v>0</v>
          </cell>
          <cell r="I38">
            <v>11500</v>
          </cell>
          <cell r="J38">
            <v>0</v>
          </cell>
          <cell r="K38">
            <v>0</v>
          </cell>
          <cell r="L38">
            <v>0</v>
          </cell>
          <cell r="M38" t="str">
            <v>SEITON</v>
          </cell>
        </row>
        <row r="39">
          <cell r="C39" t="str">
            <v>Romo Sandoval Ma De Lourdez</v>
          </cell>
          <cell r="D39">
            <v>5593.8</v>
          </cell>
          <cell r="E39">
            <v>541.6</v>
          </cell>
          <cell r="F39">
            <v>0</v>
          </cell>
          <cell r="G39">
            <v>6135.4000000000005</v>
          </cell>
          <cell r="H39">
            <v>0</v>
          </cell>
          <cell r="I39">
            <v>20000</v>
          </cell>
          <cell r="J39">
            <v>0</v>
          </cell>
          <cell r="K39">
            <v>0</v>
          </cell>
          <cell r="L39">
            <v>0</v>
          </cell>
          <cell r="M39" t="str">
            <v>SEITON</v>
          </cell>
        </row>
        <row r="40">
          <cell r="C40" t="str">
            <v>Saucedo Duran Jesus Alfredo</v>
          </cell>
          <cell r="D40">
            <v>1891.1000000000008</v>
          </cell>
          <cell r="E40">
            <v>390</v>
          </cell>
          <cell r="F40">
            <v>107.5</v>
          </cell>
          <cell r="G40">
            <v>2388.6000000000008</v>
          </cell>
          <cell r="H40">
            <v>2</v>
          </cell>
          <cell r="I40">
            <v>12000</v>
          </cell>
          <cell r="J40">
            <v>240</v>
          </cell>
          <cell r="K40">
            <v>132.5</v>
          </cell>
          <cell r="L40">
            <v>107.5</v>
          </cell>
          <cell r="M40" t="str">
            <v>SEITON</v>
          </cell>
        </row>
        <row r="41">
          <cell r="C41" t="str">
            <v>TOTAL GENERAL:</v>
          </cell>
          <cell r="D41">
            <v>49753.710000000006</v>
          </cell>
          <cell r="E41">
            <v>29044.899999999998</v>
          </cell>
          <cell r="F41">
            <v>831.00999999999976</v>
          </cell>
          <cell r="G41">
            <v>79629.620000000024</v>
          </cell>
          <cell r="H41">
            <v>21</v>
          </cell>
          <cell r="I41">
            <v>348020</v>
          </cell>
          <cell r="J41">
            <v>2410</v>
          </cell>
          <cell r="K41">
            <v>1616.21</v>
          </cell>
          <cell r="L41">
            <v>793.78999999999974</v>
          </cell>
          <cell r="M41">
            <v>0</v>
          </cell>
        </row>
        <row r="42">
          <cell r="C42">
            <v>0</v>
          </cell>
          <cell r="E42">
            <v>0</v>
          </cell>
        </row>
        <row r="43">
          <cell r="D43">
            <v>0</v>
          </cell>
          <cell r="F43">
            <v>0</v>
          </cell>
          <cell r="G43">
            <v>79629.620000000024</v>
          </cell>
        </row>
        <row r="44">
          <cell r="C44">
            <v>0</v>
          </cell>
          <cell r="F44" t="str">
            <v>PAGO QNA PASADA</v>
          </cell>
          <cell r="G44">
            <v>0</v>
          </cell>
        </row>
        <row r="45">
          <cell r="C45">
            <v>0</v>
          </cell>
          <cell r="F45">
            <v>0</v>
          </cell>
          <cell r="G45">
            <v>79629.620000000024</v>
          </cell>
        </row>
        <row r="46">
          <cell r="C46">
            <v>0</v>
          </cell>
          <cell r="F46">
            <v>0</v>
          </cell>
          <cell r="G46">
            <v>1592.5924000000005</v>
          </cell>
        </row>
        <row r="47">
          <cell r="C47">
            <v>0</v>
          </cell>
          <cell r="D47">
            <v>0</v>
          </cell>
          <cell r="F47">
            <v>0</v>
          </cell>
          <cell r="G47">
            <v>81222.212400000019</v>
          </cell>
        </row>
        <row r="48">
          <cell r="F48">
            <v>0</v>
          </cell>
          <cell r="G48">
            <v>0</v>
          </cell>
        </row>
        <row r="49">
          <cell r="F49">
            <v>0</v>
          </cell>
          <cell r="G49">
            <v>0</v>
          </cell>
        </row>
        <row r="50">
          <cell r="F50">
            <v>0</v>
          </cell>
          <cell r="G50">
            <v>81222.212400000019</v>
          </cell>
        </row>
        <row r="51">
          <cell r="F51">
            <v>0</v>
          </cell>
          <cell r="G51">
            <v>12995.553984000004</v>
          </cell>
        </row>
        <row r="52">
          <cell r="F52">
            <v>0</v>
          </cell>
          <cell r="G52">
            <v>94217.766384000017</v>
          </cell>
        </row>
        <row r="54">
          <cell r="D54" t="str">
            <v>FACTURACION NW</v>
          </cell>
          <cell r="E54">
            <v>0</v>
          </cell>
          <cell r="F54">
            <v>0</v>
          </cell>
          <cell r="G54" t="str">
            <v>FACTURACION CPD</v>
          </cell>
          <cell r="H54">
            <v>0</v>
          </cell>
          <cell r="I54">
            <v>0</v>
          </cell>
          <cell r="J54" t="str">
            <v>FACTURACION IP</v>
          </cell>
          <cell r="K54">
            <v>0</v>
          </cell>
          <cell r="L54">
            <v>0</v>
          </cell>
          <cell r="M54" t="str">
            <v>FACTURACION IT</v>
          </cell>
          <cell r="N54">
            <v>0</v>
          </cell>
        </row>
        <row r="55">
          <cell r="D55" t="str">
            <v>Importe de Factura</v>
          </cell>
          <cell r="E55">
            <v>36549.99558000001</v>
          </cell>
          <cell r="F55">
            <v>0</v>
          </cell>
          <cell r="G55" t="str">
            <v>Importe de Factura</v>
          </cell>
          <cell r="H55">
            <v>16244.442480000005</v>
          </cell>
          <cell r="I55">
            <v>0</v>
          </cell>
          <cell r="J55" t="str">
            <v>Importe de Factura</v>
          </cell>
          <cell r="K55">
            <v>19493.330976000005</v>
          </cell>
          <cell r="L55">
            <v>0</v>
          </cell>
          <cell r="M55" t="str">
            <v>Importe de Factura</v>
          </cell>
          <cell r="N55">
            <v>8934.4433640000025</v>
          </cell>
        </row>
        <row r="56">
          <cell r="D56" t="str">
            <v>IVA</v>
          </cell>
          <cell r="E56">
            <v>5847.999292800002</v>
          </cell>
          <cell r="F56">
            <v>0</v>
          </cell>
          <cell r="G56" t="str">
            <v>IVA</v>
          </cell>
          <cell r="H56">
            <v>2599.110796800001</v>
          </cell>
          <cell r="I56">
            <v>0</v>
          </cell>
          <cell r="J56" t="str">
            <v>IVA</v>
          </cell>
          <cell r="K56">
            <v>3118.9329561600007</v>
          </cell>
          <cell r="L56">
            <v>0</v>
          </cell>
          <cell r="M56" t="str">
            <v>IVA</v>
          </cell>
          <cell r="N56">
            <v>1429.5109382400003</v>
          </cell>
        </row>
        <row r="57">
          <cell r="D57" t="str">
            <v>TOTAL</v>
          </cell>
          <cell r="E57">
            <v>42397.994872800009</v>
          </cell>
          <cell r="F57">
            <v>0</v>
          </cell>
          <cell r="G57" t="str">
            <v>TOTAL</v>
          </cell>
          <cell r="H57">
            <v>18843.553276800005</v>
          </cell>
          <cell r="I57">
            <v>0</v>
          </cell>
          <cell r="J57" t="str">
            <v>TOTAL</v>
          </cell>
          <cell r="K57">
            <v>22612.263932160007</v>
          </cell>
          <cell r="L57">
            <v>0</v>
          </cell>
          <cell r="M57" t="str">
            <v>TOTAL</v>
          </cell>
          <cell r="N57">
            <v>10363.954302240003</v>
          </cell>
        </row>
      </sheetData>
      <sheetData sheetId="6">
        <row r="4">
          <cell r="C4" t="str">
            <v>Gutierrez Gutierrez Luis Arturo</v>
          </cell>
        </row>
      </sheetData>
      <sheetData sheetId="7"/>
      <sheetData sheetId="8"/>
      <sheetData sheetId="9">
        <row r="3">
          <cell r="A3" t="str">
            <v>GARCIA MORALES OCTAVIO</v>
          </cell>
          <cell r="B3">
            <v>9000</v>
          </cell>
        </row>
        <row r="4">
          <cell r="A4" t="str">
            <v>SANCHEZ OVANDO RAFAEL</v>
          </cell>
          <cell r="B4">
            <v>10000</v>
          </cell>
        </row>
        <row r="5">
          <cell r="A5" t="str">
            <v>GUTIERREZ GUTIERREZ LUIS ARTURO</v>
          </cell>
          <cell r="B5">
            <v>8500</v>
          </cell>
        </row>
        <row r="6">
          <cell r="A6" t="str">
            <v>PATRICIO AGUILAR JHONATTAN CRISTIAN</v>
          </cell>
          <cell r="B6">
            <v>9000</v>
          </cell>
        </row>
        <row r="7">
          <cell r="A7" t="str">
            <v>TAvARES GUZMAN JOSE ENRIQUE</v>
          </cell>
          <cell r="B7">
            <v>11150</v>
          </cell>
        </row>
        <row r="8">
          <cell r="A8" t="str">
            <v>MACIAS TORRES ENRIQUE</v>
          </cell>
          <cell r="B8">
            <v>22000</v>
          </cell>
        </row>
        <row r="9">
          <cell r="A9" t="str">
            <v>Munguia Godinez Evangelina</v>
          </cell>
          <cell r="B9">
            <v>22000</v>
          </cell>
        </row>
        <row r="10">
          <cell r="A10" t="str">
            <v>Carbajal Cabuto Jose Luis</v>
          </cell>
          <cell r="B10">
            <v>10250</v>
          </cell>
        </row>
        <row r="11">
          <cell r="A11" t="str">
            <v>ARREOLA JIMENEZ JOSE NIEVES</v>
          </cell>
          <cell r="B11">
            <v>10150</v>
          </cell>
        </row>
        <row r="12">
          <cell r="A12" t="str">
            <v>MORGADO FERNANDEZ MARTIN</v>
          </cell>
          <cell r="B12">
            <v>15000</v>
          </cell>
        </row>
        <row r="13">
          <cell r="A13" t="str">
            <v>CABALLERO DIAZ FRANCISCO JAVIER</v>
          </cell>
          <cell r="B13">
            <v>10150</v>
          </cell>
        </row>
        <row r="14">
          <cell r="A14" t="str">
            <v>CASILLAS CARDONA CESAR ALEJANDRO</v>
          </cell>
          <cell r="B14">
            <v>12000</v>
          </cell>
        </row>
        <row r="15">
          <cell r="A15" t="str">
            <v>GARCIA VILLICAÑA RICARDO PASCUAL</v>
          </cell>
          <cell r="B15">
            <v>15000</v>
          </cell>
        </row>
        <row r="16">
          <cell r="A16" t="str">
            <v>ARROYO RAMIREZ HECTOR HUGO</v>
          </cell>
          <cell r="B16">
            <v>13000</v>
          </cell>
        </row>
        <row r="17">
          <cell r="A17" t="str">
            <v>DIAZ MARTINEZ JULIO ARTURO</v>
          </cell>
          <cell r="B17">
            <v>9000</v>
          </cell>
        </row>
        <row r="18">
          <cell r="A18" t="str">
            <v>Hernandez Ochoa Eduardo</v>
          </cell>
          <cell r="B18">
            <v>15000</v>
          </cell>
        </row>
        <row r="19">
          <cell r="A19" t="str">
            <v>MASCORRO BARRAGAN NOE</v>
          </cell>
          <cell r="B19">
            <v>10000</v>
          </cell>
        </row>
        <row r="20">
          <cell r="A20" t="str">
            <v>MARISCAL ROMERO LUIS ADRIAN</v>
          </cell>
          <cell r="B20">
            <v>14500</v>
          </cell>
        </row>
        <row r="21">
          <cell r="A21" t="str">
            <v>NIETO ORTIZ JOSE LUIS</v>
          </cell>
          <cell r="B21">
            <v>10000</v>
          </cell>
        </row>
        <row r="22">
          <cell r="A22" t="str">
            <v>DE LA TORRE ZAMBARA FRANCISCO ERNESTO</v>
          </cell>
          <cell r="B22">
            <v>10150</v>
          </cell>
        </row>
        <row r="23">
          <cell r="A23" t="str">
            <v>VALENCIA TORRES OMAR ISMAEL</v>
          </cell>
          <cell r="B23">
            <v>7000</v>
          </cell>
        </row>
        <row r="24">
          <cell r="A24" t="str">
            <v>ARELLANO LOPEZ ADRIANA ISELA</v>
          </cell>
          <cell r="B24">
            <v>6900</v>
          </cell>
        </row>
        <row r="25">
          <cell r="A25" t="str">
            <v>SALDIVAR BERNAL ALAN GABRIEL</v>
          </cell>
          <cell r="B25">
            <v>6000</v>
          </cell>
        </row>
        <row r="26">
          <cell r="A26" t="str">
            <v>GOMEZ CEJA JONATAN FERNANDO</v>
          </cell>
          <cell r="B26">
            <v>8000</v>
          </cell>
        </row>
        <row r="27">
          <cell r="A27" t="str">
            <v>GARCIA MOLINA GUSTAVO</v>
          </cell>
          <cell r="B27">
            <v>9000</v>
          </cell>
        </row>
        <row r="28">
          <cell r="A28" t="str">
            <v>PUENTE MURGUIA LUIS FELIPE</v>
          </cell>
          <cell r="B28">
            <v>7000</v>
          </cell>
        </row>
        <row r="29">
          <cell r="A29" t="str">
            <v>NAJERA LOPEZ RAUL</v>
          </cell>
          <cell r="B29">
            <v>10000</v>
          </cell>
        </row>
        <row r="30">
          <cell r="A30" t="str">
            <v>VELEZ RODRIGUEZ JAIME</v>
          </cell>
          <cell r="B30">
            <v>6000</v>
          </cell>
        </row>
        <row r="31">
          <cell r="A31" t="str">
            <v>CASTILLO SANCHEZ MIGUEL ANGEL</v>
          </cell>
          <cell r="B31">
            <v>11000</v>
          </cell>
        </row>
        <row r="32">
          <cell r="A32" t="str">
            <v>COTA JARAMILLO MIGUEL ANGEL</v>
          </cell>
          <cell r="B32">
            <v>6000</v>
          </cell>
        </row>
        <row r="33">
          <cell r="A33" t="str">
            <v>MONTOYA PORTILLO CARLOS ALBERTO</v>
          </cell>
          <cell r="B33">
            <v>8000</v>
          </cell>
        </row>
        <row r="34">
          <cell r="A34" t="str">
            <v>TORRES RICARDEZ ALFREDO</v>
          </cell>
          <cell r="B34">
            <v>8000</v>
          </cell>
        </row>
        <row r="35">
          <cell r="A35" t="str">
            <v>MAR MARQUEZ CESAR EDUARDO</v>
          </cell>
          <cell r="B35">
            <v>8000</v>
          </cell>
        </row>
        <row r="36">
          <cell r="A36" t="str">
            <v>MUÑOZ REYES LUIS EDUARDO</v>
          </cell>
          <cell r="B36">
            <v>8000</v>
          </cell>
        </row>
        <row r="37">
          <cell r="A37" t="str">
            <v>Hernandez Renteria Javier Fernando</v>
          </cell>
          <cell r="B37">
            <v>9000</v>
          </cell>
        </row>
        <row r="38">
          <cell r="A38" t="str">
            <v>NEGRETE BEJAR AIDE SARAI</v>
          </cell>
          <cell r="B38">
            <v>4620</v>
          </cell>
        </row>
        <row r="39">
          <cell r="A39" t="str">
            <v>GOMEZ ESPARZA JOSE LUIS</v>
          </cell>
          <cell r="B39">
            <v>16550</v>
          </cell>
        </row>
        <row r="40">
          <cell r="A40" t="str">
            <v>DOMINGUEZ MENDEZ VICTOR MANUEL</v>
          </cell>
          <cell r="B40">
            <v>9000</v>
          </cell>
        </row>
        <row r="41">
          <cell r="A41" t="str">
            <v>GONZALEZ RASGADO MIGUEL ISAIAS</v>
          </cell>
          <cell r="B41">
            <v>12000</v>
          </cell>
        </row>
        <row r="42">
          <cell r="A42" t="str">
            <v>MIRELES CHAPA MIGUEL ANGEL</v>
          </cell>
          <cell r="B42">
            <v>6000</v>
          </cell>
        </row>
        <row r="43">
          <cell r="A43" t="str">
            <v>Vega Zambrano Ana Lorena</v>
          </cell>
          <cell r="B43">
            <v>8000</v>
          </cell>
        </row>
        <row r="44">
          <cell r="A44" t="str">
            <v>ARCEO GARCIA MANUEL FEDERICO</v>
          </cell>
          <cell r="B44">
            <v>6000</v>
          </cell>
        </row>
        <row r="45">
          <cell r="A45" t="str">
            <v>JIMENEZ ALCARAZ ELIZABETH</v>
          </cell>
          <cell r="B45">
            <v>6000</v>
          </cell>
        </row>
        <row r="46">
          <cell r="A46" t="str">
            <v>RODRIGUEZ DIAZ CESAR SALVADOR</v>
          </cell>
          <cell r="B46">
            <v>8500</v>
          </cell>
        </row>
        <row r="47">
          <cell r="A47" t="str">
            <v>MARQUEZ ALCARAZ MARTIN</v>
          </cell>
          <cell r="B47">
            <v>8500</v>
          </cell>
        </row>
        <row r="48">
          <cell r="A48" t="str">
            <v>SANCHEZ POLANCO DAISY LETICIA</v>
          </cell>
          <cell r="B48">
            <v>15000</v>
          </cell>
        </row>
        <row r="49">
          <cell r="A49" t="str">
            <v>CASTRO MEZA JORGE</v>
          </cell>
          <cell r="B49">
            <v>9050</v>
          </cell>
        </row>
        <row r="50">
          <cell r="A50" t="str">
            <v>PRUDENCIO FRIAS OSWALDO</v>
          </cell>
          <cell r="B50">
            <v>8000</v>
          </cell>
        </row>
        <row r="51">
          <cell r="A51" t="str">
            <v>MARQUEZ ALTAMIRANO MARCO ANTONIO</v>
          </cell>
          <cell r="B51">
            <v>8000</v>
          </cell>
        </row>
        <row r="52">
          <cell r="A52" t="str">
            <v>CONTRERAS ZETINA VICTOR HUGO</v>
          </cell>
          <cell r="B52">
            <v>6900</v>
          </cell>
        </row>
        <row r="53">
          <cell r="A53" t="str">
            <v>SANCHEZ GONZALEZ MIGUEL ANGEL</v>
          </cell>
          <cell r="B53">
            <v>10000</v>
          </cell>
        </row>
        <row r="54">
          <cell r="A54" t="str">
            <v>CAMARENA QUIROZ ERICK FRANK</v>
          </cell>
          <cell r="B54">
            <v>9000</v>
          </cell>
        </row>
        <row r="55">
          <cell r="A55" t="str">
            <v>MOLINA RAMIREZ GERARDO DANIEL</v>
          </cell>
          <cell r="B55">
            <v>9000</v>
          </cell>
        </row>
        <row r="56">
          <cell r="A56" t="str">
            <v>NARANJO CHAVEZ NOE SALVADOR</v>
          </cell>
          <cell r="B56">
            <v>17000</v>
          </cell>
        </row>
        <row r="57">
          <cell r="A57" t="str">
            <v>GONZALEZ VILLANUEVA ALEJANDRA</v>
          </cell>
          <cell r="B57">
            <v>12000</v>
          </cell>
        </row>
        <row r="58">
          <cell r="A58" t="str">
            <v>AGUILAR LEAL KARINA LIVIER</v>
          </cell>
          <cell r="B58">
            <v>8000</v>
          </cell>
        </row>
        <row r="59">
          <cell r="A59" t="str">
            <v>ALMARAZ PACHECO VICTOR</v>
          </cell>
          <cell r="B59">
            <v>2521.1999999999998</v>
          </cell>
        </row>
        <row r="60">
          <cell r="A60" t="str">
            <v>ALONSO FLORES BEDA</v>
          </cell>
          <cell r="B60">
            <v>7900</v>
          </cell>
        </row>
        <row r="61">
          <cell r="A61" t="str">
            <v>AMEZCUA CONTRERAS MARTHA FRINE</v>
          </cell>
          <cell r="B61">
            <v>18500</v>
          </cell>
        </row>
        <row r="62">
          <cell r="A62" t="str">
            <v>Benavides Herrera Pablo</v>
          </cell>
          <cell r="B62">
            <v>40000</v>
          </cell>
        </row>
        <row r="63">
          <cell r="A63" t="str">
            <v>Benavides Herrera Alejandra</v>
          </cell>
          <cell r="B63">
            <v>10000</v>
          </cell>
        </row>
        <row r="64">
          <cell r="A64" t="str">
            <v>Bueno Herrera Mariana Guadalupe</v>
          </cell>
          <cell r="B64">
            <v>10000</v>
          </cell>
        </row>
        <row r="65">
          <cell r="A65" t="str">
            <v>CAMARILLO CANELA REYNALDO</v>
          </cell>
          <cell r="B65">
            <v>9800</v>
          </cell>
        </row>
        <row r="66">
          <cell r="A66" t="str">
            <v>DIAZ MUNGUIA MARTHA LILIANA</v>
          </cell>
          <cell r="B66">
            <v>17000</v>
          </cell>
        </row>
        <row r="67">
          <cell r="A67" t="str">
            <v>DOMINGUEZ LOPEZ MARIA DE JESUS</v>
          </cell>
          <cell r="B67">
            <v>13000</v>
          </cell>
        </row>
        <row r="68">
          <cell r="A68" t="str">
            <v>DOMINGUEZ LOPEZ MAYELI DEL PILAR</v>
          </cell>
          <cell r="B68">
            <v>10000</v>
          </cell>
        </row>
        <row r="69">
          <cell r="A69" t="str">
            <v>GOMEZ OLIVEROS ALIN</v>
          </cell>
          <cell r="B69">
            <v>6900</v>
          </cell>
        </row>
        <row r="70">
          <cell r="A70" t="str">
            <v>GUIZAR PEREZ SERGIO</v>
          </cell>
          <cell r="B70">
            <v>8500</v>
          </cell>
        </row>
        <row r="71">
          <cell r="A71" t="str">
            <v>GUTIERREZ MUÑOZ CARLOS ALEJANDRO</v>
          </cell>
          <cell r="B71">
            <v>12000</v>
          </cell>
        </row>
        <row r="72">
          <cell r="A72" t="str">
            <v>LARA CAMPOS MAXIMINO</v>
          </cell>
          <cell r="B72">
            <v>9500</v>
          </cell>
        </row>
        <row r="73">
          <cell r="A73" t="str">
            <v>LEAL MONTAÑO DIEGO</v>
          </cell>
          <cell r="B73">
            <v>10000</v>
          </cell>
        </row>
        <row r="74">
          <cell r="A74" t="str">
            <v>MEDINA GARCIA JOSE LUIS</v>
          </cell>
          <cell r="B74">
            <v>16000</v>
          </cell>
        </row>
        <row r="75">
          <cell r="A75" t="str">
            <v>MORA RAMIREZ ACAL ALDO ISIDRO</v>
          </cell>
          <cell r="B75">
            <v>12000</v>
          </cell>
        </row>
        <row r="76">
          <cell r="A76" t="str">
            <v>NEGRETE RENTERIA JOSE LUIS</v>
          </cell>
          <cell r="B76">
            <v>9800</v>
          </cell>
        </row>
        <row r="77">
          <cell r="A77" t="str">
            <v>NERI GUTIERREZ YESSICA ELIZABETH</v>
          </cell>
          <cell r="B77">
            <v>43000</v>
          </cell>
        </row>
        <row r="78">
          <cell r="A78" t="str">
            <v>QUINTO VALLE MARTIN</v>
          </cell>
          <cell r="B78">
            <v>10000</v>
          </cell>
        </row>
        <row r="79">
          <cell r="A79" t="str">
            <v>RAMIREZ VERA MARIA DEL CARMEN</v>
          </cell>
          <cell r="B79">
            <v>10000</v>
          </cell>
        </row>
        <row r="80">
          <cell r="A80" t="str">
            <v>RODRIGUEZ CRUZ MARIA DEL CARMEN</v>
          </cell>
          <cell r="B80">
            <v>2521.1999999999998</v>
          </cell>
        </row>
        <row r="81">
          <cell r="A81" t="str">
            <v>ROGEL TERAN MARCO ANTONIO</v>
          </cell>
          <cell r="B81">
            <v>53500</v>
          </cell>
        </row>
        <row r="82">
          <cell r="A82" t="str">
            <v>ROJO AVELAR ADRIAN</v>
          </cell>
          <cell r="B82">
            <v>7500</v>
          </cell>
        </row>
        <row r="83">
          <cell r="A83" t="str">
            <v>ROMERO MAYORAL LORENZO</v>
          </cell>
          <cell r="B83">
            <v>11500</v>
          </cell>
        </row>
        <row r="84">
          <cell r="A84" t="str">
            <v>SAUCEDO DURAN JESUS ALFREDO</v>
          </cell>
          <cell r="B84">
            <v>11000</v>
          </cell>
        </row>
        <row r="85">
          <cell r="A85" t="str">
            <v>SIERRA HERNANDEZ MARIA DEL ROCIO</v>
          </cell>
          <cell r="B85">
            <v>12000</v>
          </cell>
        </row>
        <row r="86">
          <cell r="A86" t="str">
            <v>Vazquez Perez Miguel Angel</v>
          </cell>
          <cell r="B86">
            <v>18500</v>
          </cell>
        </row>
        <row r="87">
          <cell r="A87" t="str">
            <v>COMPEAN TOBIAS BRAULIO GERARDO</v>
          </cell>
          <cell r="B87">
            <v>18000</v>
          </cell>
        </row>
        <row r="88">
          <cell r="A88" t="str">
            <v>VILLAMOR MORA ANA LUISA</v>
          </cell>
          <cell r="B88">
            <v>22000</v>
          </cell>
        </row>
      </sheetData>
      <sheetData sheetId="10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2"/>
  <dimension ref="A2:L173"/>
  <sheetViews>
    <sheetView showGridLines="0" topLeftCell="A76" zoomScale="90" zoomScaleNormal="90" workbookViewId="0">
      <selection activeCell="D135" sqref="D135"/>
    </sheetView>
  </sheetViews>
  <sheetFormatPr baseColWidth="10" defaultColWidth="11.42578125" defaultRowHeight="15" outlineLevelRow="2" x14ac:dyDescent="0.25"/>
  <cols>
    <col min="1" max="1" width="20.7109375" style="22" customWidth="1"/>
    <col min="2" max="2" width="10.5703125" style="22" bestFit="1" customWidth="1"/>
    <col min="3" max="3" width="30.5703125" style="22" customWidth="1"/>
    <col min="4" max="4" width="45.140625" style="22" customWidth="1"/>
    <col min="5" max="5" width="19.85546875" style="22" bestFit="1" customWidth="1"/>
    <col min="6" max="6" width="19.85546875" style="22" customWidth="1"/>
    <col min="7" max="7" width="19.85546875" style="22" bestFit="1" customWidth="1"/>
    <col min="8" max="8" width="17.140625" style="22" customWidth="1"/>
    <col min="9" max="9" width="17.140625" style="40" customWidth="1"/>
    <col min="10" max="10" width="17.140625" style="33" customWidth="1"/>
    <col min="11" max="16384" width="11.42578125" style="22"/>
  </cols>
  <sheetData>
    <row r="2" spans="2:10" ht="30.75" thickBot="1" x14ac:dyDescent="0.3">
      <c r="B2" s="26" t="s">
        <v>529</v>
      </c>
      <c r="C2" s="26" t="s">
        <v>530</v>
      </c>
      <c r="D2" s="26" t="s">
        <v>531</v>
      </c>
      <c r="E2" s="26" t="s">
        <v>124</v>
      </c>
      <c r="F2" s="26" t="s">
        <v>387</v>
      </c>
      <c r="G2" s="26" t="s">
        <v>468</v>
      </c>
      <c r="H2" s="32" t="s">
        <v>55</v>
      </c>
      <c r="I2" s="26" t="s">
        <v>522</v>
      </c>
      <c r="J2" s="34"/>
    </row>
    <row r="3" spans="2:10" ht="15.75" outlineLevel="2" thickTop="1" x14ac:dyDescent="0.25">
      <c r="B3" s="38" t="s">
        <v>17</v>
      </c>
      <c r="C3" s="39" t="s">
        <v>5</v>
      </c>
      <c r="D3" s="39" t="s">
        <v>312</v>
      </c>
      <c r="E3" s="39">
        <v>1558.05</v>
      </c>
      <c r="F3" s="39">
        <v>2975</v>
      </c>
      <c r="G3" s="39">
        <v>0</v>
      </c>
      <c r="H3" s="39">
        <v>4533.05</v>
      </c>
      <c r="I3" s="40" t="s">
        <v>524</v>
      </c>
    </row>
    <row r="4" spans="2:10" outlineLevel="2" x14ac:dyDescent="0.25">
      <c r="B4" s="22" t="s">
        <v>27</v>
      </c>
      <c r="C4" s="22" t="s">
        <v>5</v>
      </c>
      <c r="D4" s="22" t="s">
        <v>317</v>
      </c>
      <c r="E4" s="22">
        <v>2103.5399999999995</v>
      </c>
      <c r="G4" s="22">
        <v>234</v>
      </c>
      <c r="H4" s="22">
        <v>2337.5399999999995</v>
      </c>
      <c r="I4" s="40" t="s">
        <v>524</v>
      </c>
    </row>
    <row r="5" spans="2:10" outlineLevel="2" x14ac:dyDescent="0.25">
      <c r="B5" s="22" t="s">
        <v>21</v>
      </c>
      <c r="C5" s="22" t="s">
        <v>5</v>
      </c>
      <c r="D5" s="22" t="s">
        <v>314</v>
      </c>
      <c r="E5" s="22">
        <v>1558.0100000000004</v>
      </c>
      <c r="F5" s="16"/>
      <c r="G5" s="22">
        <v>0</v>
      </c>
      <c r="H5" s="22">
        <v>1558.0100000000004</v>
      </c>
      <c r="I5" s="40" t="s">
        <v>524</v>
      </c>
    </row>
    <row r="6" spans="2:10" outlineLevel="2" x14ac:dyDescent="0.25">
      <c r="B6" s="22" t="s">
        <v>41</v>
      </c>
      <c r="C6" s="22" t="s">
        <v>5</v>
      </c>
      <c r="D6" s="22" t="s">
        <v>133</v>
      </c>
      <c r="E6" s="22">
        <v>1608.0699999999997</v>
      </c>
      <c r="F6" s="16"/>
      <c r="G6" s="22">
        <v>0</v>
      </c>
      <c r="H6" s="22">
        <v>1608.0699999999997</v>
      </c>
      <c r="I6" s="40" t="s">
        <v>524</v>
      </c>
    </row>
    <row r="7" spans="2:10" outlineLevel="2" x14ac:dyDescent="0.25">
      <c r="B7" s="22" t="s">
        <v>23</v>
      </c>
      <c r="C7" s="22" t="s">
        <v>5</v>
      </c>
      <c r="D7" s="20" t="s">
        <v>315</v>
      </c>
      <c r="E7" s="22">
        <v>1891.2199999999991</v>
      </c>
      <c r="F7" s="16"/>
      <c r="G7" s="22">
        <v>0</v>
      </c>
      <c r="H7" s="22">
        <v>1891.2199999999991</v>
      </c>
      <c r="I7" s="40" t="s">
        <v>524</v>
      </c>
    </row>
    <row r="8" spans="2:10" outlineLevel="2" x14ac:dyDescent="0.25">
      <c r="B8" s="22" t="s">
        <v>39</v>
      </c>
      <c r="C8" s="22" t="s">
        <v>5</v>
      </c>
      <c r="D8" s="22" t="s">
        <v>324</v>
      </c>
      <c r="E8" s="22">
        <v>78.079999999999927</v>
      </c>
      <c r="F8" s="16"/>
      <c r="G8" s="22">
        <v>0</v>
      </c>
      <c r="H8" s="22">
        <v>78.079999999999927</v>
      </c>
      <c r="I8" s="40" t="s">
        <v>524</v>
      </c>
    </row>
    <row r="9" spans="2:10" outlineLevel="2" x14ac:dyDescent="0.25">
      <c r="B9" s="22" t="s">
        <v>210</v>
      </c>
      <c r="C9" s="22" t="s">
        <v>5</v>
      </c>
      <c r="D9" s="22" t="s">
        <v>318</v>
      </c>
      <c r="E9" s="22">
        <v>0</v>
      </c>
      <c r="F9" s="16"/>
      <c r="G9" s="22">
        <v>0</v>
      </c>
      <c r="H9" s="22">
        <v>0</v>
      </c>
      <c r="I9" s="40" t="s">
        <v>524</v>
      </c>
    </row>
    <row r="10" spans="2:10" outlineLevel="2" x14ac:dyDescent="0.25">
      <c r="B10" s="22" t="s">
        <v>19</v>
      </c>
      <c r="C10" s="22" t="s">
        <v>5</v>
      </c>
      <c r="D10" s="22" t="s">
        <v>313</v>
      </c>
      <c r="E10" s="22">
        <v>2600.8000000000002</v>
      </c>
      <c r="F10" s="16">
        <v>600</v>
      </c>
      <c r="G10" s="22">
        <v>0</v>
      </c>
      <c r="H10" s="22">
        <v>3200.8</v>
      </c>
      <c r="I10" s="40" t="s">
        <v>524</v>
      </c>
    </row>
    <row r="11" spans="2:10" outlineLevel="2" x14ac:dyDescent="0.25">
      <c r="B11" s="22" t="s">
        <v>9</v>
      </c>
      <c r="C11" s="22" t="s">
        <v>5</v>
      </c>
      <c r="D11" s="22" t="s">
        <v>305</v>
      </c>
      <c r="E11" s="22">
        <v>1474.6</v>
      </c>
      <c r="F11" s="31"/>
      <c r="G11" s="22">
        <v>0</v>
      </c>
      <c r="H11" s="22">
        <v>1474.6</v>
      </c>
      <c r="I11" s="40" t="s">
        <v>524</v>
      </c>
    </row>
    <row r="12" spans="2:10" outlineLevel="2" x14ac:dyDescent="0.25">
      <c r="B12" s="22" t="s">
        <v>31</v>
      </c>
      <c r="C12" s="22" t="s">
        <v>5</v>
      </c>
      <c r="D12" s="22" t="s">
        <v>132</v>
      </c>
      <c r="E12" s="22">
        <v>2600.9999999999995</v>
      </c>
      <c r="F12" s="16"/>
      <c r="G12" s="22">
        <v>0</v>
      </c>
      <c r="H12" s="22">
        <v>2600.9999999999995</v>
      </c>
      <c r="I12" s="40" t="s">
        <v>524</v>
      </c>
    </row>
    <row r="13" spans="2:10" outlineLevel="2" x14ac:dyDescent="0.25">
      <c r="B13" s="22" t="s">
        <v>15</v>
      </c>
      <c r="C13" s="22" t="s">
        <v>5</v>
      </c>
      <c r="D13" s="22" t="s">
        <v>311</v>
      </c>
      <c r="E13" s="22">
        <v>2601</v>
      </c>
      <c r="F13" s="16">
        <v>1125</v>
      </c>
      <c r="G13" s="22">
        <v>0</v>
      </c>
      <c r="H13" s="22">
        <v>3726</v>
      </c>
      <c r="I13" s="40" t="s">
        <v>524</v>
      </c>
    </row>
    <row r="14" spans="2:10" outlineLevel="2" x14ac:dyDescent="0.25">
      <c r="B14" s="22" t="s">
        <v>35</v>
      </c>
      <c r="C14" s="22" t="s">
        <v>5</v>
      </c>
      <c r="D14" s="22" t="s">
        <v>321</v>
      </c>
      <c r="E14" s="22">
        <v>1483.15</v>
      </c>
      <c r="F14" s="16">
        <v>1232</v>
      </c>
      <c r="G14" s="22">
        <v>0</v>
      </c>
      <c r="H14" s="22">
        <v>2715.15</v>
      </c>
      <c r="I14" s="40" t="s">
        <v>524</v>
      </c>
    </row>
    <row r="15" spans="2:10" outlineLevel="2" x14ac:dyDescent="0.25">
      <c r="B15" s="22" t="s">
        <v>11</v>
      </c>
      <c r="C15" s="22" t="s">
        <v>5</v>
      </c>
      <c r="D15" s="22" t="s">
        <v>306</v>
      </c>
      <c r="E15" s="22">
        <v>1587.9999999999995</v>
      </c>
      <c r="F15" s="16"/>
      <c r="G15" s="22">
        <v>0</v>
      </c>
      <c r="H15" s="22">
        <v>1587.9999999999995</v>
      </c>
      <c r="I15" s="40" t="s">
        <v>524</v>
      </c>
    </row>
    <row r="16" spans="2:10" outlineLevel="2" x14ac:dyDescent="0.25">
      <c r="B16" s="22" t="s">
        <v>13</v>
      </c>
      <c r="C16" s="22" t="s">
        <v>5</v>
      </c>
      <c r="D16" s="22" t="s">
        <v>307</v>
      </c>
      <c r="E16" s="22">
        <v>2378.1999999999994</v>
      </c>
      <c r="F16" s="16"/>
      <c r="G16" s="22">
        <v>0</v>
      </c>
      <c r="H16" s="22">
        <v>2378.1999999999994</v>
      </c>
      <c r="I16" s="40" t="s">
        <v>524</v>
      </c>
    </row>
    <row r="17" spans="2:9" outlineLevel="2" x14ac:dyDescent="0.25">
      <c r="B17" s="22" t="s">
        <v>380</v>
      </c>
      <c r="C17" s="22" t="s">
        <v>5</v>
      </c>
      <c r="D17" s="22" t="s">
        <v>381</v>
      </c>
      <c r="E17" s="22">
        <v>1587.9999999999995</v>
      </c>
      <c r="F17" s="16">
        <v>225</v>
      </c>
      <c r="G17" s="22">
        <v>0</v>
      </c>
      <c r="H17" s="22">
        <v>1812.9999999999995</v>
      </c>
      <c r="I17" s="40" t="s">
        <v>524</v>
      </c>
    </row>
    <row r="18" spans="2:9" outlineLevel="2" x14ac:dyDescent="0.25">
      <c r="B18" s="22" t="s">
        <v>402</v>
      </c>
      <c r="C18" s="2" t="s">
        <v>5</v>
      </c>
      <c r="D18" s="22" t="s">
        <v>489</v>
      </c>
      <c r="E18" s="22">
        <v>1803.2</v>
      </c>
      <c r="F18" s="16"/>
      <c r="H18" s="22">
        <v>1803.2</v>
      </c>
      <c r="I18" s="40" t="s">
        <v>524</v>
      </c>
    </row>
    <row r="19" spans="2:9" outlineLevel="2" x14ac:dyDescent="0.25">
      <c r="B19" s="27" t="s">
        <v>490</v>
      </c>
      <c r="C19" s="22" t="s">
        <v>57</v>
      </c>
      <c r="D19" s="22" t="s">
        <v>346</v>
      </c>
      <c r="E19" s="22">
        <v>2236.64</v>
      </c>
      <c r="F19" s="16">
        <v>2150</v>
      </c>
      <c r="G19" s="22">
        <v>0</v>
      </c>
      <c r="H19" s="22">
        <v>4386.6399999999994</v>
      </c>
      <c r="I19" s="40" t="s">
        <v>524</v>
      </c>
    </row>
    <row r="20" spans="2:9" outlineLevel="2" x14ac:dyDescent="0.25">
      <c r="B20" s="22" t="s">
        <v>492</v>
      </c>
      <c r="C20" s="22" t="s">
        <v>57</v>
      </c>
      <c r="D20" s="22" t="s">
        <v>340</v>
      </c>
      <c r="E20" s="22">
        <v>2271.77</v>
      </c>
      <c r="F20" s="16"/>
      <c r="G20" s="22">
        <v>0</v>
      </c>
      <c r="H20" s="22">
        <v>2271.77</v>
      </c>
      <c r="I20" s="40" t="s">
        <v>524</v>
      </c>
    </row>
    <row r="21" spans="2:9" outlineLevel="2" x14ac:dyDescent="0.25">
      <c r="B21" s="22" t="s">
        <v>493</v>
      </c>
      <c r="C21" s="22" t="s">
        <v>57</v>
      </c>
      <c r="D21" s="22" t="s">
        <v>379</v>
      </c>
      <c r="E21" s="22">
        <v>2257</v>
      </c>
      <c r="F21" s="31"/>
      <c r="G21" s="22">
        <v>0</v>
      </c>
      <c r="H21" s="22">
        <v>2257</v>
      </c>
      <c r="I21" s="40" t="s">
        <v>524</v>
      </c>
    </row>
    <row r="22" spans="2:9" outlineLevel="2" x14ac:dyDescent="0.25">
      <c r="B22" s="22" t="s">
        <v>494</v>
      </c>
      <c r="C22" s="22" t="s">
        <v>57</v>
      </c>
      <c r="D22" s="22" t="s">
        <v>382</v>
      </c>
      <c r="E22" s="22">
        <v>3723.8000000000006</v>
      </c>
      <c r="F22" s="16"/>
      <c r="G22" s="22">
        <v>0</v>
      </c>
      <c r="H22" s="22">
        <v>3723.8000000000006</v>
      </c>
      <c r="I22" s="40" t="s">
        <v>524</v>
      </c>
    </row>
    <row r="23" spans="2:9" outlineLevel="2" x14ac:dyDescent="0.25">
      <c r="B23" s="22" t="s">
        <v>495</v>
      </c>
      <c r="C23" s="22" t="s">
        <v>57</v>
      </c>
      <c r="D23" s="22" t="s">
        <v>383</v>
      </c>
      <c r="E23" s="22">
        <v>3753.7800000000007</v>
      </c>
      <c r="F23" s="16">
        <v>1280</v>
      </c>
      <c r="G23" s="22">
        <v>0</v>
      </c>
      <c r="H23" s="22">
        <v>5033.7800000000007</v>
      </c>
      <c r="I23" s="40" t="s">
        <v>524</v>
      </c>
    </row>
    <row r="24" spans="2:9" outlineLevel="2" x14ac:dyDescent="0.25">
      <c r="B24" s="22" t="s">
        <v>496</v>
      </c>
      <c r="C24" s="22" t="s">
        <v>57</v>
      </c>
      <c r="D24" s="22" t="s">
        <v>413</v>
      </c>
      <c r="E24" s="22">
        <v>2513.3999999999996</v>
      </c>
      <c r="F24" s="16"/>
      <c r="G24" s="22">
        <v>0</v>
      </c>
      <c r="H24" s="22">
        <v>2513.3999999999996</v>
      </c>
      <c r="I24" s="40" t="s">
        <v>524</v>
      </c>
    </row>
    <row r="25" spans="2:9" outlineLevel="2" x14ac:dyDescent="0.25">
      <c r="B25" s="22" t="s">
        <v>497</v>
      </c>
      <c r="C25" s="22" t="s">
        <v>57</v>
      </c>
      <c r="D25" s="22" t="s">
        <v>414</v>
      </c>
      <c r="E25" s="22">
        <v>3397.1400000000003</v>
      </c>
      <c r="F25" s="16">
        <v>1320</v>
      </c>
      <c r="G25" s="22">
        <v>0</v>
      </c>
      <c r="H25" s="22">
        <v>4717.1400000000003</v>
      </c>
      <c r="I25" s="40" t="s">
        <v>524</v>
      </c>
    </row>
    <row r="26" spans="2:9" outlineLevel="2" x14ac:dyDescent="0.25">
      <c r="B26" s="22" t="s">
        <v>498</v>
      </c>
      <c r="C26" s="22" t="s">
        <v>57</v>
      </c>
      <c r="D26" s="22" t="s">
        <v>415</v>
      </c>
      <c r="E26" s="22">
        <v>4412.1400000000003</v>
      </c>
      <c r="F26" s="16">
        <v>2320</v>
      </c>
      <c r="G26" s="22">
        <v>0</v>
      </c>
      <c r="H26" s="22">
        <v>6732.14</v>
      </c>
      <c r="I26" s="40" t="s">
        <v>524</v>
      </c>
    </row>
    <row r="27" spans="2:9" outlineLevel="2" x14ac:dyDescent="0.25">
      <c r="B27" s="22" t="s">
        <v>499</v>
      </c>
      <c r="C27" s="22" t="s">
        <v>57</v>
      </c>
      <c r="D27" s="22" t="s">
        <v>416</v>
      </c>
      <c r="E27" s="22">
        <v>1685.3000000000002</v>
      </c>
      <c r="F27" s="16">
        <v>4495</v>
      </c>
      <c r="G27" s="22">
        <v>0</v>
      </c>
      <c r="H27" s="22">
        <v>6180.3</v>
      </c>
      <c r="I27" s="40" t="s">
        <v>524</v>
      </c>
    </row>
    <row r="28" spans="2:9" outlineLevel="2" x14ac:dyDescent="0.25">
      <c r="B28" s="22" t="s">
        <v>500</v>
      </c>
      <c r="C28" s="22" t="s">
        <v>57</v>
      </c>
      <c r="D28" s="22" t="s">
        <v>417</v>
      </c>
      <c r="E28" s="22">
        <v>3382.260000000002</v>
      </c>
      <c r="F28" s="16">
        <v>950</v>
      </c>
      <c r="G28" s="22">
        <v>56.14</v>
      </c>
      <c r="H28" s="22">
        <v>4388.4000000000024</v>
      </c>
      <c r="I28" s="40" t="s">
        <v>524</v>
      </c>
    </row>
    <row r="29" spans="2:9" outlineLevel="2" x14ac:dyDescent="0.25">
      <c r="B29" s="22" t="s">
        <v>501</v>
      </c>
      <c r="C29" s="22" t="s">
        <v>57</v>
      </c>
      <c r="D29" s="22" t="s">
        <v>418</v>
      </c>
      <c r="E29" s="22">
        <v>2700.29</v>
      </c>
      <c r="F29" s="16">
        <v>680</v>
      </c>
      <c r="G29" s="22">
        <v>0</v>
      </c>
      <c r="H29" s="22">
        <v>3380.29</v>
      </c>
      <c r="I29" s="40" t="s">
        <v>524</v>
      </c>
    </row>
    <row r="30" spans="2:9" outlineLevel="2" x14ac:dyDescent="0.25">
      <c r="B30" s="22" t="s">
        <v>502</v>
      </c>
      <c r="C30" s="22" t="s">
        <v>57</v>
      </c>
      <c r="D30" s="22" t="s">
        <v>419</v>
      </c>
      <c r="E30" s="22">
        <v>1685.1999999999998</v>
      </c>
      <c r="F30" s="16"/>
      <c r="G30" s="22">
        <v>0</v>
      </c>
      <c r="H30" s="22">
        <v>1685.1999999999998</v>
      </c>
      <c r="I30" s="40" t="s">
        <v>524</v>
      </c>
    </row>
    <row r="31" spans="2:9" outlineLevel="2" x14ac:dyDescent="0.25">
      <c r="B31" s="22" t="s">
        <v>503</v>
      </c>
      <c r="C31" s="22" t="s">
        <v>57</v>
      </c>
      <c r="D31" s="22" t="s">
        <v>420</v>
      </c>
      <c r="E31" s="22">
        <v>2685.2</v>
      </c>
      <c r="F31" s="16"/>
      <c r="G31" s="22">
        <v>0</v>
      </c>
      <c r="H31" s="22">
        <v>2685.2</v>
      </c>
      <c r="I31" s="40" t="s">
        <v>524</v>
      </c>
    </row>
    <row r="32" spans="2:9" outlineLevel="2" x14ac:dyDescent="0.25">
      <c r="B32" s="22" t="s">
        <v>504</v>
      </c>
      <c r="C32" s="22" t="s">
        <v>57</v>
      </c>
      <c r="D32" s="22" t="s">
        <v>421</v>
      </c>
      <c r="E32" s="22">
        <v>1685.1999999999998</v>
      </c>
      <c r="F32" s="16"/>
      <c r="G32" s="22">
        <v>0</v>
      </c>
      <c r="H32" s="22">
        <v>1685.1999999999998</v>
      </c>
      <c r="I32" s="40" t="s">
        <v>524</v>
      </c>
    </row>
    <row r="33" spans="2:9" outlineLevel="2" x14ac:dyDescent="0.25">
      <c r="B33" s="22" t="s">
        <v>505</v>
      </c>
      <c r="C33" s="22" t="s">
        <v>57</v>
      </c>
      <c r="D33" s="22" t="s">
        <v>422</v>
      </c>
      <c r="E33" s="22">
        <v>1670.1999999999998</v>
      </c>
      <c r="F33" s="16"/>
      <c r="G33" s="22">
        <v>0</v>
      </c>
      <c r="H33" s="22">
        <v>1670.1999999999998</v>
      </c>
      <c r="I33" s="40" t="s">
        <v>524</v>
      </c>
    </row>
    <row r="34" spans="2:9" outlineLevel="2" x14ac:dyDescent="0.25">
      <c r="B34" s="22" t="s">
        <v>506</v>
      </c>
      <c r="C34" s="22" t="s">
        <v>57</v>
      </c>
      <c r="D34" s="22" t="s">
        <v>423</v>
      </c>
      <c r="E34" s="22">
        <v>2700.1400000000003</v>
      </c>
      <c r="F34" s="16"/>
      <c r="G34" s="22">
        <v>0</v>
      </c>
      <c r="H34" s="22">
        <v>2700.1400000000003</v>
      </c>
      <c r="I34" s="40" t="s">
        <v>524</v>
      </c>
    </row>
    <row r="35" spans="2:9" outlineLevel="2" x14ac:dyDescent="0.25">
      <c r="B35" s="22" t="s">
        <v>507</v>
      </c>
      <c r="C35" s="22" t="s">
        <v>57</v>
      </c>
      <c r="D35" s="22" t="s">
        <v>424</v>
      </c>
      <c r="E35" s="22">
        <v>2554.8000000000002</v>
      </c>
      <c r="F35" s="16"/>
      <c r="G35" s="22">
        <v>0</v>
      </c>
      <c r="H35" s="22">
        <v>2554.8000000000002</v>
      </c>
      <c r="I35" s="40" t="s">
        <v>524</v>
      </c>
    </row>
    <row r="36" spans="2:9" outlineLevel="2" x14ac:dyDescent="0.25">
      <c r="B36" s="22" t="s">
        <v>508</v>
      </c>
      <c r="C36" s="22" t="s">
        <v>57</v>
      </c>
      <c r="D36" s="22" t="s">
        <v>425</v>
      </c>
      <c r="E36" s="22">
        <v>1711.46</v>
      </c>
      <c r="F36" s="16"/>
      <c r="G36" s="22">
        <v>0</v>
      </c>
      <c r="H36" s="22">
        <v>1711.46</v>
      </c>
      <c r="I36" s="40" t="s">
        <v>524</v>
      </c>
    </row>
    <row r="37" spans="2:9" outlineLevel="2" x14ac:dyDescent="0.25">
      <c r="B37" s="22" t="s">
        <v>509</v>
      </c>
      <c r="C37" s="22" t="s">
        <v>57</v>
      </c>
      <c r="D37" s="22" t="s">
        <v>426</v>
      </c>
      <c r="E37" s="22">
        <v>2211.6499999999996</v>
      </c>
      <c r="F37" s="16"/>
      <c r="G37" s="22">
        <v>0</v>
      </c>
      <c r="H37" s="22">
        <v>2211.6499999999996</v>
      </c>
      <c r="I37" s="40" t="s">
        <v>524</v>
      </c>
    </row>
    <row r="38" spans="2:9" outlineLevel="2" x14ac:dyDescent="0.25">
      <c r="B38" s="22" t="s">
        <v>510</v>
      </c>
      <c r="C38" s="22" t="s">
        <v>57</v>
      </c>
      <c r="D38" s="22" t="s">
        <v>458</v>
      </c>
      <c r="E38" s="22">
        <v>2570.5700000000002</v>
      </c>
      <c r="F38" s="16"/>
      <c r="G38" s="22">
        <v>0</v>
      </c>
      <c r="H38" s="22">
        <v>2570.5700000000002</v>
      </c>
      <c r="I38" s="40" t="s">
        <v>524</v>
      </c>
    </row>
    <row r="39" spans="2:9" outlineLevel="2" x14ac:dyDescent="0.25">
      <c r="B39" s="22" t="s">
        <v>511</v>
      </c>
      <c r="C39" s="22" t="s">
        <v>57</v>
      </c>
      <c r="D39" s="22" t="s">
        <v>457</v>
      </c>
      <c r="E39" s="22">
        <v>2585.5300000000002</v>
      </c>
      <c r="F39" s="16"/>
      <c r="G39" s="22">
        <v>0</v>
      </c>
      <c r="H39" s="22">
        <v>2585.5300000000002</v>
      </c>
      <c r="I39" s="40" t="s">
        <v>524</v>
      </c>
    </row>
    <row r="40" spans="2:9" outlineLevel="2" x14ac:dyDescent="0.25">
      <c r="B40" s="22" t="s">
        <v>512</v>
      </c>
      <c r="C40" s="22" t="s">
        <v>57</v>
      </c>
      <c r="D40" s="22" t="s">
        <v>463</v>
      </c>
      <c r="E40" s="22">
        <v>2570.6</v>
      </c>
      <c r="F40" s="16">
        <v>2125</v>
      </c>
      <c r="G40" s="22">
        <v>0</v>
      </c>
      <c r="H40" s="22">
        <v>4695.6000000000004</v>
      </c>
      <c r="I40" s="40" t="s">
        <v>524</v>
      </c>
    </row>
    <row r="41" spans="2:9" outlineLevel="2" x14ac:dyDescent="0.25">
      <c r="B41" s="16" t="s">
        <v>205</v>
      </c>
      <c r="C41" s="22" t="s">
        <v>57</v>
      </c>
      <c r="D41" s="22" t="s">
        <v>342</v>
      </c>
      <c r="E41" s="22">
        <v>952.25000000000114</v>
      </c>
      <c r="F41" s="16">
        <v>16065.1</v>
      </c>
      <c r="G41" s="22">
        <v>10</v>
      </c>
      <c r="H41" s="22">
        <v>17027.350000000002</v>
      </c>
      <c r="I41" s="40" t="s">
        <v>524</v>
      </c>
    </row>
    <row r="42" spans="2:9" outlineLevel="2" x14ac:dyDescent="0.25">
      <c r="B42" s="22" t="s">
        <v>211</v>
      </c>
      <c r="C42" s="22" t="s">
        <v>57</v>
      </c>
      <c r="D42" s="22" t="s">
        <v>349</v>
      </c>
      <c r="E42" s="22">
        <v>1102.5900000000001</v>
      </c>
      <c r="F42" s="16"/>
      <c r="G42" s="22">
        <v>0</v>
      </c>
      <c r="H42" s="22">
        <v>1102.5900000000001</v>
      </c>
      <c r="I42" s="40" t="s">
        <v>524</v>
      </c>
    </row>
    <row r="43" spans="2:9" outlineLevel="2" x14ac:dyDescent="0.25">
      <c r="B43" s="22" t="s">
        <v>101</v>
      </c>
      <c r="C43" s="22" t="s">
        <v>57</v>
      </c>
      <c r="D43" s="22" t="s">
        <v>337</v>
      </c>
      <c r="E43" s="22">
        <v>152.50000000000017</v>
      </c>
      <c r="F43" s="16"/>
      <c r="G43" s="22">
        <v>0</v>
      </c>
      <c r="H43" s="22">
        <v>152.50000000000017</v>
      </c>
      <c r="I43" s="40" t="s">
        <v>524</v>
      </c>
    </row>
    <row r="44" spans="2:9" outlineLevel="2" x14ac:dyDescent="0.25">
      <c r="B44" s="21" t="s">
        <v>59</v>
      </c>
      <c r="C44" s="22" t="s">
        <v>57</v>
      </c>
      <c r="D44" s="21" t="s">
        <v>327</v>
      </c>
      <c r="E44" s="22">
        <v>231.80000000000035</v>
      </c>
      <c r="F44" s="16"/>
      <c r="G44" s="22">
        <v>0</v>
      </c>
      <c r="H44" s="22">
        <v>231.80000000000035</v>
      </c>
      <c r="I44" s="40" t="s">
        <v>524</v>
      </c>
    </row>
    <row r="45" spans="2:9" outlineLevel="2" x14ac:dyDescent="0.25">
      <c r="B45" s="22" t="s">
        <v>217</v>
      </c>
      <c r="C45" s="22" t="s">
        <v>57</v>
      </c>
      <c r="D45" s="22" t="s">
        <v>352</v>
      </c>
      <c r="E45" s="22">
        <v>1452.0999999999995</v>
      </c>
      <c r="F45" s="16">
        <v>2269.7199999999998</v>
      </c>
      <c r="G45" s="22">
        <v>0</v>
      </c>
      <c r="H45" s="22">
        <v>3721.8199999999993</v>
      </c>
      <c r="I45" s="40" t="s">
        <v>524</v>
      </c>
    </row>
    <row r="46" spans="2:9" outlineLevel="2" x14ac:dyDescent="0.25">
      <c r="B46" s="22" t="s">
        <v>73</v>
      </c>
      <c r="C46" s="22" t="s">
        <v>57</v>
      </c>
      <c r="D46" s="22" t="s">
        <v>329</v>
      </c>
      <c r="E46" s="22">
        <v>1549.9700000000007</v>
      </c>
      <c r="F46" s="16">
        <v>960</v>
      </c>
      <c r="G46" s="22">
        <v>0</v>
      </c>
      <c r="H46" s="22">
        <v>2509.9700000000007</v>
      </c>
      <c r="I46" s="40" t="s">
        <v>524</v>
      </c>
    </row>
    <row r="47" spans="2:9" outlineLevel="2" x14ac:dyDescent="0.25">
      <c r="B47" s="22" t="s">
        <v>105</v>
      </c>
      <c r="C47" s="22" t="s">
        <v>57</v>
      </c>
      <c r="D47" s="22" t="s">
        <v>339</v>
      </c>
      <c r="E47" s="22">
        <v>233.19999999999982</v>
      </c>
      <c r="F47" s="16"/>
      <c r="G47" s="22">
        <v>0</v>
      </c>
      <c r="H47" s="22">
        <v>233.19999999999982</v>
      </c>
      <c r="I47" s="40" t="s">
        <v>524</v>
      </c>
    </row>
    <row r="48" spans="2:9" outlineLevel="2" x14ac:dyDescent="0.25">
      <c r="B48" s="22" t="s">
        <v>363</v>
      </c>
      <c r="C48" s="22" t="s">
        <v>57</v>
      </c>
      <c r="D48" s="20" t="s">
        <v>364</v>
      </c>
      <c r="E48" s="22">
        <v>151.40000000000009</v>
      </c>
      <c r="F48" s="16"/>
      <c r="G48" s="22">
        <v>0</v>
      </c>
      <c r="H48" s="22">
        <v>151.40000000000009</v>
      </c>
      <c r="I48" s="40" t="s">
        <v>524</v>
      </c>
    </row>
    <row r="49" spans="2:9" outlineLevel="2" x14ac:dyDescent="0.25">
      <c r="B49" s="22" t="s">
        <v>368</v>
      </c>
      <c r="C49" s="22" t="s">
        <v>57</v>
      </c>
      <c r="D49" s="22" t="s">
        <v>369</v>
      </c>
      <c r="E49" s="22">
        <v>69.740000000000322</v>
      </c>
      <c r="F49" s="16">
        <v>3360</v>
      </c>
      <c r="G49" s="22">
        <v>0</v>
      </c>
      <c r="H49" s="22">
        <v>3429.7400000000002</v>
      </c>
      <c r="I49" s="40" t="s">
        <v>524</v>
      </c>
    </row>
    <row r="50" spans="2:9" outlineLevel="2" x14ac:dyDescent="0.25">
      <c r="B50" s="22" t="s">
        <v>219</v>
      </c>
      <c r="C50" s="22" t="s">
        <v>57</v>
      </c>
      <c r="D50" s="22" t="s">
        <v>355</v>
      </c>
      <c r="E50" s="22">
        <v>1437.13</v>
      </c>
      <c r="F50" s="16"/>
      <c r="G50" s="22">
        <v>0</v>
      </c>
      <c r="H50" s="22">
        <v>1437.13</v>
      </c>
      <c r="I50" s="40" t="s">
        <v>524</v>
      </c>
    </row>
    <row r="51" spans="2:9" outlineLevel="2" x14ac:dyDescent="0.25">
      <c r="B51" s="22" t="s">
        <v>83</v>
      </c>
      <c r="C51" s="22" t="s">
        <v>57</v>
      </c>
      <c r="D51" s="22" t="s">
        <v>332</v>
      </c>
      <c r="E51" s="22">
        <v>549.99999999999977</v>
      </c>
      <c r="F51" s="16"/>
      <c r="G51" s="22">
        <v>0</v>
      </c>
      <c r="H51" s="22">
        <v>549.99999999999977</v>
      </c>
      <c r="I51" s="40" t="s">
        <v>524</v>
      </c>
    </row>
    <row r="52" spans="2:9" outlineLevel="2" x14ac:dyDescent="0.25">
      <c r="B52" s="22" t="s">
        <v>201</v>
      </c>
      <c r="C52" s="22" t="s">
        <v>57</v>
      </c>
      <c r="D52" s="22" t="s">
        <v>341</v>
      </c>
      <c r="E52" s="22">
        <v>602.59999999999991</v>
      </c>
      <c r="F52" s="16">
        <v>1843.07</v>
      </c>
      <c r="G52" s="22">
        <v>0</v>
      </c>
      <c r="H52" s="22">
        <v>2445.67</v>
      </c>
      <c r="I52" s="40" t="s">
        <v>524</v>
      </c>
    </row>
    <row r="53" spans="2:9" outlineLevel="2" x14ac:dyDescent="0.25">
      <c r="B53" s="22" t="s">
        <v>85</v>
      </c>
      <c r="C53" s="22" t="s">
        <v>57</v>
      </c>
      <c r="D53" s="22" t="s">
        <v>333</v>
      </c>
      <c r="E53" s="22">
        <v>896.39999999999986</v>
      </c>
      <c r="F53" s="16"/>
      <c r="G53" s="22">
        <v>0</v>
      </c>
      <c r="H53" s="22">
        <v>896.39999999999986</v>
      </c>
      <c r="I53" s="40" t="s">
        <v>524</v>
      </c>
    </row>
    <row r="54" spans="2:9" outlineLevel="2" x14ac:dyDescent="0.25">
      <c r="B54" s="22" t="s">
        <v>207</v>
      </c>
      <c r="C54" s="22" t="s">
        <v>57</v>
      </c>
      <c r="D54" s="22" t="s">
        <v>344</v>
      </c>
      <c r="E54" s="22">
        <v>904.80000000000052</v>
      </c>
      <c r="F54" s="16"/>
      <c r="G54" s="22">
        <v>0</v>
      </c>
      <c r="H54" s="22">
        <v>904.80000000000052</v>
      </c>
      <c r="I54" s="40" t="s">
        <v>524</v>
      </c>
    </row>
    <row r="55" spans="2:9" outlineLevel="2" x14ac:dyDescent="0.25">
      <c r="B55" s="22" t="s">
        <v>71</v>
      </c>
      <c r="C55" s="22" t="s">
        <v>57</v>
      </c>
      <c r="D55" s="22" t="s">
        <v>358</v>
      </c>
      <c r="E55" s="22">
        <v>549.99999999999977</v>
      </c>
      <c r="F55" s="16"/>
      <c r="G55" s="22">
        <v>0</v>
      </c>
      <c r="H55" s="22">
        <v>549.99999999999977</v>
      </c>
      <c r="I55" s="40" t="s">
        <v>524</v>
      </c>
    </row>
    <row r="56" spans="2:9" outlineLevel="2" x14ac:dyDescent="0.25">
      <c r="B56" s="22" t="s">
        <v>218</v>
      </c>
      <c r="C56" s="22" t="s">
        <v>57</v>
      </c>
      <c r="D56" s="22" t="s">
        <v>353</v>
      </c>
      <c r="E56" s="22">
        <v>1475.2</v>
      </c>
      <c r="F56" s="16"/>
      <c r="G56" s="22">
        <v>0</v>
      </c>
      <c r="H56" s="22">
        <v>1475.2</v>
      </c>
      <c r="I56" s="40" t="s">
        <v>524</v>
      </c>
    </row>
    <row r="57" spans="2:9" outlineLevel="2" x14ac:dyDescent="0.25">
      <c r="B57" s="22" t="s">
        <v>87</v>
      </c>
      <c r="C57" s="22" t="s">
        <v>57</v>
      </c>
      <c r="D57" s="20" t="s">
        <v>365</v>
      </c>
      <c r="E57" s="22">
        <v>435.40000000000003</v>
      </c>
      <c r="F57" s="16"/>
      <c r="G57" s="22">
        <v>0</v>
      </c>
      <c r="H57" s="22">
        <v>435.40000000000003</v>
      </c>
      <c r="I57" s="40" t="s">
        <v>524</v>
      </c>
    </row>
    <row r="58" spans="2:9" outlineLevel="2" x14ac:dyDescent="0.25">
      <c r="B58" s="22" t="s">
        <v>115</v>
      </c>
      <c r="C58" s="22" t="s">
        <v>57</v>
      </c>
      <c r="D58" s="22" t="s">
        <v>356</v>
      </c>
      <c r="E58" s="22">
        <v>977.3499999999998</v>
      </c>
      <c r="F58" s="16"/>
      <c r="G58" s="22">
        <v>0</v>
      </c>
      <c r="H58" s="22">
        <v>977.3499999999998</v>
      </c>
      <c r="I58" s="40" t="s">
        <v>524</v>
      </c>
    </row>
    <row r="59" spans="2:9" outlineLevel="2" x14ac:dyDescent="0.25">
      <c r="B59" s="22" t="s">
        <v>103</v>
      </c>
      <c r="C59" s="22" t="s">
        <v>57</v>
      </c>
      <c r="D59" s="22" t="s">
        <v>338</v>
      </c>
      <c r="E59" s="22">
        <v>452.19999999999959</v>
      </c>
      <c r="F59" s="16">
        <v>260</v>
      </c>
      <c r="G59" s="22">
        <v>0</v>
      </c>
      <c r="H59" s="22">
        <v>712.19999999999959</v>
      </c>
      <c r="I59" s="40" t="s">
        <v>524</v>
      </c>
    </row>
    <row r="60" spans="2:9" outlineLevel="2" x14ac:dyDescent="0.25">
      <c r="B60" s="22" t="s">
        <v>361</v>
      </c>
      <c r="C60" s="22" t="s">
        <v>57</v>
      </c>
      <c r="D60" s="20" t="s">
        <v>362</v>
      </c>
      <c r="E60" s="22">
        <v>450.40000000000026</v>
      </c>
      <c r="F60" s="16">
        <v>1550</v>
      </c>
      <c r="G60" s="22">
        <v>0</v>
      </c>
      <c r="H60" s="22">
        <v>2000.4000000000003</v>
      </c>
      <c r="I60" s="40" t="s">
        <v>524</v>
      </c>
    </row>
    <row r="61" spans="2:9" outlineLevel="2" x14ac:dyDescent="0.25">
      <c r="B61" s="22" t="s">
        <v>81</v>
      </c>
      <c r="C61" s="22" t="s">
        <v>57</v>
      </c>
      <c r="D61" s="22" t="s">
        <v>331</v>
      </c>
      <c r="E61" s="22">
        <v>465.37999999999988</v>
      </c>
      <c r="F61" s="16"/>
      <c r="G61" s="22">
        <v>0</v>
      </c>
      <c r="H61" s="22">
        <v>465.37999999999988</v>
      </c>
      <c r="I61" s="40" t="s">
        <v>524</v>
      </c>
    </row>
    <row r="62" spans="2:9" outlineLevel="2" x14ac:dyDescent="0.25">
      <c r="B62" s="22" t="s">
        <v>91</v>
      </c>
      <c r="C62" s="22" t="s">
        <v>57</v>
      </c>
      <c r="D62" s="22" t="s">
        <v>335</v>
      </c>
      <c r="E62" s="22">
        <v>656.13000000000011</v>
      </c>
      <c r="F62" s="16">
        <v>1120</v>
      </c>
      <c r="G62" s="22">
        <v>0</v>
      </c>
      <c r="H62" s="22">
        <v>1776.13</v>
      </c>
      <c r="I62" s="40" t="s">
        <v>524</v>
      </c>
    </row>
    <row r="63" spans="2:9" outlineLevel="2" x14ac:dyDescent="0.25">
      <c r="B63" s="22" t="s">
        <v>79</v>
      </c>
      <c r="C63" s="22" t="s">
        <v>57</v>
      </c>
      <c r="D63" s="22" t="s">
        <v>330</v>
      </c>
      <c r="E63" s="22">
        <v>14.799999999999955</v>
      </c>
      <c r="F63" s="16"/>
      <c r="G63" s="22">
        <v>0</v>
      </c>
      <c r="H63" s="22">
        <v>14.799999999999955</v>
      </c>
      <c r="I63" s="40" t="s">
        <v>524</v>
      </c>
    </row>
    <row r="64" spans="2:9" outlineLevel="2" x14ac:dyDescent="0.25">
      <c r="B64" s="22" t="s">
        <v>209</v>
      </c>
      <c r="C64" s="22" t="s">
        <v>57</v>
      </c>
      <c r="D64" s="20" t="s">
        <v>348</v>
      </c>
      <c r="E64" s="22">
        <v>1169.9700000000003</v>
      </c>
      <c r="F64" s="16"/>
      <c r="G64" s="22">
        <v>0</v>
      </c>
      <c r="H64" s="22">
        <v>1169.9700000000003</v>
      </c>
      <c r="I64" s="40" t="s">
        <v>524</v>
      </c>
    </row>
    <row r="65" spans="2:9" outlineLevel="2" x14ac:dyDescent="0.25">
      <c r="B65" s="22" t="s">
        <v>93</v>
      </c>
      <c r="C65" s="22" t="s">
        <v>57</v>
      </c>
      <c r="D65" s="22" t="s">
        <v>336</v>
      </c>
      <c r="E65" s="22">
        <v>240.19999999999962</v>
      </c>
      <c r="F65" s="16"/>
      <c r="G65" s="22">
        <v>0</v>
      </c>
      <c r="H65" s="22">
        <v>240.19999999999962</v>
      </c>
      <c r="I65" s="40" t="s">
        <v>524</v>
      </c>
    </row>
    <row r="66" spans="2:9" outlineLevel="2" x14ac:dyDescent="0.25">
      <c r="B66" s="22" t="s">
        <v>208</v>
      </c>
      <c r="C66" s="22" t="s">
        <v>57</v>
      </c>
      <c r="D66" s="22" t="s">
        <v>347</v>
      </c>
      <c r="E66" s="22">
        <v>641.19999999999936</v>
      </c>
      <c r="F66" s="16">
        <v>350</v>
      </c>
      <c r="G66" s="22">
        <v>0</v>
      </c>
      <c r="H66" s="22">
        <v>991.19999999999936</v>
      </c>
      <c r="I66" s="40" t="s">
        <v>524</v>
      </c>
    </row>
    <row r="67" spans="2:9" outlineLevel="2" x14ac:dyDescent="0.25">
      <c r="B67" s="22" t="s">
        <v>213</v>
      </c>
      <c r="C67" s="22" t="s">
        <v>57</v>
      </c>
      <c r="D67" s="22" t="s">
        <v>351</v>
      </c>
      <c r="E67" s="22">
        <v>1467.1899999999996</v>
      </c>
      <c r="F67" s="16"/>
      <c r="G67" s="22">
        <v>0</v>
      </c>
      <c r="H67" s="22">
        <v>1467.1899999999996</v>
      </c>
      <c r="I67" s="40" t="s">
        <v>524</v>
      </c>
    </row>
    <row r="68" spans="2:9" outlineLevel="2" x14ac:dyDescent="0.25">
      <c r="B68" s="22" t="s">
        <v>113</v>
      </c>
      <c r="C68" s="22" t="s">
        <v>57</v>
      </c>
      <c r="D68" s="22" t="s">
        <v>354</v>
      </c>
      <c r="E68" s="22">
        <v>992.06999999999971</v>
      </c>
      <c r="F68" s="16"/>
      <c r="G68" s="22">
        <v>0</v>
      </c>
      <c r="H68" s="22">
        <v>992.06999999999971</v>
      </c>
      <c r="I68" s="40" t="s">
        <v>524</v>
      </c>
    </row>
    <row r="69" spans="2:9" outlineLevel="2" x14ac:dyDescent="0.25">
      <c r="B69" s="22" t="s">
        <v>221</v>
      </c>
      <c r="C69" s="22" t="s">
        <v>57</v>
      </c>
      <c r="D69" s="22" t="s">
        <v>357</v>
      </c>
      <c r="E69" s="22">
        <v>917.5</v>
      </c>
      <c r="F69" s="16"/>
      <c r="G69" s="22">
        <v>0</v>
      </c>
      <c r="H69" s="22">
        <v>917.5</v>
      </c>
      <c r="I69" s="40" t="s">
        <v>524</v>
      </c>
    </row>
    <row r="70" spans="2:9" outlineLevel="2" x14ac:dyDescent="0.25">
      <c r="B70" s="22" t="s">
        <v>212</v>
      </c>
      <c r="C70" s="22" t="s">
        <v>57</v>
      </c>
      <c r="D70" s="22" t="s">
        <v>350</v>
      </c>
      <c r="E70" s="22">
        <v>2202.2099999999996</v>
      </c>
      <c r="F70" s="16"/>
      <c r="G70" s="22">
        <v>0</v>
      </c>
      <c r="H70" s="22">
        <v>2202.2099999999996</v>
      </c>
      <c r="I70" s="40" t="s">
        <v>524</v>
      </c>
    </row>
    <row r="71" spans="2:9" outlineLevel="2" x14ac:dyDescent="0.25">
      <c r="B71" s="22" t="s">
        <v>67</v>
      </c>
      <c r="C71" s="22" t="s">
        <v>57</v>
      </c>
      <c r="D71" s="22" t="s">
        <v>328</v>
      </c>
      <c r="E71" s="22">
        <v>450.40000000000009</v>
      </c>
      <c r="F71" s="16"/>
      <c r="G71" s="22">
        <v>0</v>
      </c>
      <c r="H71" s="22">
        <v>450.40000000000009</v>
      </c>
      <c r="I71" s="40" t="s">
        <v>524</v>
      </c>
    </row>
    <row r="72" spans="2:9" outlineLevel="2" x14ac:dyDescent="0.25">
      <c r="B72" s="22" t="s">
        <v>89</v>
      </c>
      <c r="C72" s="22" t="s">
        <v>57</v>
      </c>
      <c r="D72" s="22" t="s">
        <v>334</v>
      </c>
      <c r="E72" s="22">
        <v>1167.5500000000002</v>
      </c>
      <c r="F72" s="16"/>
      <c r="G72" s="22">
        <v>20</v>
      </c>
      <c r="H72" s="22">
        <v>1187.5500000000002</v>
      </c>
      <c r="I72" s="40" t="s">
        <v>524</v>
      </c>
    </row>
    <row r="73" spans="2:9" outlineLevel="2" x14ac:dyDescent="0.25">
      <c r="B73" s="22" t="s">
        <v>378</v>
      </c>
      <c r="C73" s="22" t="s">
        <v>57</v>
      </c>
      <c r="D73" s="22" t="s">
        <v>377</v>
      </c>
      <c r="E73" s="22">
        <v>734.09999999999991</v>
      </c>
      <c r="F73" s="16">
        <v>1325</v>
      </c>
      <c r="G73" s="22">
        <v>5.4999999999999858</v>
      </c>
      <c r="H73" s="22">
        <v>2064.6</v>
      </c>
      <c r="I73" s="40" t="s">
        <v>524</v>
      </c>
    </row>
    <row r="74" spans="2:9" outlineLevel="2" x14ac:dyDescent="0.25">
      <c r="B74" s="22" t="s">
        <v>385</v>
      </c>
      <c r="C74" s="22" t="s">
        <v>57</v>
      </c>
      <c r="D74" s="22" t="s">
        <v>386</v>
      </c>
      <c r="E74" s="22">
        <v>755.07000000000028</v>
      </c>
      <c r="F74" s="16">
        <v>1275</v>
      </c>
      <c r="G74" s="22">
        <v>0</v>
      </c>
      <c r="H74" s="22">
        <v>2030.0700000000002</v>
      </c>
      <c r="I74" s="40" t="s">
        <v>524</v>
      </c>
    </row>
    <row r="75" spans="2:9" outlineLevel="2" x14ac:dyDescent="0.25">
      <c r="B75" s="22" t="s">
        <v>390</v>
      </c>
      <c r="C75" s="22" t="s">
        <v>57</v>
      </c>
      <c r="D75" s="22" t="s">
        <v>391</v>
      </c>
      <c r="E75" s="22">
        <v>452.19999999999982</v>
      </c>
      <c r="F75" s="16">
        <v>1375</v>
      </c>
      <c r="G75" s="22">
        <v>0</v>
      </c>
      <c r="H75" s="22">
        <v>1827.1999999999998</v>
      </c>
      <c r="I75" s="40" t="s">
        <v>524</v>
      </c>
    </row>
    <row r="76" spans="2:9" outlineLevel="2" x14ac:dyDescent="0.25">
      <c r="B76" s="22" t="s">
        <v>392</v>
      </c>
      <c r="C76" s="22" t="s">
        <v>57</v>
      </c>
      <c r="D76" s="22" t="s">
        <v>393</v>
      </c>
      <c r="E76" s="22">
        <v>22.599999999999909</v>
      </c>
      <c r="F76" s="16"/>
      <c r="G76" s="22">
        <v>0</v>
      </c>
      <c r="H76" s="22">
        <v>22.599999999999909</v>
      </c>
      <c r="I76" s="40" t="s">
        <v>524</v>
      </c>
    </row>
    <row r="77" spans="2:9" outlineLevel="2" x14ac:dyDescent="0.25">
      <c r="B77" s="22" t="s">
        <v>394</v>
      </c>
      <c r="C77" s="22" t="s">
        <v>57</v>
      </c>
      <c r="D77" s="22" t="s">
        <v>395</v>
      </c>
      <c r="E77" s="22">
        <v>152.49999999999983</v>
      </c>
      <c r="F77" s="16"/>
      <c r="G77" s="22">
        <v>0</v>
      </c>
      <c r="H77" s="22">
        <v>152.49999999999983</v>
      </c>
      <c r="I77" s="40" t="s">
        <v>524</v>
      </c>
    </row>
    <row r="78" spans="2:9" outlineLevel="2" x14ac:dyDescent="0.25">
      <c r="B78" s="22" t="s">
        <v>405</v>
      </c>
      <c r="C78" s="22" t="s">
        <v>57</v>
      </c>
      <c r="D78" s="22" t="s">
        <v>406</v>
      </c>
      <c r="E78" s="22">
        <v>452.2</v>
      </c>
      <c r="F78" s="16">
        <v>2900</v>
      </c>
      <c r="G78" s="22">
        <v>0</v>
      </c>
      <c r="H78" s="22">
        <v>3352.2</v>
      </c>
      <c r="I78" s="40" t="s">
        <v>524</v>
      </c>
    </row>
    <row r="79" spans="2:9" outlineLevel="2" x14ac:dyDescent="0.25">
      <c r="B79" s="22" t="s">
        <v>43</v>
      </c>
      <c r="C79" s="22" t="s">
        <v>57</v>
      </c>
      <c r="D79" s="22" t="s">
        <v>397</v>
      </c>
      <c r="E79" s="22">
        <v>452.39999999999986</v>
      </c>
      <c r="F79" s="16"/>
      <c r="G79" s="22">
        <v>0</v>
      </c>
      <c r="H79" s="22">
        <v>452.39999999999986</v>
      </c>
      <c r="I79" s="40" t="s">
        <v>524</v>
      </c>
    </row>
    <row r="80" spans="2:9" outlineLevel="2" x14ac:dyDescent="0.25">
      <c r="B80" s="22" t="s">
        <v>402</v>
      </c>
      <c r="C80" s="22" t="s">
        <v>57</v>
      </c>
      <c r="D80" s="22" t="s">
        <v>398</v>
      </c>
      <c r="E80" s="22">
        <v>1139.3999999999996</v>
      </c>
      <c r="F80" s="16"/>
      <c r="G80" s="22">
        <v>0</v>
      </c>
      <c r="H80" s="22">
        <v>1139.3999999999996</v>
      </c>
      <c r="I80" s="40" t="s">
        <v>524</v>
      </c>
    </row>
    <row r="81" spans="2:12" s="20" customFormat="1" outlineLevel="2" x14ac:dyDescent="0.25">
      <c r="B81" s="22" t="s">
        <v>403</v>
      </c>
      <c r="C81" s="22" t="s">
        <v>57</v>
      </c>
      <c r="D81" s="22" t="s">
        <v>399</v>
      </c>
      <c r="E81" s="22">
        <v>1139.3999999999996</v>
      </c>
      <c r="F81" s="16"/>
      <c r="G81" s="22">
        <v>0</v>
      </c>
      <c r="H81" s="22">
        <v>1139.3999999999996</v>
      </c>
      <c r="I81" s="40" t="s">
        <v>524</v>
      </c>
      <c r="J81" s="33"/>
      <c r="K81" s="22"/>
      <c r="L81" s="22"/>
    </row>
    <row r="82" spans="2:12" outlineLevel="2" x14ac:dyDescent="0.25">
      <c r="B82" s="22" t="s">
        <v>404</v>
      </c>
      <c r="C82" s="22" t="s">
        <v>57</v>
      </c>
      <c r="D82" s="22" t="s">
        <v>400</v>
      </c>
      <c r="E82" s="22">
        <v>1139.3999999999996</v>
      </c>
      <c r="F82" s="16"/>
      <c r="G82" s="22">
        <v>0</v>
      </c>
      <c r="H82" s="22">
        <v>1139.3999999999996</v>
      </c>
      <c r="I82" s="40" t="s">
        <v>524</v>
      </c>
    </row>
    <row r="83" spans="2:12" outlineLevel="2" x14ac:dyDescent="0.25">
      <c r="B83" s="16" t="s">
        <v>407</v>
      </c>
      <c r="C83" s="16" t="s">
        <v>57</v>
      </c>
      <c r="D83" s="16" t="s">
        <v>408</v>
      </c>
      <c r="E83" s="22">
        <v>152.40000000000009</v>
      </c>
      <c r="F83" s="16"/>
      <c r="G83" s="22">
        <v>0</v>
      </c>
      <c r="H83" s="22">
        <v>152.40000000000009</v>
      </c>
      <c r="I83" s="40" t="s">
        <v>524</v>
      </c>
    </row>
    <row r="84" spans="2:12" outlineLevel="2" x14ac:dyDescent="0.25">
      <c r="B84" s="16" t="s">
        <v>409</v>
      </c>
      <c r="C84" s="16" t="s">
        <v>57</v>
      </c>
      <c r="D84" s="16" t="s">
        <v>410</v>
      </c>
      <c r="E84" s="22">
        <v>452.19999999999982</v>
      </c>
      <c r="F84" s="16">
        <v>3050</v>
      </c>
      <c r="G84" s="22">
        <v>0</v>
      </c>
      <c r="H84" s="22">
        <v>3502.2</v>
      </c>
      <c r="I84" s="40" t="s">
        <v>524</v>
      </c>
    </row>
    <row r="85" spans="2:12" outlineLevel="2" x14ac:dyDescent="0.25">
      <c r="B85" s="22" t="s">
        <v>411</v>
      </c>
      <c r="C85" s="16" t="s">
        <v>57</v>
      </c>
      <c r="D85" s="22" t="s">
        <v>412</v>
      </c>
      <c r="E85" s="22">
        <v>70.599999999999994</v>
      </c>
      <c r="F85" s="16"/>
      <c r="G85" s="22">
        <v>0</v>
      </c>
      <c r="H85" s="22">
        <v>70.599999999999994</v>
      </c>
      <c r="I85" s="40" t="s">
        <v>524</v>
      </c>
    </row>
    <row r="86" spans="2:12" outlineLevel="2" x14ac:dyDescent="0.25">
      <c r="B86" s="22" t="s">
        <v>427</v>
      </c>
      <c r="C86" s="16" t="s">
        <v>57</v>
      </c>
      <c r="D86" s="22" t="s">
        <v>428</v>
      </c>
      <c r="E86" s="22">
        <v>452.19999999999982</v>
      </c>
      <c r="F86" s="16"/>
      <c r="G86" s="22">
        <v>0</v>
      </c>
      <c r="H86" s="22">
        <v>452.19999999999982</v>
      </c>
      <c r="I86" s="40" t="s">
        <v>524</v>
      </c>
    </row>
    <row r="87" spans="2:12" outlineLevel="2" x14ac:dyDescent="0.25">
      <c r="B87" s="22" t="s">
        <v>429</v>
      </c>
      <c r="C87" s="16" t="s">
        <v>57</v>
      </c>
      <c r="D87" s="22" t="s">
        <v>430</v>
      </c>
      <c r="E87" s="22">
        <v>137.59999999999991</v>
      </c>
      <c r="F87" s="16"/>
      <c r="G87" s="22">
        <v>0</v>
      </c>
      <c r="H87" s="22">
        <v>137.59999999999991</v>
      </c>
      <c r="I87" s="40" t="s">
        <v>524</v>
      </c>
    </row>
    <row r="88" spans="2:12" outlineLevel="2" x14ac:dyDescent="0.25">
      <c r="B88" s="22" t="s">
        <v>431</v>
      </c>
      <c r="C88" s="16" t="s">
        <v>57</v>
      </c>
      <c r="D88" s="22" t="s">
        <v>432</v>
      </c>
      <c r="E88" s="22">
        <v>248.20499999999993</v>
      </c>
      <c r="F88" s="16"/>
      <c r="G88" s="22">
        <v>0</v>
      </c>
      <c r="H88" s="22">
        <v>248.20499999999993</v>
      </c>
      <c r="I88" s="40" t="s">
        <v>524</v>
      </c>
    </row>
    <row r="89" spans="2:12" outlineLevel="2" x14ac:dyDescent="0.25">
      <c r="B89" s="22" t="s">
        <v>433</v>
      </c>
      <c r="C89" s="16" t="s">
        <v>57</v>
      </c>
      <c r="D89" s="22" t="s">
        <v>434</v>
      </c>
      <c r="E89" s="22">
        <v>452.19999999999982</v>
      </c>
      <c r="F89" s="16"/>
      <c r="G89" s="22">
        <v>0</v>
      </c>
      <c r="H89" s="22">
        <v>452.19999999999982</v>
      </c>
      <c r="I89" s="40" t="s">
        <v>524</v>
      </c>
    </row>
    <row r="90" spans="2:12" outlineLevel="2" x14ac:dyDescent="0.25">
      <c r="B90" s="22" t="s">
        <v>435</v>
      </c>
      <c r="C90" s="16" t="s">
        <v>57</v>
      </c>
      <c r="D90" s="22" t="s">
        <v>436</v>
      </c>
      <c r="E90" s="22">
        <v>442.80000000000064</v>
      </c>
      <c r="F90" s="16"/>
      <c r="G90" s="22">
        <v>0</v>
      </c>
      <c r="H90" s="22">
        <v>442.80000000000064</v>
      </c>
      <c r="I90" s="40" t="s">
        <v>524</v>
      </c>
    </row>
    <row r="91" spans="2:12" outlineLevel="2" x14ac:dyDescent="0.25">
      <c r="B91" s="22" t="s">
        <v>437</v>
      </c>
      <c r="C91" s="16" t="s">
        <v>57</v>
      </c>
      <c r="D91" s="22" t="s">
        <v>438</v>
      </c>
      <c r="E91" s="22">
        <v>452.19999999999982</v>
      </c>
      <c r="F91" s="16">
        <v>860</v>
      </c>
      <c r="G91" s="22">
        <v>0</v>
      </c>
      <c r="H91" s="22">
        <v>1312.1999999999998</v>
      </c>
      <c r="I91" s="40" t="s">
        <v>524</v>
      </c>
    </row>
    <row r="92" spans="2:12" outlineLevel="2" x14ac:dyDescent="0.25">
      <c r="B92" s="22" t="s">
        <v>439</v>
      </c>
      <c r="C92" s="16" t="s">
        <v>57</v>
      </c>
      <c r="D92" s="22" t="s">
        <v>440</v>
      </c>
      <c r="E92" s="22">
        <v>656.19999999999982</v>
      </c>
      <c r="F92" s="16"/>
      <c r="G92" s="22">
        <v>0</v>
      </c>
      <c r="H92" s="22">
        <v>656.19999999999982</v>
      </c>
      <c r="I92" s="40" t="s">
        <v>524</v>
      </c>
    </row>
    <row r="93" spans="2:12" outlineLevel="2" x14ac:dyDescent="0.25">
      <c r="B93" s="22" t="s">
        <v>441</v>
      </c>
      <c r="C93" s="16" t="s">
        <v>57</v>
      </c>
      <c r="D93" s="22" t="s">
        <v>442</v>
      </c>
      <c r="E93" s="22">
        <v>437.19999999999982</v>
      </c>
      <c r="F93" s="16"/>
      <c r="G93" s="22">
        <v>0</v>
      </c>
      <c r="H93" s="22">
        <v>437.19999999999982</v>
      </c>
      <c r="I93" s="40" t="s">
        <v>524</v>
      </c>
    </row>
    <row r="94" spans="2:12" outlineLevel="2" x14ac:dyDescent="0.25">
      <c r="B94" s="22" t="s">
        <v>443</v>
      </c>
      <c r="C94" s="16" t="s">
        <v>57</v>
      </c>
      <c r="D94" s="22" t="s">
        <v>444</v>
      </c>
      <c r="E94" s="22">
        <v>609.22499999999991</v>
      </c>
      <c r="F94" s="16">
        <v>1550</v>
      </c>
      <c r="G94" s="22">
        <v>0</v>
      </c>
      <c r="H94" s="22">
        <v>2159.2249999999999</v>
      </c>
      <c r="I94" s="40" t="s">
        <v>524</v>
      </c>
    </row>
    <row r="95" spans="2:12" outlineLevel="2" x14ac:dyDescent="0.25">
      <c r="B95" s="22" t="s">
        <v>445</v>
      </c>
      <c r="C95" s="16" t="s">
        <v>57</v>
      </c>
      <c r="D95" s="22" t="s">
        <v>446</v>
      </c>
      <c r="E95" s="22">
        <v>422.95499999999993</v>
      </c>
      <c r="F95" s="16">
        <v>1875</v>
      </c>
      <c r="G95" s="22">
        <v>0</v>
      </c>
      <c r="H95" s="22">
        <v>2297.9549999999999</v>
      </c>
      <c r="I95" s="40" t="s">
        <v>524</v>
      </c>
    </row>
    <row r="96" spans="2:12" outlineLevel="2" x14ac:dyDescent="0.25">
      <c r="B96" s="22" t="s">
        <v>447</v>
      </c>
      <c r="C96" s="16" t="s">
        <v>57</v>
      </c>
      <c r="D96" s="22" t="s">
        <v>448</v>
      </c>
      <c r="E96" s="22">
        <v>499.65500000000065</v>
      </c>
      <c r="F96" s="16">
        <v>125</v>
      </c>
      <c r="G96" s="22">
        <v>0</v>
      </c>
      <c r="H96" s="22">
        <v>624.65500000000065</v>
      </c>
      <c r="I96" s="40" t="s">
        <v>524</v>
      </c>
    </row>
    <row r="97" spans="2:9" ht="15.75" outlineLevel="2" x14ac:dyDescent="0.25">
      <c r="B97" s="30" t="s">
        <v>520</v>
      </c>
      <c r="C97" s="16" t="s">
        <v>57</v>
      </c>
      <c r="D97" s="30" t="s">
        <v>521</v>
      </c>
      <c r="E97" s="22">
        <v>450.6</v>
      </c>
      <c r="F97" s="16"/>
      <c r="H97" s="22">
        <v>450.6</v>
      </c>
      <c r="I97" s="40" t="s">
        <v>524</v>
      </c>
    </row>
    <row r="98" spans="2:9" outlineLevel="2" x14ac:dyDescent="0.25">
      <c r="B98" s="22" t="s">
        <v>449</v>
      </c>
      <c r="C98" s="16" t="s">
        <v>57</v>
      </c>
      <c r="D98" s="22" t="s">
        <v>450</v>
      </c>
      <c r="E98" s="22">
        <v>436.94999999999982</v>
      </c>
      <c r="F98" s="16">
        <v>4510</v>
      </c>
      <c r="G98" s="22">
        <v>0</v>
      </c>
      <c r="H98" s="22">
        <v>4946.95</v>
      </c>
      <c r="I98" s="40" t="s">
        <v>524</v>
      </c>
    </row>
    <row r="99" spans="2:9" outlineLevel="2" x14ac:dyDescent="0.25">
      <c r="B99" s="22" t="s">
        <v>451</v>
      </c>
      <c r="C99" s="16" t="s">
        <v>57</v>
      </c>
      <c r="D99" s="22" t="s">
        <v>452</v>
      </c>
      <c r="E99" s="22">
        <v>514.68499999999995</v>
      </c>
      <c r="F99" s="16"/>
      <c r="G99" s="22">
        <v>0</v>
      </c>
      <c r="H99" s="22">
        <v>514.68499999999995</v>
      </c>
      <c r="I99" s="40" t="s">
        <v>524</v>
      </c>
    </row>
    <row r="100" spans="2:9" outlineLevel="2" x14ac:dyDescent="0.25">
      <c r="B100" s="22" t="s">
        <v>455</v>
      </c>
      <c r="C100" s="16" t="s">
        <v>57</v>
      </c>
      <c r="D100" s="22" t="s">
        <v>456</v>
      </c>
      <c r="E100" s="22">
        <v>437.20000000000005</v>
      </c>
      <c r="F100" s="16"/>
      <c r="G100" s="22">
        <v>0</v>
      </c>
      <c r="H100" s="22">
        <v>437.20000000000005</v>
      </c>
      <c r="I100" s="40" t="s">
        <v>524</v>
      </c>
    </row>
    <row r="101" spans="2:9" outlineLevel="2" x14ac:dyDescent="0.25">
      <c r="B101" s="22" t="s">
        <v>459</v>
      </c>
      <c r="C101" s="16" t="s">
        <v>57</v>
      </c>
      <c r="D101" s="22" t="s">
        <v>460</v>
      </c>
      <c r="E101" s="22">
        <v>452.2</v>
      </c>
      <c r="F101" s="16"/>
      <c r="G101" s="22">
        <v>0</v>
      </c>
      <c r="H101" s="22">
        <v>452.2</v>
      </c>
      <c r="I101" s="40" t="s">
        <v>524</v>
      </c>
    </row>
    <row r="102" spans="2:9" outlineLevel="2" x14ac:dyDescent="0.25">
      <c r="B102" s="22" t="s">
        <v>461</v>
      </c>
      <c r="C102" s="16" t="s">
        <v>57</v>
      </c>
      <c r="D102" s="22" t="s">
        <v>462</v>
      </c>
      <c r="E102" s="22">
        <v>14.239999999999782</v>
      </c>
      <c r="F102" s="16"/>
      <c r="G102" s="22">
        <v>0</v>
      </c>
      <c r="H102" s="22">
        <v>14.239999999999782</v>
      </c>
      <c r="I102" s="40" t="s">
        <v>524</v>
      </c>
    </row>
    <row r="103" spans="2:9" outlineLevel="2" x14ac:dyDescent="0.25">
      <c r="B103" s="22" t="s">
        <v>464</v>
      </c>
      <c r="C103" s="16" t="s">
        <v>57</v>
      </c>
      <c r="D103" s="22" t="s">
        <v>465</v>
      </c>
      <c r="E103" s="22">
        <v>1139.3999999999996</v>
      </c>
      <c r="F103" s="16"/>
      <c r="G103" s="22">
        <v>0</v>
      </c>
      <c r="H103" s="22">
        <v>1139.3999999999996</v>
      </c>
      <c r="I103" s="40" t="s">
        <v>524</v>
      </c>
    </row>
    <row r="104" spans="2:9" outlineLevel="2" x14ac:dyDescent="0.25">
      <c r="B104" s="22" t="s">
        <v>466</v>
      </c>
      <c r="C104" s="16" t="s">
        <v>57</v>
      </c>
      <c r="D104" s="22" t="s">
        <v>467</v>
      </c>
      <c r="E104" s="22">
        <v>452.19999999999982</v>
      </c>
      <c r="F104" s="16">
        <v>3025</v>
      </c>
      <c r="G104" s="22">
        <v>0</v>
      </c>
      <c r="H104" s="22">
        <v>3477.2</v>
      </c>
      <c r="I104" s="40" t="s">
        <v>524</v>
      </c>
    </row>
    <row r="105" spans="2:9" outlineLevel="2" x14ac:dyDescent="0.25">
      <c r="B105" s="22" t="s">
        <v>469</v>
      </c>
      <c r="C105" s="16" t="s">
        <v>57</v>
      </c>
      <c r="D105" s="22" t="s">
        <v>470</v>
      </c>
      <c r="E105" s="22">
        <v>452.19999999999982</v>
      </c>
      <c r="F105" s="16">
        <v>2775</v>
      </c>
      <c r="G105" s="22">
        <v>0</v>
      </c>
      <c r="H105" s="22">
        <v>3227.2</v>
      </c>
      <c r="I105" s="40" t="s">
        <v>524</v>
      </c>
    </row>
    <row r="106" spans="2:9" outlineLevel="2" x14ac:dyDescent="0.25">
      <c r="B106" s="22" t="s">
        <v>471</v>
      </c>
      <c r="C106" s="16" t="s">
        <v>57</v>
      </c>
      <c r="D106" s="22" t="s">
        <v>472</v>
      </c>
      <c r="E106" s="22">
        <v>152.59999999999991</v>
      </c>
      <c r="F106" s="16"/>
      <c r="G106" s="22">
        <v>0</v>
      </c>
      <c r="H106" s="22">
        <v>152.59999999999991</v>
      </c>
      <c r="I106" s="40" t="s">
        <v>524</v>
      </c>
    </row>
    <row r="107" spans="2:9" outlineLevel="2" x14ac:dyDescent="0.25">
      <c r="B107" s="22" t="s">
        <v>473</v>
      </c>
      <c r="C107" s="16" t="s">
        <v>57</v>
      </c>
      <c r="D107" s="22" t="s">
        <v>474</v>
      </c>
      <c r="E107" s="22">
        <v>452.20000000000005</v>
      </c>
      <c r="F107" s="16"/>
      <c r="G107" s="22">
        <v>0</v>
      </c>
      <c r="H107" s="22">
        <v>452.20000000000005</v>
      </c>
      <c r="I107" s="40" t="s">
        <v>524</v>
      </c>
    </row>
    <row r="108" spans="2:9" outlineLevel="2" x14ac:dyDescent="0.25">
      <c r="B108" s="22" t="s">
        <v>475</v>
      </c>
      <c r="C108" s="16" t="s">
        <v>57</v>
      </c>
      <c r="D108" s="22" t="s">
        <v>476</v>
      </c>
      <c r="E108" s="22">
        <v>450.40000000000009</v>
      </c>
      <c r="F108" s="16"/>
      <c r="G108" s="22">
        <v>0</v>
      </c>
      <c r="H108" s="22">
        <v>450.40000000000009</v>
      </c>
      <c r="I108" s="40" t="s">
        <v>524</v>
      </c>
    </row>
    <row r="109" spans="2:9" outlineLevel="2" x14ac:dyDescent="0.25">
      <c r="B109" s="22" t="s">
        <v>477</v>
      </c>
      <c r="C109" s="16" t="s">
        <v>57</v>
      </c>
      <c r="D109" s="22" t="s">
        <v>478</v>
      </c>
      <c r="E109" s="22">
        <v>435.40000000000009</v>
      </c>
      <c r="F109" s="16">
        <v>1400</v>
      </c>
      <c r="G109" s="22">
        <v>0</v>
      </c>
      <c r="H109" s="22">
        <v>1835.4</v>
      </c>
      <c r="I109" s="40" t="s">
        <v>524</v>
      </c>
    </row>
    <row r="110" spans="2:9" outlineLevel="2" x14ac:dyDescent="0.25">
      <c r="B110" s="22" t="s">
        <v>481</v>
      </c>
      <c r="C110" s="16" t="s">
        <v>57</v>
      </c>
      <c r="D110" s="22" t="s">
        <v>479</v>
      </c>
      <c r="E110" s="22">
        <v>167.61999999999989</v>
      </c>
      <c r="F110" s="16"/>
      <c r="G110" s="22">
        <v>0</v>
      </c>
      <c r="H110" s="22">
        <v>167.61999999999989</v>
      </c>
      <c r="I110" s="40" t="s">
        <v>524</v>
      </c>
    </row>
    <row r="111" spans="2:9" outlineLevel="2" x14ac:dyDescent="0.25">
      <c r="B111" s="22" t="s">
        <v>483</v>
      </c>
      <c r="C111" s="16" t="s">
        <v>57</v>
      </c>
      <c r="D111" s="22" t="s">
        <v>484</v>
      </c>
      <c r="E111" s="22">
        <v>127</v>
      </c>
      <c r="F111" s="16"/>
      <c r="G111" s="22">
        <v>0</v>
      </c>
      <c r="H111" s="22">
        <v>127</v>
      </c>
      <c r="I111" s="40" t="s">
        <v>524</v>
      </c>
    </row>
    <row r="112" spans="2:9" outlineLevel="2" x14ac:dyDescent="0.25">
      <c r="B112" s="22" t="s">
        <v>485</v>
      </c>
      <c r="C112" s="16" t="s">
        <v>57</v>
      </c>
      <c r="D112" s="22" t="s">
        <v>486</v>
      </c>
      <c r="E112" s="22">
        <v>127</v>
      </c>
      <c r="F112" s="16"/>
      <c r="G112" s="22">
        <v>0</v>
      </c>
      <c r="H112" s="22">
        <v>127</v>
      </c>
      <c r="I112" s="40" t="s">
        <v>524</v>
      </c>
    </row>
    <row r="113" spans="1:9" outlineLevel="2" x14ac:dyDescent="0.25">
      <c r="B113" s="22" t="s">
        <v>482</v>
      </c>
      <c r="C113" s="16" t="s">
        <v>57</v>
      </c>
      <c r="D113" s="22" t="s">
        <v>480</v>
      </c>
      <c r="E113" s="22">
        <v>452.19999999999982</v>
      </c>
      <c r="F113" s="16"/>
      <c r="G113" s="22">
        <v>0</v>
      </c>
      <c r="H113" s="22">
        <v>452.19999999999982</v>
      </c>
      <c r="I113" s="40" t="s">
        <v>524</v>
      </c>
    </row>
    <row r="114" spans="1:9" ht="15.75" outlineLevel="2" x14ac:dyDescent="0.25">
      <c r="B114" s="30" t="s">
        <v>515</v>
      </c>
      <c r="C114" s="23" t="s">
        <v>57</v>
      </c>
      <c r="D114" s="30" t="s">
        <v>516</v>
      </c>
      <c r="E114" s="22">
        <v>428.5</v>
      </c>
      <c r="F114" s="16"/>
      <c r="H114" s="22">
        <v>428.5</v>
      </c>
      <c r="I114" s="40" t="s">
        <v>524</v>
      </c>
    </row>
    <row r="115" spans="1:9" ht="15.75" outlineLevel="2" x14ac:dyDescent="0.25">
      <c r="B115" s="30" t="s">
        <v>514</v>
      </c>
      <c r="C115" s="23" t="s">
        <v>57</v>
      </c>
      <c r="D115" s="30" t="s">
        <v>513</v>
      </c>
      <c r="E115" s="22">
        <v>151.29999999999981</v>
      </c>
      <c r="F115" s="16">
        <v>2275</v>
      </c>
      <c r="H115" s="22">
        <v>2426.2999999999997</v>
      </c>
      <c r="I115" s="40" t="s">
        <v>524</v>
      </c>
    </row>
    <row r="116" spans="1:9" ht="15.75" outlineLevel="2" x14ac:dyDescent="0.25">
      <c r="B116" s="30" t="s">
        <v>518</v>
      </c>
      <c r="C116" s="23" t="s">
        <v>57</v>
      </c>
      <c r="D116" s="30" t="s">
        <v>519</v>
      </c>
      <c r="E116" s="22">
        <v>47.93</v>
      </c>
      <c r="H116" s="22">
        <v>47.93</v>
      </c>
      <c r="I116" s="40" t="s">
        <v>524</v>
      </c>
    </row>
    <row r="117" spans="1:9" ht="15.75" outlineLevel="1" x14ac:dyDescent="0.25">
      <c r="A117" s="44" t="s">
        <v>526</v>
      </c>
      <c r="B117" s="30">
        <f t="shared" ref="B117:I117" si="0">SUBTOTAL(9,B3:B116)</f>
        <v>0</v>
      </c>
      <c r="C117" s="23">
        <f t="shared" si="0"/>
        <v>0</v>
      </c>
      <c r="D117" s="30">
        <f t="shared" si="0"/>
        <v>0</v>
      </c>
      <c r="E117" s="22">
        <f t="shared" si="0"/>
        <v>128157.35499999998</v>
      </c>
      <c r="F117" s="22">
        <f t="shared" si="0"/>
        <v>77574.89</v>
      </c>
      <c r="G117" s="22">
        <f t="shared" si="0"/>
        <v>325.64</v>
      </c>
      <c r="H117" s="22">
        <f t="shared" si="0"/>
        <v>206057.88500000013</v>
      </c>
      <c r="I117" s="40">
        <f t="shared" si="0"/>
        <v>0</v>
      </c>
    </row>
    <row r="118" spans="1:9" outlineLevel="2" x14ac:dyDescent="0.25">
      <c r="B118" s="22" t="s">
        <v>202</v>
      </c>
      <c r="C118" s="22" t="s">
        <v>5</v>
      </c>
      <c r="D118" s="13" t="s">
        <v>308</v>
      </c>
      <c r="E118" s="22">
        <v>13773.200000000003</v>
      </c>
      <c r="F118" s="16"/>
      <c r="G118" s="22">
        <v>0</v>
      </c>
      <c r="H118" s="22">
        <v>13773.200000000003</v>
      </c>
      <c r="I118" s="40" t="s">
        <v>525</v>
      </c>
    </row>
    <row r="119" spans="1:9" outlineLevel="2" x14ac:dyDescent="0.25">
      <c r="B119" s="22" t="s">
        <v>215</v>
      </c>
      <c r="C119" s="22" t="s">
        <v>5</v>
      </c>
      <c r="D119" s="22" t="s">
        <v>322</v>
      </c>
      <c r="E119" s="22">
        <v>12613.8</v>
      </c>
      <c r="F119" s="16"/>
      <c r="G119" s="22">
        <v>0</v>
      </c>
      <c r="H119" s="22">
        <v>12613.8</v>
      </c>
      <c r="I119" s="40" t="s">
        <v>525</v>
      </c>
    </row>
    <row r="120" spans="1:9" outlineLevel="2" x14ac:dyDescent="0.25">
      <c r="B120" s="22" t="s">
        <v>220</v>
      </c>
      <c r="C120" s="22" t="s">
        <v>5</v>
      </c>
      <c r="D120" s="20" t="s">
        <v>359</v>
      </c>
      <c r="E120" s="22">
        <v>9303.1999999999989</v>
      </c>
      <c r="F120" s="16"/>
      <c r="G120" s="22">
        <v>0</v>
      </c>
      <c r="H120" s="22">
        <v>9303.1999999999989</v>
      </c>
      <c r="I120" s="40" t="s">
        <v>525</v>
      </c>
    </row>
    <row r="121" spans="1:9" outlineLevel="1" x14ac:dyDescent="0.25">
      <c r="A121" s="44" t="s">
        <v>527</v>
      </c>
      <c r="B121" s="22">
        <f t="shared" ref="B121:I121" si="1">SUBTOTAL(9,B118:B120)</f>
        <v>0</v>
      </c>
      <c r="C121" s="22">
        <f t="shared" si="1"/>
        <v>0</v>
      </c>
      <c r="D121" s="20">
        <f t="shared" si="1"/>
        <v>0</v>
      </c>
      <c r="E121" s="22">
        <f t="shared" si="1"/>
        <v>35690.199999999997</v>
      </c>
      <c r="F121" s="16">
        <f t="shared" si="1"/>
        <v>0</v>
      </c>
      <c r="G121" s="22">
        <f t="shared" si="1"/>
        <v>0</v>
      </c>
      <c r="H121" s="22">
        <f t="shared" si="1"/>
        <v>35690.199999999997</v>
      </c>
      <c r="I121" s="40">
        <f t="shared" si="1"/>
        <v>0</v>
      </c>
    </row>
    <row r="122" spans="1:9" outlineLevel="2" x14ac:dyDescent="0.25">
      <c r="B122" s="14" t="s">
        <v>67</v>
      </c>
      <c r="C122" s="22" t="s">
        <v>5</v>
      </c>
      <c r="D122" s="22" t="s">
        <v>303</v>
      </c>
      <c r="E122" s="22">
        <v>3646.7899999999986</v>
      </c>
      <c r="F122" s="16"/>
      <c r="G122" s="22">
        <v>180</v>
      </c>
      <c r="H122" s="22">
        <v>3826.7899999999986</v>
      </c>
      <c r="I122" s="40" t="s">
        <v>523</v>
      </c>
    </row>
    <row r="123" spans="1:9" outlineLevel="2" x14ac:dyDescent="0.25">
      <c r="B123" s="22" t="s">
        <v>214</v>
      </c>
      <c r="C123" s="22" t="s">
        <v>5</v>
      </c>
      <c r="D123" s="22" t="s">
        <v>320</v>
      </c>
      <c r="E123" s="22">
        <v>3509.7599999999993</v>
      </c>
      <c r="F123" s="16"/>
      <c r="G123" s="22">
        <v>0</v>
      </c>
      <c r="H123" s="22">
        <v>3509.7599999999993</v>
      </c>
      <c r="I123" s="40" t="s">
        <v>523</v>
      </c>
    </row>
    <row r="124" spans="1:9" outlineLevel="2" x14ac:dyDescent="0.25">
      <c r="B124" s="22" t="s">
        <v>29</v>
      </c>
      <c r="C124" s="22" t="s">
        <v>5</v>
      </c>
      <c r="D124" s="22" t="s">
        <v>319</v>
      </c>
      <c r="E124" s="22">
        <v>5216.1200000000008</v>
      </c>
      <c r="F124" s="16"/>
      <c r="G124" s="22">
        <v>244.5</v>
      </c>
      <c r="H124" s="22">
        <v>5460.6200000000008</v>
      </c>
      <c r="I124" s="40" t="s">
        <v>523</v>
      </c>
    </row>
    <row r="125" spans="1:9" outlineLevel="2" x14ac:dyDescent="0.25">
      <c r="B125" s="22" t="s">
        <v>25</v>
      </c>
      <c r="C125" s="22" t="s">
        <v>5</v>
      </c>
      <c r="D125" s="22" t="s">
        <v>316</v>
      </c>
      <c r="E125" s="22">
        <v>2751.71</v>
      </c>
      <c r="F125" s="16">
        <v>900</v>
      </c>
      <c r="G125" s="22">
        <v>0</v>
      </c>
      <c r="H125" s="22">
        <v>3651.71</v>
      </c>
      <c r="I125" s="40" t="s">
        <v>523</v>
      </c>
    </row>
    <row r="126" spans="1:9" outlineLevel="2" x14ac:dyDescent="0.25">
      <c r="B126" s="22" t="s">
        <v>203</v>
      </c>
      <c r="C126" s="22" t="s">
        <v>5</v>
      </c>
      <c r="D126" s="22" t="s">
        <v>309</v>
      </c>
      <c r="E126" s="22">
        <v>2463.8000000000002</v>
      </c>
      <c r="F126" s="16"/>
      <c r="G126" s="22">
        <v>195</v>
      </c>
      <c r="H126" s="22">
        <v>2658.8</v>
      </c>
      <c r="I126" s="40" t="s">
        <v>523</v>
      </c>
    </row>
    <row r="127" spans="1:9" outlineLevel="2" x14ac:dyDescent="0.25">
      <c r="B127" s="22" t="s">
        <v>43</v>
      </c>
      <c r="C127" s="22" t="s">
        <v>5</v>
      </c>
      <c r="D127" s="22" t="s">
        <v>134</v>
      </c>
      <c r="E127" s="22">
        <v>6989.9</v>
      </c>
      <c r="F127" s="16">
        <v>2003</v>
      </c>
      <c r="G127" s="22">
        <v>0</v>
      </c>
      <c r="H127" s="22">
        <v>8992.9</v>
      </c>
      <c r="I127" s="40" t="s">
        <v>523</v>
      </c>
    </row>
    <row r="128" spans="1:9" outlineLevel="2" x14ac:dyDescent="0.25">
      <c r="B128" s="22" t="s">
        <v>216</v>
      </c>
      <c r="C128" s="22" t="s">
        <v>5</v>
      </c>
      <c r="D128" s="22" t="s">
        <v>323</v>
      </c>
      <c r="E128" s="22">
        <v>1891.1999999999998</v>
      </c>
      <c r="F128" s="16"/>
      <c r="G128" s="22">
        <v>0</v>
      </c>
      <c r="H128" s="22">
        <v>1891.1999999999998</v>
      </c>
      <c r="I128" s="40" t="s">
        <v>523</v>
      </c>
    </row>
    <row r="129" spans="1:11" outlineLevel="2" x14ac:dyDescent="0.25">
      <c r="B129" s="22" t="s">
        <v>204</v>
      </c>
      <c r="C129" s="22" t="s">
        <v>5</v>
      </c>
      <c r="D129" s="22" t="s">
        <v>310</v>
      </c>
      <c r="E129" s="22">
        <v>4176.8000000000011</v>
      </c>
      <c r="F129" s="16"/>
      <c r="G129" s="22">
        <v>0</v>
      </c>
      <c r="H129" s="22">
        <v>4176.8000000000011</v>
      </c>
      <c r="I129" s="40" t="s">
        <v>523</v>
      </c>
    </row>
    <row r="130" spans="1:11" outlineLevel="2" x14ac:dyDescent="0.25">
      <c r="B130" s="21" t="s">
        <v>384</v>
      </c>
      <c r="C130" s="22" t="s">
        <v>5</v>
      </c>
      <c r="D130" s="22" t="s">
        <v>325</v>
      </c>
      <c r="E130" s="22">
        <v>4546.2000000000007</v>
      </c>
      <c r="F130" s="16"/>
      <c r="G130" s="22">
        <v>0</v>
      </c>
      <c r="H130" s="22">
        <v>4546.2000000000007</v>
      </c>
      <c r="I130" s="40" t="s">
        <v>523</v>
      </c>
    </row>
    <row r="131" spans="1:11" outlineLevel="2" x14ac:dyDescent="0.25">
      <c r="B131" s="22" t="s">
        <v>453</v>
      </c>
      <c r="C131" s="22" t="s">
        <v>5</v>
      </c>
      <c r="D131" s="22" t="s">
        <v>454</v>
      </c>
      <c r="E131" s="22">
        <v>1803.1900000000003</v>
      </c>
      <c r="F131" s="16"/>
      <c r="G131" s="22">
        <v>0</v>
      </c>
      <c r="H131" s="22">
        <v>1803.1900000000003</v>
      </c>
      <c r="I131" s="40" t="s">
        <v>523</v>
      </c>
    </row>
    <row r="132" spans="1:11" outlineLevel="2" x14ac:dyDescent="0.25">
      <c r="B132" s="22" t="s">
        <v>491</v>
      </c>
      <c r="C132" s="22" t="s">
        <v>57</v>
      </c>
      <c r="D132" s="22" t="s">
        <v>345</v>
      </c>
      <c r="E132" s="22">
        <v>2917.21</v>
      </c>
      <c r="F132" s="16">
        <v>2280</v>
      </c>
      <c r="G132" s="22">
        <v>0</v>
      </c>
      <c r="H132" s="22">
        <v>5197.21</v>
      </c>
      <c r="I132" s="40" t="s">
        <v>523</v>
      </c>
    </row>
    <row r="133" spans="1:11" outlineLevel="2" x14ac:dyDescent="0.25">
      <c r="B133" s="22" t="s">
        <v>206</v>
      </c>
      <c r="C133" s="22" t="s">
        <v>57</v>
      </c>
      <c r="D133" s="22" t="s">
        <v>343</v>
      </c>
      <c r="E133" s="22">
        <v>2254.0000000000009</v>
      </c>
      <c r="F133" s="16"/>
      <c r="G133" s="22">
        <v>0</v>
      </c>
      <c r="H133" s="22">
        <v>2254.0000000000009</v>
      </c>
      <c r="I133" s="40" t="s">
        <v>523</v>
      </c>
    </row>
    <row r="134" spans="1:11" outlineLevel="1" x14ac:dyDescent="0.25">
      <c r="A134" s="44" t="s">
        <v>528</v>
      </c>
      <c r="B134" s="22">
        <f t="shared" ref="B134:I134" si="2">SUBTOTAL(9,B122:B133)</f>
        <v>0</v>
      </c>
      <c r="C134" s="22">
        <f t="shared" si="2"/>
        <v>0</v>
      </c>
      <c r="D134" s="22">
        <f t="shared" si="2"/>
        <v>0</v>
      </c>
      <c r="E134" s="22">
        <f t="shared" si="2"/>
        <v>42166.68</v>
      </c>
      <c r="F134" s="16">
        <f t="shared" si="2"/>
        <v>5183</v>
      </c>
      <c r="G134" s="22">
        <f t="shared" si="2"/>
        <v>619.5</v>
      </c>
      <c r="H134" s="22">
        <f t="shared" si="2"/>
        <v>47969.18</v>
      </c>
      <c r="I134" s="40">
        <f t="shared" si="2"/>
        <v>0</v>
      </c>
    </row>
    <row r="135" spans="1:11" ht="14.25" customHeight="1" x14ac:dyDescent="0.25">
      <c r="B135" s="25"/>
      <c r="C135" s="16"/>
      <c r="D135" s="24" t="s">
        <v>45</v>
      </c>
      <c r="E135" s="24">
        <f>SUM(E134,E121,E117)</f>
        <v>206014.23499999999</v>
      </c>
      <c r="F135" s="24">
        <f>SUM(F134,F121,F117)</f>
        <v>82757.89</v>
      </c>
      <c r="G135" s="24">
        <f>SUM(G134,G121,G117)</f>
        <v>945.14</v>
      </c>
      <c r="H135" s="24">
        <f>SUM(H134,H121,H117)</f>
        <v>289717.26500000013</v>
      </c>
      <c r="I135" s="41"/>
      <c r="J135" s="35"/>
      <c r="K135" s="24"/>
    </row>
    <row r="136" spans="1:11" ht="14.25" customHeight="1" x14ac:dyDescent="0.25">
      <c r="B136" s="25"/>
      <c r="C136" s="16"/>
      <c r="D136" s="24"/>
      <c r="E136" s="24"/>
      <c r="F136" s="24"/>
      <c r="G136" s="24"/>
      <c r="H136" s="24"/>
      <c r="I136" s="41"/>
      <c r="J136" s="35"/>
      <c r="K136" s="24"/>
    </row>
    <row r="137" spans="1:11" ht="14.25" customHeight="1" x14ac:dyDescent="0.25">
      <c r="B137" s="25"/>
      <c r="C137" s="16"/>
      <c r="D137" s="24"/>
      <c r="E137" s="24"/>
      <c r="F137" s="24"/>
      <c r="G137" s="24"/>
      <c r="H137" s="24"/>
      <c r="I137" s="41"/>
      <c r="J137" s="35"/>
      <c r="K137" s="24"/>
    </row>
    <row r="138" spans="1:11" ht="14.25" customHeight="1" x14ac:dyDescent="0.25">
      <c r="B138" s="25"/>
      <c r="C138" s="16"/>
      <c r="D138" s="24"/>
      <c r="E138" s="24"/>
      <c r="F138" s="24"/>
      <c r="G138" s="24"/>
      <c r="H138" s="24"/>
      <c r="I138" s="41"/>
      <c r="J138" s="35"/>
      <c r="K138" s="24"/>
    </row>
    <row r="139" spans="1:11" x14ac:dyDescent="0.25">
      <c r="B139" s="25"/>
      <c r="C139" s="16"/>
      <c r="D139" s="25"/>
      <c r="F139" s="25"/>
      <c r="G139" s="152" t="s">
        <v>524</v>
      </c>
      <c r="H139" s="152"/>
    </row>
    <row r="140" spans="1:11" x14ac:dyDescent="0.25">
      <c r="C140" s="25"/>
      <c r="E140" s="24"/>
      <c r="G140" s="28"/>
      <c r="H140" s="29">
        <f>+H117</f>
        <v>206057.88500000013</v>
      </c>
      <c r="I140" s="42"/>
      <c r="J140" s="36"/>
    </row>
    <row r="141" spans="1:11" x14ac:dyDescent="0.25">
      <c r="B141" s="25"/>
      <c r="C141" s="25"/>
      <c r="D141" s="25"/>
      <c r="G141" s="28" t="s">
        <v>517</v>
      </c>
      <c r="H141" s="29">
        <v>0</v>
      </c>
      <c r="I141" s="42"/>
      <c r="J141" s="36"/>
    </row>
    <row r="142" spans="1:11" x14ac:dyDescent="0.25">
      <c r="B142" s="25"/>
      <c r="D142" s="25"/>
      <c r="G142" s="28"/>
      <c r="H142" s="28">
        <f>+H140+H141</f>
        <v>206057.88500000013</v>
      </c>
      <c r="I142" s="43"/>
      <c r="J142" s="37"/>
    </row>
    <row r="143" spans="1:11" x14ac:dyDescent="0.25">
      <c r="B143" s="25"/>
      <c r="C143" s="25"/>
      <c r="D143" s="25"/>
      <c r="G143" s="28"/>
      <c r="H143" s="28">
        <f>+H142*2%</f>
        <v>4121.1577000000025</v>
      </c>
      <c r="I143" s="43"/>
      <c r="J143" s="37"/>
    </row>
    <row r="144" spans="1:11" x14ac:dyDescent="0.25">
      <c r="B144" s="25"/>
      <c r="C144" s="25"/>
      <c r="D144" s="25"/>
      <c r="E144" s="22">
        <v>0</v>
      </c>
      <c r="G144" s="28"/>
      <c r="H144" s="28">
        <f>+H142+H143</f>
        <v>210179.04270000014</v>
      </c>
      <c r="I144" s="43"/>
      <c r="J144" s="37"/>
    </row>
    <row r="145" spans="3:10" x14ac:dyDescent="0.25">
      <c r="C145" s="25"/>
      <c r="G145" s="28"/>
      <c r="H145" s="29"/>
      <c r="I145" s="42"/>
      <c r="J145" s="36"/>
    </row>
    <row r="146" spans="3:10" x14ac:dyDescent="0.25">
      <c r="C146" s="25"/>
      <c r="G146" s="28"/>
      <c r="H146" s="29"/>
      <c r="I146" s="42"/>
      <c r="J146" s="36"/>
    </row>
    <row r="147" spans="3:10" x14ac:dyDescent="0.25">
      <c r="G147" s="28"/>
      <c r="H147" s="28">
        <f>+H144</f>
        <v>210179.04270000014</v>
      </c>
      <c r="I147" s="43"/>
      <c r="J147" s="37"/>
    </row>
    <row r="148" spans="3:10" x14ac:dyDescent="0.25">
      <c r="G148" s="28"/>
      <c r="H148" s="29">
        <f>+H147*16%</f>
        <v>33628.64683200002</v>
      </c>
      <c r="I148" s="42"/>
      <c r="J148" s="36"/>
    </row>
    <row r="149" spans="3:10" x14ac:dyDescent="0.25">
      <c r="G149" s="28"/>
      <c r="H149" s="28">
        <f>+H147+H148</f>
        <v>243807.68953200016</v>
      </c>
      <c r="I149" s="43"/>
      <c r="J149" s="37"/>
    </row>
    <row r="151" spans="3:10" x14ac:dyDescent="0.25">
      <c r="G151" s="152" t="s">
        <v>532</v>
      </c>
      <c r="H151" s="152"/>
    </row>
    <row r="152" spans="3:10" x14ac:dyDescent="0.25">
      <c r="G152" s="28"/>
      <c r="H152" s="29">
        <f>+H121</f>
        <v>35690.199999999997</v>
      </c>
    </row>
    <row r="153" spans="3:10" x14ac:dyDescent="0.25">
      <c r="G153" s="28" t="s">
        <v>517</v>
      </c>
      <c r="H153" s="29">
        <v>0</v>
      </c>
    </row>
    <row r="154" spans="3:10" x14ac:dyDescent="0.25">
      <c r="G154" s="28"/>
      <c r="H154" s="28">
        <f>+H152+H153</f>
        <v>35690.199999999997</v>
      </c>
    </row>
    <row r="155" spans="3:10" x14ac:dyDescent="0.25">
      <c r="G155" s="28"/>
      <c r="H155" s="28">
        <f>+H154*2%</f>
        <v>713.80399999999997</v>
      </c>
    </row>
    <row r="156" spans="3:10" x14ac:dyDescent="0.25">
      <c r="G156" s="28"/>
      <c r="H156" s="28">
        <f>+H154+H155</f>
        <v>36404.003999999994</v>
      </c>
    </row>
    <row r="157" spans="3:10" x14ac:dyDescent="0.25">
      <c r="G157" s="28"/>
      <c r="H157" s="29"/>
    </row>
    <row r="158" spans="3:10" x14ac:dyDescent="0.25">
      <c r="G158" s="28"/>
      <c r="H158" s="29"/>
    </row>
    <row r="159" spans="3:10" x14ac:dyDescent="0.25">
      <c r="G159" s="28"/>
      <c r="H159" s="28">
        <f>+H156</f>
        <v>36404.003999999994</v>
      </c>
    </row>
    <row r="160" spans="3:10" x14ac:dyDescent="0.25">
      <c r="G160" s="28"/>
      <c r="H160" s="29">
        <f>+H159*16%</f>
        <v>5824.6406399999987</v>
      </c>
    </row>
    <row r="161" spans="7:10" x14ac:dyDescent="0.25">
      <c r="G161" s="28"/>
      <c r="H161" s="28">
        <f>+H159+H160</f>
        <v>42228.644639999991</v>
      </c>
    </row>
    <row r="163" spans="7:10" x14ac:dyDescent="0.25">
      <c r="G163" s="152" t="s">
        <v>523</v>
      </c>
      <c r="H163" s="152"/>
    </row>
    <row r="164" spans="7:10" x14ac:dyDescent="0.25">
      <c r="G164" s="28"/>
      <c r="H164" s="29">
        <f>+H134</f>
        <v>47969.18</v>
      </c>
    </row>
    <row r="165" spans="7:10" x14ac:dyDescent="0.25">
      <c r="G165" s="28" t="s">
        <v>517</v>
      </c>
      <c r="H165" s="29">
        <v>0</v>
      </c>
    </row>
    <row r="166" spans="7:10" x14ac:dyDescent="0.25">
      <c r="G166" s="28"/>
      <c r="H166" s="28">
        <f>+H164+H165</f>
        <v>47969.18</v>
      </c>
    </row>
    <row r="167" spans="7:10" x14ac:dyDescent="0.25">
      <c r="G167" s="28"/>
      <c r="H167" s="28">
        <f>+H166*2%</f>
        <v>959.3836</v>
      </c>
    </row>
    <row r="168" spans="7:10" x14ac:dyDescent="0.25">
      <c r="G168" s="28"/>
      <c r="H168" s="28">
        <f>+H166+H167</f>
        <v>48928.563600000001</v>
      </c>
    </row>
    <row r="169" spans="7:10" x14ac:dyDescent="0.25">
      <c r="G169" s="28"/>
      <c r="H169" s="29"/>
    </row>
    <row r="170" spans="7:10" x14ac:dyDescent="0.25">
      <c r="G170" s="28"/>
      <c r="H170" s="29"/>
    </row>
    <row r="171" spans="7:10" x14ac:dyDescent="0.25">
      <c r="G171" s="28"/>
      <c r="H171" s="28">
        <f>+H168</f>
        <v>48928.563600000001</v>
      </c>
    </row>
    <row r="172" spans="7:10" x14ac:dyDescent="0.25">
      <c r="G172" s="28"/>
      <c r="H172" s="29">
        <f>+H171*16%</f>
        <v>7828.5701760000002</v>
      </c>
      <c r="J172" s="45" t="s">
        <v>533</v>
      </c>
    </row>
    <row r="173" spans="7:10" x14ac:dyDescent="0.25">
      <c r="G173" s="28"/>
      <c r="H173" s="28">
        <f>+H171+H172</f>
        <v>56757.133776000002</v>
      </c>
      <c r="J173" s="45">
        <f>+H173+H161+H149</f>
        <v>342793.46794800018</v>
      </c>
    </row>
  </sheetData>
  <sortState xmlns:xlrd2="http://schemas.microsoft.com/office/spreadsheetml/2017/richdata2" ref="B3:I131">
    <sortCondition ref="I3:I131"/>
  </sortState>
  <mergeCells count="3">
    <mergeCell ref="G139:H139"/>
    <mergeCell ref="G151:H151"/>
    <mergeCell ref="G163:H16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70"/>
  <sheetViews>
    <sheetView showGridLines="0" zoomScale="90" zoomScaleNormal="90" workbookViewId="0">
      <pane xSplit="2" ySplit="5" topLeftCell="L33" activePane="bottomRight" state="frozen"/>
      <selection activeCell="B76" sqref="B76"/>
      <selection pane="topRight" activeCell="B76" sqref="B76"/>
      <selection pane="bottomLeft" activeCell="B76" sqref="B76"/>
      <selection pane="bottomRight" activeCell="L42" sqref="L42:M42"/>
    </sheetView>
  </sheetViews>
  <sheetFormatPr baseColWidth="10" defaultColWidth="11.42578125" defaultRowHeight="12.75" x14ac:dyDescent="0.2"/>
  <cols>
    <col min="1" max="1" width="12.28515625" style="47" customWidth="1"/>
    <col min="2" max="2" width="42.140625" style="47" customWidth="1"/>
    <col min="3" max="3" width="13" style="47" customWidth="1"/>
    <col min="4" max="4" width="13.7109375" style="47" customWidth="1"/>
    <col min="5" max="6" width="18.42578125" style="47" hidden="1" customWidth="1"/>
    <col min="7" max="7" width="15" style="47" customWidth="1"/>
    <col min="8" max="8" width="16.140625" style="47" customWidth="1"/>
    <col min="9" max="9" width="13.7109375" style="47" customWidth="1"/>
    <col min="10" max="10" width="16.28515625" style="69" customWidth="1"/>
    <col min="11" max="13" width="16.28515625" style="47" customWidth="1"/>
    <col min="14" max="14" width="15.7109375" style="47" customWidth="1"/>
    <col min="15" max="18" width="16.140625" style="47" customWidth="1"/>
    <col min="19" max="23" width="15.7109375" style="47" customWidth="1"/>
    <col min="24" max="24" width="17.28515625" style="47" customWidth="1"/>
    <col min="25" max="25" width="17" style="47" customWidth="1"/>
    <col min="26" max="33" width="15.7109375" style="47" customWidth="1"/>
    <col min="34" max="34" width="13" style="47" customWidth="1"/>
    <col min="35" max="16384" width="11.42578125" style="47"/>
  </cols>
  <sheetData>
    <row r="1" spans="1:33" x14ac:dyDescent="0.2">
      <c r="A1" s="70"/>
      <c r="B1" s="155" t="s">
        <v>0</v>
      </c>
      <c r="C1" s="155"/>
      <c r="D1" s="155"/>
      <c r="E1" s="155"/>
      <c r="F1" s="155"/>
      <c r="G1" s="156"/>
      <c r="H1" s="71"/>
      <c r="I1" s="71"/>
    </row>
    <row r="2" spans="1:33" x14ac:dyDescent="0.2">
      <c r="B2" s="157" t="s">
        <v>160</v>
      </c>
      <c r="C2" s="157"/>
      <c r="D2" s="157"/>
      <c r="E2" s="157"/>
      <c r="F2" s="157"/>
      <c r="G2" s="157"/>
      <c r="H2" s="75"/>
      <c r="I2" s="75"/>
    </row>
    <row r="3" spans="1:33" x14ac:dyDescent="0.2">
      <c r="B3" s="76" t="s">
        <v>161</v>
      </c>
      <c r="C3" s="76"/>
      <c r="D3" s="76"/>
      <c r="E3" s="76"/>
      <c r="F3" s="76"/>
      <c r="G3" s="76"/>
      <c r="H3" s="75"/>
      <c r="I3" s="75"/>
    </row>
    <row r="4" spans="1:33" x14ac:dyDescent="0.2">
      <c r="B4" s="157" t="s">
        <v>162</v>
      </c>
      <c r="C4" s="157"/>
      <c r="D4" s="157"/>
      <c r="E4" s="157"/>
      <c r="F4" s="157"/>
      <c r="G4" s="157"/>
      <c r="H4" s="50"/>
      <c r="I4" s="50"/>
    </row>
    <row r="5" spans="1:33" s="71" customFormat="1" ht="39" thickBot="1" x14ac:dyDescent="0.3">
      <c r="A5" s="48" t="s">
        <v>163</v>
      </c>
      <c r="B5" s="48" t="s">
        <v>164</v>
      </c>
      <c r="C5" s="48" t="s">
        <v>371</v>
      </c>
      <c r="D5" s="48" t="s">
        <v>389</v>
      </c>
      <c r="E5" s="48" t="s">
        <v>534</v>
      </c>
      <c r="F5" s="48" t="s">
        <v>535</v>
      </c>
      <c r="G5" s="48" t="s">
        <v>136</v>
      </c>
      <c r="H5" s="48" t="s">
        <v>366</v>
      </c>
      <c r="I5" s="48" t="s">
        <v>367</v>
      </c>
      <c r="J5" s="48" t="s">
        <v>137</v>
      </c>
      <c r="K5" s="48" t="s">
        <v>138</v>
      </c>
      <c r="L5" s="48" t="s">
        <v>139</v>
      </c>
      <c r="M5" s="49" t="s">
        <v>140</v>
      </c>
      <c r="N5" s="48" t="s">
        <v>141</v>
      </c>
      <c r="O5" s="48" t="s">
        <v>142</v>
      </c>
      <c r="P5" s="48" t="s">
        <v>143</v>
      </c>
      <c r="Q5" s="48" t="s">
        <v>658</v>
      </c>
      <c r="R5" s="48" t="s">
        <v>144</v>
      </c>
      <c r="S5" s="48" t="s">
        <v>135</v>
      </c>
      <c r="T5" s="48" t="s">
        <v>145</v>
      </c>
      <c r="U5" s="48" t="s">
        <v>146</v>
      </c>
      <c r="V5" s="133" t="s">
        <v>147</v>
      </c>
      <c r="W5" s="48" t="s">
        <v>148</v>
      </c>
      <c r="X5" s="48" t="s">
        <v>149</v>
      </c>
      <c r="Y5" s="48" t="s">
        <v>150</v>
      </c>
      <c r="Z5" s="48" t="s">
        <v>151</v>
      </c>
      <c r="AA5" s="48" t="s">
        <v>152</v>
      </c>
      <c r="AB5" s="48" t="s">
        <v>153</v>
      </c>
      <c r="AC5" s="48" t="s">
        <v>154</v>
      </c>
      <c r="AD5" s="48" t="s">
        <v>155</v>
      </c>
      <c r="AE5" s="48" t="s">
        <v>156</v>
      </c>
      <c r="AF5" s="48" t="s">
        <v>591</v>
      </c>
      <c r="AG5" s="48" t="s">
        <v>659</v>
      </c>
    </row>
    <row r="6" spans="1:33" ht="13.5" thickTop="1" x14ac:dyDescent="0.2">
      <c r="A6" s="47" t="s">
        <v>9</v>
      </c>
      <c r="B6" s="47" t="s">
        <v>305</v>
      </c>
      <c r="C6" s="47">
        <v>15</v>
      </c>
      <c r="D6" s="47">
        <v>0</v>
      </c>
      <c r="E6" s="47">
        <v>141.66999999999999</v>
      </c>
      <c r="F6" s="47">
        <v>150.25</v>
      </c>
      <c r="G6" s="47">
        <v>2125.0500000000002</v>
      </c>
      <c r="H6" s="51">
        <v>0</v>
      </c>
      <c r="I6" s="51">
        <v>0</v>
      </c>
      <c r="J6" s="51">
        <v>212.51</v>
      </c>
      <c r="K6" s="51">
        <v>212.51</v>
      </c>
      <c r="L6" s="51">
        <v>212.51</v>
      </c>
      <c r="M6" s="51">
        <v>2762.58</v>
      </c>
      <c r="N6" s="51">
        <v>0</v>
      </c>
      <c r="O6" s="59">
        <v>-65.5</v>
      </c>
      <c r="P6" s="51">
        <v>57.11</v>
      </c>
      <c r="Q6" s="51">
        <v>0</v>
      </c>
      <c r="R6" s="51">
        <v>0</v>
      </c>
      <c r="S6" s="51">
        <v>0</v>
      </c>
      <c r="T6" s="51">
        <v>-0.03</v>
      </c>
      <c r="U6" s="51">
        <v>-8.42</v>
      </c>
      <c r="V6" s="51">
        <v>2771</v>
      </c>
      <c r="W6" s="51">
        <v>42.07</v>
      </c>
      <c r="X6" s="51">
        <v>75.73</v>
      </c>
      <c r="Y6" s="51">
        <v>317.85000000000002</v>
      </c>
      <c r="Z6" s="51">
        <v>236.93</v>
      </c>
      <c r="AA6" s="51">
        <v>55.25</v>
      </c>
      <c r="AB6" s="51">
        <v>12.02</v>
      </c>
      <c r="AC6" s="59">
        <v>435.65</v>
      </c>
      <c r="AD6" s="51">
        <v>120.2</v>
      </c>
      <c r="AE6" s="51">
        <v>212.89</v>
      </c>
      <c r="AF6" s="51">
        <v>151.2739568502902</v>
      </c>
      <c r="AG6" s="51">
        <v>12</v>
      </c>
    </row>
    <row r="7" spans="1:33" x14ac:dyDescent="0.2">
      <c r="A7" s="47" t="s">
        <v>11</v>
      </c>
      <c r="B7" s="47" t="s">
        <v>306</v>
      </c>
      <c r="C7" s="47">
        <v>15</v>
      </c>
      <c r="D7" s="47">
        <v>0</v>
      </c>
      <c r="E7" s="47">
        <v>150</v>
      </c>
      <c r="F7" s="47">
        <v>159.07</v>
      </c>
      <c r="G7" s="47">
        <v>2250</v>
      </c>
      <c r="H7" s="51">
        <v>0</v>
      </c>
      <c r="I7" s="51">
        <v>0</v>
      </c>
      <c r="J7" s="51">
        <v>225</v>
      </c>
      <c r="K7" s="51">
        <v>225</v>
      </c>
      <c r="L7" s="51">
        <v>225</v>
      </c>
      <c r="M7" s="51">
        <v>2925</v>
      </c>
      <c r="N7" s="51">
        <v>0</v>
      </c>
      <c r="O7" s="59">
        <v>-43.57</v>
      </c>
      <c r="P7" s="51">
        <v>60.44</v>
      </c>
      <c r="Q7" s="51">
        <v>0</v>
      </c>
      <c r="R7" s="51">
        <v>0</v>
      </c>
      <c r="S7" s="51">
        <v>0</v>
      </c>
      <c r="T7" s="51">
        <v>-7.0000000000000007E-2</v>
      </c>
      <c r="U7" s="51">
        <v>16.8</v>
      </c>
      <c r="V7" s="51">
        <v>2908.2</v>
      </c>
      <c r="W7" s="51">
        <v>44.54</v>
      </c>
      <c r="X7" s="51">
        <v>80.17</v>
      </c>
      <c r="Y7" s="51">
        <v>320.32</v>
      </c>
      <c r="Z7" s="51">
        <v>239.75</v>
      </c>
      <c r="AA7" s="51">
        <v>58.5</v>
      </c>
      <c r="AB7" s="51">
        <v>12.73</v>
      </c>
      <c r="AC7" s="59">
        <v>445.03</v>
      </c>
      <c r="AD7" s="51">
        <v>127.26</v>
      </c>
      <c r="AE7" s="51">
        <v>214.29999999999998</v>
      </c>
      <c r="AF7" s="51">
        <v>160.16865622604314</v>
      </c>
      <c r="AG7" s="51">
        <v>12</v>
      </c>
    </row>
    <row r="8" spans="1:33" x14ac:dyDescent="0.2">
      <c r="A8" s="47" t="s">
        <v>203</v>
      </c>
      <c r="B8" s="47" t="s">
        <v>309</v>
      </c>
      <c r="C8" s="47">
        <v>15</v>
      </c>
      <c r="D8" s="47">
        <v>0</v>
      </c>
      <c r="E8" s="47">
        <v>216.67</v>
      </c>
      <c r="F8" s="47">
        <v>229.79</v>
      </c>
      <c r="G8" s="47">
        <v>3250.05</v>
      </c>
      <c r="H8" s="51">
        <v>0</v>
      </c>
      <c r="I8" s="51">
        <v>0</v>
      </c>
      <c r="J8" s="51">
        <v>325.01</v>
      </c>
      <c r="K8" s="51">
        <v>325.01</v>
      </c>
      <c r="L8" s="51">
        <v>325.01</v>
      </c>
      <c r="M8" s="51">
        <v>4225.08</v>
      </c>
      <c r="N8" s="51">
        <v>107.17</v>
      </c>
      <c r="O8" s="51">
        <v>0</v>
      </c>
      <c r="P8" s="51">
        <v>87.32</v>
      </c>
      <c r="Q8" s="51">
        <v>0</v>
      </c>
      <c r="R8" s="51">
        <v>0</v>
      </c>
      <c r="S8" s="51">
        <v>0</v>
      </c>
      <c r="T8" s="51">
        <v>-0.01</v>
      </c>
      <c r="U8" s="51">
        <v>194.48</v>
      </c>
      <c r="V8" s="51">
        <v>4030.6</v>
      </c>
      <c r="W8" s="51">
        <v>64.34</v>
      </c>
      <c r="X8" s="51">
        <v>115.81</v>
      </c>
      <c r="Y8" s="51">
        <v>340.12</v>
      </c>
      <c r="Z8" s="51">
        <v>262.38</v>
      </c>
      <c r="AA8" s="51">
        <v>84.5</v>
      </c>
      <c r="AB8" s="51">
        <v>18.38</v>
      </c>
      <c r="AC8" s="59">
        <v>520.27</v>
      </c>
      <c r="AD8" s="51">
        <v>183.83</v>
      </c>
      <c r="AE8" s="51">
        <v>225.62</v>
      </c>
      <c r="AF8" s="51">
        <v>231.35828496331177</v>
      </c>
      <c r="AG8" s="51">
        <v>12</v>
      </c>
    </row>
    <row r="9" spans="1:33" x14ac:dyDescent="0.2">
      <c r="A9" s="47" t="s">
        <v>204</v>
      </c>
      <c r="B9" s="47" t="s">
        <v>310</v>
      </c>
      <c r="C9" s="47">
        <v>15</v>
      </c>
      <c r="D9" s="47">
        <v>0</v>
      </c>
      <c r="E9" s="47">
        <v>283.33</v>
      </c>
      <c r="F9" s="47">
        <v>300.49</v>
      </c>
      <c r="G9" s="47">
        <v>4249.95</v>
      </c>
      <c r="H9" s="51">
        <v>0</v>
      </c>
      <c r="I9" s="51">
        <v>0</v>
      </c>
      <c r="J9" s="51">
        <v>425</v>
      </c>
      <c r="K9" s="51">
        <v>425</v>
      </c>
      <c r="L9" s="51">
        <v>425</v>
      </c>
      <c r="M9" s="51">
        <v>5524.95</v>
      </c>
      <c r="N9" s="51">
        <v>341.06</v>
      </c>
      <c r="O9" s="51">
        <v>0</v>
      </c>
      <c r="P9" s="51">
        <v>117.2</v>
      </c>
      <c r="Q9" s="51">
        <v>0</v>
      </c>
      <c r="R9" s="51">
        <v>0</v>
      </c>
      <c r="S9" s="51">
        <v>0</v>
      </c>
      <c r="T9" s="51">
        <v>-0.11</v>
      </c>
      <c r="U9" s="51">
        <v>458.15</v>
      </c>
      <c r="V9" s="51">
        <v>5066.8</v>
      </c>
      <c r="W9" s="51">
        <v>84.14</v>
      </c>
      <c r="X9" s="51">
        <v>151.44999999999999</v>
      </c>
      <c r="Y9" s="51">
        <v>368.19</v>
      </c>
      <c r="Z9" s="51">
        <v>285.01</v>
      </c>
      <c r="AA9" s="51">
        <v>110.5</v>
      </c>
      <c r="AB9" s="51">
        <v>24.04</v>
      </c>
      <c r="AC9" s="51">
        <v>603.78</v>
      </c>
      <c r="AD9" s="51">
        <v>240.39</v>
      </c>
      <c r="AE9" s="51">
        <v>236.93</v>
      </c>
      <c r="AF9" s="51">
        <v>302.53723579016531</v>
      </c>
      <c r="AG9" s="51">
        <v>12</v>
      </c>
    </row>
    <row r="10" spans="1:33" x14ac:dyDescent="0.2">
      <c r="A10" s="47" t="s">
        <v>15</v>
      </c>
      <c r="B10" s="47" t="s">
        <v>311</v>
      </c>
      <c r="C10" s="47">
        <v>15</v>
      </c>
      <c r="D10" s="47">
        <v>0</v>
      </c>
      <c r="E10" s="47">
        <v>273.33</v>
      </c>
      <c r="F10" s="47">
        <v>289.87</v>
      </c>
      <c r="G10" s="47">
        <v>4099.95</v>
      </c>
      <c r="H10" s="51">
        <v>0</v>
      </c>
      <c r="I10" s="51">
        <v>0</v>
      </c>
      <c r="J10" s="51">
        <v>410</v>
      </c>
      <c r="K10" s="51">
        <v>410</v>
      </c>
      <c r="L10" s="51">
        <v>410</v>
      </c>
      <c r="M10" s="51">
        <v>5329.95</v>
      </c>
      <c r="N10" s="51">
        <v>324.74</v>
      </c>
      <c r="O10" s="51">
        <v>0</v>
      </c>
      <c r="P10" s="51">
        <v>112.48</v>
      </c>
      <c r="Q10" s="51">
        <v>0</v>
      </c>
      <c r="R10" s="51">
        <v>0</v>
      </c>
      <c r="S10" s="51">
        <v>0</v>
      </c>
      <c r="T10" s="51">
        <v>-7.0000000000000007E-2</v>
      </c>
      <c r="U10" s="51">
        <v>437.15</v>
      </c>
      <c r="V10" s="51">
        <v>4892.8</v>
      </c>
      <c r="W10" s="51">
        <v>81.16</v>
      </c>
      <c r="X10" s="51">
        <v>146.09</v>
      </c>
      <c r="Y10" s="51">
        <v>363.36</v>
      </c>
      <c r="Z10" s="51">
        <v>281.61</v>
      </c>
      <c r="AA10" s="51">
        <v>106.6</v>
      </c>
      <c r="AB10" s="51">
        <v>23.19</v>
      </c>
      <c r="AC10" s="51">
        <v>590.61</v>
      </c>
      <c r="AD10" s="51">
        <v>231.89</v>
      </c>
      <c r="AE10" s="51">
        <v>235.23</v>
      </c>
      <c r="AF10" s="51">
        <v>291.85932537509575</v>
      </c>
      <c r="AG10" s="51">
        <v>12</v>
      </c>
    </row>
    <row r="11" spans="1:33" x14ac:dyDescent="0.2">
      <c r="A11" s="47" t="s">
        <v>17</v>
      </c>
      <c r="B11" s="47" t="s">
        <v>312</v>
      </c>
      <c r="C11" s="47">
        <v>15</v>
      </c>
      <c r="D11" s="47">
        <v>0</v>
      </c>
      <c r="E11" s="47">
        <v>185.83</v>
      </c>
      <c r="F11" s="47">
        <v>197.07</v>
      </c>
      <c r="G11" s="47">
        <v>2787.45</v>
      </c>
      <c r="H11" s="51">
        <v>0</v>
      </c>
      <c r="I11" s="51">
        <v>0</v>
      </c>
      <c r="J11" s="51">
        <v>278.75</v>
      </c>
      <c r="K11" s="51">
        <v>278.75</v>
      </c>
      <c r="L11" s="51">
        <v>278.75</v>
      </c>
      <c r="M11" s="51">
        <v>3623.7</v>
      </c>
      <c r="N11" s="51">
        <v>36.57</v>
      </c>
      <c r="O11" s="51">
        <v>0</v>
      </c>
      <c r="P11" s="51">
        <v>74.88</v>
      </c>
      <c r="Q11" s="51">
        <v>0</v>
      </c>
      <c r="R11" s="51">
        <v>1574.29</v>
      </c>
      <c r="S11" s="51">
        <v>120</v>
      </c>
      <c r="T11" s="51">
        <v>-0.04</v>
      </c>
      <c r="U11" s="51">
        <v>1805.7</v>
      </c>
      <c r="V11" s="51">
        <v>1818</v>
      </c>
      <c r="W11" s="51">
        <v>55.18</v>
      </c>
      <c r="X11" s="51">
        <v>99.32</v>
      </c>
      <c r="Y11" s="51">
        <v>330.96</v>
      </c>
      <c r="Z11" s="51">
        <v>251.91</v>
      </c>
      <c r="AA11" s="51">
        <v>72.47</v>
      </c>
      <c r="AB11" s="51">
        <v>15.77</v>
      </c>
      <c r="AC11" s="59">
        <v>485.46</v>
      </c>
      <c r="AD11" s="51">
        <v>157.66</v>
      </c>
      <c r="AE11" s="51">
        <v>220.38</v>
      </c>
      <c r="AF11" s="51">
        <v>198.42760924323733</v>
      </c>
      <c r="AG11" s="51">
        <v>12</v>
      </c>
    </row>
    <row r="12" spans="1:33" x14ac:dyDescent="0.2">
      <c r="A12" s="47" t="s">
        <v>19</v>
      </c>
      <c r="B12" s="47" t="s">
        <v>313</v>
      </c>
      <c r="C12" s="47">
        <v>15</v>
      </c>
      <c r="D12" s="47">
        <v>0</v>
      </c>
      <c r="E12" s="47">
        <v>273.33</v>
      </c>
      <c r="F12" s="47">
        <v>289.87</v>
      </c>
      <c r="G12" s="47">
        <v>4099.95</v>
      </c>
      <c r="H12" s="51">
        <v>0</v>
      </c>
      <c r="I12" s="51">
        <v>0</v>
      </c>
      <c r="J12" s="51">
        <v>410</v>
      </c>
      <c r="K12" s="51">
        <v>410</v>
      </c>
      <c r="L12" s="51">
        <v>410</v>
      </c>
      <c r="M12" s="51">
        <v>5329.95</v>
      </c>
      <c r="N12" s="51">
        <v>324.74</v>
      </c>
      <c r="O12" s="51">
        <v>0</v>
      </c>
      <c r="P12" s="51">
        <v>112.48</v>
      </c>
      <c r="Q12" s="51">
        <v>0</v>
      </c>
      <c r="R12" s="51">
        <v>0</v>
      </c>
      <c r="S12" s="51">
        <v>0</v>
      </c>
      <c r="T12" s="51">
        <v>-7.0000000000000007E-2</v>
      </c>
      <c r="U12" s="51">
        <v>437.15</v>
      </c>
      <c r="V12" s="51">
        <v>4892.8</v>
      </c>
      <c r="W12" s="59">
        <v>81.16</v>
      </c>
      <c r="X12" s="51">
        <v>146.09</v>
      </c>
      <c r="Y12" s="51">
        <v>363.36</v>
      </c>
      <c r="Z12" s="51">
        <v>281.61</v>
      </c>
      <c r="AA12" s="51">
        <v>106.6</v>
      </c>
      <c r="AB12" s="51">
        <v>23.19</v>
      </c>
      <c r="AC12" s="51">
        <v>590.61</v>
      </c>
      <c r="AD12" s="51">
        <v>231.89</v>
      </c>
      <c r="AE12" s="51">
        <v>235.23</v>
      </c>
      <c r="AF12" s="51">
        <v>291.85932537509575</v>
      </c>
      <c r="AG12" s="51">
        <v>12</v>
      </c>
    </row>
    <row r="13" spans="1:33" x14ac:dyDescent="0.2">
      <c r="A13" s="47" t="s">
        <v>21</v>
      </c>
      <c r="B13" s="47" t="s">
        <v>314</v>
      </c>
      <c r="C13" s="47">
        <v>15</v>
      </c>
      <c r="D13" s="47">
        <v>0</v>
      </c>
      <c r="E13" s="47">
        <v>185.83</v>
      </c>
      <c r="F13" s="47">
        <v>197.07</v>
      </c>
      <c r="G13" s="47">
        <v>2787.45</v>
      </c>
      <c r="H13" s="51">
        <v>0</v>
      </c>
      <c r="I13" s="51">
        <v>0</v>
      </c>
      <c r="J13" s="51">
        <v>278.75</v>
      </c>
      <c r="K13" s="51">
        <v>278.75</v>
      </c>
      <c r="L13" s="51">
        <v>278.75</v>
      </c>
      <c r="M13" s="51">
        <v>3623.7</v>
      </c>
      <c r="N13" s="51">
        <v>36.57</v>
      </c>
      <c r="O13" s="51">
        <v>0</v>
      </c>
      <c r="P13" s="51">
        <v>74.88</v>
      </c>
      <c r="Q13" s="51">
        <v>0</v>
      </c>
      <c r="R13" s="51">
        <v>1826.51</v>
      </c>
      <c r="S13" s="51">
        <v>0</v>
      </c>
      <c r="T13" s="51">
        <v>-0.06</v>
      </c>
      <c r="U13" s="51">
        <v>1937.9</v>
      </c>
      <c r="V13" s="51">
        <v>1685.8</v>
      </c>
      <c r="W13" s="59">
        <v>55.18</v>
      </c>
      <c r="X13" s="51">
        <v>99.32</v>
      </c>
      <c r="Y13" s="51">
        <v>330.96</v>
      </c>
      <c r="Z13" s="51">
        <v>251.91</v>
      </c>
      <c r="AA13" s="51">
        <v>72.47</v>
      </c>
      <c r="AB13" s="51">
        <v>15.77</v>
      </c>
      <c r="AC13" s="59">
        <v>485.46</v>
      </c>
      <c r="AD13" s="51">
        <v>157.66</v>
      </c>
      <c r="AE13" s="51">
        <v>220.38</v>
      </c>
      <c r="AF13" s="51">
        <v>198.42760924323733</v>
      </c>
      <c r="AG13" s="51">
        <v>12</v>
      </c>
    </row>
    <row r="14" spans="1:33" x14ac:dyDescent="0.2">
      <c r="A14" s="47" t="s">
        <v>23</v>
      </c>
      <c r="B14" s="47" t="s">
        <v>315</v>
      </c>
      <c r="C14" s="47">
        <v>15</v>
      </c>
      <c r="D14" s="47">
        <v>0</v>
      </c>
      <c r="E14" s="47">
        <v>220.83</v>
      </c>
      <c r="F14" s="47">
        <v>234.19</v>
      </c>
      <c r="G14" s="47">
        <v>3312.45</v>
      </c>
      <c r="H14" s="51">
        <v>0</v>
      </c>
      <c r="I14" s="51">
        <v>0</v>
      </c>
      <c r="J14" s="51">
        <v>331.25</v>
      </c>
      <c r="K14" s="51">
        <v>331.25</v>
      </c>
      <c r="L14" s="51">
        <v>331.25</v>
      </c>
      <c r="M14" s="51">
        <v>4306.2</v>
      </c>
      <c r="N14" s="51">
        <v>113.96</v>
      </c>
      <c r="O14" s="51">
        <v>0</v>
      </c>
      <c r="P14" s="51">
        <v>88.99</v>
      </c>
      <c r="Q14" s="51">
        <v>0</v>
      </c>
      <c r="R14" s="51">
        <v>896.6</v>
      </c>
      <c r="S14" s="51">
        <v>0</v>
      </c>
      <c r="T14" s="51">
        <v>0.05</v>
      </c>
      <c r="U14" s="51">
        <v>1099.5999999999999</v>
      </c>
      <c r="V14" s="51">
        <v>3206.6</v>
      </c>
      <c r="W14" s="59">
        <v>65.569999999999993</v>
      </c>
      <c r="X14" s="51">
        <v>118.03</v>
      </c>
      <c r="Y14" s="51">
        <v>341.35</v>
      </c>
      <c r="Z14" s="51">
        <v>263.78999999999996</v>
      </c>
      <c r="AA14" s="51">
        <v>86.12</v>
      </c>
      <c r="AB14" s="51">
        <v>18.739999999999998</v>
      </c>
      <c r="AC14" s="59">
        <v>524.95000000000005</v>
      </c>
      <c r="AD14" s="51">
        <v>187.35</v>
      </c>
      <c r="AE14" s="51">
        <v>226.32</v>
      </c>
      <c r="AF14" s="51">
        <v>235.80029569598071</v>
      </c>
      <c r="AG14" s="51">
        <v>12</v>
      </c>
    </row>
    <row r="15" spans="1:33" x14ac:dyDescent="0.2">
      <c r="A15" s="47" t="s">
        <v>25</v>
      </c>
      <c r="B15" s="47" t="s">
        <v>316</v>
      </c>
      <c r="C15" s="47">
        <v>15</v>
      </c>
      <c r="D15" s="47">
        <v>0</v>
      </c>
      <c r="E15" s="47">
        <v>264.58</v>
      </c>
      <c r="F15" s="47">
        <v>276.54000000000002</v>
      </c>
      <c r="G15" s="47">
        <v>3968.7</v>
      </c>
      <c r="H15" s="51">
        <v>0</v>
      </c>
      <c r="I15" s="51">
        <v>0</v>
      </c>
      <c r="J15" s="51">
        <v>396.87</v>
      </c>
      <c r="K15" s="51">
        <v>396.87</v>
      </c>
      <c r="L15" s="51">
        <v>396.87</v>
      </c>
      <c r="M15" s="51">
        <v>5159.3100000000004</v>
      </c>
      <c r="N15" s="51">
        <v>310.45999999999998</v>
      </c>
      <c r="O15" s="51">
        <v>0</v>
      </c>
      <c r="P15" s="51">
        <v>106.56</v>
      </c>
      <c r="Q15" s="51">
        <v>0</v>
      </c>
      <c r="R15" s="51">
        <v>1674</v>
      </c>
      <c r="S15" s="51">
        <v>0</v>
      </c>
      <c r="T15" s="51">
        <v>0.09</v>
      </c>
      <c r="U15" s="51">
        <v>2091.11</v>
      </c>
      <c r="V15" s="51">
        <v>3068.2</v>
      </c>
      <c r="W15" s="59">
        <v>77.430000000000007</v>
      </c>
      <c r="X15" s="51">
        <v>139.38</v>
      </c>
      <c r="Y15" s="51">
        <v>357.27</v>
      </c>
      <c r="Z15" s="51">
        <v>277.33999999999997</v>
      </c>
      <c r="AA15" s="51">
        <v>103.19</v>
      </c>
      <c r="AB15" s="51">
        <v>22.12</v>
      </c>
      <c r="AC15" s="51">
        <v>574.08000000000004</v>
      </c>
      <c r="AD15" s="51">
        <v>221.23</v>
      </c>
      <c r="AE15" s="51">
        <v>233.1</v>
      </c>
      <c r="AF15" s="51">
        <v>282.51615376190989</v>
      </c>
      <c r="AG15" s="51">
        <v>12</v>
      </c>
    </row>
    <row r="16" spans="1:33" x14ac:dyDescent="0.2">
      <c r="A16" s="47" t="s">
        <v>27</v>
      </c>
      <c r="B16" s="47" t="s">
        <v>317</v>
      </c>
      <c r="C16" s="47">
        <v>15</v>
      </c>
      <c r="D16" s="47">
        <v>0</v>
      </c>
      <c r="E16" s="47">
        <v>238.33</v>
      </c>
      <c r="F16" s="47">
        <v>252.75</v>
      </c>
      <c r="G16" s="47">
        <v>3574.95</v>
      </c>
      <c r="H16" s="51">
        <v>0</v>
      </c>
      <c r="I16" s="51">
        <v>0</v>
      </c>
      <c r="J16" s="51">
        <v>357.5</v>
      </c>
      <c r="K16" s="51">
        <v>357.5</v>
      </c>
      <c r="L16" s="51">
        <v>357.5</v>
      </c>
      <c r="M16" s="51">
        <v>4647.45</v>
      </c>
      <c r="N16" s="51">
        <v>160.25</v>
      </c>
      <c r="O16" s="51">
        <v>0</v>
      </c>
      <c r="P16" s="51">
        <v>96.03</v>
      </c>
      <c r="Q16" s="51">
        <v>0</v>
      </c>
      <c r="R16" s="51">
        <v>1432.4</v>
      </c>
      <c r="S16" s="51">
        <v>268.35000000000002</v>
      </c>
      <c r="T16" s="51">
        <v>0.02</v>
      </c>
      <c r="U16" s="51">
        <v>1957.05</v>
      </c>
      <c r="V16" s="51">
        <v>2690.4</v>
      </c>
      <c r="W16" s="51">
        <v>70.77</v>
      </c>
      <c r="X16" s="51">
        <v>127.39</v>
      </c>
      <c r="Y16" s="51">
        <v>346.55</v>
      </c>
      <c r="Z16" s="51">
        <v>269.73</v>
      </c>
      <c r="AA16" s="51">
        <v>92.95</v>
      </c>
      <c r="AB16" s="51">
        <v>20.22</v>
      </c>
      <c r="AC16" s="59">
        <v>544.71</v>
      </c>
      <c r="AD16" s="51">
        <v>202.2</v>
      </c>
      <c r="AE16" s="51">
        <v>229.29</v>
      </c>
      <c r="AF16" s="51">
        <v>254.48663892235243</v>
      </c>
      <c r="AG16" s="51">
        <v>12</v>
      </c>
    </row>
    <row r="17" spans="1:36" x14ac:dyDescent="0.2">
      <c r="A17" s="47" t="s">
        <v>31</v>
      </c>
      <c r="B17" s="47" t="s">
        <v>132</v>
      </c>
      <c r="C17" s="47">
        <v>15</v>
      </c>
      <c r="D17" s="47">
        <v>0</v>
      </c>
      <c r="E17" s="47">
        <v>273.33</v>
      </c>
      <c r="F17" s="47">
        <v>289.87</v>
      </c>
      <c r="G17" s="47">
        <v>4099.95</v>
      </c>
      <c r="H17" s="51">
        <v>0</v>
      </c>
      <c r="I17" s="51">
        <v>0</v>
      </c>
      <c r="J17" s="51">
        <v>410</v>
      </c>
      <c r="K17" s="51">
        <v>410</v>
      </c>
      <c r="L17" s="51">
        <v>410</v>
      </c>
      <c r="M17" s="51">
        <v>5329.95</v>
      </c>
      <c r="N17" s="51">
        <v>324.74</v>
      </c>
      <c r="O17" s="51">
        <v>0</v>
      </c>
      <c r="P17" s="51">
        <v>112.48</v>
      </c>
      <c r="Q17" s="51">
        <v>0</v>
      </c>
      <c r="R17" s="51">
        <v>0</v>
      </c>
      <c r="S17" s="51">
        <v>0</v>
      </c>
      <c r="T17" s="51">
        <v>0.13</v>
      </c>
      <c r="U17" s="51">
        <v>437.35</v>
      </c>
      <c r="V17" s="51">
        <v>4892.6000000000004</v>
      </c>
      <c r="W17" s="59">
        <v>81.16</v>
      </c>
      <c r="X17" s="51">
        <v>146.09</v>
      </c>
      <c r="Y17" s="51">
        <v>363.36</v>
      </c>
      <c r="Z17" s="51">
        <v>281.61</v>
      </c>
      <c r="AA17" s="51">
        <v>106.6</v>
      </c>
      <c r="AB17" s="51">
        <v>23.19</v>
      </c>
      <c r="AC17" s="51">
        <v>590.61</v>
      </c>
      <c r="AD17" s="51">
        <v>231.89</v>
      </c>
      <c r="AE17" s="51">
        <v>235.23</v>
      </c>
      <c r="AF17" s="51">
        <v>291.85932537509575</v>
      </c>
      <c r="AG17" s="51">
        <v>12</v>
      </c>
    </row>
    <row r="18" spans="1:36" s="46" customFormat="1" x14ac:dyDescent="0.2">
      <c r="A18" s="47" t="s">
        <v>35</v>
      </c>
      <c r="B18" s="47" t="s">
        <v>321</v>
      </c>
      <c r="C18" s="47">
        <v>15</v>
      </c>
      <c r="D18" s="47">
        <v>0</v>
      </c>
      <c r="E18" s="47">
        <v>185.83</v>
      </c>
      <c r="F18" s="47">
        <v>197.07</v>
      </c>
      <c r="G18" s="47">
        <v>2787.45</v>
      </c>
      <c r="H18" s="51">
        <v>0</v>
      </c>
      <c r="I18" s="51">
        <v>0</v>
      </c>
      <c r="J18" s="51">
        <v>278.75</v>
      </c>
      <c r="K18" s="51">
        <v>278.75</v>
      </c>
      <c r="L18" s="51">
        <v>278.75</v>
      </c>
      <c r="M18" s="51">
        <v>3623.7</v>
      </c>
      <c r="N18" s="51">
        <v>36.57</v>
      </c>
      <c r="O18" s="51">
        <v>0</v>
      </c>
      <c r="P18" s="51">
        <v>74.88</v>
      </c>
      <c r="Q18" s="51">
        <v>0</v>
      </c>
      <c r="R18" s="51">
        <v>2169.6999999999998</v>
      </c>
      <c r="S18" s="51">
        <v>0</v>
      </c>
      <c r="T18" s="51">
        <v>-0.05</v>
      </c>
      <c r="U18" s="51">
        <v>2281.1</v>
      </c>
      <c r="V18" s="51">
        <v>1342.6</v>
      </c>
      <c r="W18" s="51">
        <v>55.18</v>
      </c>
      <c r="X18" s="51">
        <v>99.32</v>
      </c>
      <c r="Y18" s="51">
        <v>330.96</v>
      </c>
      <c r="Z18" s="51">
        <v>251.91</v>
      </c>
      <c r="AA18" s="51">
        <v>72.47</v>
      </c>
      <c r="AB18" s="51">
        <v>15.77</v>
      </c>
      <c r="AC18" s="51">
        <v>485.46</v>
      </c>
      <c r="AD18" s="51">
        <v>157.66</v>
      </c>
      <c r="AE18" s="51">
        <v>220.38</v>
      </c>
      <c r="AF18" s="51">
        <v>198.42760924323733</v>
      </c>
      <c r="AG18" s="51">
        <v>12</v>
      </c>
      <c r="AH18" s="47"/>
      <c r="AI18" s="47"/>
      <c r="AJ18" s="47"/>
    </row>
    <row r="19" spans="1:36" x14ac:dyDescent="0.2">
      <c r="A19" s="47" t="s">
        <v>215</v>
      </c>
      <c r="B19" s="47" t="s">
        <v>322</v>
      </c>
      <c r="C19" s="47">
        <v>14</v>
      </c>
      <c r="D19" s="47">
        <v>1</v>
      </c>
      <c r="E19" s="47">
        <v>1060.83</v>
      </c>
      <c r="F19" s="47">
        <v>1125.06</v>
      </c>
      <c r="G19" s="47">
        <v>14851.62</v>
      </c>
      <c r="H19" s="51">
        <v>1060.83</v>
      </c>
      <c r="I19" s="51">
        <v>318.25</v>
      </c>
      <c r="J19" s="51">
        <v>1591.25</v>
      </c>
      <c r="K19" s="51">
        <v>1591.25</v>
      </c>
      <c r="L19" s="51">
        <v>1591.25</v>
      </c>
      <c r="M19" s="51">
        <v>21004.45</v>
      </c>
      <c r="N19" s="51">
        <v>2846.24</v>
      </c>
      <c r="O19" s="51">
        <v>0</v>
      </c>
      <c r="P19" s="51">
        <v>483.3</v>
      </c>
      <c r="Q19" s="51">
        <v>0</v>
      </c>
      <c r="R19" s="51">
        <v>0</v>
      </c>
      <c r="S19" s="51">
        <v>417.6</v>
      </c>
      <c r="T19" s="51">
        <v>-0.09</v>
      </c>
      <c r="U19" s="51">
        <v>3747.05</v>
      </c>
      <c r="V19" s="51">
        <v>17257.400000000001</v>
      </c>
      <c r="W19" s="59">
        <v>315.02</v>
      </c>
      <c r="X19" s="51">
        <v>567.03</v>
      </c>
      <c r="Y19" s="51">
        <v>744.2</v>
      </c>
      <c r="Z19" s="51">
        <v>548.87</v>
      </c>
      <c r="AA19" s="51">
        <v>420.09</v>
      </c>
      <c r="AB19" s="51">
        <v>90</v>
      </c>
      <c r="AC19" s="59">
        <v>1626.25</v>
      </c>
      <c r="AD19" s="51">
        <v>900.05</v>
      </c>
      <c r="AE19" s="51">
        <v>368.86</v>
      </c>
      <c r="AF19" s="51">
        <v>1132.7447705618222</v>
      </c>
      <c r="AG19" s="51">
        <v>12</v>
      </c>
    </row>
    <row r="20" spans="1:36" x14ac:dyDescent="0.2">
      <c r="A20" s="47" t="s">
        <v>39</v>
      </c>
      <c r="B20" s="47" t="s">
        <v>324</v>
      </c>
      <c r="C20" s="47">
        <v>14</v>
      </c>
      <c r="D20" s="47">
        <v>1</v>
      </c>
      <c r="E20" s="47">
        <v>185.83</v>
      </c>
      <c r="F20" s="47">
        <v>197.07</v>
      </c>
      <c r="G20" s="47">
        <v>2601.62</v>
      </c>
      <c r="H20" s="51">
        <v>185.83</v>
      </c>
      <c r="I20" s="51">
        <v>55.75</v>
      </c>
      <c r="J20" s="51">
        <v>278.75</v>
      </c>
      <c r="K20" s="51">
        <v>278.75</v>
      </c>
      <c r="L20" s="51">
        <v>278.75</v>
      </c>
      <c r="M20" s="51">
        <v>3679.45</v>
      </c>
      <c r="N20" s="51">
        <v>36.57</v>
      </c>
      <c r="O20" s="59">
        <v>0</v>
      </c>
      <c r="P20" s="51">
        <v>74.88</v>
      </c>
      <c r="Q20" s="51">
        <v>0</v>
      </c>
      <c r="R20" s="51">
        <v>0</v>
      </c>
      <c r="S20" s="51">
        <v>313.2</v>
      </c>
      <c r="T20" s="51">
        <v>0</v>
      </c>
      <c r="U20" s="51">
        <v>424.65</v>
      </c>
      <c r="V20" s="51">
        <v>3254.8</v>
      </c>
      <c r="W20" s="59">
        <v>55.18</v>
      </c>
      <c r="X20" s="51">
        <v>99.32</v>
      </c>
      <c r="Y20" s="51">
        <v>330.96</v>
      </c>
      <c r="Z20" s="51">
        <v>251.91</v>
      </c>
      <c r="AA20" s="51">
        <v>73.59</v>
      </c>
      <c r="AB20" s="51">
        <v>15.77</v>
      </c>
      <c r="AC20" s="59">
        <v>485.46</v>
      </c>
      <c r="AD20" s="51">
        <v>157.66</v>
      </c>
      <c r="AE20" s="51">
        <v>220.38</v>
      </c>
      <c r="AF20" s="51">
        <v>198.42760924323733</v>
      </c>
      <c r="AG20" s="51">
        <v>12</v>
      </c>
    </row>
    <row r="21" spans="1:36" x14ac:dyDescent="0.2">
      <c r="A21" s="47" t="s">
        <v>41</v>
      </c>
      <c r="B21" s="47" t="s">
        <v>133</v>
      </c>
      <c r="C21" s="47">
        <v>15</v>
      </c>
      <c r="D21" s="47">
        <v>0</v>
      </c>
      <c r="E21" s="47">
        <v>185.83</v>
      </c>
      <c r="F21" s="47">
        <v>197.07</v>
      </c>
      <c r="G21" s="47">
        <v>2787.45</v>
      </c>
      <c r="H21" s="51">
        <v>0</v>
      </c>
      <c r="I21" s="51">
        <v>0</v>
      </c>
      <c r="J21" s="51">
        <v>278.75</v>
      </c>
      <c r="K21" s="51">
        <v>278.75</v>
      </c>
      <c r="L21" s="51">
        <v>278.75</v>
      </c>
      <c r="M21" s="51">
        <v>3623.7</v>
      </c>
      <c r="N21" s="51">
        <v>36.57</v>
      </c>
      <c r="O21" s="51">
        <v>0</v>
      </c>
      <c r="P21" s="51">
        <v>74.88</v>
      </c>
      <c r="Q21" s="51">
        <v>0</v>
      </c>
      <c r="R21" s="51">
        <v>1506.5</v>
      </c>
      <c r="S21" s="51">
        <v>0</v>
      </c>
      <c r="T21" s="51">
        <v>0.15</v>
      </c>
      <c r="U21" s="51">
        <v>1618.1</v>
      </c>
      <c r="V21" s="51">
        <v>2005.6</v>
      </c>
      <c r="W21" s="51">
        <v>55.18</v>
      </c>
      <c r="X21" s="51">
        <v>99.32</v>
      </c>
      <c r="Y21" s="51">
        <v>330.96</v>
      </c>
      <c r="Z21" s="51">
        <v>251.91</v>
      </c>
      <c r="AA21" s="51">
        <v>72.47</v>
      </c>
      <c r="AB21" s="51">
        <v>15.77</v>
      </c>
      <c r="AC21" s="59">
        <v>485.46</v>
      </c>
      <c r="AD21" s="51">
        <v>157.66</v>
      </c>
      <c r="AE21" s="51">
        <v>220.38</v>
      </c>
      <c r="AF21" s="51">
        <v>198.42760924323733</v>
      </c>
      <c r="AG21" s="51">
        <v>12</v>
      </c>
    </row>
    <row r="22" spans="1:36" x14ac:dyDescent="0.2">
      <c r="A22" s="47" t="s">
        <v>401</v>
      </c>
      <c r="B22" s="47" t="s">
        <v>359</v>
      </c>
      <c r="C22" s="47">
        <v>15</v>
      </c>
      <c r="D22" s="47">
        <v>0</v>
      </c>
      <c r="E22" s="47">
        <v>166.67</v>
      </c>
      <c r="F22" s="47">
        <v>176.76</v>
      </c>
      <c r="G22" s="47">
        <v>2500.0500000000002</v>
      </c>
      <c r="H22" s="51">
        <v>0</v>
      </c>
      <c r="I22" s="51">
        <v>0</v>
      </c>
      <c r="J22" s="51">
        <v>250.01</v>
      </c>
      <c r="K22" s="51">
        <v>250.01</v>
      </c>
      <c r="L22" s="51">
        <v>250.01</v>
      </c>
      <c r="M22" s="51">
        <v>3250.08</v>
      </c>
      <c r="N22" s="51">
        <v>0</v>
      </c>
      <c r="O22" s="51">
        <v>-9.6199999999999992</v>
      </c>
      <c r="P22" s="51">
        <v>67.180000000000007</v>
      </c>
      <c r="Q22" s="51">
        <v>0</v>
      </c>
      <c r="R22" s="51">
        <v>0</v>
      </c>
      <c r="S22" s="51">
        <v>0</v>
      </c>
      <c r="T22" s="51">
        <v>0.12</v>
      </c>
      <c r="U22" s="51">
        <v>57.68</v>
      </c>
      <c r="V22" s="51">
        <v>3192.4</v>
      </c>
      <c r="W22" s="59">
        <v>49.49</v>
      </c>
      <c r="X22" s="51">
        <v>89.09</v>
      </c>
      <c r="Y22" s="51">
        <v>325.27999999999997</v>
      </c>
      <c r="Z22" s="51">
        <v>245.41</v>
      </c>
      <c r="AA22" s="51">
        <v>65</v>
      </c>
      <c r="AB22" s="51">
        <v>14.14</v>
      </c>
      <c r="AC22" s="51">
        <v>463.86</v>
      </c>
      <c r="AD22" s="51">
        <v>141.41</v>
      </c>
      <c r="AE22" s="51">
        <v>217.13</v>
      </c>
      <c r="AF22" s="51">
        <v>177.96873288796405</v>
      </c>
      <c r="AG22" s="51">
        <v>12</v>
      </c>
    </row>
    <row r="23" spans="1:36" x14ac:dyDescent="0.2">
      <c r="A23" s="51" t="s">
        <v>404</v>
      </c>
      <c r="B23" s="51" t="s">
        <v>664</v>
      </c>
      <c r="C23" s="51">
        <v>15</v>
      </c>
      <c r="D23" s="51">
        <v>0</v>
      </c>
      <c r="E23" s="51">
        <v>216.67</v>
      </c>
      <c r="F23" s="51">
        <v>229.79</v>
      </c>
      <c r="G23" s="51">
        <v>3250.05</v>
      </c>
      <c r="H23" s="51">
        <v>0</v>
      </c>
      <c r="I23" s="51">
        <v>0</v>
      </c>
      <c r="J23" s="51">
        <v>325.01</v>
      </c>
      <c r="K23" s="51">
        <v>325.01</v>
      </c>
      <c r="L23" s="51">
        <v>325.01</v>
      </c>
      <c r="M23" s="51">
        <v>4225.08</v>
      </c>
      <c r="N23" s="51">
        <v>107.17</v>
      </c>
      <c r="O23" s="51">
        <v>0</v>
      </c>
      <c r="P23" s="51">
        <v>87.32</v>
      </c>
      <c r="Q23" s="51">
        <v>0</v>
      </c>
      <c r="R23" s="51">
        <v>0</v>
      </c>
      <c r="S23" s="51">
        <v>0</v>
      </c>
      <c r="T23" s="51">
        <v>-0.01</v>
      </c>
      <c r="U23" s="51">
        <v>194.48</v>
      </c>
      <c r="V23" s="51">
        <v>4030.6</v>
      </c>
      <c r="W23" s="51">
        <v>64.34</v>
      </c>
      <c r="X23" s="51">
        <v>115.81</v>
      </c>
      <c r="Y23" s="51">
        <v>340.12</v>
      </c>
      <c r="Z23" s="51">
        <v>262.38</v>
      </c>
      <c r="AA23" s="51">
        <v>84.5</v>
      </c>
      <c r="AB23" s="51">
        <v>18.38</v>
      </c>
      <c r="AC23" s="59">
        <v>520.27</v>
      </c>
      <c r="AD23" s="51">
        <v>183.83</v>
      </c>
      <c r="AE23" s="51">
        <v>225.62</v>
      </c>
      <c r="AF23" s="51">
        <v>231.35828496331177</v>
      </c>
      <c r="AG23" s="51">
        <v>12</v>
      </c>
    </row>
    <row r="24" spans="1:36" x14ac:dyDescent="0.2">
      <c r="A24" s="51" t="s">
        <v>572</v>
      </c>
      <c r="B24" s="51" t="s">
        <v>573</v>
      </c>
      <c r="C24" s="51">
        <v>14</v>
      </c>
      <c r="D24" s="51">
        <v>0</v>
      </c>
      <c r="E24" s="51">
        <v>256.67</v>
      </c>
      <c r="F24" s="51">
        <v>272.20999999999998</v>
      </c>
      <c r="G24" s="51">
        <v>3593.38</v>
      </c>
      <c r="H24" s="51">
        <v>0</v>
      </c>
      <c r="I24" s="51">
        <v>0</v>
      </c>
      <c r="J24" s="51">
        <v>359.34</v>
      </c>
      <c r="K24" s="51">
        <v>359.34</v>
      </c>
      <c r="L24" s="51">
        <v>359.34</v>
      </c>
      <c r="M24" s="51">
        <v>4671.3999999999996</v>
      </c>
      <c r="N24" s="51">
        <v>162.25</v>
      </c>
      <c r="O24" s="51">
        <v>0</v>
      </c>
      <c r="P24" s="51">
        <v>99.88</v>
      </c>
      <c r="Q24" s="51">
        <v>0</v>
      </c>
      <c r="R24" s="51">
        <v>0</v>
      </c>
      <c r="S24" s="51">
        <v>0</v>
      </c>
      <c r="T24" s="51">
        <v>7.0000000000000007E-2</v>
      </c>
      <c r="U24" s="51">
        <v>262.2</v>
      </c>
      <c r="V24" s="51">
        <v>4409.2</v>
      </c>
      <c r="W24" s="51">
        <v>76.22</v>
      </c>
      <c r="X24" s="51">
        <v>137.19</v>
      </c>
      <c r="Y24" s="51">
        <v>355.3</v>
      </c>
      <c r="Z24" s="51">
        <v>275.95999999999998</v>
      </c>
      <c r="AA24" s="51">
        <v>93.43</v>
      </c>
      <c r="AB24" s="51">
        <v>21.78</v>
      </c>
      <c r="AC24" s="59">
        <v>568.71</v>
      </c>
      <c r="AD24" s="51">
        <v>217.77</v>
      </c>
      <c r="AE24" s="51">
        <v>232.39999999999998</v>
      </c>
      <c r="AF24" s="51">
        <v>274.06992662358999</v>
      </c>
      <c r="AG24" s="51">
        <v>12</v>
      </c>
    </row>
    <row r="25" spans="1:36" s="74" customFormat="1" x14ac:dyDescent="0.2">
      <c r="A25" s="73" t="s">
        <v>165</v>
      </c>
      <c r="C25" s="74" t="s">
        <v>157</v>
      </c>
      <c r="D25" s="74" t="s">
        <v>157</v>
      </c>
      <c r="E25" s="74" t="s">
        <v>157</v>
      </c>
      <c r="F25" s="74" t="s">
        <v>157</v>
      </c>
      <c r="G25" s="74" t="s">
        <v>157</v>
      </c>
      <c r="H25" s="74" t="s">
        <v>157</v>
      </c>
      <c r="I25" s="74" t="s">
        <v>157</v>
      </c>
      <c r="J25" s="74" t="s">
        <v>157</v>
      </c>
      <c r="K25" s="74" t="s">
        <v>157</v>
      </c>
      <c r="L25" s="74" t="s">
        <v>157</v>
      </c>
      <c r="M25" s="74" t="s">
        <v>157</v>
      </c>
      <c r="N25" s="74" t="s">
        <v>157</v>
      </c>
      <c r="O25" s="74" t="s">
        <v>157</v>
      </c>
      <c r="P25" s="74" t="s">
        <v>157</v>
      </c>
      <c r="Q25" s="74" t="s">
        <v>157</v>
      </c>
      <c r="R25" s="74" t="s">
        <v>157</v>
      </c>
      <c r="S25" s="74" t="s">
        <v>157</v>
      </c>
      <c r="T25" s="74" t="s">
        <v>157</v>
      </c>
      <c r="U25" s="74" t="s">
        <v>157</v>
      </c>
      <c r="V25" s="74" t="s">
        <v>157</v>
      </c>
      <c r="W25" s="74" t="s">
        <v>157</v>
      </c>
      <c r="X25" s="74" t="s">
        <v>157</v>
      </c>
      <c r="Y25" s="74" t="s">
        <v>157</v>
      </c>
      <c r="Z25" s="74" t="s">
        <v>157</v>
      </c>
      <c r="AA25" s="74" t="s">
        <v>157</v>
      </c>
      <c r="AB25" s="74" t="s">
        <v>157</v>
      </c>
      <c r="AC25" s="74" t="s">
        <v>157</v>
      </c>
      <c r="AD25" s="74" t="s">
        <v>157</v>
      </c>
      <c r="AF25" s="74" t="s">
        <v>157</v>
      </c>
      <c r="AG25" s="74" t="s">
        <v>157</v>
      </c>
      <c r="AH25" s="47"/>
      <c r="AI25" s="47"/>
      <c r="AJ25" s="47"/>
    </row>
    <row r="26" spans="1:36" x14ac:dyDescent="0.2">
      <c r="A26" s="65">
        <f t="shared" ref="A26:AF26" si="0">SUM(A6:A25)</f>
        <v>0</v>
      </c>
      <c r="B26" s="65">
        <f t="shared" si="0"/>
        <v>0</v>
      </c>
      <c r="C26" s="65">
        <f t="shared" si="0"/>
        <v>282</v>
      </c>
      <c r="D26" s="65">
        <f t="shared" si="0"/>
        <v>2</v>
      </c>
      <c r="E26" s="65">
        <f t="shared" si="0"/>
        <v>4965.3899999999994</v>
      </c>
      <c r="F26" s="65">
        <f t="shared" si="0"/>
        <v>5261.86</v>
      </c>
      <c r="G26" s="65">
        <f t="shared" si="0"/>
        <v>72977.52</v>
      </c>
      <c r="H26" s="65">
        <f t="shared" si="0"/>
        <v>1246.6599999999999</v>
      </c>
      <c r="I26" s="65">
        <f t="shared" si="0"/>
        <v>374</v>
      </c>
      <c r="J26" s="65">
        <f t="shared" si="0"/>
        <v>7422.5</v>
      </c>
      <c r="K26" s="65">
        <f t="shared" si="0"/>
        <v>7422.5</v>
      </c>
      <c r="L26" s="65">
        <f t="shared" si="0"/>
        <v>7422.5</v>
      </c>
      <c r="M26" s="65">
        <f t="shared" si="0"/>
        <v>96865.679999999978</v>
      </c>
      <c r="N26" s="65">
        <f t="shared" si="0"/>
        <v>5305.6299999999992</v>
      </c>
      <c r="O26" s="65">
        <f t="shared" si="0"/>
        <v>-118.69</v>
      </c>
      <c r="P26" s="65">
        <f t="shared" si="0"/>
        <v>2063.17</v>
      </c>
      <c r="Q26" s="65">
        <f t="shared" si="0"/>
        <v>0</v>
      </c>
      <c r="R26" s="65">
        <f t="shared" si="0"/>
        <v>11080</v>
      </c>
      <c r="S26" s="65">
        <f t="shared" si="0"/>
        <v>1119.1500000000001</v>
      </c>
      <c r="T26" s="65">
        <f t="shared" si="0"/>
        <v>1.9999999999999941E-2</v>
      </c>
      <c r="U26" s="65">
        <f t="shared" si="0"/>
        <v>19449.280000000002</v>
      </c>
      <c r="V26" s="65">
        <f t="shared" si="0"/>
        <v>77416.399999999994</v>
      </c>
      <c r="W26" s="65">
        <f t="shared" si="0"/>
        <v>1473.31</v>
      </c>
      <c r="X26" s="65">
        <f t="shared" si="0"/>
        <v>2651.9500000000003</v>
      </c>
      <c r="Y26" s="65">
        <f t="shared" si="0"/>
        <v>6901.43</v>
      </c>
      <c r="Z26" s="65">
        <f t="shared" si="0"/>
        <v>5271.9299999999994</v>
      </c>
      <c r="AA26" s="65">
        <f t="shared" si="0"/>
        <v>1937.3</v>
      </c>
      <c r="AB26" s="65">
        <f t="shared" si="0"/>
        <v>420.96999999999991</v>
      </c>
      <c r="AC26" s="65">
        <f t="shared" si="0"/>
        <v>11026.689999999999</v>
      </c>
      <c r="AD26" s="65">
        <f t="shared" si="0"/>
        <v>4209.49</v>
      </c>
      <c r="AE26" s="65">
        <f t="shared" si="0"/>
        <v>4430.05</v>
      </c>
      <c r="AF26" s="65">
        <f t="shared" si="0"/>
        <v>5301.9989595882171</v>
      </c>
      <c r="AG26" s="65">
        <f>SUM(AG6:AG25)</f>
        <v>228</v>
      </c>
    </row>
    <row r="27" spans="1:36" x14ac:dyDescent="0.2">
      <c r="A27" s="65"/>
      <c r="B27" s="65"/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5"/>
      <c r="O27" s="65"/>
      <c r="P27" s="65"/>
      <c r="Q27" s="65"/>
      <c r="R27" s="65"/>
      <c r="S27" s="65"/>
      <c r="T27" s="65"/>
      <c r="U27" s="65"/>
      <c r="V27" s="65"/>
      <c r="W27" s="65"/>
      <c r="X27" s="65"/>
      <c r="Y27" s="65"/>
      <c r="Z27" s="65"/>
      <c r="AA27" s="65"/>
      <c r="AB27" s="65"/>
      <c r="AC27" s="65"/>
      <c r="AD27" s="65"/>
      <c r="AE27" s="65"/>
      <c r="AF27" s="65"/>
      <c r="AG27" s="65"/>
    </row>
    <row r="28" spans="1:36" ht="15.75" x14ac:dyDescent="0.25">
      <c r="A28" s="65">
        <v>19</v>
      </c>
      <c r="B28" s="65" t="s">
        <v>680</v>
      </c>
      <c r="L28" s="158" t="s">
        <v>601</v>
      </c>
      <c r="M28" s="158"/>
    </row>
    <row r="29" spans="1:36" x14ac:dyDescent="0.2">
      <c r="A29" s="65">
        <v>0</v>
      </c>
      <c r="B29" s="65" t="s">
        <v>681</v>
      </c>
      <c r="L29" s="134" t="s">
        <v>46</v>
      </c>
      <c r="M29" s="135">
        <f>+Y26</f>
        <v>6901.43</v>
      </c>
    </row>
    <row r="30" spans="1:36" x14ac:dyDescent="0.2">
      <c r="A30" s="65">
        <v>0</v>
      </c>
      <c r="B30" s="65" t="s">
        <v>682</v>
      </c>
      <c r="L30" s="134" t="s">
        <v>47</v>
      </c>
      <c r="M30" s="135">
        <f>+V26</f>
        <v>77416.399999999994</v>
      </c>
    </row>
    <row r="31" spans="1:36" x14ac:dyDescent="0.2">
      <c r="A31" s="65">
        <f>+A28+A29-A30</f>
        <v>19</v>
      </c>
      <c r="B31" s="65" t="s">
        <v>683</v>
      </c>
      <c r="L31" s="134" t="s">
        <v>170</v>
      </c>
      <c r="M31" s="135">
        <f>+S26+R26+Q26+T26</f>
        <v>12199.17</v>
      </c>
    </row>
    <row r="32" spans="1:36" x14ac:dyDescent="0.2">
      <c r="A32" s="65"/>
      <c r="B32" s="65"/>
      <c r="L32" s="134" t="s">
        <v>326</v>
      </c>
      <c r="M32" s="135">
        <f>+U26</f>
        <v>19449.280000000002</v>
      </c>
    </row>
    <row r="33" spans="1:13" x14ac:dyDescent="0.2">
      <c r="A33" s="65"/>
      <c r="B33" s="65"/>
      <c r="L33" s="134" t="s">
        <v>48</v>
      </c>
      <c r="M33" s="135">
        <f>SUM(M29:M32)</f>
        <v>115966.27999999998</v>
      </c>
    </row>
    <row r="34" spans="1:13" x14ac:dyDescent="0.2">
      <c r="L34" s="134" t="s">
        <v>49</v>
      </c>
      <c r="M34" s="135">
        <f>+M33*2%</f>
        <v>2319.3255999999997</v>
      </c>
    </row>
    <row r="35" spans="1:13" x14ac:dyDescent="0.2">
      <c r="L35" s="134" t="s">
        <v>50</v>
      </c>
      <c r="M35" s="135">
        <f>+M33+M34</f>
        <v>118285.60559999998</v>
      </c>
    </row>
    <row r="36" spans="1:13" x14ac:dyDescent="0.2">
      <c r="L36" s="134" t="s">
        <v>51</v>
      </c>
      <c r="M36" s="135">
        <f>+P26+W26+X26+Y26+AB26+Z26+AD26+AE26</f>
        <v>27422.3</v>
      </c>
    </row>
    <row r="37" spans="1:13" x14ac:dyDescent="0.2">
      <c r="L37" s="134" t="s">
        <v>52</v>
      </c>
      <c r="M37" s="135">
        <f>+M26*2%</f>
        <v>1937.3135999999995</v>
      </c>
    </row>
    <row r="38" spans="1:13" x14ac:dyDescent="0.2">
      <c r="L38" s="134" t="s">
        <v>53</v>
      </c>
      <c r="M38" s="135">
        <f>+M35+M36+M37</f>
        <v>147645.21919999996</v>
      </c>
    </row>
    <row r="39" spans="1:13" x14ac:dyDescent="0.2">
      <c r="L39" s="134" t="s">
        <v>54</v>
      </c>
      <c r="M39" s="135">
        <f>+M38*16%</f>
        <v>23623.235071999996</v>
      </c>
    </row>
    <row r="40" spans="1:13" x14ac:dyDescent="0.2">
      <c r="L40" s="134" t="s">
        <v>55</v>
      </c>
      <c r="M40" s="135">
        <f>+M38+M39</f>
        <v>171268.45427199994</v>
      </c>
    </row>
    <row r="41" spans="1:13" x14ac:dyDescent="0.2">
      <c r="J41" s="47"/>
    </row>
    <row r="42" spans="1:13" ht="15.75" customHeight="1" x14ac:dyDescent="0.2">
      <c r="J42" s="47"/>
      <c r="L42" s="153" t="s">
        <v>648</v>
      </c>
      <c r="M42" s="153"/>
    </row>
    <row r="43" spans="1:13" ht="15.75" x14ac:dyDescent="0.25">
      <c r="J43" s="47"/>
      <c r="L43" s="154" t="s">
        <v>600</v>
      </c>
      <c r="M43" s="154"/>
    </row>
    <row r="44" spans="1:13" x14ac:dyDescent="0.2">
      <c r="J44" s="47"/>
      <c r="L44" s="134" t="s">
        <v>48</v>
      </c>
      <c r="M44" s="135">
        <f>+AF26</f>
        <v>5301.9989595882171</v>
      </c>
    </row>
    <row r="45" spans="1:13" x14ac:dyDescent="0.2">
      <c r="J45" s="47"/>
      <c r="L45" s="134" t="s">
        <v>49</v>
      </c>
      <c r="M45" s="135">
        <f>+M44*2%</f>
        <v>106.03997919176435</v>
      </c>
    </row>
    <row r="46" spans="1:13" x14ac:dyDescent="0.2">
      <c r="J46" s="47"/>
      <c r="L46" s="134" t="s">
        <v>50</v>
      </c>
      <c r="M46" s="135">
        <f>+M44+M45</f>
        <v>5408.0389387799814</v>
      </c>
    </row>
    <row r="47" spans="1:13" x14ac:dyDescent="0.2">
      <c r="J47" s="47"/>
      <c r="L47" s="134" t="s">
        <v>52</v>
      </c>
      <c r="M47" s="135">
        <f>+M44*2%</f>
        <v>106.03997919176435</v>
      </c>
    </row>
    <row r="48" spans="1:13" ht="15.75" customHeight="1" x14ac:dyDescent="0.2">
      <c r="J48" s="47"/>
      <c r="L48" s="134" t="s">
        <v>53</v>
      </c>
      <c r="M48" s="135">
        <f>+M46+M47</f>
        <v>5514.0789179717458</v>
      </c>
    </row>
    <row r="49" spans="10:13" x14ac:dyDescent="0.2">
      <c r="J49" s="47"/>
      <c r="L49" s="134" t="s">
        <v>54</v>
      </c>
      <c r="M49" s="135">
        <f>+M48*16%</f>
        <v>882.25262687547934</v>
      </c>
    </row>
    <row r="50" spans="10:13" x14ac:dyDescent="0.2">
      <c r="J50" s="47"/>
      <c r="L50" s="134" t="s">
        <v>55</v>
      </c>
      <c r="M50" s="135">
        <f>+M48+M49</f>
        <v>6396.3315448472249</v>
      </c>
    </row>
    <row r="51" spans="10:13" x14ac:dyDescent="0.2">
      <c r="J51" s="47"/>
    </row>
    <row r="52" spans="10:13" x14ac:dyDescent="0.2">
      <c r="J52" s="47"/>
    </row>
    <row r="53" spans="10:13" x14ac:dyDescent="0.2">
      <c r="J53" s="47"/>
    </row>
    <row r="54" spans="10:13" x14ac:dyDescent="0.2">
      <c r="J54" s="47"/>
    </row>
    <row r="55" spans="10:13" x14ac:dyDescent="0.2">
      <c r="J55" s="47"/>
    </row>
    <row r="56" spans="10:13" x14ac:dyDescent="0.2">
      <c r="J56" s="47"/>
    </row>
    <row r="57" spans="10:13" x14ac:dyDescent="0.2">
      <c r="J57" s="47"/>
    </row>
    <row r="58" spans="10:13" x14ac:dyDescent="0.2">
      <c r="J58" s="47"/>
    </row>
    <row r="59" spans="10:13" x14ac:dyDescent="0.2">
      <c r="J59" s="47"/>
    </row>
    <row r="60" spans="10:13" x14ac:dyDescent="0.2">
      <c r="J60" s="47"/>
    </row>
    <row r="61" spans="10:13" x14ac:dyDescent="0.2">
      <c r="J61" s="47"/>
    </row>
    <row r="62" spans="10:13" x14ac:dyDescent="0.2">
      <c r="J62" s="47"/>
    </row>
    <row r="63" spans="10:13" x14ac:dyDescent="0.2">
      <c r="J63" s="47"/>
    </row>
    <row r="64" spans="10:13" x14ac:dyDescent="0.2">
      <c r="J64" s="47"/>
    </row>
    <row r="65" spans="10:10" x14ac:dyDescent="0.2">
      <c r="J65" s="47"/>
    </row>
    <row r="66" spans="10:10" x14ac:dyDescent="0.2">
      <c r="J66" s="47"/>
    </row>
    <row r="67" spans="10:10" x14ac:dyDescent="0.2">
      <c r="J67" s="47"/>
    </row>
    <row r="68" spans="10:10" x14ac:dyDescent="0.2">
      <c r="J68" s="47"/>
    </row>
    <row r="69" spans="10:10" x14ac:dyDescent="0.2">
      <c r="J69" s="47"/>
    </row>
    <row r="70" spans="10:10" x14ac:dyDescent="0.2">
      <c r="J70" s="47"/>
    </row>
  </sheetData>
  <autoFilter ref="A5:AI26" xr:uid="{00000000-0009-0000-0000-000001000000}"/>
  <mergeCells count="6">
    <mergeCell ref="L42:M42"/>
    <mergeCell ref="L43:M43"/>
    <mergeCell ref="B1:G1"/>
    <mergeCell ref="B2:G2"/>
    <mergeCell ref="B4:G4"/>
    <mergeCell ref="L28:M28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113"/>
  <sheetViews>
    <sheetView showGridLines="0" zoomScale="90" zoomScaleNormal="90" workbookViewId="0">
      <pane xSplit="2" ySplit="5" topLeftCell="C97" activePane="bottomRight" state="frozen"/>
      <selection pane="topRight" activeCell="C1" sqref="C1"/>
      <selection pane="bottomLeft" activeCell="A10" sqref="A10"/>
      <selection pane="bottomRight" activeCell="B64" sqref="B64"/>
    </sheetView>
  </sheetViews>
  <sheetFormatPr baseColWidth="10" defaultColWidth="11.42578125" defaultRowHeight="12.75" x14ac:dyDescent="0.2"/>
  <cols>
    <col min="1" max="1" width="11.42578125" style="53"/>
    <col min="2" max="2" width="45" style="53" customWidth="1"/>
    <col min="3" max="3" width="15" style="53" customWidth="1"/>
    <col min="4" max="4" width="12.7109375" style="53" customWidth="1"/>
    <col min="5" max="5" width="13.28515625" style="53" hidden="1" customWidth="1"/>
    <col min="6" max="6" width="11.5703125" style="53" hidden="1" customWidth="1"/>
    <col min="7" max="7" width="19.5703125" style="53" customWidth="1"/>
    <col min="8" max="8" width="15.28515625" style="53" customWidth="1"/>
    <col min="9" max="9" width="20.5703125" style="53" customWidth="1"/>
    <col min="10" max="10" width="18.7109375" style="53" customWidth="1"/>
    <col min="11" max="11" width="17.5703125" style="53" customWidth="1"/>
    <col min="12" max="12" width="16.85546875" style="53" customWidth="1"/>
    <col min="13" max="13" width="15.7109375" style="53" customWidth="1"/>
    <col min="14" max="14" width="16.140625" style="53" customWidth="1"/>
    <col min="15" max="15" width="15.5703125" style="53" customWidth="1"/>
    <col min="16" max="16" width="17.42578125" style="53" customWidth="1"/>
    <col min="17" max="17" width="15" style="53" customWidth="1"/>
    <col min="18" max="18" width="16.140625" style="53" customWidth="1"/>
    <col min="19" max="19" width="16.85546875" style="53" customWidth="1"/>
    <col min="20" max="20" width="15.42578125" style="53" customWidth="1"/>
    <col min="21" max="21" width="17.140625" style="53" customWidth="1"/>
    <col min="22" max="22" width="18.7109375" style="53" customWidth="1"/>
    <col min="23" max="23" width="12" style="53" customWidth="1"/>
    <col min="24" max="25" width="13.85546875" style="53" customWidth="1"/>
    <col min="26" max="26" width="12.42578125" style="53" customWidth="1"/>
    <col min="27" max="27" width="14.5703125" style="53" customWidth="1"/>
    <col min="28" max="28" width="13.85546875" style="53" customWidth="1"/>
    <col min="29" max="32" width="13.5703125" style="53" customWidth="1"/>
    <col min="33" max="33" width="15.42578125" style="53" customWidth="1"/>
    <col min="34" max="34" width="11.42578125" style="53" customWidth="1"/>
    <col min="35" max="16384" width="11.42578125" style="53"/>
  </cols>
  <sheetData>
    <row r="1" spans="1:36" x14ac:dyDescent="0.2">
      <c r="A1" s="54"/>
      <c r="B1" s="159" t="s">
        <v>166</v>
      </c>
      <c r="C1" s="159"/>
      <c r="D1" s="159"/>
      <c r="E1" s="159"/>
      <c r="F1" s="159"/>
      <c r="G1" s="160"/>
      <c r="H1" s="160"/>
      <c r="I1" s="160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  <c r="AA1" s="51"/>
      <c r="AB1" s="51"/>
      <c r="AC1" s="51"/>
      <c r="AD1" s="51"/>
      <c r="AE1" s="51"/>
      <c r="AF1" s="51"/>
      <c r="AG1" s="51"/>
    </row>
    <row r="2" spans="1:36" x14ac:dyDescent="0.2">
      <c r="A2" s="51"/>
      <c r="B2" s="161" t="s">
        <v>160</v>
      </c>
      <c r="C2" s="161"/>
      <c r="D2" s="161"/>
      <c r="E2" s="161"/>
      <c r="F2" s="161"/>
      <c r="G2" s="161"/>
      <c r="H2" s="161"/>
      <c r="I2" s="16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</row>
    <row r="3" spans="1:36" x14ac:dyDescent="0.2">
      <c r="A3" s="51"/>
      <c r="B3" s="77" t="s">
        <v>167</v>
      </c>
      <c r="C3" s="77"/>
      <c r="D3" s="77"/>
      <c r="E3" s="77"/>
      <c r="F3" s="77"/>
      <c r="G3" s="77"/>
      <c r="H3" s="77"/>
      <c r="I3" s="77"/>
      <c r="J3" s="51"/>
      <c r="K3" s="51"/>
      <c r="L3" s="51"/>
      <c r="M3" s="51"/>
      <c r="N3" s="51"/>
      <c r="O3" s="51"/>
      <c r="P3" s="51"/>
      <c r="Q3" s="51"/>
      <c r="R3" s="51"/>
      <c r="S3" s="51"/>
      <c r="T3" s="51"/>
      <c r="U3" s="51"/>
      <c r="V3" s="51"/>
      <c r="W3" s="51"/>
      <c r="X3" s="51"/>
      <c r="Y3" s="51"/>
      <c r="Z3" s="51"/>
      <c r="AA3" s="51"/>
      <c r="AB3" s="51"/>
      <c r="AC3" s="51"/>
      <c r="AD3" s="51"/>
      <c r="AE3" s="51"/>
      <c r="AF3" s="51"/>
      <c r="AG3" s="51"/>
    </row>
    <row r="4" spans="1:36" x14ac:dyDescent="0.2">
      <c r="A4" s="51"/>
      <c r="B4" s="161" t="s">
        <v>168</v>
      </c>
      <c r="C4" s="161"/>
      <c r="D4" s="161"/>
      <c r="E4" s="161"/>
      <c r="F4" s="161"/>
      <c r="G4" s="161"/>
      <c r="H4" s="161"/>
      <c r="I4" s="161"/>
      <c r="J4" s="51"/>
      <c r="K4" s="51"/>
      <c r="L4" s="51"/>
      <c r="M4" s="51"/>
      <c r="N4" s="51"/>
      <c r="O4" s="51"/>
      <c r="P4" s="51"/>
      <c r="Q4" s="51"/>
      <c r="R4" s="51"/>
      <c r="S4" s="51"/>
      <c r="T4" s="51"/>
      <c r="U4" s="51"/>
      <c r="V4" s="51"/>
      <c r="W4" s="51"/>
      <c r="X4" s="51"/>
      <c r="Y4" s="51"/>
      <c r="Z4" s="51"/>
      <c r="AA4" s="51"/>
      <c r="AB4" s="51"/>
      <c r="AC4" s="51"/>
      <c r="AD4" s="51"/>
      <c r="AE4" s="51"/>
      <c r="AF4" s="51"/>
      <c r="AG4" s="51"/>
    </row>
    <row r="5" spans="1:36" ht="35.25" customHeight="1" thickBot="1" x14ac:dyDescent="0.25">
      <c r="A5" s="56" t="s">
        <v>163</v>
      </c>
      <c r="B5" s="56" t="s">
        <v>164</v>
      </c>
      <c r="C5" s="56" t="s">
        <v>371</v>
      </c>
      <c r="D5" s="56" t="s">
        <v>389</v>
      </c>
      <c r="E5" s="56" t="s">
        <v>534</v>
      </c>
      <c r="F5" s="56" t="s">
        <v>535</v>
      </c>
      <c r="G5" s="56" t="s">
        <v>136</v>
      </c>
      <c r="H5" s="56" t="s">
        <v>366</v>
      </c>
      <c r="I5" s="56" t="s">
        <v>367</v>
      </c>
      <c r="J5" s="56" t="s">
        <v>140</v>
      </c>
      <c r="K5" s="56" t="s">
        <v>141</v>
      </c>
      <c r="L5" s="56" t="s">
        <v>142</v>
      </c>
      <c r="M5" s="56" t="s">
        <v>143</v>
      </c>
      <c r="N5" s="56" t="s">
        <v>144</v>
      </c>
      <c r="O5" s="56" t="s">
        <v>487</v>
      </c>
      <c r="P5" s="56" t="s">
        <v>488</v>
      </c>
      <c r="Q5" s="56" t="s">
        <v>671</v>
      </c>
      <c r="R5" s="56" t="s">
        <v>135</v>
      </c>
      <c r="S5" s="56" t="s">
        <v>672</v>
      </c>
      <c r="T5" s="56" t="s">
        <v>145</v>
      </c>
      <c r="U5" s="56" t="s">
        <v>146</v>
      </c>
      <c r="V5" s="57" t="s">
        <v>147</v>
      </c>
      <c r="W5" s="56" t="s">
        <v>148</v>
      </c>
      <c r="X5" s="56" t="s">
        <v>149</v>
      </c>
      <c r="Y5" s="56" t="s">
        <v>150</v>
      </c>
      <c r="Z5" s="56" t="s">
        <v>151</v>
      </c>
      <c r="AA5" s="56" t="s">
        <v>152</v>
      </c>
      <c r="AB5" s="56" t="s">
        <v>153</v>
      </c>
      <c r="AC5" s="56" t="s">
        <v>154</v>
      </c>
      <c r="AD5" s="56" t="s">
        <v>155</v>
      </c>
      <c r="AE5" s="56" t="s">
        <v>156</v>
      </c>
      <c r="AF5" s="56" t="s">
        <v>673</v>
      </c>
      <c r="AG5" s="56" t="s">
        <v>659</v>
      </c>
    </row>
    <row r="6" spans="1:36" ht="13.5" thickTop="1" x14ac:dyDescent="0.2">
      <c r="A6" s="51" t="s">
        <v>67</v>
      </c>
      <c r="B6" s="58" t="s">
        <v>328</v>
      </c>
      <c r="C6" s="51">
        <v>15</v>
      </c>
      <c r="D6" s="51">
        <v>0</v>
      </c>
      <c r="E6" s="51">
        <v>266.67</v>
      </c>
      <c r="F6" s="51">
        <v>278.72000000000003</v>
      </c>
      <c r="G6" s="51">
        <v>4000.05</v>
      </c>
      <c r="H6" s="51">
        <v>0</v>
      </c>
      <c r="I6" s="51">
        <v>0</v>
      </c>
      <c r="J6" s="51">
        <v>4000.05</v>
      </c>
      <c r="K6" s="51">
        <v>313.87</v>
      </c>
      <c r="L6" s="51">
        <v>0</v>
      </c>
      <c r="M6" s="51">
        <v>107.53</v>
      </c>
      <c r="N6" s="51">
        <v>0</v>
      </c>
      <c r="O6" s="51">
        <v>0</v>
      </c>
      <c r="P6" s="51">
        <v>0</v>
      </c>
      <c r="Q6" s="51">
        <v>0</v>
      </c>
      <c r="R6" s="51">
        <v>0</v>
      </c>
      <c r="S6" s="51">
        <v>0</v>
      </c>
      <c r="T6" s="59">
        <v>-0.15</v>
      </c>
      <c r="U6" s="51">
        <v>421.25</v>
      </c>
      <c r="V6" s="51">
        <v>3578.8</v>
      </c>
      <c r="W6" s="51">
        <v>78.040000000000006</v>
      </c>
      <c r="X6" s="51">
        <v>140.47999999999999</v>
      </c>
      <c r="Y6" s="51">
        <v>358.27</v>
      </c>
      <c r="Z6" s="51">
        <v>275.64</v>
      </c>
      <c r="AA6" s="51">
        <v>80</v>
      </c>
      <c r="AB6" s="53">
        <v>35.520000000000003</v>
      </c>
      <c r="AC6" s="51">
        <v>576.79</v>
      </c>
      <c r="AD6" s="53">
        <v>222.98</v>
      </c>
      <c r="AE6" s="53">
        <v>231.04999999999998</v>
      </c>
      <c r="AF6" s="51">
        <v>219.03679772204578</v>
      </c>
      <c r="AG6" s="53">
        <v>12</v>
      </c>
    </row>
    <row r="7" spans="1:36" x14ac:dyDescent="0.2">
      <c r="A7" s="51" t="s">
        <v>75</v>
      </c>
      <c r="B7" s="58" t="s">
        <v>537</v>
      </c>
      <c r="C7" s="51">
        <v>15</v>
      </c>
      <c r="D7" s="51">
        <v>0</v>
      </c>
      <c r="E7" s="51">
        <v>266.67</v>
      </c>
      <c r="F7" s="51">
        <v>278.72000000000003</v>
      </c>
      <c r="G7" s="51">
        <v>4000.05</v>
      </c>
      <c r="H7" s="51">
        <v>0</v>
      </c>
      <c r="I7" s="51">
        <v>0</v>
      </c>
      <c r="J7" s="51">
        <v>4000.05</v>
      </c>
      <c r="K7" s="51">
        <v>313.87</v>
      </c>
      <c r="L7" s="51">
        <v>0</v>
      </c>
      <c r="M7" s="51">
        <v>107.53</v>
      </c>
      <c r="N7" s="51">
        <v>0</v>
      </c>
      <c r="O7" s="51">
        <v>0</v>
      </c>
      <c r="P7" s="51">
        <v>0</v>
      </c>
      <c r="Q7" s="51">
        <v>0</v>
      </c>
      <c r="R7" s="51">
        <v>0</v>
      </c>
      <c r="S7" s="51">
        <v>0</v>
      </c>
      <c r="T7" s="51">
        <v>-0.15</v>
      </c>
      <c r="U7" s="51">
        <v>421.25</v>
      </c>
      <c r="V7" s="51">
        <v>3578.8</v>
      </c>
      <c r="W7" s="51">
        <v>78.040000000000006</v>
      </c>
      <c r="X7" s="51">
        <v>140.47999999999999</v>
      </c>
      <c r="Y7" s="51">
        <v>358.27</v>
      </c>
      <c r="Z7" s="51">
        <v>275.64</v>
      </c>
      <c r="AA7" s="51">
        <v>80</v>
      </c>
      <c r="AB7" s="53">
        <v>35.520000000000003</v>
      </c>
      <c r="AC7" s="51">
        <v>576.79</v>
      </c>
      <c r="AD7" s="53">
        <v>222.98</v>
      </c>
      <c r="AE7" s="53">
        <v>231.04999999999998</v>
      </c>
      <c r="AF7" s="51">
        <v>219.03679772204578</v>
      </c>
      <c r="AG7" s="53">
        <v>12</v>
      </c>
    </row>
    <row r="8" spans="1:36" x14ac:dyDescent="0.2">
      <c r="A8" s="51" t="s">
        <v>77</v>
      </c>
      <c r="B8" s="51" t="s">
        <v>590</v>
      </c>
      <c r="C8" s="51">
        <v>15</v>
      </c>
      <c r="D8" s="51">
        <v>0</v>
      </c>
      <c r="E8" s="51">
        <v>200</v>
      </c>
      <c r="F8" s="51">
        <v>209.04</v>
      </c>
      <c r="G8" s="51">
        <v>3000</v>
      </c>
      <c r="H8" s="51">
        <v>0</v>
      </c>
      <c r="I8" s="51">
        <v>0</v>
      </c>
      <c r="J8" s="51">
        <v>3000</v>
      </c>
      <c r="K8" s="51">
        <v>59.69</v>
      </c>
      <c r="L8" s="51">
        <v>0</v>
      </c>
      <c r="M8" s="51">
        <v>79.430000000000007</v>
      </c>
      <c r="N8" s="51">
        <v>0</v>
      </c>
      <c r="O8" s="51">
        <v>0</v>
      </c>
      <c r="P8" s="51">
        <v>0</v>
      </c>
      <c r="Q8" s="51">
        <v>0</v>
      </c>
      <c r="R8" s="51">
        <v>0</v>
      </c>
      <c r="S8" s="51">
        <v>0</v>
      </c>
      <c r="T8" s="51">
        <v>-0.12</v>
      </c>
      <c r="U8" s="51">
        <v>139</v>
      </c>
      <c r="V8" s="51">
        <v>2861</v>
      </c>
      <c r="W8" s="51">
        <v>58.53</v>
      </c>
      <c r="X8" s="51">
        <v>105.36</v>
      </c>
      <c r="Y8" s="51">
        <v>334.31</v>
      </c>
      <c r="Z8" s="51">
        <v>253.33999999999997</v>
      </c>
      <c r="AA8" s="51">
        <v>60</v>
      </c>
      <c r="AB8" s="53">
        <v>26.64</v>
      </c>
      <c r="AC8" s="51">
        <v>498.2</v>
      </c>
      <c r="AD8" s="53">
        <v>167.23</v>
      </c>
      <c r="AE8" s="53">
        <v>219.89999999999998</v>
      </c>
      <c r="AF8" s="51">
        <v>164.27554484722373</v>
      </c>
      <c r="AG8" s="53">
        <v>12</v>
      </c>
    </row>
    <row r="9" spans="1:36" s="55" customFormat="1" x14ac:dyDescent="0.2">
      <c r="A9" s="51" t="s">
        <v>81</v>
      </c>
      <c r="B9" s="58" t="s">
        <v>331</v>
      </c>
      <c r="C9" s="51">
        <v>15</v>
      </c>
      <c r="D9" s="51">
        <v>0</v>
      </c>
      <c r="E9" s="51">
        <v>266.67</v>
      </c>
      <c r="F9" s="51">
        <v>278.72000000000003</v>
      </c>
      <c r="G9" s="51">
        <v>4000.05</v>
      </c>
      <c r="H9" s="51">
        <v>0</v>
      </c>
      <c r="I9" s="51">
        <v>0</v>
      </c>
      <c r="J9" s="51">
        <v>4000.05</v>
      </c>
      <c r="K9" s="51">
        <v>313.87</v>
      </c>
      <c r="L9" s="51">
        <v>0</v>
      </c>
      <c r="M9" s="51">
        <v>107.53</v>
      </c>
      <c r="N9" s="51">
        <v>877.59</v>
      </c>
      <c r="O9" s="51">
        <v>0</v>
      </c>
      <c r="P9" s="51">
        <v>0</v>
      </c>
      <c r="Q9" s="51">
        <v>0</v>
      </c>
      <c r="R9" s="51">
        <v>0</v>
      </c>
      <c r="S9" s="51">
        <v>0</v>
      </c>
      <c r="T9" s="59">
        <v>0.06</v>
      </c>
      <c r="U9" s="51">
        <v>1299.05</v>
      </c>
      <c r="V9" s="51">
        <v>2701</v>
      </c>
      <c r="W9" s="51">
        <v>78.040000000000006</v>
      </c>
      <c r="X9" s="51">
        <v>140.47999999999999</v>
      </c>
      <c r="Y9" s="51">
        <v>358.27</v>
      </c>
      <c r="Z9" s="51">
        <v>275.64</v>
      </c>
      <c r="AA9" s="51">
        <v>80</v>
      </c>
      <c r="AB9" s="53">
        <v>35.520000000000003</v>
      </c>
      <c r="AC9" s="51">
        <v>576.79</v>
      </c>
      <c r="AD9" s="53">
        <v>222.98</v>
      </c>
      <c r="AE9" s="53">
        <v>231.04999999999998</v>
      </c>
      <c r="AF9" s="51">
        <v>219.03679772204578</v>
      </c>
      <c r="AG9" s="53">
        <v>12</v>
      </c>
      <c r="AH9" s="53"/>
      <c r="AI9" s="53"/>
      <c r="AJ9" s="53"/>
    </row>
    <row r="10" spans="1:36" x14ac:dyDescent="0.2">
      <c r="A10" s="51" t="s">
        <v>85</v>
      </c>
      <c r="B10" s="58" t="s">
        <v>333</v>
      </c>
      <c r="C10" s="51">
        <v>15</v>
      </c>
      <c r="D10" s="51">
        <v>0</v>
      </c>
      <c r="E10" s="51">
        <v>400</v>
      </c>
      <c r="F10" s="51">
        <v>424.2</v>
      </c>
      <c r="G10" s="51">
        <v>6000</v>
      </c>
      <c r="H10" s="51">
        <v>0</v>
      </c>
      <c r="I10" s="51">
        <v>0</v>
      </c>
      <c r="J10" s="51">
        <v>6000</v>
      </c>
      <c r="K10" s="51">
        <v>643.38</v>
      </c>
      <c r="L10" s="51">
        <v>0</v>
      </c>
      <c r="M10" s="51">
        <v>172.13</v>
      </c>
      <c r="N10" s="51">
        <v>0</v>
      </c>
      <c r="O10" s="51">
        <v>0</v>
      </c>
      <c r="P10" s="51">
        <v>0</v>
      </c>
      <c r="Q10" s="51">
        <v>0</v>
      </c>
      <c r="R10" s="51">
        <v>0</v>
      </c>
      <c r="S10" s="51">
        <v>0</v>
      </c>
      <c r="T10" s="59">
        <v>0.09</v>
      </c>
      <c r="U10" s="51">
        <v>815.6</v>
      </c>
      <c r="V10" s="51">
        <v>5184.3999999999996</v>
      </c>
      <c r="W10" s="51">
        <v>118.78</v>
      </c>
      <c r="X10" s="51">
        <v>213.8</v>
      </c>
      <c r="Y10" s="51">
        <v>424.61</v>
      </c>
      <c r="Z10" s="51">
        <v>322.19</v>
      </c>
      <c r="AA10" s="51">
        <v>120</v>
      </c>
      <c r="AB10" s="53">
        <v>54.07</v>
      </c>
      <c r="AC10" s="51">
        <v>757.19</v>
      </c>
      <c r="AD10" s="53">
        <v>339.36</v>
      </c>
      <c r="AE10" s="53">
        <v>254.32</v>
      </c>
      <c r="AF10" s="51">
        <v>328.55108969444746</v>
      </c>
      <c r="AG10" s="53">
        <v>12</v>
      </c>
    </row>
    <row r="11" spans="1:36" x14ac:dyDescent="0.2">
      <c r="A11" s="52" t="s">
        <v>87</v>
      </c>
      <c r="B11" s="52" t="s">
        <v>538</v>
      </c>
      <c r="C11" s="51">
        <v>15</v>
      </c>
      <c r="D11" s="51">
        <v>0</v>
      </c>
      <c r="E11" s="51">
        <v>266.67</v>
      </c>
      <c r="F11" s="51">
        <v>278.72000000000003</v>
      </c>
      <c r="G11" s="51">
        <v>4000.05</v>
      </c>
      <c r="H11" s="51">
        <v>0</v>
      </c>
      <c r="I11" s="51">
        <v>0</v>
      </c>
      <c r="J11" s="51">
        <v>4000.05</v>
      </c>
      <c r="K11" s="51">
        <v>313.87</v>
      </c>
      <c r="L11" s="51">
        <v>0</v>
      </c>
      <c r="M11" s="51">
        <v>107.53</v>
      </c>
      <c r="N11" s="51">
        <v>0</v>
      </c>
      <c r="O11" s="51">
        <v>0</v>
      </c>
      <c r="P11" s="51">
        <v>0</v>
      </c>
      <c r="Q11" s="52">
        <v>0</v>
      </c>
      <c r="R11" s="51">
        <v>0</v>
      </c>
      <c r="S11" s="52">
        <v>0</v>
      </c>
      <c r="T11" s="59">
        <v>0.05</v>
      </c>
      <c r="U11" s="51">
        <v>421.45</v>
      </c>
      <c r="V11" s="51">
        <v>3578.6</v>
      </c>
      <c r="W11" s="51">
        <v>78.040000000000006</v>
      </c>
      <c r="X11" s="51">
        <v>140.47999999999999</v>
      </c>
      <c r="Y11" s="51">
        <v>358.27</v>
      </c>
      <c r="Z11" s="51">
        <v>275.64</v>
      </c>
      <c r="AA11" s="51">
        <v>80</v>
      </c>
      <c r="AB11" s="55">
        <v>35.520000000000003</v>
      </c>
      <c r="AC11" s="51">
        <v>576.79</v>
      </c>
      <c r="AD11" s="55">
        <v>222.98</v>
      </c>
      <c r="AE11" s="55">
        <v>231.04999999999998</v>
      </c>
      <c r="AF11" s="51">
        <v>219.03679772204578</v>
      </c>
      <c r="AG11" s="55">
        <v>12</v>
      </c>
    </row>
    <row r="12" spans="1:36" s="55" customFormat="1" x14ac:dyDescent="0.2">
      <c r="A12" s="51" t="s">
        <v>89</v>
      </c>
      <c r="B12" s="58" t="s">
        <v>334</v>
      </c>
      <c r="C12" s="51">
        <v>14</v>
      </c>
      <c r="D12" s="51">
        <v>1</v>
      </c>
      <c r="E12" s="51">
        <v>200</v>
      </c>
      <c r="F12" s="51">
        <v>212.1</v>
      </c>
      <c r="G12" s="51">
        <v>2800</v>
      </c>
      <c r="H12" s="51">
        <v>200</v>
      </c>
      <c r="I12" s="51">
        <v>60</v>
      </c>
      <c r="J12" s="51">
        <v>3060</v>
      </c>
      <c r="K12" s="51">
        <v>59.69</v>
      </c>
      <c r="L12" s="51">
        <v>0</v>
      </c>
      <c r="M12" s="51">
        <v>80.599999999999994</v>
      </c>
      <c r="N12" s="51">
        <v>1359.23</v>
      </c>
      <c r="O12" s="51">
        <v>0</v>
      </c>
      <c r="P12" s="51">
        <v>0</v>
      </c>
      <c r="Q12" s="51">
        <v>0</v>
      </c>
      <c r="R12" s="51">
        <v>0</v>
      </c>
      <c r="S12" s="51">
        <v>0</v>
      </c>
      <c r="T12" s="59">
        <v>0.08</v>
      </c>
      <c r="U12" s="51">
        <v>1499.6</v>
      </c>
      <c r="V12" s="51">
        <v>1560.4</v>
      </c>
      <c r="W12" s="51">
        <v>59.39</v>
      </c>
      <c r="X12" s="51">
        <v>106.9</v>
      </c>
      <c r="Y12" s="51">
        <v>335.17</v>
      </c>
      <c r="Z12" s="51">
        <v>254.32</v>
      </c>
      <c r="AA12" s="51">
        <v>61.2</v>
      </c>
      <c r="AB12" s="53">
        <v>27.03</v>
      </c>
      <c r="AC12" s="51">
        <v>501.46</v>
      </c>
      <c r="AD12" s="53">
        <v>169.68</v>
      </c>
      <c r="AE12" s="53">
        <v>220.39</v>
      </c>
      <c r="AF12" s="51">
        <v>164.27554484722373</v>
      </c>
      <c r="AG12" s="53">
        <v>12</v>
      </c>
      <c r="AH12" s="53"/>
      <c r="AI12" s="53"/>
      <c r="AJ12" s="53"/>
    </row>
    <row r="13" spans="1:36" x14ac:dyDescent="0.2">
      <c r="A13" s="51" t="s">
        <v>91</v>
      </c>
      <c r="B13" s="58" t="s">
        <v>335</v>
      </c>
      <c r="C13" s="51">
        <v>15</v>
      </c>
      <c r="D13" s="51">
        <v>0</v>
      </c>
      <c r="E13" s="51">
        <v>333.33</v>
      </c>
      <c r="F13" s="51">
        <v>353.5</v>
      </c>
      <c r="G13" s="51">
        <v>4999.95</v>
      </c>
      <c r="H13" s="51">
        <v>0</v>
      </c>
      <c r="I13" s="51">
        <v>0</v>
      </c>
      <c r="J13" s="51">
        <v>4999.95</v>
      </c>
      <c r="K13" s="51">
        <v>461.63</v>
      </c>
      <c r="L13" s="51">
        <v>0</v>
      </c>
      <c r="M13" s="51">
        <v>140.72999999999999</v>
      </c>
      <c r="N13" s="51">
        <v>0</v>
      </c>
      <c r="O13" s="51">
        <v>0</v>
      </c>
      <c r="P13" s="51">
        <v>0</v>
      </c>
      <c r="Q13" s="51">
        <v>0</v>
      </c>
      <c r="R13" s="51">
        <v>0</v>
      </c>
      <c r="S13" s="51">
        <v>0</v>
      </c>
      <c r="T13" s="51">
        <v>-0.01</v>
      </c>
      <c r="U13" s="51">
        <v>602.35</v>
      </c>
      <c r="V13" s="51">
        <v>4397.6000000000004</v>
      </c>
      <c r="W13" s="51">
        <v>98.98</v>
      </c>
      <c r="X13" s="51">
        <v>178.16</v>
      </c>
      <c r="Y13" s="51">
        <v>392.36</v>
      </c>
      <c r="Z13" s="51">
        <v>299.57</v>
      </c>
      <c r="AA13" s="51">
        <v>100</v>
      </c>
      <c r="AB13" s="53">
        <v>45.05</v>
      </c>
      <c r="AC13" s="51">
        <v>669.5</v>
      </c>
      <c r="AD13" s="53">
        <v>282.8</v>
      </c>
      <c r="AE13" s="53">
        <v>243.01</v>
      </c>
      <c r="AF13" s="51">
        <v>273.78983681962541</v>
      </c>
      <c r="AG13" s="53">
        <v>12</v>
      </c>
    </row>
    <row r="14" spans="1:36" x14ac:dyDescent="0.2">
      <c r="A14" s="51" t="s">
        <v>93</v>
      </c>
      <c r="B14" s="58" t="s">
        <v>336</v>
      </c>
      <c r="C14" s="51">
        <v>15</v>
      </c>
      <c r="D14" s="51">
        <v>0</v>
      </c>
      <c r="E14" s="51">
        <v>233.33</v>
      </c>
      <c r="F14" s="51">
        <v>247.45</v>
      </c>
      <c r="G14" s="51">
        <v>3499.95</v>
      </c>
      <c r="H14" s="51">
        <v>0</v>
      </c>
      <c r="I14" s="51">
        <v>0</v>
      </c>
      <c r="J14" s="51">
        <v>3499.95</v>
      </c>
      <c r="K14" s="51">
        <v>134.36000000000001</v>
      </c>
      <c r="L14" s="51">
        <v>0</v>
      </c>
      <c r="M14" s="51">
        <v>94.03</v>
      </c>
      <c r="N14" s="51">
        <v>0</v>
      </c>
      <c r="O14" s="51">
        <v>0</v>
      </c>
      <c r="P14" s="51">
        <v>0</v>
      </c>
      <c r="Q14" s="51">
        <v>0</v>
      </c>
      <c r="R14" s="51">
        <v>0</v>
      </c>
      <c r="S14" s="51">
        <v>0</v>
      </c>
      <c r="T14" s="59">
        <v>-0.04</v>
      </c>
      <c r="U14" s="51">
        <v>228.35</v>
      </c>
      <c r="V14" s="51">
        <v>3271.6</v>
      </c>
      <c r="W14" s="51">
        <v>69.28</v>
      </c>
      <c r="X14" s="51">
        <v>124.71</v>
      </c>
      <c r="Y14" s="51">
        <v>345.06</v>
      </c>
      <c r="Z14" s="51">
        <v>265.63</v>
      </c>
      <c r="AA14" s="51">
        <v>70</v>
      </c>
      <c r="AB14" s="53">
        <v>31.54</v>
      </c>
      <c r="AC14" s="51">
        <v>539.04999999999995</v>
      </c>
      <c r="AD14" s="53">
        <v>197.96</v>
      </c>
      <c r="AE14" s="53">
        <v>226.04</v>
      </c>
      <c r="AF14" s="51">
        <v>191.65206439601357</v>
      </c>
      <c r="AG14" s="53">
        <v>12</v>
      </c>
    </row>
    <row r="15" spans="1:36" x14ac:dyDescent="0.2">
      <c r="A15" s="52" t="s">
        <v>99</v>
      </c>
      <c r="B15" s="58" t="s">
        <v>549</v>
      </c>
      <c r="C15" s="51">
        <v>15</v>
      </c>
      <c r="D15" s="51">
        <v>0</v>
      </c>
      <c r="E15" s="51">
        <v>200</v>
      </c>
      <c r="F15" s="51">
        <v>212.11</v>
      </c>
      <c r="G15" s="51">
        <v>3000</v>
      </c>
      <c r="H15" s="51">
        <v>0</v>
      </c>
      <c r="I15" s="51">
        <v>0</v>
      </c>
      <c r="J15" s="51">
        <v>3000</v>
      </c>
      <c r="K15" s="52">
        <v>59.69</v>
      </c>
      <c r="L15" s="52">
        <v>0</v>
      </c>
      <c r="M15" s="52">
        <v>80.599999999999994</v>
      </c>
      <c r="N15" s="52">
        <v>0</v>
      </c>
      <c r="O15" s="52">
        <v>0</v>
      </c>
      <c r="P15" s="52">
        <v>0</v>
      </c>
      <c r="Q15" s="52">
        <v>0</v>
      </c>
      <c r="R15" s="52">
        <v>0</v>
      </c>
      <c r="S15" s="52">
        <v>0</v>
      </c>
      <c r="T15" s="60">
        <v>0.11</v>
      </c>
      <c r="U15" s="52">
        <v>140.4</v>
      </c>
      <c r="V15" s="52">
        <v>2859.6</v>
      </c>
      <c r="W15" s="52">
        <v>59.39</v>
      </c>
      <c r="X15" s="52">
        <v>106.9</v>
      </c>
      <c r="Y15" s="52">
        <v>335.17</v>
      </c>
      <c r="Z15" s="51">
        <v>254.32999999999998</v>
      </c>
      <c r="AA15" s="52">
        <v>60</v>
      </c>
      <c r="AB15" s="55">
        <v>27.03</v>
      </c>
      <c r="AC15" s="52">
        <v>501.46</v>
      </c>
      <c r="AD15" s="55">
        <v>169.69</v>
      </c>
      <c r="AE15" s="55">
        <v>220.39</v>
      </c>
      <c r="AF15" s="52">
        <v>164.27554484722373</v>
      </c>
      <c r="AG15" s="55">
        <v>12</v>
      </c>
    </row>
    <row r="16" spans="1:36" s="55" customFormat="1" x14ac:dyDescent="0.2">
      <c r="A16" s="51" t="s">
        <v>101</v>
      </c>
      <c r="B16" s="58" t="s">
        <v>337</v>
      </c>
      <c r="C16" s="51">
        <v>15</v>
      </c>
      <c r="D16" s="51">
        <v>0</v>
      </c>
      <c r="E16" s="51">
        <v>200</v>
      </c>
      <c r="F16" s="51">
        <v>212.1</v>
      </c>
      <c r="G16" s="51">
        <v>3000</v>
      </c>
      <c r="H16" s="51">
        <v>0</v>
      </c>
      <c r="I16" s="51">
        <v>0</v>
      </c>
      <c r="J16" s="51">
        <v>3000</v>
      </c>
      <c r="K16" s="51">
        <v>59.69</v>
      </c>
      <c r="L16" s="51">
        <v>0</v>
      </c>
      <c r="M16" s="51">
        <v>80.599999999999994</v>
      </c>
      <c r="N16" s="51">
        <v>0</v>
      </c>
      <c r="O16" s="51">
        <v>0</v>
      </c>
      <c r="P16" s="51">
        <v>0</v>
      </c>
      <c r="Q16" s="51">
        <v>600</v>
      </c>
      <c r="R16" s="51">
        <v>0</v>
      </c>
      <c r="S16" s="51">
        <v>0</v>
      </c>
      <c r="T16" s="51">
        <v>-0.09</v>
      </c>
      <c r="U16" s="51">
        <v>740.2</v>
      </c>
      <c r="V16" s="51">
        <v>2259.8000000000002</v>
      </c>
      <c r="W16" s="51">
        <v>59.39</v>
      </c>
      <c r="X16" s="51">
        <v>106.9</v>
      </c>
      <c r="Y16" s="51">
        <v>335.17</v>
      </c>
      <c r="Z16" s="51">
        <v>254.32</v>
      </c>
      <c r="AA16" s="51">
        <v>60</v>
      </c>
      <c r="AB16" s="53">
        <v>27.03</v>
      </c>
      <c r="AC16" s="51">
        <v>501.46</v>
      </c>
      <c r="AD16" s="53">
        <v>169.68</v>
      </c>
      <c r="AE16" s="53">
        <v>220.39</v>
      </c>
      <c r="AF16" s="51">
        <v>164.27554484722373</v>
      </c>
      <c r="AG16" s="53">
        <v>12</v>
      </c>
      <c r="AH16" s="53"/>
      <c r="AI16" s="53"/>
      <c r="AJ16" s="53"/>
    </row>
    <row r="17" spans="1:36" x14ac:dyDescent="0.2">
      <c r="A17" s="52" t="s">
        <v>219</v>
      </c>
      <c r="B17" s="52" t="s">
        <v>355</v>
      </c>
      <c r="C17" s="52">
        <v>15</v>
      </c>
      <c r="D17" s="52">
        <v>0</v>
      </c>
      <c r="E17" s="52">
        <v>266.67</v>
      </c>
      <c r="F17" s="52">
        <v>282.81</v>
      </c>
      <c r="G17" s="52">
        <v>4000.05</v>
      </c>
      <c r="H17" s="52">
        <v>0</v>
      </c>
      <c r="I17" s="52">
        <v>0</v>
      </c>
      <c r="J17" s="52">
        <v>4000.05</v>
      </c>
      <c r="K17" s="52">
        <v>313.87</v>
      </c>
      <c r="L17" s="52">
        <v>0</v>
      </c>
      <c r="M17" s="52">
        <v>109.35</v>
      </c>
      <c r="N17" s="52">
        <v>0</v>
      </c>
      <c r="O17" s="52">
        <v>0</v>
      </c>
      <c r="P17" s="52">
        <v>0</v>
      </c>
      <c r="Q17" s="52">
        <v>0</v>
      </c>
      <c r="R17" s="52">
        <v>1666.67</v>
      </c>
      <c r="S17" s="52">
        <v>0</v>
      </c>
      <c r="T17" s="60">
        <v>0.16</v>
      </c>
      <c r="U17" s="52">
        <v>2090.0500000000002</v>
      </c>
      <c r="V17" s="52">
        <v>1910</v>
      </c>
      <c r="W17" s="52">
        <v>79.19</v>
      </c>
      <c r="X17" s="52">
        <v>142.54</v>
      </c>
      <c r="Y17" s="52">
        <v>360.12</v>
      </c>
      <c r="Z17" s="51">
        <v>276.95</v>
      </c>
      <c r="AA17" s="52">
        <v>80</v>
      </c>
      <c r="AB17" s="55">
        <v>36.049999999999997</v>
      </c>
      <c r="AC17" s="52">
        <v>581.85</v>
      </c>
      <c r="AD17" s="55">
        <v>226.25</v>
      </c>
      <c r="AE17" s="55">
        <v>231.7</v>
      </c>
      <c r="AF17" s="52">
        <v>219.03679772204578</v>
      </c>
      <c r="AG17" s="55">
        <v>12</v>
      </c>
    </row>
    <row r="18" spans="1:36" s="55" customFormat="1" x14ac:dyDescent="0.2">
      <c r="A18" s="52" t="s">
        <v>368</v>
      </c>
      <c r="B18" s="52" t="s">
        <v>686</v>
      </c>
      <c r="C18" s="52">
        <v>15</v>
      </c>
      <c r="D18" s="52">
        <v>0</v>
      </c>
      <c r="E18" s="52">
        <v>166.67</v>
      </c>
      <c r="F18" s="52">
        <v>174.2</v>
      </c>
      <c r="G18" s="52">
        <v>2500.0500000000002</v>
      </c>
      <c r="H18" s="52">
        <v>0</v>
      </c>
      <c r="I18" s="52">
        <v>0</v>
      </c>
      <c r="J18" s="52">
        <v>2500.0500000000002</v>
      </c>
      <c r="K18" s="52">
        <v>0</v>
      </c>
      <c r="L18" s="52">
        <v>-9.6199999999999992</v>
      </c>
      <c r="M18" s="52">
        <v>66.2</v>
      </c>
      <c r="N18" s="52">
        <v>0</v>
      </c>
      <c r="O18" s="52">
        <v>0</v>
      </c>
      <c r="P18" s="52">
        <v>0</v>
      </c>
      <c r="Q18" s="52">
        <v>0</v>
      </c>
      <c r="R18" s="52">
        <v>0</v>
      </c>
      <c r="S18" s="52">
        <v>0</v>
      </c>
      <c r="T18" s="52">
        <v>7.0000000000000007E-2</v>
      </c>
      <c r="U18" s="52">
        <v>56.65</v>
      </c>
      <c r="V18" s="52">
        <v>2443.4</v>
      </c>
      <c r="W18" s="52">
        <v>48.78</v>
      </c>
      <c r="X18" s="52">
        <v>87.8</v>
      </c>
      <c r="Y18" s="52">
        <v>324.56</v>
      </c>
      <c r="Z18" s="51">
        <v>242.2</v>
      </c>
      <c r="AA18" s="52">
        <v>50</v>
      </c>
      <c r="AB18" s="55">
        <v>22.2</v>
      </c>
      <c r="AC18" s="52">
        <v>461.14</v>
      </c>
      <c r="AD18" s="55">
        <v>139.36000000000001</v>
      </c>
      <c r="AE18" s="55">
        <v>214.32</v>
      </c>
      <c r="AF18" s="52">
        <v>136.89902529843388</v>
      </c>
      <c r="AG18" s="55">
        <v>12</v>
      </c>
      <c r="AH18" s="53"/>
      <c r="AI18" s="53"/>
      <c r="AJ18" s="53"/>
    </row>
    <row r="19" spans="1:36" x14ac:dyDescent="0.2">
      <c r="A19" s="52" t="s">
        <v>390</v>
      </c>
      <c r="B19" s="52" t="s">
        <v>391</v>
      </c>
      <c r="C19" s="52">
        <v>15</v>
      </c>
      <c r="D19" s="52">
        <v>0</v>
      </c>
      <c r="E19" s="52">
        <v>266.67</v>
      </c>
      <c r="F19" s="52">
        <v>282.81</v>
      </c>
      <c r="G19" s="52">
        <v>4000.05</v>
      </c>
      <c r="H19" s="52">
        <v>0</v>
      </c>
      <c r="I19" s="52">
        <v>0</v>
      </c>
      <c r="J19" s="52">
        <v>4000.05</v>
      </c>
      <c r="K19" s="52">
        <v>313.87</v>
      </c>
      <c r="L19" s="52">
        <v>0</v>
      </c>
      <c r="M19" s="52">
        <v>109.35</v>
      </c>
      <c r="N19" s="52">
        <v>0</v>
      </c>
      <c r="O19" s="52">
        <v>0</v>
      </c>
      <c r="P19" s="52">
        <v>0</v>
      </c>
      <c r="Q19" s="52">
        <v>0</v>
      </c>
      <c r="R19" s="52">
        <v>0</v>
      </c>
      <c r="S19" s="52">
        <v>0</v>
      </c>
      <c r="T19" s="52">
        <v>0.03</v>
      </c>
      <c r="U19" s="52">
        <v>423.25</v>
      </c>
      <c r="V19" s="52">
        <v>3576.8</v>
      </c>
      <c r="W19" s="52">
        <v>79.19</v>
      </c>
      <c r="X19" s="52">
        <v>142.54</v>
      </c>
      <c r="Y19" s="52">
        <v>360.12</v>
      </c>
      <c r="Z19" s="51">
        <v>276.95</v>
      </c>
      <c r="AA19" s="52">
        <v>80</v>
      </c>
      <c r="AB19" s="55">
        <v>36.049999999999997</v>
      </c>
      <c r="AC19" s="52">
        <v>581.85</v>
      </c>
      <c r="AD19" s="55">
        <v>226.25</v>
      </c>
      <c r="AE19" s="55">
        <v>231.7</v>
      </c>
      <c r="AF19" s="52">
        <v>219.03679772204578</v>
      </c>
      <c r="AG19" s="55">
        <v>12</v>
      </c>
    </row>
    <row r="20" spans="1:36" s="55" customFormat="1" x14ac:dyDescent="0.2">
      <c r="A20" s="52" t="s">
        <v>405</v>
      </c>
      <c r="B20" s="52" t="s">
        <v>406</v>
      </c>
      <c r="C20" s="52">
        <v>15</v>
      </c>
      <c r="D20" s="52">
        <v>0</v>
      </c>
      <c r="E20" s="52">
        <v>266.67</v>
      </c>
      <c r="F20" s="52">
        <v>282.81</v>
      </c>
      <c r="G20" s="52">
        <v>4000.05</v>
      </c>
      <c r="H20" s="52">
        <v>0</v>
      </c>
      <c r="I20" s="52">
        <v>0</v>
      </c>
      <c r="J20" s="52">
        <v>4000.05</v>
      </c>
      <c r="K20" s="52">
        <v>313.87</v>
      </c>
      <c r="L20" s="52">
        <v>0</v>
      </c>
      <c r="M20" s="52">
        <v>109.35</v>
      </c>
      <c r="N20" s="52">
        <v>0</v>
      </c>
      <c r="O20" s="52">
        <v>0</v>
      </c>
      <c r="P20" s="52">
        <v>0</v>
      </c>
      <c r="Q20" s="52">
        <v>0</v>
      </c>
      <c r="R20" s="52">
        <v>0</v>
      </c>
      <c r="S20" s="52">
        <v>0</v>
      </c>
      <c r="T20" s="52">
        <v>0.03</v>
      </c>
      <c r="U20" s="52">
        <v>423.25</v>
      </c>
      <c r="V20" s="52">
        <v>3576.8</v>
      </c>
      <c r="W20" s="52">
        <v>79.19</v>
      </c>
      <c r="X20" s="52">
        <v>142.54</v>
      </c>
      <c r="Y20" s="52">
        <v>360.12</v>
      </c>
      <c r="Z20" s="51">
        <v>276.95</v>
      </c>
      <c r="AA20" s="52">
        <v>80</v>
      </c>
      <c r="AB20" s="55">
        <v>36.049999999999997</v>
      </c>
      <c r="AC20" s="52">
        <v>581.85</v>
      </c>
      <c r="AD20" s="55">
        <v>226.25</v>
      </c>
      <c r="AE20" s="55">
        <v>231.7</v>
      </c>
      <c r="AF20" s="52">
        <v>219.03679772204578</v>
      </c>
      <c r="AG20" s="55">
        <v>12</v>
      </c>
      <c r="AH20" s="53"/>
      <c r="AI20" s="53"/>
      <c r="AJ20" s="53"/>
    </row>
    <row r="21" spans="1:36" s="55" customFormat="1" x14ac:dyDescent="0.2">
      <c r="A21" s="52" t="s">
        <v>394</v>
      </c>
      <c r="B21" s="52" t="s">
        <v>395</v>
      </c>
      <c r="C21" s="52">
        <v>15</v>
      </c>
      <c r="D21" s="52">
        <v>0</v>
      </c>
      <c r="E21" s="52">
        <v>200</v>
      </c>
      <c r="F21" s="52">
        <v>212.11</v>
      </c>
      <c r="G21" s="52">
        <v>3000</v>
      </c>
      <c r="H21" s="52">
        <v>0</v>
      </c>
      <c r="I21" s="52">
        <v>0</v>
      </c>
      <c r="J21" s="52">
        <v>3000</v>
      </c>
      <c r="K21" s="52">
        <v>59.69</v>
      </c>
      <c r="L21" s="52">
        <v>0</v>
      </c>
      <c r="M21" s="52">
        <v>80.599999999999994</v>
      </c>
      <c r="N21" s="52">
        <v>0</v>
      </c>
      <c r="O21" s="52">
        <v>1120.4000000000001</v>
      </c>
      <c r="P21" s="52">
        <v>0</v>
      </c>
      <c r="Q21" s="52">
        <v>600</v>
      </c>
      <c r="R21" s="52">
        <v>0</v>
      </c>
      <c r="S21" s="52">
        <v>0</v>
      </c>
      <c r="T21" s="52">
        <v>-0.09</v>
      </c>
      <c r="U21" s="52">
        <v>1860.6</v>
      </c>
      <c r="V21" s="52">
        <v>1139.4000000000001</v>
      </c>
      <c r="W21" s="52">
        <v>59.39</v>
      </c>
      <c r="X21" s="52">
        <v>106.9</v>
      </c>
      <c r="Y21" s="52">
        <v>335.17</v>
      </c>
      <c r="Z21" s="51">
        <v>254.32999999999998</v>
      </c>
      <c r="AA21" s="52">
        <v>60</v>
      </c>
      <c r="AB21" s="55">
        <v>27.03</v>
      </c>
      <c r="AC21" s="52">
        <v>501.46</v>
      </c>
      <c r="AD21" s="55">
        <v>169.69</v>
      </c>
      <c r="AE21" s="55">
        <v>220.39</v>
      </c>
      <c r="AF21" s="52">
        <v>164.27554484722373</v>
      </c>
      <c r="AG21" s="55">
        <v>12</v>
      </c>
      <c r="AH21" s="53"/>
      <c r="AI21" s="53"/>
      <c r="AJ21" s="53"/>
    </row>
    <row r="22" spans="1:36" s="55" customFormat="1" x14ac:dyDescent="0.2">
      <c r="A22" s="52" t="s">
        <v>402</v>
      </c>
      <c r="B22" s="52" t="s">
        <v>398</v>
      </c>
      <c r="C22" s="52">
        <v>15</v>
      </c>
      <c r="D22" s="52">
        <v>0</v>
      </c>
      <c r="E22" s="52">
        <v>466.67</v>
      </c>
      <c r="F22" s="52">
        <v>494.92</v>
      </c>
      <c r="G22" s="52">
        <v>7000.05</v>
      </c>
      <c r="H22" s="52">
        <v>0</v>
      </c>
      <c r="I22" s="52">
        <v>0</v>
      </c>
      <c r="J22" s="52">
        <v>7000.05</v>
      </c>
      <c r="K22" s="52">
        <v>856.99</v>
      </c>
      <c r="L22" s="52">
        <v>0</v>
      </c>
      <c r="M22" s="52">
        <v>203.53</v>
      </c>
      <c r="N22" s="52">
        <v>0</v>
      </c>
      <c r="O22" s="52">
        <v>0</v>
      </c>
      <c r="P22" s="52">
        <v>0</v>
      </c>
      <c r="Q22" s="52">
        <v>0</v>
      </c>
      <c r="R22" s="52">
        <v>0</v>
      </c>
      <c r="S22" s="52">
        <v>0</v>
      </c>
      <c r="T22" s="60">
        <v>-7.0000000000000007E-2</v>
      </c>
      <c r="U22" s="52">
        <v>1060.45</v>
      </c>
      <c r="V22" s="52">
        <v>5939.6</v>
      </c>
      <c r="W22" s="52">
        <v>138.58000000000001</v>
      </c>
      <c r="X22" s="52">
        <v>249.44</v>
      </c>
      <c r="Y22" s="52">
        <v>456.86</v>
      </c>
      <c r="Z22" s="51">
        <v>344.82</v>
      </c>
      <c r="AA22" s="52">
        <v>140</v>
      </c>
      <c r="AB22" s="55">
        <v>63.08</v>
      </c>
      <c r="AC22" s="52">
        <v>844.88</v>
      </c>
      <c r="AD22" s="55">
        <v>395.94</v>
      </c>
      <c r="AE22" s="55">
        <v>265.64</v>
      </c>
      <c r="AF22" s="52">
        <v>383.3123425692695</v>
      </c>
      <c r="AG22" s="55">
        <v>12</v>
      </c>
      <c r="AH22" s="53"/>
      <c r="AI22" s="53"/>
      <c r="AJ22" s="53"/>
    </row>
    <row r="23" spans="1:36" s="55" customFormat="1" x14ac:dyDescent="0.2">
      <c r="A23" s="52" t="s">
        <v>404</v>
      </c>
      <c r="B23" s="52" t="s">
        <v>400</v>
      </c>
      <c r="C23" s="52">
        <v>15</v>
      </c>
      <c r="D23" s="52">
        <v>0</v>
      </c>
      <c r="E23" s="52">
        <v>466.67</v>
      </c>
      <c r="F23" s="52">
        <v>494.92</v>
      </c>
      <c r="G23" s="52">
        <v>7000.05</v>
      </c>
      <c r="H23" s="52">
        <v>0</v>
      </c>
      <c r="I23" s="52">
        <v>0</v>
      </c>
      <c r="J23" s="52">
        <v>7000.05</v>
      </c>
      <c r="K23" s="52">
        <v>856.99</v>
      </c>
      <c r="L23" s="52">
        <v>0</v>
      </c>
      <c r="M23" s="52">
        <v>203.53</v>
      </c>
      <c r="N23" s="52">
        <v>0</v>
      </c>
      <c r="O23" s="52">
        <v>0</v>
      </c>
      <c r="P23" s="52">
        <v>0</v>
      </c>
      <c r="Q23" s="52">
        <v>0</v>
      </c>
      <c r="R23" s="52">
        <v>0</v>
      </c>
      <c r="S23" s="52">
        <v>0</v>
      </c>
      <c r="T23" s="60">
        <v>-7.0000000000000007E-2</v>
      </c>
      <c r="U23" s="52">
        <v>1060.45</v>
      </c>
      <c r="V23" s="52">
        <v>5939.6</v>
      </c>
      <c r="W23" s="52">
        <v>138.58000000000001</v>
      </c>
      <c r="X23" s="52">
        <v>249.44</v>
      </c>
      <c r="Y23" s="52">
        <v>456.86</v>
      </c>
      <c r="Z23" s="51">
        <v>344.82</v>
      </c>
      <c r="AA23" s="52">
        <v>140</v>
      </c>
      <c r="AB23" s="55">
        <v>63.08</v>
      </c>
      <c r="AC23" s="52">
        <v>844.88</v>
      </c>
      <c r="AD23" s="55">
        <v>395.94</v>
      </c>
      <c r="AE23" s="55">
        <v>265.64</v>
      </c>
      <c r="AF23" s="52">
        <v>383.3123425692695</v>
      </c>
      <c r="AG23" s="55">
        <v>12</v>
      </c>
      <c r="AH23" s="53"/>
      <c r="AI23" s="53"/>
      <c r="AJ23" s="53"/>
    </row>
    <row r="24" spans="1:36" s="55" customFormat="1" x14ac:dyDescent="0.2">
      <c r="A24" s="52" t="s">
        <v>407</v>
      </c>
      <c r="B24" s="52" t="s">
        <v>408</v>
      </c>
      <c r="C24" s="52">
        <v>14</v>
      </c>
      <c r="D24" s="52">
        <v>1</v>
      </c>
      <c r="E24" s="52">
        <v>200</v>
      </c>
      <c r="F24" s="52">
        <v>212.11</v>
      </c>
      <c r="G24" s="52">
        <v>2800</v>
      </c>
      <c r="H24" s="52">
        <v>200</v>
      </c>
      <c r="I24" s="52">
        <v>60</v>
      </c>
      <c r="J24" s="52">
        <v>3060</v>
      </c>
      <c r="K24" s="52">
        <v>59.69</v>
      </c>
      <c r="L24" s="52">
        <v>0</v>
      </c>
      <c r="M24" s="52">
        <v>80.599999999999994</v>
      </c>
      <c r="N24" s="52">
        <v>0</v>
      </c>
      <c r="O24" s="52">
        <v>0</v>
      </c>
      <c r="P24" s="52">
        <v>0</v>
      </c>
      <c r="Q24" s="52">
        <v>0</v>
      </c>
      <c r="R24" s="52">
        <v>0</v>
      </c>
      <c r="S24" s="52">
        <v>0</v>
      </c>
      <c r="T24" s="52">
        <v>0.11</v>
      </c>
      <c r="U24" s="52">
        <v>140.4</v>
      </c>
      <c r="V24" s="52">
        <v>2919.6</v>
      </c>
      <c r="W24" s="52">
        <v>59.39</v>
      </c>
      <c r="X24" s="52">
        <v>106.9</v>
      </c>
      <c r="Y24" s="52">
        <v>335.17</v>
      </c>
      <c r="Z24" s="51">
        <v>254.32999999999998</v>
      </c>
      <c r="AA24" s="52">
        <v>61.2</v>
      </c>
      <c r="AB24" s="55">
        <v>27.03</v>
      </c>
      <c r="AC24" s="52">
        <v>501.46</v>
      </c>
      <c r="AD24" s="55">
        <v>169.69</v>
      </c>
      <c r="AE24" s="55">
        <v>220.39</v>
      </c>
      <c r="AF24" s="52">
        <v>164.27554484722373</v>
      </c>
      <c r="AG24" s="55">
        <v>12</v>
      </c>
      <c r="AH24" s="53"/>
      <c r="AI24" s="53"/>
      <c r="AJ24" s="53"/>
    </row>
    <row r="25" spans="1:36" s="55" customFormat="1" x14ac:dyDescent="0.2">
      <c r="A25" s="52" t="s">
        <v>409</v>
      </c>
      <c r="B25" s="52" t="s">
        <v>410</v>
      </c>
      <c r="C25" s="52">
        <v>15</v>
      </c>
      <c r="D25" s="52">
        <v>0</v>
      </c>
      <c r="E25" s="52">
        <v>266.67</v>
      </c>
      <c r="F25" s="52">
        <v>282.81</v>
      </c>
      <c r="G25" s="52">
        <v>4000.05</v>
      </c>
      <c r="H25" s="52">
        <v>0</v>
      </c>
      <c r="I25" s="52">
        <v>0</v>
      </c>
      <c r="J25" s="52">
        <v>4000.05</v>
      </c>
      <c r="K25" s="52">
        <v>313.87</v>
      </c>
      <c r="L25" s="52">
        <v>0</v>
      </c>
      <c r="M25" s="52">
        <v>109.35</v>
      </c>
      <c r="N25" s="52">
        <v>0</v>
      </c>
      <c r="O25" s="52">
        <v>0</v>
      </c>
      <c r="P25" s="52">
        <v>0</v>
      </c>
      <c r="Q25" s="52">
        <v>0</v>
      </c>
      <c r="R25" s="52">
        <v>0</v>
      </c>
      <c r="S25" s="52">
        <v>0</v>
      </c>
      <c r="T25" s="52">
        <v>0.03</v>
      </c>
      <c r="U25" s="52">
        <v>423.25</v>
      </c>
      <c r="V25" s="52">
        <v>3576.8</v>
      </c>
      <c r="W25" s="52">
        <v>79.19</v>
      </c>
      <c r="X25" s="52">
        <v>142.54</v>
      </c>
      <c r="Y25" s="52">
        <v>360.12</v>
      </c>
      <c r="Z25" s="51">
        <v>276.95</v>
      </c>
      <c r="AA25" s="52">
        <v>80</v>
      </c>
      <c r="AB25" s="55">
        <v>36.049999999999997</v>
      </c>
      <c r="AC25" s="52">
        <v>581.85</v>
      </c>
      <c r="AD25" s="55">
        <v>226.25</v>
      </c>
      <c r="AE25" s="55">
        <v>231.7</v>
      </c>
      <c r="AF25" s="52">
        <v>219.03679772204578</v>
      </c>
      <c r="AG25" s="55">
        <v>12</v>
      </c>
      <c r="AH25" s="53"/>
      <c r="AI25" s="53"/>
      <c r="AJ25" s="53"/>
    </row>
    <row r="26" spans="1:36" s="55" customFormat="1" x14ac:dyDescent="0.2">
      <c r="A26" s="52" t="s">
        <v>427</v>
      </c>
      <c r="B26" s="52" t="s">
        <v>428</v>
      </c>
      <c r="C26" s="52">
        <v>15</v>
      </c>
      <c r="D26" s="52">
        <v>0</v>
      </c>
      <c r="E26" s="52">
        <v>266.67</v>
      </c>
      <c r="F26" s="52">
        <v>282.81</v>
      </c>
      <c r="G26" s="52">
        <v>4000.05</v>
      </c>
      <c r="H26" s="52">
        <v>0</v>
      </c>
      <c r="I26" s="52">
        <v>0</v>
      </c>
      <c r="J26" s="52">
        <v>4000.05</v>
      </c>
      <c r="K26" s="52">
        <v>313.87</v>
      </c>
      <c r="L26" s="52">
        <v>0</v>
      </c>
      <c r="M26" s="52">
        <v>109.35</v>
      </c>
      <c r="N26" s="52">
        <v>0</v>
      </c>
      <c r="O26" s="52">
        <v>0</v>
      </c>
      <c r="P26" s="52">
        <v>0</v>
      </c>
      <c r="Q26" s="52">
        <v>0</v>
      </c>
      <c r="R26" s="52">
        <v>0</v>
      </c>
      <c r="S26" s="52">
        <v>0</v>
      </c>
      <c r="T26" s="52">
        <v>-0.17</v>
      </c>
      <c r="U26" s="52">
        <v>423.05</v>
      </c>
      <c r="V26" s="52">
        <v>3577</v>
      </c>
      <c r="W26" s="52">
        <v>79.19</v>
      </c>
      <c r="X26" s="52">
        <v>142.54</v>
      </c>
      <c r="Y26" s="52">
        <v>360.12</v>
      </c>
      <c r="Z26" s="51">
        <v>276.95</v>
      </c>
      <c r="AA26" s="52">
        <v>80</v>
      </c>
      <c r="AB26" s="55">
        <v>36.049999999999997</v>
      </c>
      <c r="AC26" s="52">
        <v>581.85</v>
      </c>
      <c r="AD26" s="55">
        <v>226.25</v>
      </c>
      <c r="AE26" s="55">
        <v>231.7</v>
      </c>
      <c r="AF26" s="52">
        <v>219.03679772204578</v>
      </c>
      <c r="AG26" s="55">
        <v>12</v>
      </c>
      <c r="AH26" s="53"/>
      <c r="AI26" s="53"/>
      <c r="AJ26" s="53"/>
    </row>
    <row r="27" spans="1:36" s="55" customFormat="1" x14ac:dyDescent="0.2">
      <c r="A27" s="52" t="s">
        <v>437</v>
      </c>
      <c r="B27" s="52" t="s">
        <v>438</v>
      </c>
      <c r="C27" s="52">
        <v>14</v>
      </c>
      <c r="D27" s="52">
        <v>0</v>
      </c>
      <c r="E27" s="52">
        <v>266.67</v>
      </c>
      <c r="F27" s="52">
        <v>282.81</v>
      </c>
      <c r="G27" s="52">
        <v>3733.33</v>
      </c>
      <c r="H27" s="52">
        <v>0</v>
      </c>
      <c r="I27" s="52">
        <v>0</v>
      </c>
      <c r="J27" s="52">
        <v>3733.33</v>
      </c>
      <c r="K27" s="52">
        <v>284.85000000000002</v>
      </c>
      <c r="L27" s="52">
        <v>0</v>
      </c>
      <c r="M27" s="52">
        <v>104.39</v>
      </c>
      <c r="N27" s="52">
        <v>0</v>
      </c>
      <c r="O27" s="52">
        <v>0</v>
      </c>
      <c r="P27" s="52">
        <v>0</v>
      </c>
      <c r="Q27" s="52">
        <v>0</v>
      </c>
      <c r="R27" s="52">
        <v>0</v>
      </c>
      <c r="S27" s="52">
        <v>0</v>
      </c>
      <c r="T27" s="52">
        <v>-0.11</v>
      </c>
      <c r="U27" s="52">
        <v>389.13</v>
      </c>
      <c r="V27" s="52">
        <v>3344.2</v>
      </c>
      <c r="W27" s="52">
        <v>79.19</v>
      </c>
      <c r="X27" s="52">
        <v>142.54</v>
      </c>
      <c r="Y27" s="52">
        <v>360.13</v>
      </c>
      <c r="Z27" s="51">
        <v>276.95</v>
      </c>
      <c r="AA27" s="52">
        <v>74.67</v>
      </c>
      <c r="AB27" s="55">
        <v>36.049999999999997</v>
      </c>
      <c r="AC27" s="52">
        <v>581.86</v>
      </c>
      <c r="AD27" s="55">
        <v>226.25</v>
      </c>
      <c r="AE27" s="55">
        <v>231.7</v>
      </c>
      <c r="AF27" s="52">
        <v>219.03679772204578</v>
      </c>
      <c r="AG27" s="55">
        <v>12</v>
      </c>
      <c r="AH27" s="53"/>
      <c r="AI27" s="53"/>
      <c r="AJ27" s="53"/>
    </row>
    <row r="28" spans="1:36" s="55" customFormat="1" x14ac:dyDescent="0.2">
      <c r="A28" s="52" t="s">
        <v>439</v>
      </c>
      <c r="B28" s="52" t="s">
        <v>440</v>
      </c>
      <c r="C28" s="52">
        <v>15</v>
      </c>
      <c r="D28" s="52">
        <v>0</v>
      </c>
      <c r="E28" s="52">
        <v>333.33</v>
      </c>
      <c r="F28" s="52">
        <v>353.52</v>
      </c>
      <c r="G28" s="52">
        <v>5000</v>
      </c>
      <c r="H28" s="52">
        <v>0</v>
      </c>
      <c r="I28" s="52">
        <v>0</v>
      </c>
      <c r="J28" s="52">
        <v>5000</v>
      </c>
      <c r="K28" s="52">
        <v>461.64</v>
      </c>
      <c r="L28" s="52">
        <v>0</v>
      </c>
      <c r="M28" s="52">
        <v>140.72999999999999</v>
      </c>
      <c r="N28" s="52">
        <v>0</v>
      </c>
      <c r="O28" s="52">
        <v>0</v>
      </c>
      <c r="P28" s="52">
        <v>0</v>
      </c>
      <c r="Q28" s="52">
        <v>0</v>
      </c>
      <c r="R28" s="52">
        <v>0</v>
      </c>
      <c r="S28" s="52">
        <v>0</v>
      </c>
      <c r="T28" s="52">
        <v>0.03</v>
      </c>
      <c r="U28" s="52">
        <v>602.4</v>
      </c>
      <c r="V28" s="52">
        <v>4397.6000000000004</v>
      </c>
      <c r="W28" s="52">
        <v>98.98</v>
      </c>
      <c r="X28" s="52">
        <v>178.17</v>
      </c>
      <c r="Y28" s="52">
        <v>392.37</v>
      </c>
      <c r="Z28" s="51">
        <v>299.58</v>
      </c>
      <c r="AA28" s="52">
        <v>100</v>
      </c>
      <c r="AB28" s="55">
        <v>45.06</v>
      </c>
      <c r="AC28" s="52">
        <v>669.52</v>
      </c>
      <c r="AD28" s="55">
        <v>282.81</v>
      </c>
      <c r="AE28" s="55">
        <v>243.01</v>
      </c>
      <c r="AF28" s="52">
        <v>273.78983681962541</v>
      </c>
      <c r="AG28" s="55">
        <v>12</v>
      </c>
      <c r="AH28" s="53"/>
      <c r="AI28" s="53"/>
      <c r="AJ28" s="53"/>
    </row>
    <row r="29" spans="1:36" s="55" customFormat="1" x14ac:dyDescent="0.2">
      <c r="A29" s="52" t="s">
        <v>441</v>
      </c>
      <c r="B29" s="52" t="s">
        <v>442</v>
      </c>
      <c r="C29" s="52">
        <v>15</v>
      </c>
      <c r="D29" s="52">
        <v>0</v>
      </c>
      <c r="E29" s="52">
        <v>266.67</v>
      </c>
      <c r="F29" s="52">
        <v>282.81</v>
      </c>
      <c r="G29" s="52">
        <v>4000</v>
      </c>
      <c r="H29" s="52">
        <v>0</v>
      </c>
      <c r="I29" s="52">
        <v>0</v>
      </c>
      <c r="J29" s="52">
        <v>4000</v>
      </c>
      <c r="K29" s="52">
        <v>313.87</v>
      </c>
      <c r="L29" s="52">
        <v>0</v>
      </c>
      <c r="M29" s="52">
        <v>109.35</v>
      </c>
      <c r="N29" s="52">
        <v>0</v>
      </c>
      <c r="O29" s="52">
        <v>0</v>
      </c>
      <c r="P29" s="52">
        <v>0</v>
      </c>
      <c r="Q29" s="52">
        <v>0</v>
      </c>
      <c r="R29" s="52">
        <v>345.25</v>
      </c>
      <c r="S29" s="52">
        <v>0</v>
      </c>
      <c r="T29" s="52">
        <v>-7.0000000000000007E-2</v>
      </c>
      <c r="U29" s="52">
        <v>768.4</v>
      </c>
      <c r="V29" s="52">
        <v>3231.6</v>
      </c>
      <c r="W29" s="52">
        <v>79.19</v>
      </c>
      <c r="X29" s="52">
        <v>142.54</v>
      </c>
      <c r="Y29" s="52">
        <v>360.13</v>
      </c>
      <c r="Z29" s="51">
        <v>276.95</v>
      </c>
      <c r="AA29" s="52">
        <v>80</v>
      </c>
      <c r="AB29" s="55">
        <v>36.049999999999997</v>
      </c>
      <c r="AC29" s="52">
        <v>581.86</v>
      </c>
      <c r="AD29" s="55">
        <v>226.25</v>
      </c>
      <c r="AE29" s="55">
        <v>231.7</v>
      </c>
      <c r="AF29" s="52">
        <v>219.03679772204578</v>
      </c>
      <c r="AG29" s="55">
        <v>12</v>
      </c>
      <c r="AH29" s="53"/>
      <c r="AI29" s="53"/>
      <c r="AJ29" s="53"/>
    </row>
    <row r="30" spans="1:36" s="55" customFormat="1" x14ac:dyDescent="0.2">
      <c r="A30" s="52" t="s">
        <v>443</v>
      </c>
      <c r="B30" s="52" t="s">
        <v>444</v>
      </c>
      <c r="C30" s="52">
        <v>15</v>
      </c>
      <c r="D30" s="52">
        <v>0</v>
      </c>
      <c r="E30" s="52">
        <v>318.33</v>
      </c>
      <c r="F30" s="52">
        <v>337.61</v>
      </c>
      <c r="G30" s="52">
        <v>4775</v>
      </c>
      <c r="H30" s="52">
        <v>0</v>
      </c>
      <c r="I30" s="52">
        <v>0</v>
      </c>
      <c r="J30" s="52">
        <v>4775</v>
      </c>
      <c r="K30" s="52">
        <v>424.67</v>
      </c>
      <c r="L30" s="52">
        <v>0</v>
      </c>
      <c r="M30" s="52">
        <v>133.66999999999999</v>
      </c>
      <c r="N30" s="52">
        <v>1528.5</v>
      </c>
      <c r="O30" s="52">
        <v>0</v>
      </c>
      <c r="P30" s="52">
        <v>0</v>
      </c>
      <c r="Q30" s="52">
        <v>0</v>
      </c>
      <c r="R30" s="52">
        <v>862.2</v>
      </c>
      <c r="S30" s="52">
        <v>0</v>
      </c>
      <c r="T30" s="60">
        <v>0.16</v>
      </c>
      <c r="U30" s="52">
        <v>2949.2</v>
      </c>
      <c r="V30" s="52">
        <v>1825.8</v>
      </c>
      <c r="W30" s="52">
        <v>94.53</v>
      </c>
      <c r="X30" s="52">
        <v>170.15</v>
      </c>
      <c r="Y30" s="52">
        <v>385.12</v>
      </c>
      <c r="Z30" s="51">
        <v>294.48</v>
      </c>
      <c r="AA30" s="52">
        <v>95.5</v>
      </c>
      <c r="AB30" s="55">
        <v>43.03</v>
      </c>
      <c r="AC30" s="52">
        <v>649.79999999999995</v>
      </c>
      <c r="AD30" s="55">
        <v>270.08999999999997</v>
      </c>
      <c r="AE30" s="55">
        <v>240.47</v>
      </c>
      <c r="AF30" s="52">
        <v>261.46917095608364</v>
      </c>
      <c r="AG30" s="55">
        <v>12</v>
      </c>
      <c r="AH30" s="53"/>
      <c r="AI30" s="53"/>
      <c r="AJ30" s="53"/>
    </row>
    <row r="31" spans="1:36" s="55" customFormat="1" x14ac:dyDescent="0.2">
      <c r="A31" s="52" t="s">
        <v>445</v>
      </c>
      <c r="B31" s="52" t="s">
        <v>446</v>
      </c>
      <c r="C31" s="52">
        <v>15</v>
      </c>
      <c r="D31" s="52">
        <v>0</v>
      </c>
      <c r="E31" s="52">
        <v>250</v>
      </c>
      <c r="F31" s="52">
        <v>265.14</v>
      </c>
      <c r="G31" s="52">
        <v>3750</v>
      </c>
      <c r="H31" s="52">
        <v>0</v>
      </c>
      <c r="I31" s="52">
        <v>0</v>
      </c>
      <c r="J31" s="52">
        <v>3750</v>
      </c>
      <c r="K31" s="52">
        <v>286.67</v>
      </c>
      <c r="L31" s="52">
        <v>0</v>
      </c>
      <c r="M31" s="52">
        <v>101.5</v>
      </c>
      <c r="N31" s="52">
        <v>0</v>
      </c>
      <c r="O31" s="52">
        <v>1436.31</v>
      </c>
      <c r="P31" s="52">
        <v>0</v>
      </c>
      <c r="Q31" s="52">
        <v>0</v>
      </c>
      <c r="R31" s="52">
        <v>848.88</v>
      </c>
      <c r="S31" s="52">
        <v>0</v>
      </c>
      <c r="T31" s="52">
        <v>0.04</v>
      </c>
      <c r="U31" s="52">
        <v>2673.4</v>
      </c>
      <c r="V31" s="52">
        <v>1076.5999999999999</v>
      </c>
      <c r="W31" s="52">
        <v>74.239999999999995</v>
      </c>
      <c r="X31" s="52">
        <v>133.63</v>
      </c>
      <c r="Y31" s="52">
        <v>352.07</v>
      </c>
      <c r="Z31" s="51">
        <v>271.28999999999996</v>
      </c>
      <c r="AA31" s="52">
        <v>75</v>
      </c>
      <c r="AB31" s="55">
        <v>33.79</v>
      </c>
      <c r="AC31" s="52">
        <v>559.94000000000005</v>
      </c>
      <c r="AD31" s="55">
        <v>212.11</v>
      </c>
      <c r="AE31" s="55">
        <v>228.87</v>
      </c>
      <c r="AF31" s="52">
        <v>205.34443105902966</v>
      </c>
      <c r="AG31" s="55">
        <v>12</v>
      </c>
      <c r="AH31" s="53"/>
      <c r="AI31" s="53"/>
      <c r="AJ31" s="53"/>
    </row>
    <row r="32" spans="1:36" s="55" customFormat="1" x14ac:dyDescent="0.2">
      <c r="A32" s="52" t="s">
        <v>447</v>
      </c>
      <c r="B32" s="52" t="s">
        <v>448</v>
      </c>
      <c r="C32" s="52">
        <v>15</v>
      </c>
      <c r="D32" s="52">
        <v>0</v>
      </c>
      <c r="E32" s="52">
        <v>283.33</v>
      </c>
      <c r="F32" s="52">
        <v>300.49</v>
      </c>
      <c r="G32" s="52">
        <v>4250</v>
      </c>
      <c r="H32" s="52">
        <v>0</v>
      </c>
      <c r="I32" s="52">
        <v>0</v>
      </c>
      <c r="J32" s="52">
        <v>4250</v>
      </c>
      <c r="K32" s="52">
        <v>341.07</v>
      </c>
      <c r="L32" s="52">
        <v>0</v>
      </c>
      <c r="M32" s="52">
        <v>117.2</v>
      </c>
      <c r="N32" s="52">
        <v>0</v>
      </c>
      <c r="O32" s="52">
        <v>0</v>
      </c>
      <c r="P32" s="52">
        <v>0</v>
      </c>
      <c r="Q32" s="52">
        <v>0</v>
      </c>
      <c r="R32" s="52">
        <v>0</v>
      </c>
      <c r="S32" s="52">
        <v>0</v>
      </c>
      <c r="T32" s="60">
        <v>-7.0000000000000007E-2</v>
      </c>
      <c r="U32" s="52">
        <v>458.2</v>
      </c>
      <c r="V32" s="52">
        <v>3791.8</v>
      </c>
      <c r="W32" s="52">
        <v>84.14</v>
      </c>
      <c r="X32" s="52">
        <v>151.44999999999999</v>
      </c>
      <c r="Y32" s="52">
        <v>368.19</v>
      </c>
      <c r="Z32" s="51">
        <v>282.61</v>
      </c>
      <c r="AA32" s="52">
        <v>85</v>
      </c>
      <c r="AB32" s="55">
        <v>38.299999999999997</v>
      </c>
      <c r="AC32" s="52">
        <v>603.78</v>
      </c>
      <c r="AD32" s="55">
        <v>240.39</v>
      </c>
      <c r="AE32" s="55">
        <v>234.52999999999997</v>
      </c>
      <c r="AF32" s="52">
        <v>232.72095060781947</v>
      </c>
      <c r="AG32" s="55">
        <v>12</v>
      </c>
      <c r="AH32" s="53"/>
      <c r="AI32" s="53"/>
      <c r="AJ32" s="53"/>
    </row>
    <row r="33" spans="1:36" s="55" customFormat="1" x14ac:dyDescent="0.2">
      <c r="A33" s="52" t="s">
        <v>520</v>
      </c>
      <c r="B33" s="52" t="s">
        <v>521</v>
      </c>
      <c r="C33" s="52">
        <v>13</v>
      </c>
      <c r="D33" s="52">
        <v>1</v>
      </c>
      <c r="E33" s="52">
        <v>266.67</v>
      </c>
      <c r="F33" s="52">
        <v>278.72000000000003</v>
      </c>
      <c r="G33" s="52">
        <v>3466.71</v>
      </c>
      <c r="H33" s="52">
        <v>266.67</v>
      </c>
      <c r="I33" s="52">
        <v>80</v>
      </c>
      <c r="J33" s="52">
        <v>3813.38</v>
      </c>
      <c r="K33" s="52">
        <v>284.86</v>
      </c>
      <c r="L33" s="52">
        <v>0</v>
      </c>
      <c r="M33" s="52">
        <v>102.65</v>
      </c>
      <c r="N33" s="52">
        <v>0</v>
      </c>
      <c r="O33" s="52">
        <v>0</v>
      </c>
      <c r="P33" s="52">
        <v>0</v>
      </c>
      <c r="Q33" s="52">
        <v>0</v>
      </c>
      <c r="R33" s="52">
        <v>0</v>
      </c>
      <c r="S33" s="52">
        <v>0</v>
      </c>
      <c r="T33" s="52">
        <v>7.0000000000000007E-2</v>
      </c>
      <c r="U33" s="52">
        <v>387.58</v>
      </c>
      <c r="V33" s="52">
        <v>3425.8</v>
      </c>
      <c r="W33" s="52">
        <v>78.040000000000006</v>
      </c>
      <c r="X33" s="52">
        <v>140.47999999999999</v>
      </c>
      <c r="Y33" s="52">
        <v>358.27</v>
      </c>
      <c r="Z33" s="51">
        <v>275.64</v>
      </c>
      <c r="AA33" s="52">
        <v>76.27</v>
      </c>
      <c r="AB33" s="55">
        <v>35.520000000000003</v>
      </c>
      <c r="AC33" s="52">
        <v>576.79</v>
      </c>
      <c r="AD33" s="55">
        <v>222.98</v>
      </c>
      <c r="AE33" s="55">
        <v>231.04999999999998</v>
      </c>
      <c r="AF33" s="52">
        <v>219.03679772204578</v>
      </c>
      <c r="AG33" s="55">
        <v>12</v>
      </c>
      <c r="AH33" s="53"/>
      <c r="AI33" s="53"/>
      <c r="AJ33" s="53"/>
    </row>
    <row r="34" spans="1:36" s="55" customFormat="1" x14ac:dyDescent="0.2">
      <c r="A34" s="52" t="s">
        <v>451</v>
      </c>
      <c r="B34" s="52" t="s">
        <v>452</v>
      </c>
      <c r="C34" s="52">
        <v>15</v>
      </c>
      <c r="D34" s="52">
        <v>0</v>
      </c>
      <c r="E34" s="52">
        <v>283.33</v>
      </c>
      <c r="F34" s="52">
        <v>300.49</v>
      </c>
      <c r="G34" s="52">
        <v>4250</v>
      </c>
      <c r="H34" s="52">
        <v>0</v>
      </c>
      <c r="I34" s="52">
        <v>0</v>
      </c>
      <c r="J34" s="52">
        <v>4250</v>
      </c>
      <c r="K34" s="52">
        <v>341.07</v>
      </c>
      <c r="L34" s="52">
        <v>0</v>
      </c>
      <c r="M34" s="52">
        <v>117.2</v>
      </c>
      <c r="N34" s="52">
        <v>0</v>
      </c>
      <c r="O34" s="52">
        <v>592.54</v>
      </c>
      <c r="P34" s="52">
        <v>0</v>
      </c>
      <c r="Q34" s="52">
        <v>0</v>
      </c>
      <c r="R34" s="52">
        <v>322.5</v>
      </c>
      <c r="S34" s="52">
        <v>0</v>
      </c>
      <c r="T34" s="60">
        <v>0.09</v>
      </c>
      <c r="U34" s="52">
        <v>1373.4</v>
      </c>
      <c r="V34" s="52">
        <v>2876.6</v>
      </c>
      <c r="W34" s="52">
        <v>84.14</v>
      </c>
      <c r="X34" s="52">
        <v>151.44999999999999</v>
      </c>
      <c r="Y34" s="52">
        <v>368.19</v>
      </c>
      <c r="Z34" s="51">
        <v>282.61</v>
      </c>
      <c r="AA34" s="52">
        <v>85</v>
      </c>
      <c r="AB34" s="55">
        <v>38.299999999999997</v>
      </c>
      <c r="AC34" s="52">
        <v>603.78</v>
      </c>
      <c r="AD34" s="55">
        <v>240.39</v>
      </c>
      <c r="AE34" s="55">
        <v>234.52999999999997</v>
      </c>
      <c r="AF34" s="52">
        <v>232.72095060781947</v>
      </c>
      <c r="AG34" s="55">
        <v>12</v>
      </c>
      <c r="AH34" s="53"/>
      <c r="AI34" s="53"/>
      <c r="AJ34" s="53"/>
    </row>
    <row r="35" spans="1:36" s="55" customFormat="1" x14ac:dyDescent="0.2">
      <c r="A35" s="52" t="s">
        <v>455</v>
      </c>
      <c r="B35" s="52" t="s">
        <v>456</v>
      </c>
      <c r="C35" s="52">
        <v>15</v>
      </c>
      <c r="D35" s="52">
        <v>0</v>
      </c>
      <c r="E35" s="52">
        <v>266.67</v>
      </c>
      <c r="F35" s="52">
        <v>282.81</v>
      </c>
      <c r="G35" s="52">
        <v>4000.05</v>
      </c>
      <c r="H35" s="52">
        <v>0</v>
      </c>
      <c r="I35" s="52">
        <v>0</v>
      </c>
      <c r="J35" s="52">
        <v>4000.05</v>
      </c>
      <c r="K35" s="52">
        <v>313.87</v>
      </c>
      <c r="L35" s="52">
        <v>0</v>
      </c>
      <c r="M35" s="52">
        <v>109.35</v>
      </c>
      <c r="N35" s="52">
        <v>0</v>
      </c>
      <c r="O35" s="52">
        <v>0</v>
      </c>
      <c r="P35" s="52">
        <v>0</v>
      </c>
      <c r="Q35" s="52">
        <v>0</v>
      </c>
      <c r="R35" s="52">
        <v>0</v>
      </c>
      <c r="S35" s="52">
        <v>0</v>
      </c>
      <c r="T35" s="60">
        <v>0.03</v>
      </c>
      <c r="U35" s="52">
        <v>423.25</v>
      </c>
      <c r="V35" s="52">
        <v>3576.8</v>
      </c>
      <c r="W35" s="52">
        <v>79.19</v>
      </c>
      <c r="X35" s="52">
        <v>142.54</v>
      </c>
      <c r="Y35" s="52">
        <v>360.12</v>
      </c>
      <c r="Z35" s="51">
        <v>276.95</v>
      </c>
      <c r="AA35" s="52">
        <v>80</v>
      </c>
      <c r="AB35" s="55">
        <v>36.049999999999997</v>
      </c>
      <c r="AC35" s="52">
        <v>581.85</v>
      </c>
      <c r="AD35" s="55">
        <v>226.25</v>
      </c>
      <c r="AE35" s="55">
        <v>231.7</v>
      </c>
      <c r="AF35" s="52">
        <v>219.03679772204578</v>
      </c>
      <c r="AG35" s="55">
        <v>12</v>
      </c>
      <c r="AH35" s="53"/>
      <c r="AI35" s="53"/>
      <c r="AJ35" s="53"/>
    </row>
    <row r="36" spans="1:36" s="55" customFormat="1" x14ac:dyDescent="0.2">
      <c r="A36" s="52" t="s">
        <v>459</v>
      </c>
      <c r="B36" s="52" t="s">
        <v>460</v>
      </c>
      <c r="C36" s="52">
        <v>15</v>
      </c>
      <c r="D36" s="52">
        <v>0</v>
      </c>
      <c r="E36" s="52">
        <v>266.67</v>
      </c>
      <c r="F36" s="52">
        <v>282.81</v>
      </c>
      <c r="G36" s="52">
        <v>4000.05</v>
      </c>
      <c r="H36" s="52">
        <v>0</v>
      </c>
      <c r="I36" s="52">
        <v>0</v>
      </c>
      <c r="J36" s="52">
        <v>4000.05</v>
      </c>
      <c r="K36" s="52">
        <v>313.87</v>
      </c>
      <c r="L36" s="52">
        <v>0</v>
      </c>
      <c r="M36" s="52">
        <v>109.35</v>
      </c>
      <c r="N36" s="52">
        <v>1848.35</v>
      </c>
      <c r="O36" s="52">
        <v>0</v>
      </c>
      <c r="P36" s="52">
        <v>0</v>
      </c>
      <c r="Q36" s="52">
        <v>0</v>
      </c>
      <c r="R36" s="52">
        <v>400</v>
      </c>
      <c r="S36" s="52">
        <v>0</v>
      </c>
      <c r="T36" s="52">
        <v>0.08</v>
      </c>
      <c r="U36" s="52">
        <v>2671.65</v>
      </c>
      <c r="V36" s="52">
        <v>1328.4</v>
      </c>
      <c r="W36" s="52">
        <v>79.19</v>
      </c>
      <c r="X36" s="52">
        <v>142.54</v>
      </c>
      <c r="Y36" s="52">
        <v>360.12</v>
      </c>
      <c r="Z36" s="51">
        <v>276.95</v>
      </c>
      <c r="AA36" s="52">
        <v>80</v>
      </c>
      <c r="AB36" s="55">
        <v>36.049999999999997</v>
      </c>
      <c r="AC36" s="52">
        <v>581.85</v>
      </c>
      <c r="AD36" s="55">
        <v>226.25</v>
      </c>
      <c r="AE36" s="55">
        <v>231.7</v>
      </c>
      <c r="AF36" s="52">
        <v>219.03679772204578</v>
      </c>
      <c r="AG36" s="55">
        <v>12</v>
      </c>
      <c r="AH36" s="53"/>
      <c r="AI36" s="53"/>
      <c r="AJ36" s="53"/>
    </row>
    <row r="37" spans="1:36" s="55" customFormat="1" x14ac:dyDescent="0.2">
      <c r="A37" s="52" t="s">
        <v>464</v>
      </c>
      <c r="B37" s="52" t="s">
        <v>465</v>
      </c>
      <c r="C37" s="52">
        <v>15</v>
      </c>
      <c r="D37" s="52">
        <v>0</v>
      </c>
      <c r="E37" s="52">
        <v>466.67</v>
      </c>
      <c r="F37" s="52">
        <v>494.92</v>
      </c>
      <c r="G37" s="52">
        <v>7000.05</v>
      </c>
      <c r="H37" s="52">
        <v>0</v>
      </c>
      <c r="I37" s="52">
        <v>0</v>
      </c>
      <c r="J37" s="52">
        <v>7000.05</v>
      </c>
      <c r="K37" s="52">
        <v>856.99</v>
      </c>
      <c r="L37" s="52">
        <v>0</v>
      </c>
      <c r="M37" s="52">
        <v>203.53</v>
      </c>
      <c r="N37" s="52">
        <v>0</v>
      </c>
      <c r="O37" s="52">
        <v>0</v>
      </c>
      <c r="P37" s="52">
        <v>0</v>
      </c>
      <c r="Q37" s="52">
        <v>0</v>
      </c>
      <c r="R37" s="52">
        <v>0</v>
      </c>
      <c r="S37" s="52">
        <v>0</v>
      </c>
      <c r="T37" s="52">
        <v>-7.0000000000000007E-2</v>
      </c>
      <c r="U37" s="52">
        <v>1060.45</v>
      </c>
      <c r="V37" s="52">
        <v>5939.6</v>
      </c>
      <c r="W37" s="52">
        <v>138.58000000000001</v>
      </c>
      <c r="X37" s="52">
        <v>249.44</v>
      </c>
      <c r="Y37" s="52">
        <v>456.86</v>
      </c>
      <c r="Z37" s="51">
        <v>344.82</v>
      </c>
      <c r="AA37" s="52">
        <v>140</v>
      </c>
      <c r="AB37" s="55">
        <v>63.08</v>
      </c>
      <c r="AC37" s="52">
        <v>844.88</v>
      </c>
      <c r="AD37" s="55">
        <v>395.94</v>
      </c>
      <c r="AE37" s="55">
        <v>265.64</v>
      </c>
      <c r="AF37" s="52">
        <v>383.3123425692695</v>
      </c>
      <c r="AG37" s="55">
        <v>12</v>
      </c>
      <c r="AH37" s="53"/>
      <c r="AI37" s="53"/>
      <c r="AJ37" s="53"/>
    </row>
    <row r="38" spans="1:36" s="55" customFormat="1" x14ac:dyDescent="0.2">
      <c r="A38" s="52" t="s">
        <v>466</v>
      </c>
      <c r="B38" s="52" t="s">
        <v>467</v>
      </c>
      <c r="C38" s="52">
        <v>15</v>
      </c>
      <c r="D38" s="52">
        <v>0</v>
      </c>
      <c r="E38" s="52">
        <v>266.67</v>
      </c>
      <c r="F38" s="52">
        <v>282.81</v>
      </c>
      <c r="G38" s="52">
        <v>4000.05</v>
      </c>
      <c r="H38" s="52">
        <v>0</v>
      </c>
      <c r="I38" s="52">
        <v>0</v>
      </c>
      <c r="J38" s="52">
        <v>4000.05</v>
      </c>
      <c r="K38" s="52">
        <v>313.87</v>
      </c>
      <c r="L38" s="52">
        <v>0</v>
      </c>
      <c r="M38" s="52">
        <v>109.35</v>
      </c>
      <c r="N38" s="52">
        <v>0</v>
      </c>
      <c r="O38" s="52">
        <v>0</v>
      </c>
      <c r="P38" s="52">
        <v>0</v>
      </c>
      <c r="Q38" s="52">
        <v>0</v>
      </c>
      <c r="R38" s="52">
        <v>688.3</v>
      </c>
      <c r="S38" s="52">
        <v>0</v>
      </c>
      <c r="T38" s="60">
        <v>0.13</v>
      </c>
      <c r="U38" s="52">
        <v>1111.6500000000001</v>
      </c>
      <c r="V38" s="52">
        <v>2888.4</v>
      </c>
      <c r="W38" s="52">
        <v>79.19</v>
      </c>
      <c r="X38" s="52">
        <v>142.54</v>
      </c>
      <c r="Y38" s="52">
        <v>360.12</v>
      </c>
      <c r="Z38" s="51">
        <v>276.95</v>
      </c>
      <c r="AA38" s="52">
        <v>80</v>
      </c>
      <c r="AB38" s="55">
        <v>36.049999999999997</v>
      </c>
      <c r="AC38" s="52">
        <v>581.85</v>
      </c>
      <c r="AD38" s="55">
        <v>226.25</v>
      </c>
      <c r="AE38" s="55">
        <v>231.7</v>
      </c>
      <c r="AF38" s="52">
        <v>219.03679772204578</v>
      </c>
      <c r="AG38" s="55">
        <v>12</v>
      </c>
      <c r="AH38" s="53"/>
      <c r="AI38" s="53"/>
      <c r="AJ38" s="53"/>
    </row>
    <row r="39" spans="1:36" s="55" customFormat="1" x14ac:dyDescent="0.2">
      <c r="A39" s="52" t="s">
        <v>469</v>
      </c>
      <c r="B39" s="52" t="s">
        <v>470</v>
      </c>
      <c r="C39" s="52">
        <v>15</v>
      </c>
      <c r="D39" s="52">
        <v>0</v>
      </c>
      <c r="E39" s="52">
        <v>266.67</v>
      </c>
      <c r="F39" s="52">
        <v>282.81</v>
      </c>
      <c r="G39" s="52">
        <v>4000.05</v>
      </c>
      <c r="H39" s="52">
        <v>0</v>
      </c>
      <c r="I39" s="52">
        <v>0</v>
      </c>
      <c r="J39" s="52">
        <v>4000.05</v>
      </c>
      <c r="K39" s="52">
        <v>313.87</v>
      </c>
      <c r="L39" s="52">
        <v>0</v>
      </c>
      <c r="M39" s="52">
        <v>109.35</v>
      </c>
      <c r="N39" s="52">
        <v>0</v>
      </c>
      <c r="O39" s="52">
        <v>0</v>
      </c>
      <c r="P39" s="52">
        <v>0</v>
      </c>
      <c r="Q39" s="52">
        <v>0</v>
      </c>
      <c r="R39" s="52">
        <v>0</v>
      </c>
      <c r="S39" s="52">
        <v>0</v>
      </c>
      <c r="T39" s="52">
        <v>-0.17</v>
      </c>
      <c r="U39" s="52">
        <v>423.05</v>
      </c>
      <c r="V39" s="52">
        <v>3577</v>
      </c>
      <c r="W39" s="52">
        <v>79.19</v>
      </c>
      <c r="X39" s="52">
        <v>142.54</v>
      </c>
      <c r="Y39" s="52">
        <v>360.12</v>
      </c>
      <c r="Z39" s="51">
        <v>276.95</v>
      </c>
      <c r="AA39" s="52">
        <v>80</v>
      </c>
      <c r="AB39" s="55">
        <v>36.049999999999997</v>
      </c>
      <c r="AC39" s="52">
        <v>581.85</v>
      </c>
      <c r="AD39" s="55">
        <v>226.25</v>
      </c>
      <c r="AE39" s="55">
        <v>231.7</v>
      </c>
      <c r="AF39" s="52">
        <v>219.03679772204578</v>
      </c>
      <c r="AG39" s="55">
        <v>12</v>
      </c>
      <c r="AH39" s="53"/>
      <c r="AI39" s="53"/>
      <c r="AJ39" s="53"/>
    </row>
    <row r="40" spans="1:36" s="55" customFormat="1" x14ac:dyDescent="0.2">
      <c r="A40" s="52" t="s">
        <v>471</v>
      </c>
      <c r="B40" s="52" t="s">
        <v>687</v>
      </c>
      <c r="C40" s="52">
        <v>15</v>
      </c>
      <c r="D40" s="52">
        <v>0</v>
      </c>
      <c r="E40" s="52">
        <v>200</v>
      </c>
      <c r="F40" s="52">
        <v>212.11</v>
      </c>
      <c r="G40" s="52">
        <v>3000</v>
      </c>
      <c r="H40" s="52">
        <v>0</v>
      </c>
      <c r="I40" s="52">
        <v>0</v>
      </c>
      <c r="J40" s="52">
        <v>3000</v>
      </c>
      <c r="K40" s="52">
        <v>59.69</v>
      </c>
      <c r="L40" s="52">
        <v>0</v>
      </c>
      <c r="M40" s="52">
        <v>80.599999999999994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0.11</v>
      </c>
      <c r="U40" s="52">
        <v>140.4</v>
      </c>
      <c r="V40" s="52">
        <v>2859.6</v>
      </c>
      <c r="W40" s="52">
        <v>59.39</v>
      </c>
      <c r="X40" s="52">
        <v>106.9</v>
      </c>
      <c r="Y40" s="52">
        <v>335.17</v>
      </c>
      <c r="Z40" s="51">
        <v>254.32999999999998</v>
      </c>
      <c r="AA40" s="52">
        <v>60</v>
      </c>
      <c r="AB40" s="55">
        <v>27.03</v>
      </c>
      <c r="AC40" s="52">
        <v>501.46</v>
      </c>
      <c r="AD40" s="55">
        <v>169.69</v>
      </c>
      <c r="AE40" s="55">
        <v>220.39</v>
      </c>
      <c r="AF40" s="52">
        <v>164.27554484722373</v>
      </c>
      <c r="AG40" s="55">
        <v>12</v>
      </c>
      <c r="AH40" s="53"/>
      <c r="AI40" s="53"/>
      <c r="AJ40" s="53"/>
    </row>
    <row r="41" spans="1:36" s="55" customFormat="1" x14ac:dyDescent="0.2">
      <c r="A41" s="52" t="s">
        <v>473</v>
      </c>
      <c r="B41" s="52" t="s">
        <v>688</v>
      </c>
      <c r="C41" s="52">
        <v>15</v>
      </c>
      <c r="D41" s="52">
        <v>0</v>
      </c>
      <c r="E41" s="52">
        <v>266.67</v>
      </c>
      <c r="F41" s="52">
        <v>282.81</v>
      </c>
      <c r="G41" s="52">
        <v>4000.05</v>
      </c>
      <c r="H41" s="52">
        <v>0</v>
      </c>
      <c r="I41" s="52">
        <v>0</v>
      </c>
      <c r="J41" s="52">
        <v>4000.05</v>
      </c>
      <c r="K41" s="52">
        <v>313.87</v>
      </c>
      <c r="L41" s="52">
        <v>0</v>
      </c>
      <c r="M41" s="52">
        <v>109.35</v>
      </c>
      <c r="N41" s="52">
        <v>0</v>
      </c>
      <c r="O41" s="52">
        <v>0</v>
      </c>
      <c r="P41" s="52">
        <v>0</v>
      </c>
      <c r="Q41" s="52">
        <v>0</v>
      </c>
      <c r="R41" s="52">
        <v>0</v>
      </c>
      <c r="S41" s="52">
        <v>0</v>
      </c>
      <c r="T41" s="60">
        <v>0.03</v>
      </c>
      <c r="U41" s="52">
        <v>423.25</v>
      </c>
      <c r="V41" s="52">
        <v>3576.8</v>
      </c>
      <c r="W41" s="52">
        <v>79.19</v>
      </c>
      <c r="X41" s="52">
        <v>142.54</v>
      </c>
      <c r="Y41" s="52">
        <v>360.12</v>
      </c>
      <c r="Z41" s="51">
        <v>276.95</v>
      </c>
      <c r="AA41" s="52">
        <v>80</v>
      </c>
      <c r="AB41" s="55">
        <v>36.049999999999997</v>
      </c>
      <c r="AC41" s="52">
        <v>581.85</v>
      </c>
      <c r="AD41" s="55">
        <v>226.25</v>
      </c>
      <c r="AE41" s="55">
        <v>231.7</v>
      </c>
      <c r="AF41" s="52">
        <v>219.03679772204578</v>
      </c>
      <c r="AG41" s="55">
        <v>12</v>
      </c>
      <c r="AH41" s="53"/>
      <c r="AI41" s="53"/>
      <c r="AJ41" s="53"/>
    </row>
    <row r="42" spans="1:36" s="55" customFormat="1" x14ac:dyDescent="0.2">
      <c r="A42" s="52" t="s">
        <v>475</v>
      </c>
      <c r="B42" s="52" t="s">
        <v>689</v>
      </c>
      <c r="C42" s="52">
        <v>15</v>
      </c>
      <c r="D42" s="52">
        <v>0</v>
      </c>
      <c r="E42" s="52">
        <v>266.67</v>
      </c>
      <c r="F42" s="52">
        <v>278.72000000000003</v>
      </c>
      <c r="G42" s="52">
        <v>4000.05</v>
      </c>
      <c r="H42" s="52">
        <v>0</v>
      </c>
      <c r="I42" s="52">
        <v>0</v>
      </c>
      <c r="J42" s="52">
        <v>4000.05</v>
      </c>
      <c r="K42" s="52">
        <v>313.87</v>
      </c>
      <c r="L42" s="52">
        <v>0</v>
      </c>
      <c r="M42" s="52">
        <v>107.53</v>
      </c>
      <c r="N42" s="52">
        <v>0</v>
      </c>
      <c r="O42" s="52">
        <v>0</v>
      </c>
      <c r="P42" s="52">
        <v>0</v>
      </c>
      <c r="Q42" s="52">
        <v>0</v>
      </c>
      <c r="R42" s="52">
        <v>0</v>
      </c>
      <c r="S42" s="52">
        <v>0</v>
      </c>
      <c r="T42" s="52">
        <v>0.05</v>
      </c>
      <c r="U42" s="52">
        <v>421.45</v>
      </c>
      <c r="V42" s="52">
        <v>3578.6</v>
      </c>
      <c r="W42" s="52">
        <v>78.040000000000006</v>
      </c>
      <c r="X42" s="52">
        <v>140.47999999999999</v>
      </c>
      <c r="Y42" s="52">
        <v>358.27</v>
      </c>
      <c r="Z42" s="51">
        <v>275.64</v>
      </c>
      <c r="AA42" s="52">
        <v>80</v>
      </c>
      <c r="AB42" s="55">
        <v>35.520000000000003</v>
      </c>
      <c r="AC42" s="52">
        <v>576.79</v>
      </c>
      <c r="AD42" s="55">
        <v>222.98</v>
      </c>
      <c r="AE42" s="55">
        <v>231.04999999999998</v>
      </c>
      <c r="AF42" s="52">
        <v>219.03679772204578</v>
      </c>
      <c r="AG42" s="55">
        <v>12</v>
      </c>
      <c r="AH42" s="53"/>
      <c r="AI42" s="53"/>
      <c r="AJ42" s="53"/>
    </row>
    <row r="43" spans="1:36" s="55" customFormat="1" x14ac:dyDescent="0.2">
      <c r="A43" s="52" t="s">
        <v>477</v>
      </c>
      <c r="B43" s="52" t="s">
        <v>478</v>
      </c>
      <c r="C43" s="52">
        <v>15</v>
      </c>
      <c r="D43" s="52">
        <v>0</v>
      </c>
      <c r="E43" s="52">
        <v>266.67</v>
      </c>
      <c r="F43" s="52">
        <v>278.72000000000003</v>
      </c>
      <c r="G43" s="52">
        <v>4000.05</v>
      </c>
      <c r="H43" s="52">
        <v>0</v>
      </c>
      <c r="I43" s="52">
        <v>0</v>
      </c>
      <c r="J43" s="52">
        <v>4000.05</v>
      </c>
      <c r="K43" s="52">
        <v>313.87</v>
      </c>
      <c r="L43" s="52">
        <v>0</v>
      </c>
      <c r="M43" s="52">
        <v>107.53</v>
      </c>
      <c r="N43" s="52">
        <v>0</v>
      </c>
      <c r="O43" s="52">
        <v>0</v>
      </c>
      <c r="P43" s="52">
        <v>0</v>
      </c>
      <c r="Q43" s="52">
        <v>0</v>
      </c>
      <c r="R43" s="52">
        <v>0</v>
      </c>
      <c r="S43" s="52">
        <v>0</v>
      </c>
      <c r="T43" s="60">
        <v>-0.15</v>
      </c>
      <c r="U43" s="52">
        <v>421.25</v>
      </c>
      <c r="V43" s="52">
        <v>3578.8</v>
      </c>
      <c r="W43" s="52">
        <v>78.040000000000006</v>
      </c>
      <c r="X43" s="52">
        <v>140.47999999999999</v>
      </c>
      <c r="Y43" s="52">
        <v>358.27</v>
      </c>
      <c r="Z43" s="51">
        <v>275.64</v>
      </c>
      <c r="AA43" s="52">
        <v>80</v>
      </c>
      <c r="AB43" s="55">
        <v>35.520000000000003</v>
      </c>
      <c r="AC43" s="52">
        <v>576.79</v>
      </c>
      <c r="AD43" s="55">
        <v>222.98</v>
      </c>
      <c r="AE43" s="55">
        <v>231.04999999999998</v>
      </c>
      <c r="AF43" s="52">
        <v>219.03679772204578</v>
      </c>
      <c r="AG43" s="55">
        <v>12</v>
      </c>
      <c r="AH43" s="53"/>
      <c r="AI43" s="53"/>
      <c r="AJ43" s="53"/>
    </row>
    <row r="44" spans="1:36" s="55" customFormat="1" x14ac:dyDescent="0.2">
      <c r="A44" s="52" t="s">
        <v>491</v>
      </c>
      <c r="B44" s="52" t="s">
        <v>345</v>
      </c>
      <c r="C44" s="52">
        <v>15</v>
      </c>
      <c r="D44" s="52">
        <v>0</v>
      </c>
      <c r="E44" s="52">
        <v>220.83</v>
      </c>
      <c r="F44" s="52">
        <v>234.2</v>
      </c>
      <c r="G44" s="52">
        <v>3312.45</v>
      </c>
      <c r="H44" s="52">
        <v>0</v>
      </c>
      <c r="I44" s="52">
        <v>0</v>
      </c>
      <c r="J44" s="52">
        <v>3312.45</v>
      </c>
      <c r="K44" s="52">
        <v>113.96</v>
      </c>
      <c r="L44" s="52">
        <v>0</v>
      </c>
      <c r="M44" s="52">
        <v>89</v>
      </c>
      <c r="N44" s="52">
        <v>2034.26</v>
      </c>
      <c r="O44" s="52">
        <v>0</v>
      </c>
      <c r="P44" s="52">
        <v>0</v>
      </c>
      <c r="Q44" s="52">
        <v>0</v>
      </c>
      <c r="R44" s="52">
        <v>0</v>
      </c>
      <c r="S44" s="52">
        <v>0</v>
      </c>
      <c r="T44" s="60">
        <v>0.03</v>
      </c>
      <c r="U44" s="52">
        <v>2237.25</v>
      </c>
      <c r="V44" s="52">
        <v>1075.2</v>
      </c>
      <c r="W44" s="52">
        <v>65.58</v>
      </c>
      <c r="X44" s="52">
        <v>118.04</v>
      </c>
      <c r="Y44" s="52">
        <v>341.36</v>
      </c>
      <c r="Z44" s="51">
        <v>261.39</v>
      </c>
      <c r="AA44" s="52">
        <v>66.25</v>
      </c>
      <c r="AB44" s="55">
        <v>29.85</v>
      </c>
      <c r="AC44" s="52">
        <v>524.98</v>
      </c>
      <c r="AD44" s="55">
        <v>187.36</v>
      </c>
      <c r="AE44" s="55">
        <v>223.92</v>
      </c>
      <c r="AF44" s="52">
        <v>181.3848428430621</v>
      </c>
      <c r="AG44" s="55">
        <v>12</v>
      </c>
      <c r="AH44" s="53"/>
      <c r="AI44" s="53"/>
      <c r="AJ44" s="53"/>
    </row>
    <row r="45" spans="1:36" s="55" customFormat="1" x14ac:dyDescent="0.2">
      <c r="A45" s="52" t="s">
        <v>492</v>
      </c>
      <c r="B45" s="52" t="s">
        <v>340</v>
      </c>
      <c r="C45" s="52">
        <v>15</v>
      </c>
      <c r="D45" s="52">
        <v>0</v>
      </c>
      <c r="E45" s="52">
        <v>150</v>
      </c>
      <c r="F45" s="52">
        <v>156.78</v>
      </c>
      <c r="G45" s="52">
        <v>2250</v>
      </c>
      <c r="H45" s="52">
        <v>0</v>
      </c>
      <c r="I45" s="52">
        <v>0</v>
      </c>
      <c r="J45" s="52">
        <v>2250</v>
      </c>
      <c r="K45" s="52">
        <v>0</v>
      </c>
      <c r="L45" s="52">
        <v>-43.57</v>
      </c>
      <c r="M45" s="52">
        <v>59.58</v>
      </c>
      <c r="N45" s="52">
        <v>0</v>
      </c>
      <c r="O45" s="52">
        <v>763.03</v>
      </c>
      <c r="P45" s="52">
        <v>0</v>
      </c>
      <c r="Q45" s="52">
        <v>0</v>
      </c>
      <c r="R45" s="52">
        <v>0</v>
      </c>
      <c r="S45" s="52">
        <v>0</v>
      </c>
      <c r="T45" s="52">
        <v>-0.04</v>
      </c>
      <c r="U45" s="52">
        <v>779</v>
      </c>
      <c r="V45" s="52">
        <v>1471</v>
      </c>
      <c r="W45" s="52">
        <v>43.9</v>
      </c>
      <c r="X45" s="52">
        <v>79.02</v>
      </c>
      <c r="Y45" s="52">
        <v>319.68</v>
      </c>
      <c r="Z45" s="51">
        <v>236.62</v>
      </c>
      <c r="AA45" s="52">
        <v>45</v>
      </c>
      <c r="AB45" s="55">
        <v>19.98</v>
      </c>
      <c r="AC45" s="52">
        <v>442.6</v>
      </c>
      <c r="AD45" s="55">
        <v>125.42</v>
      </c>
      <c r="AE45" s="55">
        <v>211.52999999999997</v>
      </c>
      <c r="AF45" s="52">
        <v>123.2066586354178</v>
      </c>
      <c r="AG45" s="55">
        <v>12</v>
      </c>
      <c r="AH45" s="53"/>
      <c r="AI45" s="53"/>
      <c r="AJ45" s="53"/>
    </row>
    <row r="46" spans="1:36" s="55" customFormat="1" x14ac:dyDescent="0.2">
      <c r="A46" s="52" t="s">
        <v>493</v>
      </c>
      <c r="B46" s="52" t="s">
        <v>379</v>
      </c>
      <c r="C46" s="52">
        <v>15</v>
      </c>
      <c r="D46" s="52">
        <v>0</v>
      </c>
      <c r="E46" s="52">
        <v>150</v>
      </c>
      <c r="F46" s="52">
        <v>156.78</v>
      </c>
      <c r="G46" s="52">
        <v>2250</v>
      </c>
      <c r="H46" s="52">
        <v>0</v>
      </c>
      <c r="I46" s="52">
        <v>0</v>
      </c>
      <c r="J46" s="52">
        <v>2250</v>
      </c>
      <c r="K46" s="52">
        <v>0</v>
      </c>
      <c r="L46" s="60">
        <v>-43.57</v>
      </c>
      <c r="M46" s="52">
        <v>59.58</v>
      </c>
      <c r="N46" s="52">
        <v>0</v>
      </c>
      <c r="O46" s="52">
        <v>0</v>
      </c>
      <c r="P46" s="52">
        <v>0</v>
      </c>
      <c r="Q46" s="52">
        <v>0</v>
      </c>
      <c r="R46" s="52">
        <v>0</v>
      </c>
      <c r="S46" s="52">
        <v>0</v>
      </c>
      <c r="T46" s="52">
        <v>-0.01</v>
      </c>
      <c r="U46" s="52">
        <v>16</v>
      </c>
      <c r="V46" s="52">
        <v>2234</v>
      </c>
      <c r="W46" s="52">
        <v>43.9</v>
      </c>
      <c r="X46" s="52">
        <v>79.02</v>
      </c>
      <c r="Y46" s="52">
        <v>319.68</v>
      </c>
      <c r="Z46" s="51">
        <v>236.62</v>
      </c>
      <c r="AA46" s="52">
        <v>45</v>
      </c>
      <c r="AB46" s="55">
        <v>19.98</v>
      </c>
      <c r="AC46" s="52">
        <v>442.6</v>
      </c>
      <c r="AD46" s="55">
        <v>125.42</v>
      </c>
      <c r="AE46" s="55">
        <v>211.52999999999997</v>
      </c>
      <c r="AF46" s="52">
        <v>123.2066586354178</v>
      </c>
      <c r="AG46" s="55">
        <v>12</v>
      </c>
      <c r="AH46" s="53"/>
      <c r="AI46" s="53"/>
      <c r="AJ46" s="53"/>
    </row>
    <row r="47" spans="1:36" s="55" customFormat="1" x14ac:dyDescent="0.2">
      <c r="A47" s="52" t="s">
        <v>494</v>
      </c>
      <c r="B47" s="52" t="s">
        <v>382</v>
      </c>
      <c r="C47" s="52">
        <v>15</v>
      </c>
      <c r="D47" s="52">
        <v>0</v>
      </c>
      <c r="E47" s="52">
        <v>233.33</v>
      </c>
      <c r="F47" s="52">
        <v>243.88</v>
      </c>
      <c r="G47" s="52">
        <v>3499.95</v>
      </c>
      <c r="H47" s="52">
        <v>0</v>
      </c>
      <c r="I47" s="52">
        <v>0</v>
      </c>
      <c r="J47" s="52">
        <v>3499.95</v>
      </c>
      <c r="K47" s="52">
        <v>134.36000000000001</v>
      </c>
      <c r="L47" s="60">
        <v>0</v>
      </c>
      <c r="M47" s="52">
        <v>92.68</v>
      </c>
      <c r="N47" s="52">
        <v>0</v>
      </c>
      <c r="O47" s="52">
        <v>0</v>
      </c>
      <c r="P47" s="52">
        <v>0</v>
      </c>
      <c r="Q47" s="52">
        <v>0</v>
      </c>
      <c r="R47" s="52">
        <v>0</v>
      </c>
      <c r="S47" s="52">
        <v>0</v>
      </c>
      <c r="T47" s="60">
        <v>-0.09</v>
      </c>
      <c r="U47" s="52">
        <v>226.95</v>
      </c>
      <c r="V47" s="52">
        <v>3273</v>
      </c>
      <c r="W47" s="52">
        <v>68.290000000000006</v>
      </c>
      <c r="X47" s="52">
        <v>122.92</v>
      </c>
      <c r="Y47" s="52">
        <v>344.06</v>
      </c>
      <c r="Z47" s="51">
        <v>264.49</v>
      </c>
      <c r="AA47" s="52">
        <v>70</v>
      </c>
      <c r="AB47" s="55">
        <v>31.08</v>
      </c>
      <c r="AC47" s="52">
        <v>535.27</v>
      </c>
      <c r="AD47" s="55">
        <v>195.1</v>
      </c>
      <c r="AE47" s="55">
        <v>225.47</v>
      </c>
      <c r="AF47" s="52">
        <v>191.65206439601357</v>
      </c>
      <c r="AG47" s="55">
        <v>12</v>
      </c>
      <c r="AH47" s="53"/>
      <c r="AI47" s="53"/>
      <c r="AJ47" s="53"/>
    </row>
    <row r="48" spans="1:36" s="55" customFormat="1" x14ac:dyDescent="0.2">
      <c r="A48" s="52" t="s">
        <v>495</v>
      </c>
      <c r="B48" s="52" t="s">
        <v>383</v>
      </c>
      <c r="C48" s="52">
        <v>15</v>
      </c>
      <c r="D48" s="52">
        <v>0</v>
      </c>
      <c r="E48" s="52">
        <v>233.33</v>
      </c>
      <c r="F48" s="52">
        <v>243.88</v>
      </c>
      <c r="G48" s="52">
        <v>3499.95</v>
      </c>
      <c r="H48" s="52">
        <v>0</v>
      </c>
      <c r="I48" s="52">
        <v>0</v>
      </c>
      <c r="J48" s="52">
        <v>3499.95</v>
      </c>
      <c r="K48" s="52">
        <v>134.36000000000001</v>
      </c>
      <c r="L48" s="52">
        <v>0</v>
      </c>
      <c r="M48" s="52">
        <v>92.68</v>
      </c>
      <c r="N48" s="52">
        <v>0</v>
      </c>
      <c r="O48" s="52">
        <v>0</v>
      </c>
      <c r="P48" s="52">
        <v>0</v>
      </c>
      <c r="Q48" s="52">
        <v>0</v>
      </c>
      <c r="R48" s="52">
        <v>909.5</v>
      </c>
      <c r="S48" s="51">
        <v>0</v>
      </c>
      <c r="T48" s="51">
        <v>0.01</v>
      </c>
      <c r="U48" s="51">
        <v>1136.55</v>
      </c>
      <c r="V48" s="51">
        <v>2363.4</v>
      </c>
      <c r="W48" s="52">
        <v>68.290000000000006</v>
      </c>
      <c r="X48" s="52">
        <v>122.92</v>
      </c>
      <c r="Y48" s="52">
        <v>344.06</v>
      </c>
      <c r="Z48" s="51">
        <v>264.49</v>
      </c>
      <c r="AA48" s="52">
        <v>70</v>
      </c>
      <c r="AB48" s="55">
        <v>31.08</v>
      </c>
      <c r="AC48" s="52">
        <v>535.27</v>
      </c>
      <c r="AD48" s="55">
        <v>195.1</v>
      </c>
      <c r="AE48" s="55">
        <v>225.47</v>
      </c>
      <c r="AF48" s="52">
        <v>191.65206439601357</v>
      </c>
      <c r="AG48" s="55">
        <v>12</v>
      </c>
      <c r="AH48" s="53"/>
      <c r="AI48" s="53"/>
      <c r="AJ48" s="53"/>
    </row>
    <row r="49" spans="1:36" s="55" customFormat="1" x14ac:dyDescent="0.2">
      <c r="A49" s="52" t="s">
        <v>497</v>
      </c>
      <c r="B49" s="52" t="s">
        <v>414</v>
      </c>
      <c r="C49" s="52">
        <v>15</v>
      </c>
      <c r="D49" s="52">
        <v>0</v>
      </c>
      <c r="E49" s="52">
        <v>312.87</v>
      </c>
      <c r="F49" s="52">
        <v>327.01</v>
      </c>
      <c r="G49" s="52">
        <v>4693.05</v>
      </c>
      <c r="H49" s="52">
        <v>0</v>
      </c>
      <c r="I49" s="52">
        <v>0</v>
      </c>
      <c r="J49" s="52">
        <v>4693.05</v>
      </c>
      <c r="K49" s="52">
        <v>411.56</v>
      </c>
      <c r="L49" s="52">
        <v>0</v>
      </c>
      <c r="M49" s="52">
        <v>128.97</v>
      </c>
      <c r="N49" s="52">
        <v>1881.2</v>
      </c>
      <c r="O49" s="52">
        <v>0</v>
      </c>
      <c r="P49" s="52">
        <v>0</v>
      </c>
      <c r="Q49" s="52">
        <v>0</v>
      </c>
      <c r="R49" s="52">
        <v>301.5</v>
      </c>
      <c r="S49" s="52">
        <v>0</v>
      </c>
      <c r="T49" s="52">
        <v>0.02</v>
      </c>
      <c r="U49" s="52">
        <v>2723.25</v>
      </c>
      <c r="V49" s="52">
        <v>1969.8</v>
      </c>
      <c r="W49" s="52">
        <v>91.56</v>
      </c>
      <c r="X49" s="52">
        <v>164.81</v>
      </c>
      <c r="Y49" s="52">
        <v>380.29</v>
      </c>
      <c r="Z49" s="51">
        <v>291.08999999999997</v>
      </c>
      <c r="AA49" s="52">
        <v>93.86</v>
      </c>
      <c r="AB49" s="55">
        <v>41.68</v>
      </c>
      <c r="AC49" s="52">
        <v>636.66</v>
      </c>
      <c r="AD49" s="55">
        <v>261.61</v>
      </c>
      <c r="AE49" s="55">
        <v>238.76999999999998</v>
      </c>
      <c r="AF49" s="52">
        <v>256.98444858175446</v>
      </c>
      <c r="AG49" s="55">
        <v>12</v>
      </c>
      <c r="AH49" s="53"/>
      <c r="AI49" s="53"/>
      <c r="AJ49" s="53"/>
    </row>
    <row r="50" spans="1:36" s="55" customFormat="1" x14ac:dyDescent="0.2">
      <c r="A50" s="52" t="s">
        <v>498</v>
      </c>
      <c r="B50" s="52" t="s">
        <v>415</v>
      </c>
      <c r="C50" s="52">
        <v>15</v>
      </c>
      <c r="D50" s="52">
        <v>0</v>
      </c>
      <c r="E50" s="52">
        <v>312.87</v>
      </c>
      <c r="F50" s="52">
        <v>327.01</v>
      </c>
      <c r="G50" s="52">
        <v>4693.05</v>
      </c>
      <c r="H50" s="52">
        <v>0</v>
      </c>
      <c r="I50" s="52">
        <v>0</v>
      </c>
      <c r="J50" s="52">
        <v>4693.05</v>
      </c>
      <c r="K50" s="52">
        <v>411.56</v>
      </c>
      <c r="L50" s="52">
        <v>0</v>
      </c>
      <c r="M50" s="52">
        <v>128.97</v>
      </c>
      <c r="N50" s="52">
        <v>2177.54</v>
      </c>
      <c r="O50" s="52">
        <v>0</v>
      </c>
      <c r="P50" s="52">
        <v>0</v>
      </c>
      <c r="Q50" s="52">
        <v>0</v>
      </c>
      <c r="R50" s="52">
        <v>395.82</v>
      </c>
      <c r="S50" s="52">
        <v>0</v>
      </c>
      <c r="T50" s="60">
        <v>-0.04</v>
      </c>
      <c r="U50" s="52">
        <v>3113.85</v>
      </c>
      <c r="V50" s="52">
        <v>1579.2</v>
      </c>
      <c r="W50" s="52">
        <v>91.56</v>
      </c>
      <c r="X50" s="52">
        <v>164.81</v>
      </c>
      <c r="Y50" s="52">
        <v>380.29</v>
      </c>
      <c r="Z50" s="51">
        <v>291.08999999999997</v>
      </c>
      <c r="AA50" s="52">
        <v>93.86</v>
      </c>
      <c r="AB50" s="55">
        <v>41.68</v>
      </c>
      <c r="AC50" s="52">
        <v>636.66</v>
      </c>
      <c r="AD50" s="55">
        <v>261.61</v>
      </c>
      <c r="AE50" s="55">
        <v>238.76999999999998</v>
      </c>
      <c r="AF50" s="52">
        <v>256.98444858175446</v>
      </c>
      <c r="AG50" s="55">
        <v>12</v>
      </c>
      <c r="AH50" s="53"/>
      <c r="AI50" s="53"/>
      <c r="AJ50" s="53"/>
    </row>
    <row r="51" spans="1:36" s="55" customFormat="1" x14ac:dyDescent="0.2">
      <c r="A51" s="52" t="s">
        <v>499</v>
      </c>
      <c r="B51" s="52" t="s">
        <v>416</v>
      </c>
      <c r="C51" s="52">
        <v>15</v>
      </c>
      <c r="D51" s="52">
        <v>0</v>
      </c>
      <c r="E51" s="52">
        <v>238.84</v>
      </c>
      <c r="F51" s="52">
        <v>249.64</v>
      </c>
      <c r="G51" s="52">
        <v>3582.6</v>
      </c>
      <c r="H51" s="52">
        <v>0</v>
      </c>
      <c r="I51" s="52">
        <v>0</v>
      </c>
      <c r="J51" s="52">
        <v>3582.6</v>
      </c>
      <c r="K51" s="52">
        <v>161.08000000000001</v>
      </c>
      <c r="L51" s="52">
        <v>0</v>
      </c>
      <c r="M51" s="52">
        <v>94.87</v>
      </c>
      <c r="N51" s="52">
        <v>0</v>
      </c>
      <c r="O51" s="52">
        <v>0</v>
      </c>
      <c r="P51" s="52">
        <v>0</v>
      </c>
      <c r="Q51" s="52">
        <v>0</v>
      </c>
      <c r="R51" s="52">
        <v>0</v>
      </c>
      <c r="S51" s="52">
        <v>0</v>
      </c>
      <c r="T51" s="60">
        <v>0.05</v>
      </c>
      <c r="U51" s="52">
        <v>256</v>
      </c>
      <c r="V51" s="52">
        <v>3326.6</v>
      </c>
      <c r="W51" s="52">
        <v>69.900000000000006</v>
      </c>
      <c r="X51" s="52">
        <v>125.82</v>
      </c>
      <c r="Y51" s="52">
        <v>345.68</v>
      </c>
      <c r="Z51" s="51">
        <v>266.33</v>
      </c>
      <c r="AA51" s="52">
        <v>71.650000000000006</v>
      </c>
      <c r="AB51" s="55">
        <v>31.82</v>
      </c>
      <c r="AC51" s="52">
        <v>541.4</v>
      </c>
      <c r="AD51" s="55">
        <v>199.71</v>
      </c>
      <c r="AE51" s="55">
        <v>226.39</v>
      </c>
      <c r="AF51" s="52">
        <v>196.17785565655458</v>
      </c>
      <c r="AG51" s="55">
        <v>12</v>
      </c>
      <c r="AH51" s="53"/>
      <c r="AI51" s="53"/>
      <c r="AJ51" s="53"/>
    </row>
    <row r="52" spans="1:36" s="55" customFormat="1" x14ac:dyDescent="0.2">
      <c r="A52" s="52" t="s">
        <v>501</v>
      </c>
      <c r="B52" s="52" t="s">
        <v>418</v>
      </c>
      <c r="C52" s="52">
        <v>15</v>
      </c>
      <c r="D52" s="52">
        <v>0</v>
      </c>
      <c r="E52" s="52">
        <v>238.84</v>
      </c>
      <c r="F52" s="52">
        <v>249.64</v>
      </c>
      <c r="G52" s="52">
        <v>3582.6</v>
      </c>
      <c r="H52" s="52">
        <v>0</v>
      </c>
      <c r="I52" s="52">
        <v>0</v>
      </c>
      <c r="J52" s="52">
        <v>3582.6</v>
      </c>
      <c r="K52" s="52">
        <v>161.08000000000001</v>
      </c>
      <c r="L52" s="52">
        <v>0</v>
      </c>
      <c r="M52" s="52">
        <v>94.87</v>
      </c>
      <c r="N52" s="52">
        <v>1202.43</v>
      </c>
      <c r="O52" s="52">
        <v>0</v>
      </c>
      <c r="P52" s="52">
        <v>0</v>
      </c>
      <c r="Q52" s="52">
        <v>0</v>
      </c>
      <c r="R52" s="52">
        <v>310</v>
      </c>
      <c r="S52" s="52">
        <v>0</v>
      </c>
      <c r="T52" s="60">
        <v>0.02</v>
      </c>
      <c r="U52" s="52">
        <v>1768.4</v>
      </c>
      <c r="V52" s="52">
        <v>1814.2</v>
      </c>
      <c r="W52" s="52">
        <v>69.900000000000006</v>
      </c>
      <c r="X52" s="52">
        <v>125.82</v>
      </c>
      <c r="Y52" s="52">
        <v>345.68</v>
      </c>
      <c r="Z52" s="51">
        <v>266.33</v>
      </c>
      <c r="AA52" s="52">
        <v>71.650000000000006</v>
      </c>
      <c r="AB52" s="55">
        <v>31.82</v>
      </c>
      <c r="AC52" s="52">
        <v>541.4</v>
      </c>
      <c r="AD52" s="55">
        <v>199.71</v>
      </c>
      <c r="AE52" s="55">
        <v>226.39</v>
      </c>
      <c r="AF52" s="52">
        <v>196.17785565655458</v>
      </c>
      <c r="AG52" s="55">
        <v>12</v>
      </c>
      <c r="AH52" s="53"/>
      <c r="AI52" s="53"/>
      <c r="AJ52" s="53"/>
    </row>
    <row r="53" spans="1:36" s="55" customFormat="1" x14ac:dyDescent="0.2">
      <c r="A53" s="52" t="s">
        <v>502</v>
      </c>
      <c r="B53" s="52" t="s">
        <v>419</v>
      </c>
      <c r="C53" s="52">
        <v>15</v>
      </c>
      <c r="D53" s="52">
        <v>0</v>
      </c>
      <c r="E53" s="52">
        <v>238.84</v>
      </c>
      <c r="F53" s="52">
        <v>249.64</v>
      </c>
      <c r="G53" s="52">
        <v>3582.6</v>
      </c>
      <c r="H53" s="52">
        <v>0</v>
      </c>
      <c r="I53" s="52">
        <v>0</v>
      </c>
      <c r="J53" s="52">
        <v>3582.6</v>
      </c>
      <c r="K53" s="52">
        <v>161.08000000000001</v>
      </c>
      <c r="L53" s="52">
        <v>0</v>
      </c>
      <c r="M53" s="52">
        <v>94.87</v>
      </c>
      <c r="N53" s="52">
        <v>0</v>
      </c>
      <c r="O53" s="52">
        <v>1122.6300000000001</v>
      </c>
      <c r="P53" s="52">
        <v>0</v>
      </c>
      <c r="Q53" s="52">
        <v>0</v>
      </c>
      <c r="R53" s="52">
        <v>63</v>
      </c>
      <c r="S53" s="52">
        <v>0</v>
      </c>
      <c r="T53" s="52">
        <v>0.02</v>
      </c>
      <c r="U53" s="52">
        <v>1441.6</v>
      </c>
      <c r="V53" s="52">
        <v>2141</v>
      </c>
      <c r="W53" s="52">
        <v>69.900000000000006</v>
      </c>
      <c r="X53" s="52">
        <v>125.82</v>
      </c>
      <c r="Y53" s="52">
        <v>345.68</v>
      </c>
      <c r="Z53" s="51">
        <v>266.33</v>
      </c>
      <c r="AA53" s="52">
        <v>71.650000000000006</v>
      </c>
      <c r="AB53" s="55">
        <v>31.82</v>
      </c>
      <c r="AC53" s="52">
        <v>541.4</v>
      </c>
      <c r="AD53" s="55">
        <v>199.71</v>
      </c>
      <c r="AE53" s="55">
        <v>226.39</v>
      </c>
      <c r="AF53" s="52">
        <v>196.17785565655458</v>
      </c>
      <c r="AG53" s="55">
        <v>12</v>
      </c>
      <c r="AH53" s="53"/>
      <c r="AI53" s="53"/>
      <c r="AJ53" s="53"/>
    </row>
    <row r="54" spans="1:36" s="55" customFormat="1" x14ac:dyDescent="0.2">
      <c r="A54" s="52" t="s">
        <v>503</v>
      </c>
      <c r="B54" s="52" t="s">
        <v>420</v>
      </c>
      <c r="C54" s="52">
        <v>15</v>
      </c>
      <c r="D54" s="52">
        <v>0</v>
      </c>
      <c r="E54" s="52">
        <v>238.84</v>
      </c>
      <c r="F54" s="52">
        <v>249.64</v>
      </c>
      <c r="G54" s="52">
        <v>3582.6</v>
      </c>
      <c r="H54" s="52">
        <v>0</v>
      </c>
      <c r="I54" s="52">
        <v>0</v>
      </c>
      <c r="J54" s="52">
        <v>3582.6</v>
      </c>
      <c r="K54" s="52">
        <v>161.08000000000001</v>
      </c>
      <c r="L54" s="52">
        <v>0</v>
      </c>
      <c r="M54" s="52">
        <v>94.87</v>
      </c>
      <c r="N54" s="52">
        <v>0</v>
      </c>
      <c r="O54" s="52">
        <v>0</v>
      </c>
      <c r="P54" s="52">
        <v>0</v>
      </c>
      <c r="Q54" s="52">
        <v>0</v>
      </c>
      <c r="R54" s="52">
        <v>0</v>
      </c>
      <c r="S54" s="52">
        <v>0</v>
      </c>
      <c r="T54" s="52">
        <v>0.05</v>
      </c>
      <c r="U54" s="52">
        <v>256</v>
      </c>
      <c r="V54" s="52">
        <v>3326.6</v>
      </c>
      <c r="W54" s="52">
        <v>69.900000000000006</v>
      </c>
      <c r="X54" s="52">
        <v>125.82</v>
      </c>
      <c r="Y54" s="52">
        <v>345.68</v>
      </c>
      <c r="Z54" s="51">
        <v>266.33</v>
      </c>
      <c r="AA54" s="52">
        <v>71.650000000000006</v>
      </c>
      <c r="AB54" s="55">
        <v>31.82</v>
      </c>
      <c r="AC54" s="52">
        <v>541.4</v>
      </c>
      <c r="AD54" s="55">
        <v>199.71</v>
      </c>
      <c r="AE54" s="55">
        <v>226.39</v>
      </c>
      <c r="AF54" s="52">
        <v>196.17785565655458</v>
      </c>
      <c r="AG54" s="55">
        <v>12</v>
      </c>
      <c r="AH54" s="53"/>
      <c r="AI54" s="53"/>
      <c r="AJ54" s="53"/>
    </row>
    <row r="55" spans="1:36" s="55" customFormat="1" x14ac:dyDescent="0.2">
      <c r="A55" s="51" t="s">
        <v>504</v>
      </c>
      <c r="B55" s="51" t="s">
        <v>421</v>
      </c>
      <c r="C55" s="52">
        <v>15</v>
      </c>
      <c r="D55" s="52">
        <v>0</v>
      </c>
      <c r="E55" s="52">
        <v>200</v>
      </c>
      <c r="F55" s="52">
        <v>212.11</v>
      </c>
      <c r="G55" s="52">
        <v>3000</v>
      </c>
      <c r="H55" s="52">
        <v>0</v>
      </c>
      <c r="I55" s="52">
        <v>0</v>
      </c>
      <c r="J55" s="52">
        <v>3000</v>
      </c>
      <c r="K55" s="52">
        <v>59.69</v>
      </c>
      <c r="L55" s="52">
        <v>0</v>
      </c>
      <c r="M55" s="52">
        <v>80.599999999999994</v>
      </c>
      <c r="N55" s="52">
        <v>0</v>
      </c>
      <c r="O55" s="52">
        <v>0</v>
      </c>
      <c r="P55" s="52">
        <v>0</v>
      </c>
      <c r="Q55" s="52">
        <v>0</v>
      </c>
      <c r="R55" s="52">
        <v>0</v>
      </c>
      <c r="S55" s="52">
        <v>0</v>
      </c>
      <c r="T55" s="52">
        <v>-0.09</v>
      </c>
      <c r="U55" s="52">
        <v>140.19999999999999</v>
      </c>
      <c r="V55" s="52">
        <v>2859.8</v>
      </c>
      <c r="W55" s="52">
        <v>59.39</v>
      </c>
      <c r="X55" s="52">
        <v>106.9</v>
      </c>
      <c r="Y55" s="52">
        <v>335.17</v>
      </c>
      <c r="Z55" s="51">
        <v>254.32999999999998</v>
      </c>
      <c r="AA55" s="52">
        <v>60</v>
      </c>
      <c r="AB55" s="55">
        <v>27.03</v>
      </c>
      <c r="AC55" s="52">
        <v>501.46</v>
      </c>
      <c r="AD55" s="55">
        <v>169.69</v>
      </c>
      <c r="AE55" s="55">
        <v>220.39</v>
      </c>
      <c r="AF55" s="52">
        <v>164.27554484722373</v>
      </c>
      <c r="AG55" s="55">
        <v>12</v>
      </c>
      <c r="AH55" s="53"/>
      <c r="AI55" s="53"/>
      <c r="AJ55" s="53"/>
    </row>
    <row r="56" spans="1:36" s="55" customFormat="1" x14ac:dyDescent="0.2">
      <c r="A56" s="52" t="s">
        <v>505</v>
      </c>
      <c r="B56" s="52" t="s">
        <v>422</v>
      </c>
      <c r="C56" s="52">
        <v>15</v>
      </c>
      <c r="D56" s="52">
        <v>0</v>
      </c>
      <c r="E56" s="52">
        <v>238.84</v>
      </c>
      <c r="F56" s="52">
        <v>249.64</v>
      </c>
      <c r="G56" s="52">
        <v>3582.6</v>
      </c>
      <c r="H56" s="52">
        <v>0</v>
      </c>
      <c r="I56" s="52">
        <v>0</v>
      </c>
      <c r="J56" s="52">
        <v>3582.6</v>
      </c>
      <c r="K56" s="52">
        <v>161.08000000000001</v>
      </c>
      <c r="L56" s="52">
        <v>0</v>
      </c>
      <c r="M56" s="52">
        <v>94.87</v>
      </c>
      <c r="N56" s="52">
        <v>692.93</v>
      </c>
      <c r="O56" s="52">
        <v>0</v>
      </c>
      <c r="P56" s="52">
        <v>0</v>
      </c>
      <c r="Q56" s="52">
        <v>0</v>
      </c>
      <c r="R56" s="52">
        <v>550.83000000000004</v>
      </c>
      <c r="S56" s="51">
        <v>0</v>
      </c>
      <c r="T56" s="51">
        <v>0.09</v>
      </c>
      <c r="U56" s="51">
        <v>1499.8</v>
      </c>
      <c r="V56" s="51">
        <v>2082.8000000000002</v>
      </c>
      <c r="W56" s="52">
        <v>69.900000000000006</v>
      </c>
      <c r="X56" s="52">
        <v>125.82</v>
      </c>
      <c r="Y56" s="52">
        <v>345.68</v>
      </c>
      <c r="Z56" s="51">
        <v>266.33</v>
      </c>
      <c r="AA56" s="52">
        <v>71.650000000000006</v>
      </c>
      <c r="AB56" s="55">
        <v>31.82</v>
      </c>
      <c r="AC56" s="52">
        <v>541.4</v>
      </c>
      <c r="AD56" s="55">
        <v>199.71</v>
      </c>
      <c r="AE56" s="55">
        <v>226.39</v>
      </c>
      <c r="AF56" s="52">
        <v>196.17785565655458</v>
      </c>
      <c r="AG56" s="55">
        <v>12</v>
      </c>
      <c r="AH56" s="53"/>
      <c r="AI56" s="53"/>
      <c r="AJ56" s="53"/>
    </row>
    <row r="57" spans="1:36" s="55" customFormat="1" x14ac:dyDescent="0.2">
      <c r="A57" s="52" t="s">
        <v>507</v>
      </c>
      <c r="B57" s="52" t="s">
        <v>424</v>
      </c>
      <c r="C57" s="52">
        <v>15</v>
      </c>
      <c r="D57" s="52">
        <v>0</v>
      </c>
      <c r="E57" s="52">
        <v>166.67</v>
      </c>
      <c r="F57" s="52">
        <v>174.2</v>
      </c>
      <c r="G57" s="52">
        <v>2500.0500000000002</v>
      </c>
      <c r="H57" s="52">
        <v>0</v>
      </c>
      <c r="I57" s="52">
        <v>0</v>
      </c>
      <c r="J57" s="52">
        <v>2500.0500000000002</v>
      </c>
      <c r="K57" s="52">
        <v>0</v>
      </c>
      <c r="L57" s="52">
        <v>-9.6199999999999992</v>
      </c>
      <c r="M57" s="52">
        <v>66.2</v>
      </c>
      <c r="N57" s="52">
        <v>0</v>
      </c>
      <c r="O57" s="52">
        <v>0</v>
      </c>
      <c r="P57" s="52">
        <v>0</v>
      </c>
      <c r="Q57" s="52">
        <v>0</v>
      </c>
      <c r="R57" s="52">
        <v>0</v>
      </c>
      <c r="S57" s="52">
        <v>0</v>
      </c>
      <c r="T57" s="60">
        <v>7.0000000000000007E-2</v>
      </c>
      <c r="U57" s="52">
        <v>56.65</v>
      </c>
      <c r="V57" s="52">
        <v>2443.4</v>
      </c>
      <c r="W57" s="52">
        <v>48.78</v>
      </c>
      <c r="X57" s="52">
        <v>87.8</v>
      </c>
      <c r="Y57" s="52">
        <v>324.56</v>
      </c>
      <c r="Z57" s="51">
        <v>242.19</v>
      </c>
      <c r="AA57" s="52">
        <v>50</v>
      </c>
      <c r="AB57" s="55">
        <v>22.2</v>
      </c>
      <c r="AC57" s="52">
        <v>461.14</v>
      </c>
      <c r="AD57" s="55">
        <v>139.36000000000001</v>
      </c>
      <c r="AE57" s="55">
        <v>214.32</v>
      </c>
      <c r="AF57" s="52">
        <v>136.89902529843388</v>
      </c>
      <c r="AG57" s="55">
        <v>12</v>
      </c>
      <c r="AH57" s="53"/>
      <c r="AI57" s="53"/>
      <c r="AJ57" s="53"/>
    </row>
    <row r="58" spans="1:36" s="55" customFormat="1" x14ac:dyDescent="0.2">
      <c r="A58" s="52" t="s">
        <v>508</v>
      </c>
      <c r="B58" s="52" t="s">
        <v>425</v>
      </c>
      <c r="C58" s="52">
        <v>15</v>
      </c>
      <c r="D58" s="52">
        <v>0</v>
      </c>
      <c r="E58" s="52">
        <v>195.38</v>
      </c>
      <c r="F58" s="52">
        <v>204.21</v>
      </c>
      <c r="G58" s="52">
        <v>2930.7</v>
      </c>
      <c r="H58" s="52">
        <v>0</v>
      </c>
      <c r="I58" s="52">
        <v>0</v>
      </c>
      <c r="J58" s="52">
        <v>2930.7</v>
      </c>
      <c r="K58" s="52">
        <v>52.15</v>
      </c>
      <c r="L58" s="52">
        <v>0</v>
      </c>
      <c r="M58" s="52">
        <v>77.599999999999994</v>
      </c>
      <c r="N58" s="52">
        <v>898.5</v>
      </c>
      <c r="O58" s="52">
        <v>0</v>
      </c>
      <c r="P58" s="52">
        <v>0</v>
      </c>
      <c r="Q58" s="52">
        <v>0</v>
      </c>
      <c r="R58" s="52">
        <v>0</v>
      </c>
      <c r="S58" s="52">
        <v>0</v>
      </c>
      <c r="T58" s="60">
        <v>0.05</v>
      </c>
      <c r="U58" s="52">
        <v>1028.3</v>
      </c>
      <c r="V58" s="52">
        <v>1902.4</v>
      </c>
      <c r="W58" s="52">
        <v>57.18</v>
      </c>
      <c r="X58" s="52">
        <v>102.92</v>
      </c>
      <c r="Y58" s="52">
        <v>332.96</v>
      </c>
      <c r="Z58" s="51">
        <v>251.79999999999998</v>
      </c>
      <c r="AA58" s="52">
        <v>58.61</v>
      </c>
      <c r="AB58" s="55">
        <v>26.03</v>
      </c>
      <c r="AC58" s="52">
        <v>493.06</v>
      </c>
      <c r="AD58" s="55">
        <v>163.37</v>
      </c>
      <c r="AE58" s="55">
        <v>219.12</v>
      </c>
      <c r="AF58" s="52">
        <v>160.48077976125285</v>
      </c>
      <c r="AG58" s="55">
        <v>12</v>
      </c>
      <c r="AH58" s="53"/>
      <c r="AI58" s="53"/>
      <c r="AJ58" s="53"/>
    </row>
    <row r="59" spans="1:36" s="55" customFormat="1" ht="14.25" customHeight="1" x14ac:dyDescent="0.2">
      <c r="A59" s="52" t="s">
        <v>509</v>
      </c>
      <c r="B59" s="52" t="s">
        <v>426</v>
      </c>
      <c r="C59" s="52">
        <v>15</v>
      </c>
      <c r="D59" s="52">
        <v>0</v>
      </c>
      <c r="E59" s="52">
        <v>195.38</v>
      </c>
      <c r="F59" s="52">
        <v>204.21</v>
      </c>
      <c r="G59" s="52">
        <v>2930.7</v>
      </c>
      <c r="H59" s="52">
        <v>0</v>
      </c>
      <c r="I59" s="52">
        <v>0</v>
      </c>
      <c r="J59" s="52">
        <v>2930.7</v>
      </c>
      <c r="K59" s="52">
        <v>52.15</v>
      </c>
      <c r="L59" s="52">
        <v>0</v>
      </c>
      <c r="M59" s="52">
        <v>77.599999999999994</v>
      </c>
      <c r="N59" s="52">
        <v>909.21</v>
      </c>
      <c r="O59" s="52">
        <v>0</v>
      </c>
      <c r="P59" s="52">
        <v>0</v>
      </c>
      <c r="Q59" s="52">
        <v>0</v>
      </c>
      <c r="R59" s="52">
        <v>0</v>
      </c>
      <c r="S59" s="52">
        <v>0</v>
      </c>
      <c r="T59" s="52">
        <v>0.14000000000000001</v>
      </c>
      <c r="U59" s="52">
        <v>1039.0999999999999</v>
      </c>
      <c r="V59" s="52">
        <v>1891.6</v>
      </c>
      <c r="W59" s="52">
        <v>57.18</v>
      </c>
      <c r="X59" s="52">
        <v>102.92</v>
      </c>
      <c r="Y59" s="52">
        <v>332.96</v>
      </c>
      <c r="Z59" s="51">
        <v>251.79999999999998</v>
      </c>
      <c r="AA59" s="52">
        <v>58.61</v>
      </c>
      <c r="AB59" s="55">
        <v>26.03</v>
      </c>
      <c r="AC59" s="52">
        <v>493.06</v>
      </c>
      <c r="AD59" s="55">
        <v>163.37</v>
      </c>
      <c r="AE59" s="55">
        <v>219.12</v>
      </c>
      <c r="AF59" s="52">
        <v>160.48077976125285</v>
      </c>
      <c r="AG59" s="55">
        <v>12</v>
      </c>
      <c r="AH59" s="53"/>
      <c r="AI59" s="53"/>
      <c r="AJ59" s="53"/>
    </row>
    <row r="60" spans="1:36" s="55" customFormat="1" x14ac:dyDescent="0.2">
      <c r="A60" s="52" t="s">
        <v>510</v>
      </c>
      <c r="B60" s="52" t="s">
        <v>678</v>
      </c>
      <c r="C60" s="52">
        <v>15</v>
      </c>
      <c r="D60" s="52">
        <v>0</v>
      </c>
      <c r="E60" s="52">
        <v>166.67</v>
      </c>
      <c r="F60" s="52">
        <v>176.76</v>
      </c>
      <c r="G60" s="52">
        <v>2500.0500000000002</v>
      </c>
      <c r="H60" s="52">
        <v>0</v>
      </c>
      <c r="I60" s="52">
        <v>0</v>
      </c>
      <c r="J60" s="52">
        <v>2500.0500000000002</v>
      </c>
      <c r="K60" s="52">
        <v>0</v>
      </c>
      <c r="L60" s="60">
        <v>-9.6199999999999992</v>
      </c>
      <c r="M60" s="52">
        <v>67.180000000000007</v>
      </c>
      <c r="N60" s="52">
        <v>0</v>
      </c>
      <c r="O60" s="52">
        <v>0</v>
      </c>
      <c r="P60" s="46">
        <v>0</v>
      </c>
      <c r="Q60" s="46">
        <v>0</v>
      </c>
      <c r="R60" s="52">
        <v>0</v>
      </c>
      <c r="S60" s="52">
        <v>0</v>
      </c>
      <c r="T60" s="52">
        <v>-0.11</v>
      </c>
      <c r="U60" s="52">
        <v>57.45</v>
      </c>
      <c r="V60" s="52">
        <v>2442.6</v>
      </c>
      <c r="W60" s="52">
        <v>49.49</v>
      </c>
      <c r="X60" s="52">
        <v>89.09</v>
      </c>
      <c r="Y60" s="52">
        <v>325.27999999999997</v>
      </c>
      <c r="Z60" s="51">
        <v>243.01</v>
      </c>
      <c r="AA60" s="52">
        <v>50</v>
      </c>
      <c r="AB60" s="55">
        <v>22.53</v>
      </c>
      <c r="AC60" s="52">
        <v>463.86</v>
      </c>
      <c r="AD60" s="55">
        <v>141.41</v>
      </c>
      <c r="AE60" s="52">
        <v>214.73</v>
      </c>
      <c r="AF60" s="52">
        <v>136.89902529843388</v>
      </c>
      <c r="AG60" s="52">
        <v>12</v>
      </c>
      <c r="AH60" s="53"/>
      <c r="AI60" s="53"/>
      <c r="AJ60" s="53"/>
    </row>
    <row r="61" spans="1:36" s="55" customFormat="1" x14ac:dyDescent="0.2">
      <c r="A61" s="52" t="s">
        <v>512</v>
      </c>
      <c r="B61" s="52" t="s">
        <v>676</v>
      </c>
      <c r="C61" s="52">
        <v>15</v>
      </c>
      <c r="D61" s="52">
        <v>0</v>
      </c>
      <c r="E61" s="52">
        <v>166.67</v>
      </c>
      <c r="F61" s="52">
        <v>177.03</v>
      </c>
      <c r="G61" s="52">
        <v>2500.0500000000002</v>
      </c>
      <c r="H61" s="52">
        <v>0</v>
      </c>
      <c r="I61" s="52">
        <v>0</v>
      </c>
      <c r="J61" s="52">
        <v>2500.0500000000002</v>
      </c>
      <c r="K61" s="52">
        <v>0</v>
      </c>
      <c r="L61" s="52">
        <v>-9.6199999999999992</v>
      </c>
      <c r="M61" s="52">
        <v>67.27</v>
      </c>
      <c r="N61" s="52">
        <v>0</v>
      </c>
      <c r="O61" s="52">
        <v>0</v>
      </c>
      <c r="P61" s="52">
        <v>0</v>
      </c>
      <c r="Q61" s="52">
        <v>0</v>
      </c>
      <c r="R61" s="52">
        <v>0</v>
      </c>
      <c r="S61" s="52">
        <v>0</v>
      </c>
      <c r="T61" s="52">
        <v>0</v>
      </c>
      <c r="U61" s="52">
        <v>57.65</v>
      </c>
      <c r="V61" s="52">
        <v>2442.4</v>
      </c>
      <c r="W61" s="52">
        <v>49.57</v>
      </c>
      <c r="X61" s="52">
        <v>89.22</v>
      </c>
      <c r="Y61" s="52">
        <v>325.35000000000002</v>
      </c>
      <c r="Z61" s="51">
        <v>243.1</v>
      </c>
      <c r="AA61" s="52">
        <v>50</v>
      </c>
      <c r="AB61" s="55">
        <v>22.56</v>
      </c>
      <c r="AC61" s="52">
        <v>464.14</v>
      </c>
      <c r="AD61" s="55">
        <v>141.62</v>
      </c>
      <c r="AE61" s="55">
        <v>214.76999999999998</v>
      </c>
      <c r="AF61" s="52">
        <v>136.89902529843388</v>
      </c>
      <c r="AG61" s="55">
        <v>12</v>
      </c>
      <c r="AH61" s="53"/>
      <c r="AI61" s="53"/>
      <c r="AJ61" s="53"/>
    </row>
    <row r="62" spans="1:36" s="55" customFormat="1" x14ac:dyDescent="0.2">
      <c r="A62" s="52" t="s">
        <v>514</v>
      </c>
      <c r="B62" s="52" t="s">
        <v>677</v>
      </c>
      <c r="C62" s="52">
        <v>15</v>
      </c>
      <c r="D62" s="52">
        <v>0</v>
      </c>
      <c r="E62" s="52">
        <v>200</v>
      </c>
      <c r="F62" s="52">
        <v>209.04</v>
      </c>
      <c r="G62" s="52">
        <v>3000</v>
      </c>
      <c r="H62" s="52">
        <v>0</v>
      </c>
      <c r="I62" s="52">
        <v>0</v>
      </c>
      <c r="J62" s="52">
        <v>3000</v>
      </c>
      <c r="K62" s="52">
        <v>59.69</v>
      </c>
      <c r="L62" s="52">
        <v>0</v>
      </c>
      <c r="M62" s="52">
        <v>79.430000000000007</v>
      </c>
      <c r="N62" s="52">
        <v>0</v>
      </c>
      <c r="O62" s="52">
        <v>0</v>
      </c>
      <c r="P62" s="52">
        <v>0</v>
      </c>
      <c r="Q62" s="52">
        <v>0</v>
      </c>
      <c r="R62" s="52">
        <v>1033.8</v>
      </c>
      <c r="S62" s="52">
        <v>0</v>
      </c>
      <c r="T62" s="60">
        <v>0.08</v>
      </c>
      <c r="U62" s="52">
        <v>1173</v>
      </c>
      <c r="V62" s="52">
        <v>1827</v>
      </c>
      <c r="W62" s="52">
        <v>58.53</v>
      </c>
      <c r="X62" s="52">
        <v>105.36</v>
      </c>
      <c r="Y62" s="52">
        <v>334.31</v>
      </c>
      <c r="Z62" s="51">
        <v>253.33999999999997</v>
      </c>
      <c r="AA62" s="52">
        <v>60</v>
      </c>
      <c r="AB62" s="55">
        <v>26.64</v>
      </c>
      <c r="AC62" s="52">
        <v>498.2</v>
      </c>
      <c r="AD62" s="55">
        <v>167.23</v>
      </c>
      <c r="AE62" s="55">
        <v>219.89999999999998</v>
      </c>
      <c r="AF62" s="52">
        <v>164.27554484722373</v>
      </c>
      <c r="AG62" s="55">
        <v>12</v>
      </c>
      <c r="AH62" s="53"/>
      <c r="AI62" s="53"/>
      <c r="AJ62" s="53"/>
    </row>
    <row r="63" spans="1:36" s="55" customFormat="1" x14ac:dyDescent="0.2">
      <c r="A63" s="52" t="s">
        <v>518</v>
      </c>
      <c r="B63" s="52" t="s">
        <v>690</v>
      </c>
      <c r="C63" s="52">
        <v>15</v>
      </c>
      <c r="D63" s="52">
        <v>0</v>
      </c>
      <c r="E63" s="52">
        <v>166.67</v>
      </c>
      <c r="F63" s="52">
        <v>175.8</v>
      </c>
      <c r="G63" s="52">
        <v>2500.0500000000002</v>
      </c>
      <c r="H63" s="52">
        <v>0</v>
      </c>
      <c r="I63" s="52">
        <v>0</v>
      </c>
      <c r="J63" s="52">
        <v>2500.0500000000002</v>
      </c>
      <c r="K63" s="52">
        <v>0</v>
      </c>
      <c r="L63" s="52">
        <v>-9.6199999999999992</v>
      </c>
      <c r="M63" s="52">
        <v>66.8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60">
        <v>7.0000000000000007E-2</v>
      </c>
      <c r="U63" s="52">
        <v>57.25</v>
      </c>
      <c r="V63" s="52">
        <v>2442.8000000000002</v>
      </c>
      <c r="W63" s="52">
        <v>49.22</v>
      </c>
      <c r="X63" s="52">
        <v>88.6</v>
      </c>
      <c r="Y63" s="52">
        <v>325</v>
      </c>
      <c r="Z63" s="51">
        <v>242.70999999999998</v>
      </c>
      <c r="AA63" s="52">
        <v>50</v>
      </c>
      <c r="AB63" s="55">
        <v>22.41</v>
      </c>
      <c r="AC63" s="52">
        <v>462.82</v>
      </c>
      <c r="AD63" s="55">
        <v>140.63999999999999</v>
      </c>
      <c r="AE63" s="55">
        <v>214.57999999999998</v>
      </c>
      <c r="AF63" s="52">
        <v>136.89902529843388</v>
      </c>
      <c r="AG63" s="55">
        <v>12</v>
      </c>
      <c r="AH63" s="53"/>
      <c r="AI63" s="53"/>
      <c r="AJ63" s="53"/>
    </row>
    <row r="64" spans="1:36" s="55" customFormat="1" x14ac:dyDescent="0.2">
      <c r="A64" s="52" t="s">
        <v>543</v>
      </c>
      <c r="B64" s="52" t="s">
        <v>544</v>
      </c>
      <c r="C64" s="52">
        <v>15</v>
      </c>
      <c r="D64" s="52">
        <v>0</v>
      </c>
      <c r="E64" s="52">
        <v>166.66</v>
      </c>
      <c r="F64" s="52">
        <v>174.19</v>
      </c>
      <c r="G64" s="52">
        <v>2499.9</v>
      </c>
      <c r="H64" s="52">
        <v>0</v>
      </c>
      <c r="I64" s="52">
        <v>0</v>
      </c>
      <c r="J64" s="52">
        <v>2499.9</v>
      </c>
      <c r="K64" s="52">
        <v>0</v>
      </c>
      <c r="L64" s="52">
        <v>-9.64</v>
      </c>
      <c r="M64" s="52">
        <v>66.19</v>
      </c>
      <c r="N64" s="52">
        <v>417.76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-0.01</v>
      </c>
      <c r="U64" s="52">
        <v>474.3</v>
      </c>
      <c r="V64" s="52">
        <v>2025.6</v>
      </c>
      <c r="W64" s="52">
        <v>48.77</v>
      </c>
      <c r="X64" s="52">
        <v>87.79</v>
      </c>
      <c r="Y64" s="52">
        <v>324.55</v>
      </c>
      <c r="Z64" s="51">
        <v>242.19</v>
      </c>
      <c r="AA64" s="52">
        <v>50</v>
      </c>
      <c r="AB64" s="55">
        <v>22.2</v>
      </c>
      <c r="AC64" s="52">
        <v>461.11</v>
      </c>
      <c r="AD64" s="55">
        <v>139.36000000000001</v>
      </c>
      <c r="AE64" s="55">
        <v>214.32</v>
      </c>
      <c r="AF64" s="52">
        <v>136.89081152119152</v>
      </c>
      <c r="AG64" s="55">
        <v>12</v>
      </c>
      <c r="AH64" s="53"/>
      <c r="AI64" s="53"/>
      <c r="AJ64" s="53"/>
    </row>
    <row r="65" spans="1:36" s="55" customFormat="1" x14ac:dyDescent="0.2">
      <c r="A65" s="52" t="s">
        <v>547</v>
      </c>
      <c r="B65" s="52" t="s">
        <v>679</v>
      </c>
      <c r="C65" s="52">
        <v>15</v>
      </c>
      <c r="D65" s="52">
        <v>0</v>
      </c>
      <c r="E65" s="52">
        <v>200</v>
      </c>
      <c r="F65" s="52">
        <v>212.11</v>
      </c>
      <c r="G65" s="52">
        <v>3000</v>
      </c>
      <c r="H65" s="52">
        <v>0</v>
      </c>
      <c r="I65" s="52">
        <v>0</v>
      </c>
      <c r="J65" s="52">
        <v>3000</v>
      </c>
      <c r="K65" s="52">
        <v>59.69</v>
      </c>
      <c r="L65" s="52">
        <v>0</v>
      </c>
      <c r="M65" s="52">
        <v>80.599999999999994</v>
      </c>
      <c r="N65" s="52">
        <v>0</v>
      </c>
      <c r="O65" s="52">
        <v>0</v>
      </c>
      <c r="P65" s="52">
        <v>0</v>
      </c>
      <c r="Q65" s="52">
        <v>581.73</v>
      </c>
      <c r="R65" s="52">
        <v>0</v>
      </c>
      <c r="S65" s="52">
        <v>0</v>
      </c>
      <c r="T65" s="52">
        <v>-0.02</v>
      </c>
      <c r="U65" s="52">
        <v>722</v>
      </c>
      <c r="V65" s="52">
        <v>2278</v>
      </c>
      <c r="W65" s="52">
        <v>59.39</v>
      </c>
      <c r="X65" s="52">
        <v>106.9</v>
      </c>
      <c r="Y65" s="52">
        <v>335.17</v>
      </c>
      <c r="Z65" s="51">
        <v>254.32999999999998</v>
      </c>
      <c r="AA65" s="52">
        <v>60</v>
      </c>
      <c r="AB65" s="55">
        <v>27.03</v>
      </c>
      <c r="AC65" s="52">
        <v>501.46</v>
      </c>
      <c r="AD65" s="55">
        <v>169.69</v>
      </c>
      <c r="AE65" s="55">
        <v>220.39</v>
      </c>
      <c r="AF65" s="52">
        <v>164.27554484722373</v>
      </c>
      <c r="AG65" s="55">
        <v>12</v>
      </c>
      <c r="AH65" s="53"/>
      <c r="AI65" s="53"/>
      <c r="AJ65" s="53"/>
    </row>
    <row r="66" spans="1:36" s="55" customFormat="1" x14ac:dyDescent="0.2">
      <c r="A66" s="52" t="s">
        <v>550</v>
      </c>
      <c r="B66" s="52" t="s">
        <v>319</v>
      </c>
      <c r="C66" s="52">
        <v>15</v>
      </c>
      <c r="D66" s="52">
        <v>0</v>
      </c>
      <c r="E66" s="52">
        <v>256.67</v>
      </c>
      <c r="F66" s="52">
        <v>272.20999999999998</v>
      </c>
      <c r="G66" s="52">
        <v>3850.05</v>
      </c>
      <c r="H66" s="52">
        <v>0</v>
      </c>
      <c r="I66" s="52">
        <v>0</v>
      </c>
      <c r="J66" s="52">
        <v>3850.05</v>
      </c>
      <c r="K66" s="52">
        <v>297.55</v>
      </c>
      <c r="L66" s="52">
        <v>0</v>
      </c>
      <c r="M66" s="52">
        <v>104.64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0.06</v>
      </c>
      <c r="U66" s="52">
        <v>402.25</v>
      </c>
      <c r="V66" s="52">
        <v>3447.8</v>
      </c>
      <c r="W66" s="52">
        <v>76.22</v>
      </c>
      <c r="X66" s="52">
        <v>137.19</v>
      </c>
      <c r="Y66" s="52">
        <v>355.3</v>
      </c>
      <c r="Z66" s="51">
        <v>273.56</v>
      </c>
      <c r="AA66" s="52">
        <v>77</v>
      </c>
      <c r="AB66" s="55">
        <v>34.69</v>
      </c>
      <c r="AC66" s="52">
        <v>568.71</v>
      </c>
      <c r="AD66" s="55">
        <v>217.77</v>
      </c>
      <c r="AE66" s="55">
        <v>230</v>
      </c>
      <c r="AF66" s="52">
        <v>210.8230204796846</v>
      </c>
      <c r="AG66" s="55">
        <v>12</v>
      </c>
      <c r="AH66" s="53"/>
      <c r="AI66" s="53"/>
      <c r="AJ66" s="53"/>
    </row>
    <row r="67" spans="1:36" s="55" customFormat="1" x14ac:dyDescent="0.2">
      <c r="A67" s="47" t="s">
        <v>554</v>
      </c>
      <c r="B67" s="47" t="s">
        <v>555</v>
      </c>
      <c r="C67" s="51">
        <v>15</v>
      </c>
      <c r="D67" s="51">
        <v>0</v>
      </c>
      <c r="E67" s="51">
        <v>166.67</v>
      </c>
      <c r="F67" s="51">
        <v>174.2</v>
      </c>
      <c r="G67" s="51">
        <v>2500.0500000000002</v>
      </c>
      <c r="H67" s="51">
        <v>0</v>
      </c>
      <c r="I67" s="51">
        <v>0</v>
      </c>
      <c r="J67" s="51">
        <v>2500.0500000000002</v>
      </c>
      <c r="K67" s="51">
        <v>0</v>
      </c>
      <c r="L67" s="51">
        <v>-9.6199999999999992</v>
      </c>
      <c r="M67" s="51">
        <v>66.2</v>
      </c>
      <c r="N67" s="51">
        <v>0</v>
      </c>
      <c r="O67" s="51">
        <v>0</v>
      </c>
      <c r="P67" s="51">
        <v>0</v>
      </c>
      <c r="Q67" s="51">
        <v>0</v>
      </c>
      <c r="R67" s="51">
        <v>0</v>
      </c>
      <c r="S67" s="51">
        <v>0</v>
      </c>
      <c r="T67" s="51">
        <v>-0.13</v>
      </c>
      <c r="U67" s="51">
        <v>56.45</v>
      </c>
      <c r="V67" s="51">
        <v>2443.6</v>
      </c>
      <c r="W67" s="51">
        <v>48.78</v>
      </c>
      <c r="X67" s="51">
        <v>87.8</v>
      </c>
      <c r="Y67" s="51">
        <v>324.56</v>
      </c>
      <c r="Z67" s="51">
        <v>242.2</v>
      </c>
      <c r="AA67" s="51">
        <v>50</v>
      </c>
      <c r="AB67" s="53">
        <v>22.2</v>
      </c>
      <c r="AC67" s="51">
        <v>461.14</v>
      </c>
      <c r="AD67" s="53">
        <v>139.36000000000001</v>
      </c>
      <c r="AE67" s="53">
        <v>214.32</v>
      </c>
      <c r="AF67" s="51">
        <v>136.89902529843388</v>
      </c>
      <c r="AG67" s="53">
        <v>12</v>
      </c>
      <c r="AH67" s="53"/>
      <c r="AI67" s="53"/>
      <c r="AJ67" s="53"/>
    </row>
    <row r="68" spans="1:36" s="55" customFormat="1" x14ac:dyDescent="0.2">
      <c r="A68" s="47" t="s">
        <v>558</v>
      </c>
      <c r="B68" s="47" t="s">
        <v>559</v>
      </c>
      <c r="C68" s="51">
        <v>15</v>
      </c>
      <c r="D68" s="51">
        <v>0</v>
      </c>
      <c r="E68" s="51">
        <v>233.33</v>
      </c>
      <c r="F68" s="51">
        <v>243.88</v>
      </c>
      <c r="G68" s="51">
        <v>3499.95</v>
      </c>
      <c r="H68" s="51">
        <v>0</v>
      </c>
      <c r="I68" s="51">
        <v>0</v>
      </c>
      <c r="J68" s="51">
        <v>3499.95</v>
      </c>
      <c r="K68" s="51">
        <v>134.36000000000001</v>
      </c>
      <c r="L68" s="51">
        <v>0</v>
      </c>
      <c r="M68" s="51">
        <v>92.68</v>
      </c>
      <c r="N68" s="51">
        <v>0</v>
      </c>
      <c r="O68" s="51">
        <v>0</v>
      </c>
      <c r="P68" s="51">
        <v>0</v>
      </c>
      <c r="Q68" s="51">
        <v>0</v>
      </c>
      <c r="R68" s="51">
        <v>0</v>
      </c>
      <c r="S68" s="51">
        <v>0</v>
      </c>
      <c r="T68" s="51">
        <v>0.11</v>
      </c>
      <c r="U68" s="51">
        <v>227.15</v>
      </c>
      <c r="V68" s="51">
        <v>3272.8</v>
      </c>
      <c r="W68" s="51">
        <v>68.290000000000006</v>
      </c>
      <c r="X68" s="51">
        <v>122.91</v>
      </c>
      <c r="Y68" s="51">
        <v>344.06</v>
      </c>
      <c r="Z68" s="51">
        <v>264.49</v>
      </c>
      <c r="AA68" s="51">
        <v>70</v>
      </c>
      <c r="AB68" s="53">
        <v>31.08</v>
      </c>
      <c r="AC68" s="51">
        <v>535.26</v>
      </c>
      <c r="AD68" s="53">
        <v>195.1</v>
      </c>
      <c r="AE68" s="53">
        <v>225.47</v>
      </c>
      <c r="AF68" s="51">
        <v>191.65206439601357</v>
      </c>
      <c r="AG68" s="53">
        <v>12</v>
      </c>
      <c r="AH68" s="53"/>
      <c r="AI68" s="53"/>
      <c r="AJ68" s="53"/>
    </row>
    <row r="69" spans="1:36" s="55" customFormat="1" x14ac:dyDescent="0.2">
      <c r="A69" s="47" t="s">
        <v>560</v>
      </c>
      <c r="B69" s="47" t="s">
        <v>561</v>
      </c>
      <c r="C69" s="51">
        <v>15</v>
      </c>
      <c r="D69" s="51">
        <v>0</v>
      </c>
      <c r="E69" s="51">
        <v>230</v>
      </c>
      <c r="F69" s="51">
        <v>243.93</v>
      </c>
      <c r="G69" s="51">
        <v>3450</v>
      </c>
      <c r="H69" s="51">
        <v>0</v>
      </c>
      <c r="I69" s="51">
        <v>0</v>
      </c>
      <c r="J69" s="51">
        <v>3450</v>
      </c>
      <c r="K69" s="51">
        <v>128.93</v>
      </c>
      <c r="L69" s="51">
        <v>0</v>
      </c>
      <c r="M69" s="51">
        <v>92.7</v>
      </c>
      <c r="N69" s="51">
        <v>0</v>
      </c>
      <c r="O69" s="51">
        <v>0</v>
      </c>
      <c r="P69" s="51">
        <v>0</v>
      </c>
      <c r="Q69" s="51">
        <v>0</v>
      </c>
      <c r="R69" s="51">
        <v>0</v>
      </c>
      <c r="S69" s="51">
        <v>0</v>
      </c>
      <c r="T69" s="51">
        <v>-0.03</v>
      </c>
      <c r="U69" s="51">
        <v>221.6</v>
      </c>
      <c r="V69" s="51">
        <v>3228.4</v>
      </c>
      <c r="W69" s="51">
        <v>68.3</v>
      </c>
      <c r="X69" s="51">
        <v>122.94</v>
      </c>
      <c r="Y69" s="51">
        <v>344.08</v>
      </c>
      <c r="Z69" s="51">
        <v>264.51</v>
      </c>
      <c r="AA69" s="51">
        <v>69</v>
      </c>
      <c r="AB69" s="53">
        <v>31.09</v>
      </c>
      <c r="AC69" s="51">
        <v>535.32000000000005</v>
      </c>
      <c r="AD69" s="53">
        <v>195.14</v>
      </c>
      <c r="AE69" s="53">
        <v>225.48</v>
      </c>
      <c r="AF69" s="51">
        <v>188.91687657430728</v>
      </c>
      <c r="AG69" s="53">
        <v>12</v>
      </c>
      <c r="AH69" s="53"/>
      <c r="AI69" s="53"/>
      <c r="AJ69" s="53"/>
    </row>
    <row r="70" spans="1:36" s="55" customFormat="1" x14ac:dyDescent="0.2">
      <c r="A70" s="47" t="s">
        <v>562</v>
      </c>
      <c r="B70" s="47" t="s">
        <v>563</v>
      </c>
      <c r="C70" s="51">
        <v>15</v>
      </c>
      <c r="D70" s="51">
        <v>0</v>
      </c>
      <c r="E70" s="51">
        <v>233.33</v>
      </c>
      <c r="F70" s="51">
        <v>247.46</v>
      </c>
      <c r="G70" s="51">
        <v>3499.95</v>
      </c>
      <c r="H70" s="51">
        <v>0</v>
      </c>
      <c r="I70" s="51">
        <v>0</v>
      </c>
      <c r="J70" s="51">
        <v>3499.95</v>
      </c>
      <c r="K70" s="51">
        <v>134.36000000000001</v>
      </c>
      <c r="L70" s="51">
        <v>0</v>
      </c>
      <c r="M70" s="51">
        <v>94.04</v>
      </c>
      <c r="N70" s="51">
        <v>1463.13</v>
      </c>
      <c r="O70" s="51">
        <v>0</v>
      </c>
      <c r="P70" s="51">
        <v>0</v>
      </c>
      <c r="Q70" s="51">
        <v>0</v>
      </c>
      <c r="R70" s="51">
        <v>0</v>
      </c>
      <c r="S70" s="51">
        <v>0</v>
      </c>
      <c r="T70" s="51">
        <v>0.02</v>
      </c>
      <c r="U70" s="51">
        <v>1691.55</v>
      </c>
      <c r="V70" s="51">
        <v>1808.4</v>
      </c>
      <c r="W70" s="51">
        <v>69.290000000000006</v>
      </c>
      <c r="X70" s="51">
        <v>124.72</v>
      </c>
      <c r="Y70" s="51">
        <v>345.07</v>
      </c>
      <c r="Z70" s="51">
        <v>265.64</v>
      </c>
      <c r="AA70" s="51">
        <v>70</v>
      </c>
      <c r="AB70" s="53">
        <v>31.54</v>
      </c>
      <c r="AC70" s="51">
        <v>539.08000000000004</v>
      </c>
      <c r="AD70" s="53">
        <v>197.97</v>
      </c>
      <c r="AE70" s="53">
        <v>226.04</v>
      </c>
      <c r="AF70" s="51">
        <v>191.65206439601357</v>
      </c>
      <c r="AG70" s="53">
        <v>12</v>
      </c>
      <c r="AH70" s="53"/>
      <c r="AI70" s="53"/>
      <c r="AJ70" s="53"/>
    </row>
    <row r="71" spans="1:36" s="55" customFormat="1" x14ac:dyDescent="0.2">
      <c r="A71" s="47" t="s">
        <v>564</v>
      </c>
      <c r="B71" s="47" t="s">
        <v>565</v>
      </c>
      <c r="C71" s="51">
        <v>15</v>
      </c>
      <c r="D71" s="51">
        <v>0</v>
      </c>
      <c r="E71" s="51">
        <v>210</v>
      </c>
      <c r="F71" s="51">
        <v>222.72</v>
      </c>
      <c r="G71" s="51">
        <v>3150</v>
      </c>
      <c r="H71" s="51">
        <v>0</v>
      </c>
      <c r="I71" s="51">
        <v>0</v>
      </c>
      <c r="J71" s="51">
        <v>3150</v>
      </c>
      <c r="K71" s="51">
        <v>96.29</v>
      </c>
      <c r="L71" s="51">
        <v>0</v>
      </c>
      <c r="M71" s="51">
        <v>84.63</v>
      </c>
      <c r="N71" s="51">
        <v>0</v>
      </c>
      <c r="O71" s="51">
        <v>0</v>
      </c>
      <c r="P71" s="51">
        <v>0</v>
      </c>
      <c r="Q71" s="51">
        <v>0</v>
      </c>
      <c r="R71" s="51">
        <v>0</v>
      </c>
      <c r="S71" s="51">
        <v>0</v>
      </c>
      <c r="T71" s="51">
        <v>-0.12</v>
      </c>
      <c r="U71" s="51">
        <v>180.8</v>
      </c>
      <c r="V71" s="51">
        <v>2969.2</v>
      </c>
      <c r="W71" s="51">
        <v>62.36</v>
      </c>
      <c r="X71" s="51">
        <v>112.25</v>
      </c>
      <c r="Y71" s="51">
        <v>338.14</v>
      </c>
      <c r="Z71" s="51">
        <v>257.71999999999997</v>
      </c>
      <c r="AA71" s="51">
        <v>63</v>
      </c>
      <c r="AB71" s="53">
        <v>28.39</v>
      </c>
      <c r="AC71" s="51">
        <v>512.75</v>
      </c>
      <c r="AD71" s="53">
        <v>178.18</v>
      </c>
      <c r="AE71" s="53">
        <v>222.08999999999997</v>
      </c>
      <c r="AF71" s="51">
        <v>172.48932208958493</v>
      </c>
      <c r="AG71" s="53">
        <v>12</v>
      </c>
      <c r="AH71" s="53"/>
      <c r="AI71" s="53"/>
      <c r="AJ71" s="53"/>
    </row>
    <row r="72" spans="1:36" s="55" customFormat="1" x14ac:dyDescent="0.2">
      <c r="A72" s="47" t="s">
        <v>566</v>
      </c>
      <c r="B72" s="47" t="s">
        <v>567</v>
      </c>
      <c r="C72" s="51">
        <v>15</v>
      </c>
      <c r="D72" s="51">
        <v>0</v>
      </c>
      <c r="E72" s="51">
        <v>210</v>
      </c>
      <c r="F72" s="51">
        <v>222.72</v>
      </c>
      <c r="G72" s="51">
        <v>3150</v>
      </c>
      <c r="H72" s="51">
        <v>0</v>
      </c>
      <c r="I72" s="51">
        <v>0</v>
      </c>
      <c r="J72" s="51">
        <v>3150</v>
      </c>
      <c r="K72" s="51">
        <v>96.29</v>
      </c>
      <c r="L72" s="51">
        <v>0</v>
      </c>
      <c r="M72" s="51">
        <v>84.63</v>
      </c>
      <c r="N72" s="51">
        <v>0</v>
      </c>
      <c r="O72" s="51">
        <v>312.35000000000002</v>
      </c>
      <c r="P72" s="51">
        <v>0</v>
      </c>
      <c r="Q72" s="51">
        <v>0</v>
      </c>
      <c r="R72" s="51">
        <v>0</v>
      </c>
      <c r="S72" s="51">
        <v>0</v>
      </c>
      <c r="T72" s="51">
        <v>-7.0000000000000007E-2</v>
      </c>
      <c r="U72" s="51">
        <v>493.2</v>
      </c>
      <c r="V72" s="51">
        <v>2656.8</v>
      </c>
      <c r="W72" s="51">
        <v>62.36</v>
      </c>
      <c r="X72" s="51">
        <v>112.25</v>
      </c>
      <c r="Y72" s="51">
        <v>338.14</v>
      </c>
      <c r="Z72" s="51">
        <v>257.71999999999997</v>
      </c>
      <c r="AA72" s="51">
        <v>63</v>
      </c>
      <c r="AB72" s="53">
        <v>28.39</v>
      </c>
      <c r="AC72" s="51">
        <v>512.75</v>
      </c>
      <c r="AD72" s="53">
        <v>178.18</v>
      </c>
      <c r="AE72" s="53">
        <v>222.08999999999997</v>
      </c>
      <c r="AF72" s="51">
        <v>172.48932208958493</v>
      </c>
      <c r="AG72" s="53">
        <v>12</v>
      </c>
      <c r="AH72" s="53"/>
      <c r="AI72" s="53"/>
      <c r="AJ72" s="53"/>
    </row>
    <row r="73" spans="1:36" s="55" customFormat="1" x14ac:dyDescent="0.2">
      <c r="A73" s="51" t="s">
        <v>568</v>
      </c>
      <c r="B73" s="51" t="s">
        <v>569</v>
      </c>
      <c r="C73" s="51">
        <v>15</v>
      </c>
      <c r="D73" s="51">
        <v>0</v>
      </c>
      <c r="E73" s="51">
        <v>210</v>
      </c>
      <c r="F73" s="51">
        <v>222.72</v>
      </c>
      <c r="G73" s="51">
        <v>3150</v>
      </c>
      <c r="H73" s="51">
        <v>0</v>
      </c>
      <c r="I73" s="51">
        <v>0</v>
      </c>
      <c r="J73" s="51">
        <v>3150</v>
      </c>
      <c r="K73" s="51">
        <v>96.29</v>
      </c>
      <c r="L73" s="51">
        <v>0</v>
      </c>
      <c r="M73" s="51">
        <v>84.63</v>
      </c>
      <c r="N73" s="51">
        <v>0</v>
      </c>
      <c r="O73" s="51">
        <v>0</v>
      </c>
      <c r="P73" s="51">
        <v>0</v>
      </c>
      <c r="Q73" s="51">
        <v>0</v>
      </c>
      <c r="R73" s="51">
        <v>0</v>
      </c>
      <c r="S73" s="51">
        <v>0</v>
      </c>
      <c r="T73" s="51">
        <v>-0.12</v>
      </c>
      <c r="U73" s="51">
        <v>180.8</v>
      </c>
      <c r="V73" s="51">
        <v>2969.2</v>
      </c>
      <c r="W73" s="51">
        <v>62.36</v>
      </c>
      <c r="X73" s="51">
        <v>112.25</v>
      </c>
      <c r="Y73" s="51">
        <v>338.14</v>
      </c>
      <c r="Z73" s="51">
        <v>257.71999999999997</v>
      </c>
      <c r="AA73" s="51">
        <v>63</v>
      </c>
      <c r="AB73" s="53">
        <v>28.39</v>
      </c>
      <c r="AC73" s="51">
        <v>512.75</v>
      </c>
      <c r="AD73" s="53">
        <v>178.18</v>
      </c>
      <c r="AE73" s="53">
        <v>222.08999999999997</v>
      </c>
      <c r="AF73" s="51">
        <v>172.48932208958493</v>
      </c>
      <c r="AG73" s="53">
        <v>12</v>
      </c>
      <c r="AH73" s="53"/>
      <c r="AI73" s="53"/>
      <c r="AJ73" s="53"/>
    </row>
    <row r="74" spans="1:36" s="55" customFormat="1" x14ac:dyDescent="0.2">
      <c r="A74" s="52" t="s">
        <v>570</v>
      </c>
      <c r="B74" s="52" t="s">
        <v>571</v>
      </c>
      <c r="C74" s="52">
        <v>15</v>
      </c>
      <c r="D74" s="52">
        <v>0</v>
      </c>
      <c r="E74" s="52">
        <v>210</v>
      </c>
      <c r="F74" s="52">
        <v>222.72</v>
      </c>
      <c r="G74" s="52">
        <v>3150</v>
      </c>
      <c r="H74" s="52">
        <v>0</v>
      </c>
      <c r="I74" s="52">
        <v>0</v>
      </c>
      <c r="J74" s="52">
        <v>3150</v>
      </c>
      <c r="K74" s="52">
        <v>96.29</v>
      </c>
      <c r="L74" s="52">
        <v>0</v>
      </c>
      <c r="M74" s="52">
        <v>84.63</v>
      </c>
      <c r="N74" s="52">
        <v>0</v>
      </c>
      <c r="O74" s="52">
        <v>961.79</v>
      </c>
      <c r="P74" s="52">
        <v>0</v>
      </c>
      <c r="Q74" s="52">
        <v>0</v>
      </c>
      <c r="R74" s="52">
        <v>0</v>
      </c>
      <c r="S74" s="52">
        <v>0</v>
      </c>
      <c r="T74" s="52">
        <v>0.09</v>
      </c>
      <c r="U74" s="52">
        <v>1142.8</v>
      </c>
      <c r="V74" s="52">
        <v>2007.2</v>
      </c>
      <c r="W74" s="52">
        <v>62.36</v>
      </c>
      <c r="X74" s="52">
        <v>112.25</v>
      </c>
      <c r="Y74" s="52">
        <v>338.14</v>
      </c>
      <c r="Z74" s="51">
        <v>257.71999999999997</v>
      </c>
      <c r="AA74" s="52">
        <v>63</v>
      </c>
      <c r="AB74" s="55">
        <v>28.39</v>
      </c>
      <c r="AC74" s="52">
        <v>512.75</v>
      </c>
      <c r="AD74" s="55">
        <v>178.18</v>
      </c>
      <c r="AE74" s="55">
        <v>222.08999999999997</v>
      </c>
      <c r="AF74" s="52">
        <v>172.48932208958493</v>
      </c>
      <c r="AG74" s="55">
        <v>12</v>
      </c>
      <c r="AH74" s="53"/>
      <c r="AI74" s="53"/>
      <c r="AJ74" s="53"/>
    </row>
    <row r="75" spans="1:36" s="55" customFormat="1" x14ac:dyDescent="0.2">
      <c r="A75" s="51" t="s">
        <v>574</v>
      </c>
      <c r="B75" s="51" t="s">
        <v>575</v>
      </c>
      <c r="C75" s="51">
        <v>15</v>
      </c>
      <c r="D75" s="51">
        <v>0</v>
      </c>
      <c r="E75" s="51">
        <v>200</v>
      </c>
      <c r="F75" s="51">
        <v>209.04</v>
      </c>
      <c r="G75" s="51">
        <v>3000</v>
      </c>
      <c r="H75" s="51">
        <v>0</v>
      </c>
      <c r="I75" s="51">
        <v>0</v>
      </c>
      <c r="J75" s="51">
        <v>3000</v>
      </c>
      <c r="K75" s="51">
        <v>59.69</v>
      </c>
      <c r="L75" s="51">
        <v>0</v>
      </c>
      <c r="M75" s="51">
        <v>79.430000000000007</v>
      </c>
      <c r="N75" s="51">
        <v>0</v>
      </c>
      <c r="O75" s="51">
        <v>1605.6</v>
      </c>
      <c r="P75" s="51">
        <v>0</v>
      </c>
      <c r="Q75" s="51">
        <v>0</v>
      </c>
      <c r="R75" s="51">
        <v>0</v>
      </c>
      <c r="S75" s="51">
        <v>0</v>
      </c>
      <c r="T75" s="51">
        <v>-0.12</v>
      </c>
      <c r="U75" s="51">
        <v>1744.6</v>
      </c>
      <c r="V75" s="51">
        <v>1255.4000000000001</v>
      </c>
      <c r="W75" s="51">
        <v>58.53</v>
      </c>
      <c r="X75" s="51">
        <v>105.36</v>
      </c>
      <c r="Y75" s="51">
        <v>334.31</v>
      </c>
      <c r="Z75" s="51">
        <v>253.33999999999997</v>
      </c>
      <c r="AA75" s="51">
        <v>60</v>
      </c>
      <c r="AB75" s="53">
        <v>26.64</v>
      </c>
      <c r="AC75" s="51">
        <v>498.2</v>
      </c>
      <c r="AD75" s="53">
        <v>167.23</v>
      </c>
      <c r="AE75" s="53">
        <v>219.89999999999998</v>
      </c>
      <c r="AF75" s="51">
        <v>164.27554484722373</v>
      </c>
      <c r="AG75" s="53">
        <v>12</v>
      </c>
      <c r="AH75" s="53"/>
      <c r="AI75" s="53"/>
      <c r="AJ75" s="53"/>
    </row>
    <row r="76" spans="1:36" s="55" customFormat="1" x14ac:dyDescent="0.2">
      <c r="A76" s="51" t="s">
        <v>578</v>
      </c>
      <c r="B76" s="51" t="s">
        <v>579</v>
      </c>
      <c r="C76" s="51">
        <v>15</v>
      </c>
      <c r="D76" s="51">
        <v>0</v>
      </c>
      <c r="E76" s="51">
        <v>200</v>
      </c>
      <c r="F76" s="51">
        <v>209.04</v>
      </c>
      <c r="G76" s="51">
        <v>3000</v>
      </c>
      <c r="H76" s="51">
        <v>0</v>
      </c>
      <c r="I76" s="51">
        <v>0</v>
      </c>
      <c r="J76" s="51">
        <v>3000</v>
      </c>
      <c r="K76" s="51">
        <v>59.69</v>
      </c>
      <c r="L76" s="51">
        <v>0</v>
      </c>
      <c r="M76" s="51">
        <v>79.430000000000007</v>
      </c>
      <c r="N76" s="51">
        <v>0</v>
      </c>
      <c r="O76" s="51">
        <v>0</v>
      </c>
      <c r="P76" s="51">
        <v>0</v>
      </c>
      <c r="Q76" s="51">
        <v>0</v>
      </c>
      <c r="R76" s="51">
        <v>0</v>
      </c>
      <c r="S76" s="51">
        <v>0</v>
      </c>
      <c r="T76" s="51">
        <v>0.08</v>
      </c>
      <c r="U76" s="51">
        <v>139.19999999999999</v>
      </c>
      <c r="V76" s="51">
        <v>2860.8</v>
      </c>
      <c r="W76" s="51">
        <v>58.53</v>
      </c>
      <c r="X76" s="51">
        <v>105.36</v>
      </c>
      <c r="Y76" s="51">
        <v>334.31</v>
      </c>
      <c r="Z76" s="51">
        <v>253.33999999999997</v>
      </c>
      <c r="AA76" s="51">
        <v>60</v>
      </c>
      <c r="AB76" s="53">
        <v>26.64</v>
      </c>
      <c r="AC76" s="51">
        <v>498.2</v>
      </c>
      <c r="AD76" s="53">
        <v>167.23</v>
      </c>
      <c r="AE76" s="53">
        <v>219.89999999999998</v>
      </c>
      <c r="AF76" s="51">
        <v>164.28</v>
      </c>
      <c r="AG76" s="53">
        <v>12</v>
      </c>
      <c r="AH76" s="53"/>
      <c r="AI76" s="53"/>
      <c r="AJ76" s="53"/>
    </row>
    <row r="77" spans="1:36" s="55" customFormat="1" x14ac:dyDescent="0.2">
      <c r="A77" s="51" t="s">
        <v>580</v>
      </c>
      <c r="B77" s="51" t="s">
        <v>581</v>
      </c>
      <c r="C77" s="51">
        <v>15</v>
      </c>
      <c r="D77" s="51">
        <v>0</v>
      </c>
      <c r="E77" s="51">
        <v>200</v>
      </c>
      <c r="F77" s="51">
        <v>212.11</v>
      </c>
      <c r="G77" s="51">
        <v>3000</v>
      </c>
      <c r="H77" s="51">
        <v>0</v>
      </c>
      <c r="I77" s="51">
        <v>0</v>
      </c>
      <c r="J77" s="51">
        <v>3000</v>
      </c>
      <c r="K77" s="51">
        <v>59.69</v>
      </c>
      <c r="L77" s="51">
        <v>0</v>
      </c>
      <c r="M77" s="51">
        <v>80.599999999999994</v>
      </c>
      <c r="N77" s="51">
        <v>0</v>
      </c>
      <c r="O77" s="51">
        <v>477.81</v>
      </c>
      <c r="P77" s="51">
        <v>0</v>
      </c>
      <c r="Q77" s="51">
        <v>0</v>
      </c>
      <c r="R77" s="51">
        <v>0</v>
      </c>
      <c r="S77" s="51">
        <v>0</v>
      </c>
      <c r="T77" s="51">
        <v>0.1</v>
      </c>
      <c r="U77" s="51">
        <v>618.20000000000005</v>
      </c>
      <c r="V77" s="51">
        <v>2381.8000000000002</v>
      </c>
      <c r="W77" s="51">
        <v>59.39</v>
      </c>
      <c r="X77" s="51">
        <v>106.9</v>
      </c>
      <c r="Y77" s="51">
        <v>335.17</v>
      </c>
      <c r="Z77" s="51">
        <v>254.32999999999998</v>
      </c>
      <c r="AA77" s="51">
        <v>60</v>
      </c>
      <c r="AB77" s="53">
        <v>27.03</v>
      </c>
      <c r="AC77" s="51">
        <v>501.46</v>
      </c>
      <c r="AD77" s="53">
        <v>169.69</v>
      </c>
      <c r="AE77" s="53">
        <v>220.39</v>
      </c>
      <c r="AF77" s="51">
        <v>164.27554484722373</v>
      </c>
      <c r="AG77" s="53">
        <v>12</v>
      </c>
      <c r="AH77" s="53"/>
      <c r="AI77" s="53"/>
      <c r="AJ77" s="53"/>
    </row>
    <row r="78" spans="1:36" s="55" customFormat="1" x14ac:dyDescent="0.2">
      <c r="A78" s="51" t="s">
        <v>584</v>
      </c>
      <c r="B78" s="51" t="s">
        <v>585</v>
      </c>
      <c r="C78" s="51">
        <v>15</v>
      </c>
      <c r="D78" s="51">
        <v>0</v>
      </c>
      <c r="E78" s="51">
        <v>116.67</v>
      </c>
      <c r="F78" s="51">
        <v>123.73</v>
      </c>
      <c r="G78" s="51">
        <v>1750.05</v>
      </c>
      <c r="H78" s="51">
        <v>0</v>
      </c>
      <c r="I78" s="51">
        <v>0</v>
      </c>
      <c r="J78" s="51">
        <v>1750.05</v>
      </c>
      <c r="K78" s="51">
        <v>0</v>
      </c>
      <c r="L78" s="51">
        <v>-89.5</v>
      </c>
      <c r="M78" s="51">
        <v>47.01</v>
      </c>
      <c r="N78" s="51">
        <v>0</v>
      </c>
      <c r="O78" s="51">
        <v>854.85</v>
      </c>
      <c r="P78" s="51">
        <v>0</v>
      </c>
      <c r="Q78" s="51">
        <v>0</v>
      </c>
      <c r="R78" s="51">
        <v>0</v>
      </c>
      <c r="S78" s="51">
        <v>0</v>
      </c>
      <c r="T78" s="51">
        <v>-0.11</v>
      </c>
      <c r="U78" s="51">
        <v>812.25</v>
      </c>
      <c r="V78" s="51">
        <v>937.8</v>
      </c>
      <c r="W78" s="51">
        <v>34.64</v>
      </c>
      <c r="X78" s="51">
        <v>62.36</v>
      </c>
      <c r="Y78" s="51">
        <v>310.43</v>
      </c>
      <c r="Z78" s="51">
        <v>226.04</v>
      </c>
      <c r="AA78" s="51">
        <v>35</v>
      </c>
      <c r="AB78" s="53">
        <v>15.77</v>
      </c>
      <c r="AC78" s="51">
        <v>407.43</v>
      </c>
      <c r="AD78" s="53">
        <v>98.98</v>
      </c>
      <c r="AE78" s="53">
        <v>206.25</v>
      </c>
      <c r="AF78" s="51">
        <v>164.27554484722373</v>
      </c>
      <c r="AG78" s="53">
        <v>12</v>
      </c>
      <c r="AH78" s="53"/>
      <c r="AI78" s="53"/>
      <c r="AJ78" s="53"/>
    </row>
    <row r="79" spans="1:36" s="55" customFormat="1" x14ac:dyDescent="0.2">
      <c r="A79" s="51" t="s">
        <v>586</v>
      </c>
      <c r="B79" s="51" t="s">
        <v>587</v>
      </c>
      <c r="C79" s="51">
        <v>15</v>
      </c>
      <c r="D79" s="51">
        <v>0</v>
      </c>
      <c r="E79" s="51">
        <v>116.67</v>
      </c>
      <c r="F79" s="51">
        <v>123.73</v>
      </c>
      <c r="G79" s="51">
        <v>1750.05</v>
      </c>
      <c r="H79" s="51">
        <v>0</v>
      </c>
      <c r="I79" s="51">
        <v>0</v>
      </c>
      <c r="J79" s="51">
        <v>1750.05</v>
      </c>
      <c r="K79" s="51">
        <v>0</v>
      </c>
      <c r="L79" s="51">
        <v>-89.5</v>
      </c>
      <c r="M79" s="51">
        <v>47.01</v>
      </c>
      <c r="N79" s="51">
        <v>801.02</v>
      </c>
      <c r="O79" s="51">
        <v>0</v>
      </c>
      <c r="P79" s="51">
        <v>0</v>
      </c>
      <c r="Q79" s="51">
        <v>0</v>
      </c>
      <c r="R79" s="51">
        <v>0</v>
      </c>
      <c r="S79" s="51">
        <v>0</v>
      </c>
      <c r="T79" s="51">
        <v>-0.08</v>
      </c>
      <c r="U79" s="51">
        <v>758.45</v>
      </c>
      <c r="V79" s="51">
        <v>991.6</v>
      </c>
      <c r="W79" s="51">
        <v>34.64</v>
      </c>
      <c r="X79" s="51">
        <v>62.36</v>
      </c>
      <c r="Y79" s="51">
        <v>310.43</v>
      </c>
      <c r="Z79" s="51">
        <v>226.04</v>
      </c>
      <c r="AA79" s="51">
        <v>35</v>
      </c>
      <c r="AB79" s="53">
        <v>15.77</v>
      </c>
      <c r="AC79" s="51">
        <v>407.43</v>
      </c>
      <c r="AD79" s="53">
        <v>98.98</v>
      </c>
      <c r="AE79" s="53">
        <v>206.25</v>
      </c>
      <c r="AF79" s="51">
        <v>95.830139086627966</v>
      </c>
      <c r="AG79" s="53">
        <v>12</v>
      </c>
      <c r="AH79" s="53"/>
      <c r="AI79" s="53"/>
      <c r="AJ79" s="53"/>
    </row>
    <row r="80" spans="1:36" s="55" customFormat="1" x14ac:dyDescent="0.2">
      <c r="A80" s="51" t="s">
        <v>588</v>
      </c>
      <c r="B80" s="51" t="s">
        <v>589</v>
      </c>
      <c r="C80" s="51">
        <v>13</v>
      </c>
      <c r="D80" s="51">
        <v>0</v>
      </c>
      <c r="E80" s="51">
        <v>210</v>
      </c>
      <c r="F80" s="51">
        <v>222.72</v>
      </c>
      <c r="G80" s="51">
        <v>2730</v>
      </c>
      <c r="H80" s="51">
        <v>0</v>
      </c>
      <c r="I80" s="51">
        <v>0</v>
      </c>
      <c r="J80" s="51">
        <v>2730</v>
      </c>
      <c r="K80" s="51">
        <v>30.32</v>
      </c>
      <c r="L80" s="51">
        <v>0</v>
      </c>
      <c r="M80" s="51">
        <v>76.84</v>
      </c>
      <c r="N80" s="51">
        <v>0</v>
      </c>
      <c r="O80" s="51">
        <v>0</v>
      </c>
      <c r="P80" s="51">
        <v>0</v>
      </c>
      <c r="Q80" s="51">
        <v>0</v>
      </c>
      <c r="R80" s="51">
        <v>0</v>
      </c>
      <c r="S80" s="51">
        <v>0</v>
      </c>
      <c r="T80" s="51">
        <v>0.04</v>
      </c>
      <c r="U80" s="51">
        <v>107.2</v>
      </c>
      <c r="V80" s="51">
        <v>2622.8</v>
      </c>
      <c r="W80" s="51">
        <v>62.36</v>
      </c>
      <c r="X80" s="51">
        <v>112.25</v>
      </c>
      <c r="Y80" s="51">
        <v>338.14</v>
      </c>
      <c r="Z80" s="51">
        <v>257.71999999999997</v>
      </c>
      <c r="AA80" s="51">
        <v>54.6</v>
      </c>
      <c r="AB80" s="53">
        <v>28.39</v>
      </c>
      <c r="AC80" s="51">
        <v>512.75</v>
      </c>
      <c r="AD80" s="53">
        <v>178.18</v>
      </c>
      <c r="AE80" s="53">
        <v>222.08999999999997</v>
      </c>
      <c r="AF80" s="51">
        <v>95.830139086627966</v>
      </c>
      <c r="AG80" s="53">
        <v>12</v>
      </c>
      <c r="AH80" s="53"/>
      <c r="AI80" s="53"/>
      <c r="AJ80" s="53"/>
    </row>
    <row r="81" spans="1:36" s="55" customFormat="1" x14ac:dyDescent="0.2">
      <c r="A81" s="51" t="s">
        <v>594</v>
      </c>
      <c r="B81" s="51" t="s">
        <v>595</v>
      </c>
      <c r="C81" s="51">
        <v>15</v>
      </c>
      <c r="D81" s="51">
        <v>0</v>
      </c>
      <c r="E81" s="51">
        <v>210</v>
      </c>
      <c r="F81" s="51">
        <v>222.72</v>
      </c>
      <c r="G81" s="51">
        <v>3150</v>
      </c>
      <c r="H81" s="51">
        <v>0</v>
      </c>
      <c r="I81" s="51">
        <v>0</v>
      </c>
      <c r="J81" s="51">
        <v>3150</v>
      </c>
      <c r="K81" s="51">
        <v>96.29</v>
      </c>
      <c r="L81" s="51">
        <v>0</v>
      </c>
      <c r="M81" s="51">
        <v>84.63</v>
      </c>
      <c r="N81" s="51">
        <v>0</v>
      </c>
      <c r="O81" s="51">
        <v>0</v>
      </c>
      <c r="P81" s="51">
        <v>0</v>
      </c>
      <c r="Q81" s="51">
        <v>0</v>
      </c>
      <c r="R81" s="51">
        <v>0</v>
      </c>
      <c r="S81" s="51">
        <v>0</v>
      </c>
      <c r="T81" s="51">
        <v>-0.12</v>
      </c>
      <c r="U81" s="51">
        <v>180.8</v>
      </c>
      <c r="V81" s="51">
        <v>2969.2</v>
      </c>
      <c r="W81" s="51">
        <v>62.36</v>
      </c>
      <c r="X81" s="51">
        <v>112.25</v>
      </c>
      <c r="Y81" s="51">
        <v>338.14</v>
      </c>
      <c r="Z81" s="51">
        <v>257.71999999999997</v>
      </c>
      <c r="AA81" s="51">
        <v>63</v>
      </c>
      <c r="AB81" s="53">
        <v>28.39</v>
      </c>
      <c r="AC81" s="51">
        <v>512.75</v>
      </c>
      <c r="AD81" s="53">
        <v>178.18</v>
      </c>
      <c r="AE81" s="53">
        <v>222.08999999999997</v>
      </c>
      <c r="AF81" s="51">
        <v>136.9</v>
      </c>
      <c r="AG81" s="53">
        <v>12</v>
      </c>
      <c r="AH81" s="53"/>
      <c r="AI81" s="53"/>
      <c r="AJ81" s="53"/>
    </row>
    <row r="82" spans="1:36" s="55" customFormat="1" x14ac:dyDescent="0.2">
      <c r="A82" s="51" t="s">
        <v>596</v>
      </c>
      <c r="B82" s="51" t="s">
        <v>597</v>
      </c>
      <c r="C82" s="51">
        <v>15</v>
      </c>
      <c r="D82" s="51">
        <v>0</v>
      </c>
      <c r="E82" s="51">
        <v>233.33</v>
      </c>
      <c r="F82" s="51">
        <v>247.46</v>
      </c>
      <c r="G82" s="51">
        <v>3499.95</v>
      </c>
      <c r="H82" s="51">
        <v>0</v>
      </c>
      <c r="I82" s="51">
        <v>0</v>
      </c>
      <c r="J82" s="51">
        <v>3499.95</v>
      </c>
      <c r="K82" s="51">
        <v>134.36000000000001</v>
      </c>
      <c r="L82" s="51">
        <v>0</v>
      </c>
      <c r="M82" s="51">
        <v>94.04</v>
      </c>
      <c r="N82" s="51">
        <v>0</v>
      </c>
      <c r="O82" s="51">
        <v>0</v>
      </c>
      <c r="P82" s="51">
        <v>0</v>
      </c>
      <c r="Q82" s="51">
        <v>0</v>
      </c>
      <c r="R82" s="51">
        <v>0</v>
      </c>
      <c r="S82" s="51">
        <v>0</v>
      </c>
      <c r="T82" s="51">
        <v>0.15</v>
      </c>
      <c r="U82" s="51">
        <v>228.55</v>
      </c>
      <c r="V82" s="51">
        <v>3271.4</v>
      </c>
      <c r="W82" s="51">
        <v>69.290000000000006</v>
      </c>
      <c r="X82" s="51">
        <v>124.72</v>
      </c>
      <c r="Y82" s="51">
        <v>345.07</v>
      </c>
      <c r="Z82" s="51">
        <v>265.64</v>
      </c>
      <c r="AA82" s="51">
        <v>70</v>
      </c>
      <c r="AB82" s="53">
        <v>31.54</v>
      </c>
      <c r="AC82" s="51">
        <v>539.08000000000004</v>
      </c>
      <c r="AD82" s="53">
        <v>197.97</v>
      </c>
      <c r="AE82" s="53">
        <v>226.04</v>
      </c>
      <c r="AF82" s="51">
        <v>172.49</v>
      </c>
      <c r="AG82" s="53">
        <v>12</v>
      </c>
      <c r="AH82" s="53"/>
      <c r="AI82" s="53"/>
      <c r="AJ82" s="53"/>
    </row>
    <row r="83" spans="1:36" s="55" customFormat="1" x14ac:dyDescent="0.2">
      <c r="A83" s="51" t="s">
        <v>602</v>
      </c>
      <c r="B83" s="51" t="s">
        <v>603</v>
      </c>
      <c r="C83" s="51">
        <v>15</v>
      </c>
      <c r="D83" s="51">
        <v>0</v>
      </c>
      <c r="E83" s="51">
        <v>210</v>
      </c>
      <c r="F83" s="51">
        <v>219.49</v>
      </c>
      <c r="G83" s="51">
        <v>3150</v>
      </c>
      <c r="H83" s="51">
        <v>0</v>
      </c>
      <c r="I83" s="51">
        <v>0</v>
      </c>
      <c r="J83" s="51">
        <v>3150</v>
      </c>
      <c r="K83" s="51">
        <v>96.29</v>
      </c>
      <c r="L83" s="51">
        <v>0</v>
      </c>
      <c r="M83" s="51">
        <v>83.41</v>
      </c>
      <c r="N83" s="51">
        <v>1144.68</v>
      </c>
      <c r="O83" s="51">
        <v>0</v>
      </c>
      <c r="P83" s="51">
        <v>15</v>
      </c>
      <c r="Q83" s="51">
        <v>0</v>
      </c>
      <c r="R83" s="51">
        <v>0</v>
      </c>
      <c r="S83" s="51">
        <v>0</v>
      </c>
      <c r="T83" s="51">
        <v>-0.18</v>
      </c>
      <c r="U83" s="51">
        <v>1339.2</v>
      </c>
      <c r="V83" s="51">
        <v>1810.8</v>
      </c>
      <c r="W83" s="51">
        <v>61.46</v>
      </c>
      <c r="X83" s="51">
        <v>110.62</v>
      </c>
      <c r="Y83" s="51">
        <v>337.23</v>
      </c>
      <c r="Z83" s="51">
        <v>256.69</v>
      </c>
      <c r="AA83" s="51">
        <v>63</v>
      </c>
      <c r="AB83" s="53">
        <v>27.98</v>
      </c>
      <c r="AC83" s="51">
        <v>509.31</v>
      </c>
      <c r="AD83" s="53">
        <v>175.59</v>
      </c>
      <c r="AE83" s="53">
        <v>221.57</v>
      </c>
      <c r="AF83" s="51">
        <v>191.65</v>
      </c>
      <c r="AG83" s="53">
        <v>12</v>
      </c>
      <c r="AH83" s="53"/>
      <c r="AI83" s="53"/>
      <c r="AJ83" s="53"/>
    </row>
    <row r="84" spans="1:36" s="55" customFormat="1" x14ac:dyDescent="0.2">
      <c r="A84" s="51" t="s">
        <v>665</v>
      </c>
      <c r="B84" s="51" t="s">
        <v>669</v>
      </c>
      <c r="C84" s="51">
        <v>15</v>
      </c>
      <c r="D84" s="51">
        <v>0</v>
      </c>
      <c r="E84" s="51">
        <v>200</v>
      </c>
      <c r="F84" s="51">
        <v>212.11</v>
      </c>
      <c r="G84" s="51">
        <v>3000</v>
      </c>
      <c r="H84" s="51">
        <v>0</v>
      </c>
      <c r="I84" s="51">
        <v>0</v>
      </c>
      <c r="J84" s="51">
        <v>3000</v>
      </c>
      <c r="K84" s="51">
        <v>59.69</v>
      </c>
      <c r="L84" s="51">
        <v>0</v>
      </c>
      <c r="M84" s="51">
        <v>80.599999999999994</v>
      </c>
      <c r="N84" s="51">
        <v>0</v>
      </c>
      <c r="O84" s="51">
        <v>0</v>
      </c>
      <c r="P84" s="51">
        <v>0</v>
      </c>
      <c r="Q84" s="51">
        <v>0</v>
      </c>
      <c r="R84" s="51">
        <v>0</v>
      </c>
      <c r="S84" s="51">
        <v>0</v>
      </c>
      <c r="T84" s="51">
        <v>-0.09</v>
      </c>
      <c r="U84" s="51">
        <v>140.19999999999999</v>
      </c>
      <c r="V84" s="51">
        <v>2859.8</v>
      </c>
      <c r="W84" s="51">
        <v>59.39</v>
      </c>
      <c r="X84" s="51">
        <v>106.9</v>
      </c>
      <c r="Y84" s="51">
        <v>335.17</v>
      </c>
      <c r="Z84" s="51">
        <v>254.32999999999998</v>
      </c>
      <c r="AA84" s="51">
        <v>60</v>
      </c>
      <c r="AB84" s="53">
        <v>27.03</v>
      </c>
      <c r="AC84" s="51">
        <v>501.46</v>
      </c>
      <c r="AD84" s="53">
        <v>169.69</v>
      </c>
      <c r="AE84" s="53">
        <v>220.39</v>
      </c>
      <c r="AF84" s="51">
        <v>164.28</v>
      </c>
      <c r="AG84" s="53">
        <v>12</v>
      </c>
      <c r="AH84" s="53"/>
      <c r="AI84" s="53"/>
      <c r="AJ84" s="53"/>
    </row>
    <row r="85" spans="1:36" s="55" customFormat="1" x14ac:dyDescent="0.2">
      <c r="A85" s="51" t="s">
        <v>666</v>
      </c>
      <c r="B85" s="51" t="s">
        <v>670</v>
      </c>
      <c r="C85" s="51">
        <v>12</v>
      </c>
      <c r="D85" s="51">
        <v>0</v>
      </c>
      <c r="E85" s="51">
        <v>200</v>
      </c>
      <c r="F85" s="51">
        <v>212.11</v>
      </c>
      <c r="G85" s="51">
        <v>2400</v>
      </c>
      <c r="H85" s="51">
        <v>0</v>
      </c>
      <c r="I85" s="51">
        <v>0</v>
      </c>
      <c r="J85" s="51">
        <v>2400</v>
      </c>
      <c r="K85" s="51">
        <v>0</v>
      </c>
      <c r="L85" s="51">
        <v>-19.489999999999998</v>
      </c>
      <c r="M85" s="51">
        <v>65.48</v>
      </c>
      <c r="N85" s="51">
        <v>524.15</v>
      </c>
      <c r="O85" s="51">
        <v>0</v>
      </c>
      <c r="P85" s="51">
        <v>15</v>
      </c>
      <c r="Q85" s="51">
        <v>636.6</v>
      </c>
      <c r="R85" s="51">
        <v>0</v>
      </c>
      <c r="S85" s="51">
        <v>0</v>
      </c>
      <c r="T85" s="51">
        <v>0.06</v>
      </c>
      <c r="U85" s="51">
        <v>1221.8</v>
      </c>
      <c r="V85" s="51">
        <v>1178.2</v>
      </c>
      <c r="W85" s="51">
        <v>48.26</v>
      </c>
      <c r="X85" s="51">
        <v>86.86</v>
      </c>
      <c r="Y85" s="51">
        <v>272.32</v>
      </c>
      <c r="Z85" s="51">
        <v>241.6</v>
      </c>
      <c r="AA85" s="51">
        <v>48</v>
      </c>
      <c r="AB85" s="53">
        <v>21.97</v>
      </c>
      <c r="AC85" s="51">
        <v>407.44</v>
      </c>
      <c r="AD85" s="53">
        <v>137.87</v>
      </c>
      <c r="AE85" s="53">
        <v>214.01999999999998</v>
      </c>
      <c r="AF85" s="51">
        <v>219.03679772204578</v>
      </c>
      <c r="AG85" s="53">
        <v>12</v>
      </c>
      <c r="AH85" s="53"/>
      <c r="AI85" s="53"/>
      <c r="AJ85" s="53"/>
    </row>
    <row r="86" spans="1:36" ht="15" customHeight="1" x14ac:dyDescent="0.2">
      <c r="A86" s="51" t="s">
        <v>482</v>
      </c>
      <c r="B86" s="51" t="s">
        <v>480</v>
      </c>
      <c r="C86" s="51">
        <v>15</v>
      </c>
      <c r="D86" s="51">
        <v>0</v>
      </c>
      <c r="E86" s="51">
        <v>266.67</v>
      </c>
      <c r="F86" s="51">
        <v>282.81</v>
      </c>
      <c r="G86" s="51">
        <v>4000.05</v>
      </c>
      <c r="H86" s="51">
        <v>0</v>
      </c>
      <c r="I86" s="51">
        <v>0</v>
      </c>
      <c r="J86" s="51">
        <v>4000.05</v>
      </c>
      <c r="K86" s="51">
        <v>313.87</v>
      </c>
      <c r="L86" s="51">
        <v>0</v>
      </c>
      <c r="M86" s="51">
        <v>109.35</v>
      </c>
      <c r="N86" s="51">
        <v>0</v>
      </c>
      <c r="O86" s="51">
        <v>0</v>
      </c>
      <c r="P86" s="51">
        <v>0</v>
      </c>
      <c r="Q86" s="51">
        <v>0</v>
      </c>
      <c r="R86" s="51">
        <v>0</v>
      </c>
      <c r="S86" s="51">
        <v>0</v>
      </c>
      <c r="T86" s="51">
        <v>-0.17</v>
      </c>
      <c r="U86" s="51">
        <v>423.05</v>
      </c>
      <c r="V86" s="51">
        <v>3577</v>
      </c>
      <c r="W86" s="51">
        <v>79.19</v>
      </c>
      <c r="X86" s="51">
        <v>142.54</v>
      </c>
      <c r="Y86" s="51">
        <v>360.12</v>
      </c>
      <c r="Z86" s="51">
        <v>276.95</v>
      </c>
      <c r="AA86" s="51">
        <v>80</v>
      </c>
      <c r="AB86" s="53">
        <v>36.049999999999997</v>
      </c>
      <c r="AC86" s="51">
        <v>581.85</v>
      </c>
      <c r="AD86" s="53">
        <v>226.25</v>
      </c>
      <c r="AE86" s="53">
        <v>231.7</v>
      </c>
      <c r="AF86" s="51">
        <v>90.25</v>
      </c>
      <c r="AG86" s="53">
        <v>12</v>
      </c>
    </row>
    <row r="87" spans="1:36" x14ac:dyDescent="0.2">
      <c r="A87" s="61" t="s">
        <v>165</v>
      </c>
      <c r="B87" s="62"/>
      <c r="C87" s="62" t="s">
        <v>157</v>
      </c>
      <c r="D87" s="62" t="s">
        <v>157</v>
      </c>
      <c r="E87" s="62" t="s">
        <v>157</v>
      </c>
      <c r="F87" s="62" t="s">
        <v>157</v>
      </c>
      <c r="G87" s="62" t="s">
        <v>157</v>
      </c>
      <c r="H87" s="62" t="s">
        <v>157</v>
      </c>
      <c r="I87" s="62" t="s">
        <v>157</v>
      </c>
      <c r="J87" s="62" t="s">
        <v>157</v>
      </c>
      <c r="K87" s="62" t="s">
        <v>157</v>
      </c>
      <c r="L87" s="62" t="s">
        <v>157</v>
      </c>
      <c r="M87" s="62" t="s">
        <v>157</v>
      </c>
      <c r="N87" s="62" t="s">
        <v>157</v>
      </c>
      <c r="O87" s="62" t="s">
        <v>157</v>
      </c>
      <c r="P87" s="62" t="s">
        <v>157</v>
      </c>
      <c r="Q87" s="62" t="s">
        <v>157</v>
      </c>
      <c r="R87" s="62" t="s">
        <v>157</v>
      </c>
      <c r="S87" s="62" t="s">
        <v>157</v>
      </c>
      <c r="T87" s="62" t="s">
        <v>157</v>
      </c>
      <c r="U87" s="62" t="s">
        <v>157</v>
      </c>
      <c r="V87" s="62" t="s">
        <v>157</v>
      </c>
      <c r="W87" s="62" t="s">
        <v>157</v>
      </c>
      <c r="X87" s="62" t="s">
        <v>157</v>
      </c>
      <c r="Y87" s="62" t="s">
        <v>157</v>
      </c>
      <c r="Z87" s="62" t="s">
        <v>157</v>
      </c>
      <c r="AA87" s="62" t="s">
        <v>157</v>
      </c>
      <c r="AB87" s="62"/>
      <c r="AC87" s="62" t="s">
        <v>157</v>
      </c>
      <c r="AD87" s="62" t="s">
        <v>157</v>
      </c>
      <c r="AE87" s="62" t="s">
        <v>157</v>
      </c>
      <c r="AF87" s="62" t="s">
        <v>157</v>
      </c>
      <c r="AG87" s="62" t="s">
        <v>157</v>
      </c>
    </row>
    <row r="88" spans="1:36" x14ac:dyDescent="0.2">
      <c r="A88" s="63">
        <f>SUM(A6:A87)</f>
        <v>0</v>
      </c>
      <c r="B88" s="63">
        <f>SUM(B6:B87)</f>
        <v>0</v>
      </c>
      <c r="C88" s="63">
        <f>SUM(C6:C87)</f>
        <v>1205</v>
      </c>
      <c r="D88" s="63">
        <f t="shared" ref="D88:AG88" si="0">SUM(D6:D87)</f>
        <v>3</v>
      </c>
      <c r="E88" s="63">
        <f t="shared" si="0"/>
        <v>19423.259999999998</v>
      </c>
      <c r="F88" s="63">
        <f t="shared" si="0"/>
        <v>20494.830000000009</v>
      </c>
      <c r="G88" s="63">
        <f t="shared" si="0"/>
        <v>289128.99</v>
      </c>
      <c r="H88" s="63">
        <f t="shared" si="0"/>
        <v>666.67000000000007</v>
      </c>
      <c r="I88" s="63">
        <f t="shared" si="0"/>
        <v>200</v>
      </c>
      <c r="J88" s="63">
        <f t="shared" si="0"/>
        <v>289995.65999999992</v>
      </c>
      <c r="K88" s="63">
        <f t="shared" si="0"/>
        <v>16273.610000000015</v>
      </c>
      <c r="L88" s="63">
        <f t="shared" si="0"/>
        <v>-352.99</v>
      </c>
      <c r="M88" s="63">
        <f t="shared" si="0"/>
        <v>7883.970000000003</v>
      </c>
      <c r="N88" s="63">
        <f t="shared" si="0"/>
        <v>19760.480000000003</v>
      </c>
      <c r="O88" s="63">
        <f t="shared" si="0"/>
        <v>9247.31</v>
      </c>
      <c r="P88" s="63">
        <f t="shared" si="0"/>
        <v>30</v>
      </c>
      <c r="Q88" s="63">
        <f t="shared" si="0"/>
        <v>2418.33</v>
      </c>
      <c r="R88" s="63">
        <f t="shared" si="0"/>
        <v>8698.25</v>
      </c>
      <c r="S88" s="63">
        <f t="shared" si="0"/>
        <v>0</v>
      </c>
      <c r="T88" s="63">
        <f t="shared" si="0"/>
        <v>-0.3</v>
      </c>
      <c r="U88" s="63">
        <f t="shared" si="0"/>
        <v>63958.660000000011</v>
      </c>
      <c r="V88" s="63">
        <f t="shared" si="0"/>
        <v>226036.99999999997</v>
      </c>
      <c r="W88" s="63">
        <f t="shared" si="0"/>
        <v>5727.4599999999991</v>
      </c>
      <c r="X88" s="63">
        <f t="shared" si="0"/>
        <v>10309.42</v>
      </c>
      <c r="Y88" s="63">
        <f t="shared" si="0"/>
        <v>28367.39</v>
      </c>
      <c r="Z88" s="63">
        <f t="shared" si="0"/>
        <v>21648.060000000009</v>
      </c>
      <c r="AA88" s="63">
        <f t="shared" si="0"/>
        <v>5799.880000000001</v>
      </c>
      <c r="AB88" s="63">
        <f t="shared" si="0"/>
        <v>2607.0899999999983</v>
      </c>
      <c r="AC88" s="63">
        <f t="shared" si="0"/>
        <v>44404.27</v>
      </c>
      <c r="AD88" s="63">
        <f t="shared" si="0"/>
        <v>16364.110000000002</v>
      </c>
      <c r="AE88" s="63">
        <f t="shared" si="0"/>
        <v>18375.319999999996</v>
      </c>
      <c r="AF88" s="63">
        <f t="shared" si="0"/>
        <v>15836.011975687212</v>
      </c>
      <c r="AG88" s="63">
        <f t="shared" si="0"/>
        <v>972</v>
      </c>
    </row>
    <row r="89" spans="1:36" ht="15.75" x14ac:dyDescent="0.25">
      <c r="A89" s="65">
        <v>82</v>
      </c>
      <c r="B89" s="65" t="s">
        <v>680</v>
      </c>
      <c r="G89" s="64"/>
      <c r="I89" s="162" t="s">
        <v>600</v>
      </c>
      <c r="J89" s="162"/>
      <c r="V89" s="64"/>
    </row>
    <row r="90" spans="1:36" x14ac:dyDescent="0.2">
      <c r="A90" s="65">
        <v>2</v>
      </c>
      <c r="B90" s="65" t="s">
        <v>681</v>
      </c>
      <c r="C90" s="66"/>
      <c r="D90" s="66"/>
      <c r="E90" s="66"/>
      <c r="F90" s="66"/>
      <c r="G90" s="66"/>
      <c r="H90" s="66"/>
      <c r="I90" s="146" t="s">
        <v>46</v>
      </c>
      <c r="J90" s="147">
        <f>+V88</f>
        <v>226036.99999999997</v>
      </c>
      <c r="M90" s="66"/>
      <c r="N90" s="66"/>
      <c r="O90" s="66"/>
      <c r="P90" s="66"/>
      <c r="Q90" s="66"/>
      <c r="R90" s="66"/>
      <c r="S90" s="66"/>
      <c r="T90" s="66"/>
      <c r="V90" s="67"/>
      <c r="W90" s="66"/>
      <c r="X90" s="66"/>
      <c r="Y90" s="66"/>
      <c r="Z90" s="66"/>
      <c r="AA90" s="66"/>
      <c r="AB90" s="66"/>
      <c r="AC90" s="68"/>
      <c r="AD90" s="66"/>
      <c r="AE90" s="66"/>
    </row>
    <row r="91" spans="1:36" x14ac:dyDescent="0.2">
      <c r="A91" s="65">
        <v>3</v>
      </c>
      <c r="B91" s="65" t="s">
        <v>682</v>
      </c>
      <c r="C91" s="66"/>
      <c r="D91" s="66"/>
      <c r="E91" s="66"/>
      <c r="F91" s="66"/>
      <c r="G91" s="66"/>
      <c r="H91" s="66"/>
      <c r="I91" s="146" t="s">
        <v>117</v>
      </c>
      <c r="J91" s="147">
        <f>+R88</f>
        <v>8698.25</v>
      </c>
      <c r="M91" s="66"/>
      <c r="N91" s="66"/>
      <c r="O91" s="66"/>
      <c r="P91" s="66"/>
      <c r="Q91" s="66"/>
      <c r="R91" s="66"/>
      <c r="S91" s="66"/>
      <c r="T91" s="66"/>
      <c r="V91" s="67"/>
      <c r="W91" s="66"/>
      <c r="X91" s="66"/>
      <c r="Y91" s="66"/>
      <c r="Z91" s="66"/>
      <c r="AA91" s="66"/>
      <c r="AB91" s="66"/>
      <c r="AC91" s="66"/>
      <c r="AD91" s="66"/>
      <c r="AE91" s="66"/>
    </row>
    <row r="92" spans="1:36" x14ac:dyDescent="0.2">
      <c r="A92" s="65">
        <f>+A89+A90-A91</f>
        <v>81</v>
      </c>
      <c r="B92" s="65" t="s">
        <v>683</v>
      </c>
      <c r="C92" s="66"/>
      <c r="D92" s="66"/>
      <c r="E92" s="66"/>
      <c r="F92" s="66"/>
      <c r="G92" s="66"/>
      <c r="H92" s="66"/>
      <c r="I92" s="146" t="s">
        <v>170</v>
      </c>
      <c r="J92" s="148">
        <f>+N88+O88+P88</f>
        <v>29037.79</v>
      </c>
      <c r="M92" s="66"/>
      <c r="N92" s="66"/>
      <c r="O92" s="66"/>
      <c r="P92" s="66"/>
      <c r="Q92" s="66"/>
      <c r="R92" s="66"/>
      <c r="S92" s="66"/>
      <c r="T92" s="66"/>
      <c r="V92" s="67"/>
      <c r="W92" s="66"/>
      <c r="X92" s="66"/>
      <c r="Y92" s="66"/>
      <c r="Z92" s="66"/>
      <c r="AA92" s="66"/>
      <c r="AB92" s="66"/>
      <c r="AC92" s="66"/>
      <c r="AD92" s="66"/>
      <c r="AE92" s="66"/>
    </row>
    <row r="93" spans="1:36" x14ac:dyDescent="0.2">
      <c r="A93" s="65"/>
      <c r="B93" s="65"/>
      <c r="C93" s="66"/>
      <c r="D93" s="66"/>
      <c r="E93" s="66"/>
      <c r="F93" s="66"/>
      <c r="G93" s="66"/>
      <c r="H93" s="66"/>
      <c r="I93" s="146" t="s">
        <v>326</v>
      </c>
      <c r="J93" s="148">
        <f>+Q88</f>
        <v>2418.33</v>
      </c>
      <c r="M93" s="66"/>
      <c r="N93" s="66"/>
      <c r="O93" s="66"/>
      <c r="P93" s="66"/>
      <c r="Q93" s="66"/>
      <c r="R93" s="66"/>
      <c r="S93" s="66"/>
      <c r="T93" s="66"/>
      <c r="V93" s="67"/>
      <c r="W93" s="66"/>
      <c r="X93" s="66"/>
      <c r="Y93" s="66"/>
      <c r="Z93" s="66"/>
      <c r="AA93" s="66"/>
      <c r="AB93" s="66"/>
      <c r="AC93" s="66"/>
      <c r="AD93" s="66"/>
      <c r="AE93" s="66"/>
    </row>
    <row r="94" spans="1:36" x14ac:dyDescent="0.2">
      <c r="A94" s="66"/>
      <c r="B94" s="66"/>
      <c r="C94" s="66"/>
      <c r="D94" s="66"/>
      <c r="E94" s="66"/>
      <c r="F94" s="66"/>
      <c r="G94" s="66"/>
      <c r="H94" s="66"/>
      <c r="I94" s="146" t="s">
        <v>396</v>
      </c>
      <c r="J94" s="148">
        <f>+S88</f>
        <v>0</v>
      </c>
      <c r="M94" s="66"/>
      <c r="N94" s="66"/>
      <c r="O94" s="66"/>
      <c r="P94" s="66"/>
      <c r="Q94" s="66"/>
      <c r="R94" s="66"/>
      <c r="S94" s="66"/>
      <c r="T94" s="66"/>
      <c r="V94" s="67"/>
      <c r="W94" s="66"/>
      <c r="X94" s="66"/>
      <c r="Y94" s="66"/>
      <c r="Z94" s="66"/>
      <c r="AA94" s="66"/>
      <c r="AB94" s="66"/>
      <c r="AC94" s="66"/>
      <c r="AD94" s="66"/>
      <c r="AE94" s="66"/>
    </row>
    <row r="95" spans="1:36" x14ac:dyDescent="0.2">
      <c r="A95" s="66"/>
      <c r="B95" s="66"/>
      <c r="C95" s="66"/>
      <c r="D95" s="66"/>
      <c r="E95" s="66"/>
      <c r="F95" s="66"/>
      <c r="G95" s="66"/>
      <c r="H95" s="66"/>
      <c r="I95" s="146" t="s">
        <v>48</v>
      </c>
      <c r="J95" s="146">
        <f>SUM(J90:J94)</f>
        <v>266191.37</v>
      </c>
      <c r="M95" s="66"/>
      <c r="N95" s="66"/>
      <c r="O95" s="66"/>
      <c r="P95" s="66"/>
      <c r="Q95" s="66"/>
      <c r="R95" s="66"/>
      <c r="S95" s="66"/>
      <c r="T95" s="66"/>
      <c r="V95" s="67"/>
      <c r="W95" s="66"/>
      <c r="X95" s="66"/>
      <c r="Y95" s="66"/>
      <c r="Z95" s="66"/>
      <c r="AA95" s="66"/>
      <c r="AB95" s="66"/>
      <c r="AC95" s="66"/>
      <c r="AD95" s="66"/>
      <c r="AE95" s="66"/>
    </row>
    <row r="96" spans="1:36" x14ac:dyDescent="0.2">
      <c r="A96" s="66"/>
      <c r="B96" s="66"/>
      <c r="C96" s="66"/>
      <c r="D96" s="66"/>
      <c r="E96" s="66"/>
      <c r="F96" s="66"/>
      <c r="G96" s="66"/>
      <c r="H96" s="66"/>
      <c r="I96" s="146" t="s">
        <v>49</v>
      </c>
      <c r="J96" s="147">
        <f>+J95*2%</f>
        <v>5323.8274000000001</v>
      </c>
      <c r="M96" s="66"/>
      <c r="N96" s="66"/>
      <c r="O96" s="66"/>
      <c r="P96" s="66"/>
      <c r="Q96" s="66"/>
      <c r="R96" s="66"/>
      <c r="S96" s="66"/>
      <c r="T96" s="66"/>
      <c r="V96" s="67"/>
      <c r="W96" s="66"/>
      <c r="X96" s="66"/>
      <c r="Y96" s="66"/>
      <c r="Z96" s="66"/>
      <c r="AA96" s="66"/>
      <c r="AB96" s="66"/>
      <c r="AC96" s="66"/>
      <c r="AD96" s="66"/>
      <c r="AE96" s="66"/>
    </row>
    <row r="97" spans="1:31" x14ac:dyDescent="0.2">
      <c r="A97" s="66"/>
      <c r="B97" s="66"/>
      <c r="C97" s="66"/>
      <c r="D97" s="66"/>
      <c r="E97" s="66"/>
      <c r="F97" s="66"/>
      <c r="G97" s="66"/>
      <c r="H97" s="66"/>
      <c r="I97" s="146" t="s">
        <v>50</v>
      </c>
      <c r="J97" s="146">
        <f>+J95+J96</f>
        <v>271515.1974</v>
      </c>
      <c r="M97" s="66"/>
      <c r="N97" s="66"/>
      <c r="O97" s="66"/>
      <c r="P97" s="66"/>
      <c r="Q97" s="66"/>
      <c r="R97" s="66"/>
      <c r="S97" s="66"/>
      <c r="T97" s="66"/>
      <c r="V97" s="67"/>
      <c r="W97" s="66"/>
      <c r="X97" s="66"/>
      <c r="Y97" s="66"/>
      <c r="Z97" s="66"/>
      <c r="AA97" s="66"/>
      <c r="AB97" s="66"/>
      <c r="AC97" s="66"/>
      <c r="AD97" s="66"/>
      <c r="AE97" s="66"/>
    </row>
    <row r="98" spans="1:31" x14ac:dyDescent="0.2">
      <c r="I98" s="146" t="s">
        <v>51</v>
      </c>
      <c r="J98" s="147">
        <f>+M88+W88+X88+Y88+AD88+AE88+AB88+Z88</f>
        <v>111282.82</v>
      </c>
      <c r="L98" s="66"/>
      <c r="M98" s="66"/>
      <c r="V98" s="67"/>
    </row>
    <row r="99" spans="1:31" x14ac:dyDescent="0.2">
      <c r="I99" s="146" t="s">
        <v>52</v>
      </c>
      <c r="J99" s="147">
        <f>+J88*2%</f>
        <v>5799.9131999999981</v>
      </c>
      <c r="V99" s="67"/>
    </row>
    <row r="100" spans="1:31" x14ac:dyDescent="0.2">
      <c r="I100" s="146" t="s">
        <v>53</v>
      </c>
      <c r="J100" s="146">
        <f>+J97+J98+J99</f>
        <v>388597.93060000002</v>
      </c>
    </row>
    <row r="101" spans="1:31" x14ac:dyDescent="0.2">
      <c r="I101" s="146" t="s">
        <v>388</v>
      </c>
      <c r="J101" s="146">
        <v>0</v>
      </c>
    </row>
    <row r="102" spans="1:31" x14ac:dyDescent="0.2">
      <c r="B102" s="52"/>
      <c r="I102" s="146" t="s">
        <v>54</v>
      </c>
      <c r="J102" s="147">
        <f>(+J100+J101)*0.16</f>
        <v>62175.668896000003</v>
      </c>
    </row>
    <row r="103" spans="1:31" x14ac:dyDescent="0.2">
      <c r="I103" s="146" t="s">
        <v>55</v>
      </c>
      <c r="J103" s="146">
        <f>+J100+J101+J102</f>
        <v>450773.59949600004</v>
      </c>
    </row>
    <row r="105" spans="1:31" ht="15.75" customHeight="1" x14ac:dyDescent="0.2">
      <c r="I105" s="153" t="s">
        <v>648</v>
      </c>
      <c r="J105" s="153"/>
    </row>
    <row r="106" spans="1:31" ht="15.75" x14ac:dyDescent="0.25">
      <c r="I106" s="154" t="s">
        <v>600</v>
      </c>
      <c r="J106" s="154"/>
    </row>
    <row r="107" spans="1:31" x14ac:dyDescent="0.2">
      <c r="I107" s="134" t="s">
        <v>48</v>
      </c>
      <c r="J107" s="135">
        <f>+AF88</f>
        <v>15836.011975687212</v>
      </c>
    </row>
    <row r="108" spans="1:31" x14ac:dyDescent="0.2">
      <c r="I108" s="134" t="s">
        <v>49</v>
      </c>
      <c r="J108" s="135">
        <f>+J107*2%</f>
        <v>316.72023951374422</v>
      </c>
    </row>
    <row r="109" spans="1:31" x14ac:dyDescent="0.2">
      <c r="I109" s="134" t="s">
        <v>50</v>
      </c>
      <c r="J109" s="135">
        <f>+J107+J108</f>
        <v>16152.732215200956</v>
      </c>
    </row>
    <row r="110" spans="1:31" x14ac:dyDescent="0.2">
      <c r="I110" s="134" t="s">
        <v>52</v>
      </c>
      <c r="J110" s="135">
        <f>+J107*2%</f>
        <v>316.72023951374422</v>
      </c>
    </row>
    <row r="111" spans="1:31" ht="15.75" customHeight="1" x14ac:dyDescent="0.2">
      <c r="I111" s="134" t="s">
        <v>53</v>
      </c>
      <c r="J111" s="135">
        <f>+J109+J110</f>
        <v>16469.452454714701</v>
      </c>
    </row>
    <row r="112" spans="1:31" x14ac:dyDescent="0.2">
      <c r="I112" s="134" t="s">
        <v>54</v>
      </c>
      <c r="J112" s="135">
        <f>+J111*16%</f>
        <v>2635.1123927543522</v>
      </c>
    </row>
    <row r="113" spans="9:10" x14ac:dyDescent="0.2">
      <c r="I113" s="134" t="s">
        <v>55</v>
      </c>
      <c r="J113" s="135">
        <f>+J111+J112</f>
        <v>19104.564847469053</v>
      </c>
    </row>
  </sheetData>
  <autoFilter ref="A5:AH103" xr:uid="{00000000-0009-0000-0000-000002000000}"/>
  <sortState xmlns:xlrd2="http://schemas.microsoft.com/office/spreadsheetml/2017/richdata2" ref="A9:AN118">
    <sortCondition ref="X9:X118"/>
  </sortState>
  <mergeCells count="6">
    <mergeCell ref="I105:J105"/>
    <mergeCell ref="I106:J106"/>
    <mergeCell ref="B1:I1"/>
    <mergeCell ref="B2:I2"/>
    <mergeCell ref="B4:I4"/>
    <mergeCell ref="I89:J89"/>
  </mergeCells>
  <pageMargins left="0.7" right="0.7" top="0.75" bottom="0.75" header="0.3" footer="0.3"/>
  <pageSetup orientation="portrait" horizontalDpi="4294967292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119"/>
  <sheetViews>
    <sheetView showGridLines="0" tabSelected="1" zoomScale="90" zoomScaleNormal="90" zoomScaleSheetLayoutView="50" workbookViewId="0">
      <pane xSplit="3" ySplit="2" topLeftCell="D29" activePane="bottomRight" state="frozen"/>
      <selection pane="topRight" activeCell="D1" sqref="D1"/>
      <selection pane="bottomLeft" activeCell="A7" sqref="A7"/>
      <selection pane="bottomRight" activeCell="D104" sqref="D104"/>
    </sheetView>
  </sheetViews>
  <sheetFormatPr baseColWidth="10" defaultColWidth="11.42578125" defaultRowHeight="12.75" x14ac:dyDescent="0.2"/>
  <cols>
    <col min="1" max="1" width="10.85546875" style="51" hidden="1" customWidth="1"/>
    <col min="2" max="2" width="15.28515625" style="51" customWidth="1"/>
    <col min="3" max="3" width="36.5703125" style="51" customWidth="1"/>
    <col min="4" max="7" width="15" style="51" customWidth="1"/>
    <col min="8" max="8" width="17.140625" style="51" customWidth="1"/>
    <col min="9" max="9" width="8" style="138" customWidth="1"/>
    <col min="10" max="10" width="16" style="51" customWidth="1"/>
    <col min="11" max="13" width="15.85546875" style="51" customWidth="1"/>
    <col min="14" max="14" width="19.140625" style="51" customWidth="1"/>
    <col min="15" max="16384" width="11.42578125" style="51"/>
  </cols>
  <sheetData>
    <row r="1" spans="1:14" ht="18.75" x14ac:dyDescent="0.2">
      <c r="D1" s="163" t="s">
        <v>612</v>
      </c>
      <c r="E1" s="163"/>
      <c r="F1" s="163"/>
      <c r="G1" s="163"/>
      <c r="H1" s="163"/>
      <c r="J1" s="163" t="s">
        <v>674</v>
      </c>
      <c r="K1" s="163"/>
      <c r="L1" s="163"/>
      <c r="M1" s="163"/>
      <c r="N1" s="163"/>
    </row>
    <row r="2" spans="1:14" ht="26.25" thickBot="1" x14ac:dyDescent="0.25">
      <c r="A2" s="84" t="s">
        <v>604</v>
      </c>
      <c r="B2" s="84" t="s">
        <v>605</v>
      </c>
      <c r="C2" s="84" t="s">
        <v>3</v>
      </c>
      <c r="D2" s="84" t="s">
        <v>662</v>
      </c>
      <c r="E2" s="84" t="s">
        <v>663</v>
      </c>
      <c r="F2" s="84" t="s">
        <v>619</v>
      </c>
      <c r="G2" s="84" t="s">
        <v>468</v>
      </c>
      <c r="H2" s="136" t="s">
        <v>55</v>
      </c>
      <c r="I2" s="139"/>
      <c r="J2" s="137" t="s">
        <v>606</v>
      </c>
      <c r="K2" s="84" t="s">
        <v>607</v>
      </c>
      <c r="L2" s="84" t="s">
        <v>608</v>
      </c>
      <c r="M2" s="84" t="s">
        <v>609</v>
      </c>
      <c r="N2" s="84" t="s">
        <v>610</v>
      </c>
    </row>
    <row r="3" spans="1:14" ht="13.5" thickTop="1" x14ac:dyDescent="0.2">
      <c r="A3" s="51" t="s">
        <v>665</v>
      </c>
      <c r="B3" s="51" t="s">
        <v>661</v>
      </c>
      <c r="C3" s="51" t="s">
        <v>669</v>
      </c>
      <c r="D3" s="51">
        <f>290.2+630</f>
        <v>920.2</v>
      </c>
      <c r="F3" s="52"/>
      <c r="H3" s="51">
        <f t="shared" ref="H3:H34" si="0">SUM(D3:G3)</f>
        <v>920.2</v>
      </c>
      <c r="J3" s="51">
        <f>VLOOKUP(C3,'IP PITS'!$B$6:$D$86,3,0)</f>
        <v>0</v>
      </c>
      <c r="K3" s="87">
        <v>6000</v>
      </c>
      <c r="L3" s="51">
        <f t="shared" ref="L3:L34" si="1">(((+K3/30)*J3)*30%)</f>
        <v>0</v>
      </c>
      <c r="M3" s="51">
        <f>VLOOKUP(C3,'IP PITS'!$B$6:$I$86,8,0)</f>
        <v>0</v>
      </c>
      <c r="N3" s="51">
        <f t="shared" ref="N3:N34" si="2">+L3-M3</f>
        <v>0</v>
      </c>
    </row>
    <row r="4" spans="1:14" x14ac:dyDescent="0.2">
      <c r="A4" s="51" t="s">
        <v>394</v>
      </c>
      <c r="B4" s="51" t="s">
        <v>661</v>
      </c>
      <c r="C4" s="51" t="s">
        <v>395</v>
      </c>
      <c r="D4" s="51">
        <v>1260.5999999999999</v>
      </c>
      <c r="E4" s="51">
        <v>292.5</v>
      </c>
      <c r="F4" s="52"/>
      <c r="G4" s="51">
        <f t="shared" ref="G4:G35" si="3">+N4</f>
        <v>0</v>
      </c>
      <c r="H4" s="51">
        <f t="shared" si="0"/>
        <v>1553.1</v>
      </c>
      <c r="J4" s="51">
        <f>VLOOKUP(C4,'IP PITS'!$B$6:$D$86,3,0)</f>
        <v>0</v>
      </c>
      <c r="K4" s="87">
        <v>6000</v>
      </c>
      <c r="L4" s="51">
        <f t="shared" si="1"/>
        <v>0</v>
      </c>
      <c r="M4" s="51">
        <f>VLOOKUP(C4,'IP PITS'!$B$6:$I$86,8,0)</f>
        <v>0</v>
      </c>
      <c r="N4" s="51">
        <f t="shared" si="2"/>
        <v>0</v>
      </c>
    </row>
    <row r="5" spans="1:14" x14ac:dyDescent="0.2">
      <c r="A5" s="51" t="s">
        <v>568</v>
      </c>
      <c r="B5" s="51" t="s">
        <v>661</v>
      </c>
      <c r="C5" s="51" t="s">
        <v>569</v>
      </c>
      <c r="D5" s="52">
        <v>180.80000000000018</v>
      </c>
      <c r="E5" s="52">
        <v>618.75</v>
      </c>
      <c r="F5" s="52"/>
      <c r="G5" s="51">
        <f t="shared" si="3"/>
        <v>0</v>
      </c>
      <c r="H5" s="51">
        <f t="shared" si="0"/>
        <v>799.55000000000018</v>
      </c>
      <c r="J5" s="51">
        <f>VLOOKUP(C5,'IP PITS'!$B$6:$D$86,3,0)</f>
        <v>0</v>
      </c>
      <c r="K5" s="87">
        <v>6300</v>
      </c>
      <c r="L5" s="51">
        <f t="shared" si="1"/>
        <v>0</v>
      </c>
      <c r="M5" s="51">
        <f>VLOOKUP(C5,'IP PITS'!$B$6:$I$86,8,0)</f>
        <v>0</v>
      </c>
      <c r="N5" s="51">
        <f t="shared" si="2"/>
        <v>0</v>
      </c>
    </row>
    <row r="6" spans="1:14" x14ac:dyDescent="0.2">
      <c r="A6" s="51" t="s">
        <v>580</v>
      </c>
      <c r="B6" s="51" t="s">
        <v>661</v>
      </c>
      <c r="C6" s="51" t="s">
        <v>581</v>
      </c>
      <c r="D6" s="51">
        <v>3618.2</v>
      </c>
      <c r="E6" s="51">
        <v>1750</v>
      </c>
      <c r="F6" s="52"/>
      <c r="G6" s="51">
        <f t="shared" si="3"/>
        <v>0</v>
      </c>
      <c r="H6" s="51">
        <f t="shared" si="0"/>
        <v>5368.2</v>
      </c>
      <c r="J6" s="51">
        <f>VLOOKUP(C6,'IP PITS'!$B$6:$D$86,3,0)</f>
        <v>0</v>
      </c>
      <c r="K6" s="87">
        <v>12000</v>
      </c>
      <c r="L6" s="51">
        <f t="shared" si="1"/>
        <v>0</v>
      </c>
      <c r="M6" s="51">
        <f>VLOOKUP(C6,'IP PITS'!$B$6:$I$86,8,0)</f>
        <v>0</v>
      </c>
      <c r="N6" s="51">
        <f t="shared" si="2"/>
        <v>0</v>
      </c>
    </row>
    <row r="7" spans="1:14" x14ac:dyDescent="0.2">
      <c r="A7" s="51" t="s">
        <v>101</v>
      </c>
      <c r="B7" s="51" t="s">
        <v>661</v>
      </c>
      <c r="C7" s="51" t="s">
        <v>337</v>
      </c>
      <c r="D7" s="51">
        <v>140.19999999999965</v>
      </c>
      <c r="E7" s="51">
        <v>487.5</v>
      </c>
      <c r="F7" s="52"/>
      <c r="G7" s="51">
        <f t="shared" si="3"/>
        <v>0</v>
      </c>
      <c r="H7" s="51">
        <f t="shared" si="0"/>
        <v>627.69999999999959</v>
      </c>
      <c r="J7" s="51">
        <f>VLOOKUP(C7,'IP PITS'!$B$6:$D$86,3,0)</f>
        <v>0</v>
      </c>
      <c r="K7" s="87">
        <v>6000</v>
      </c>
      <c r="L7" s="51">
        <f t="shared" si="1"/>
        <v>0</v>
      </c>
      <c r="M7" s="51">
        <f>VLOOKUP(C7,'IP PITS'!$B$6:$I$86,8,0)</f>
        <v>0</v>
      </c>
      <c r="N7" s="51">
        <f t="shared" si="2"/>
        <v>0</v>
      </c>
    </row>
    <row r="8" spans="1:14" x14ac:dyDescent="0.2">
      <c r="A8" s="85" t="s">
        <v>17</v>
      </c>
      <c r="B8" s="51" t="s">
        <v>660</v>
      </c>
      <c r="C8" s="51" t="s">
        <v>312</v>
      </c>
      <c r="D8" s="51">
        <v>1562.71</v>
      </c>
      <c r="E8" s="51">
        <v>501</v>
      </c>
      <c r="G8" s="51">
        <f t="shared" si="3"/>
        <v>0</v>
      </c>
      <c r="H8" s="51">
        <f t="shared" si="0"/>
        <v>2063.71</v>
      </c>
      <c r="J8" s="51">
        <f>VLOOKUP(C8,'CPD PITS'!$B$6:$D$24,3,0)</f>
        <v>0</v>
      </c>
      <c r="K8" s="87">
        <v>10150</v>
      </c>
      <c r="L8" s="51">
        <f t="shared" si="1"/>
        <v>0</v>
      </c>
      <c r="M8" s="51">
        <f>VLOOKUP(C8,'CPD PITS'!$B$6:$I$24,8,0)</f>
        <v>0</v>
      </c>
      <c r="N8" s="51">
        <f t="shared" si="2"/>
        <v>0</v>
      </c>
    </row>
    <row r="9" spans="1:14" x14ac:dyDescent="0.2">
      <c r="A9" s="51" t="s">
        <v>27</v>
      </c>
      <c r="B9" s="51" t="s">
        <v>660</v>
      </c>
      <c r="C9" s="51" t="s">
        <v>317</v>
      </c>
      <c r="D9" s="51">
        <v>2108.8499999999995</v>
      </c>
      <c r="G9" s="51">
        <f t="shared" si="3"/>
        <v>0</v>
      </c>
      <c r="H9" s="51">
        <f t="shared" si="0"/>
        <v>2108.8499999999995</v>
      </c>
      <c r="J9" s="51">
        <f>VLOOKUP(C9,'CPD PITS'!$B$6:$D$24,3,0)</f>
        <v>0</v>
      </c>
      <c r="K9" s="87">
        <v>13000</v>
      </c>
      <c r="L9" s="51">
        <f t="shared" si="1"/>
        <v>0</v>
      </c>
      <c r="M9" s="51">
        <f>VLOOKUP(C9,'CPD PITS'!$B$6:$I$24,8,0)</f>
        <v>0</v>
      </c>
      <c r="N9" s="51">
        <f t="shared" si="2"/>
        <v>0</v>
      </c>
    </row>
    <row r="10" spans="1:14" x14ac:dyDescent="0.2">
      <c r="A10" s="51" t="s">
        <v>466</v>
      </c>
      <c r="B10" s="51" t="s">
        <v>661</v>
      </c>
      <c r="C10" s="51" t="s">
        <v>467</v>
      </c>
      <c r="D10" s="51">
        <v>423.29999999999973</v>
      </c>
      <c r="E10" s="51">
        <v>463</v>
      </c>
      <c r="F10" s="52"/>
      <c r="G10" s="51">
        <f t="shared" si="3"/>
        <v>0</v>
      </c>
      <c r="H10" s="51">
        <f t="shared" si="0"/>
        <v>886.29999999999973</v>
      </c>
      <c r="J10" s="51">
        <f>VLOOKUP(C10,'IP PITS'!$B$6:$D$86,3,0)</f>
        <v>0</v>
      </c>
      <c r="K10" s="87">
        <v>8000</v>
      </c>
      <c r="L10" s="51">
        <f t="shared" si="1"/>
        <v>0</v>
      </c>
      <c r="M10" s="51">
        <f>VLOOKUP(C10,'IP PITS'!$B$6:$I$86,8,0)</f>
        <v>0</v>
      </c>
      <c r="N10" s="51">
        <f t="shared" si="2"/>
        <v>0</v>
      </c>
    </row>
    <row r="11" spans="1:14" s="52" customFormat="1" x14ac:dyDescent="0.2">
      <c r="A11" s="51" t="s">
        <v>220</v>
      </c>
      <c r="B11" s="51" t="s">
        <v>660</v>
      </c>
      <c r="C11" s="58" t="s">
        <v>359</v>
      </c>
      <c r="D11" s="51">
        <v>16807.599999999999</v>
      </c>
      <c r="E11" s="51"/>
      <c r="G11" s="51">
        <f t="shared" si="3"/>
        <v>0</v>
      </c>
      <c r="H11" s="51">
        <f t="shared" si="0"/>
        <v>16807.599999999999</v>
      </c>
      <c r="I11" s="138"/>
      <c r="J11" s="51">
        <f>VLOOKUP(C11,'CPD PITS'!$B$6:$D$24,3,0)</f>
        <v>0</v>
      </c>
      <c r="K11" s="87">
        <v>40000</v>
      </c>
      <c r="L11" s="51">
        <f t="shared" si="1"/>
        <v>0</v>
      </c>
      <c r="M11" s="51">
        <f>VLOOKUP(C11,'CPD PITS'!$B$6:$I$24,8,0)</f>
        <v>0</v>
      </c>
      <c r="N11" s="51">
        <f t="shared" si="2"/>
        <v>0</v>
      </c>
    </row>
    <row r="12" spans="1:14" x14ac:dyDescent="0.2">
      <c r="A12" s="51" t="s">
        <v>21</v>
      </c>
      <c r="B12" s="51" t="s">
        <v>660</v>
      </c>
      <c r="C12" s="51" t="s">
        <v>314</v>
      </c>
      <c r="D12" s="51">
        <v>1562.6899999999996</v>
      </c>
      <c r="E12" s="51">
        <v>346</v>
      </c>
      <c r="F12" s="52"/>
      <c r="G12" s="51">
        <f t="shared" si="3"/>
        <v>0</v>
      </c>
      <c r="H12" s="51">
        <f t="shared" si="0"/>
        <v>1908.6899999999996</v>
      </c>
      <c r="J12" s="51">
        <f>VLOOKUP(C12,'CPD PITS'!$B$6:$D$24,3,0)</f>
        <v>0</v>
      </c>
      <c r="K12" s="87">
        <v>10150</v>
      </c>
      <c r="L12" s="51">
        <f t="shared" si="1"/>
        <v>0</v>
      </c>
      <c r="M12" s="51">
        <f>VLOOKUP(C12,'CPD PITS'!$B$6:$I$24,8,0)</f>
        <v>0</v>
      </c>
      <c r="N12" s="51">
        <f t="shared" si="2"/>
        <v>0</v>
      </c>
    </row>
    <row r="13" spans="1:14" x14ac:dyDescent="0.2">
      <c r="A13" s="51" t="s">
        <v>41</v>
      </c>
      <c r="B13" s="51" t="s">
        <v>660</v>
      </c>
      <c r="C13" s="51" t="s">
        <v>133</v>
      </c>
      <c r="D13" s="51">
        <v>1612.9</v>
      </c>
      <c r="E13" s="52">
        <v>357</v>
      </c>
      <c r="F13" s="52"/>
      <c r="G13" s="51">
        <f t="shared" si="3"/>
        <v>0</v>
      </c>
      <c r="H13" s="51">
        <f t="shared" si="0"/>
        <v>1969.9</v>
      </c>
      <c r="J13" s="51">
        <f>VLOOKUP(C13,'CPD PITS'!$B$6:$D$24,3,0)</f>
        <v>0</v>
      </c>
      <c r="K13" s="87">
        <v>10250</v>
      </c>
      <c r="L13" s="51">
        <f t="shared" si="1"/>
        <v>0</v>
      </c>
      <c r="M13" s="51">
        <f>VLOOKUP(C13,'CPD PITS'!$B$6:$I$24,8,0)</f>
        <v>0</v>
      </c>
      <c r="N13" s="51">
        <f t="shared" si="2"/>
        <v>0</v>
      </c>
    </row>
    <row r="14" spans="1:14" x14ac:dyDescent="0.2">
      <c r="A14" s="51" t="s">
        <v>570</v>
      </c>
      <c r="B14" s="51" t="s">
        <v>661</v>
      </c>
      <c r="C14" s="51" t="s">
        <v>571</v>
      </c>
      <c r="D14" s="52">
        <v>1142.7999999999997</v>
      </c>
      <c r="E14" s="52">
        <v>480</v>
      </c>
      <c r="F14" s="52"/>
      <c r="G14" s="51">
        <f t="shared" si="3"/>
        <v>0</v>
      </c>
      <c r="H14" s="51">
        <f t="shared" si="0"/>
        <v>1622.7999999999997</v>
      </c>
      <c r="J14" s="51">
        <f>VLOOKUP(C14,'IP PITS'!$B$6:$D$86,3,0)</f>
        <v>0</v>
      </c>
      <c r="K14" s="87">
        <v>6300</v>
      </c>
      <c r="L14" s="51">
        <f t="shared" si="1"/>
        <v>0</v>
      </c>
      <c r="M14" s="51">
        <f>VLOOKUP(C14,'IP PITS'!$B$6:$I$86,8,0)</f>
        <v>0</v>
      </c>
      <c r="N14" s="51">
        <f t="shared" si="2"/>
        <v>0</v>
      </c>
    </row>
    <row r="15" spans="1:14" x14ac:dyDescent="0.2">
      <c r="A15" s="51" t="s">
        <v>23</v>
      </c>
      <c r="B15" s="51" t="s">
        <v>660</v>
      </c>
      <c r="C15" s="58" t="s">
        <v>315</v>
      </c>
      <c r="D15" s="51">
        <v>1896.8000000000002</v>
      </c>
      <c r="F15" s="52"/>
      <c r="G15" s="51">
        <f t="shared" si="3"/>
        <v>0</v>
      </c>
      <c r="H15" s="51">
        <f t="shared" si="0"/>
        <v>1896.8000000000002</v>
      </c>
      <c r="J15" s="51">
        <f>VLOOKUP(C15,'CPD PITS'!$B$6:$D$24,3,0)</f>
        <v>0</v>
      </c>
      <c r="K15" s="87">
        <v>12000</v>
      </c>
      <c r="L15" s="51">
        <f t="shared" si="1"/>
        <v>0</v>
      </c>
      <c r="M15" s="51">
        <f>VLOOKUP(C15,'CPD PITS'!$B$6:$I$24,8,0)</f>
        <v>0</v>
      </c>
      <c r="N15" s="51">
        <f t="shared" si="2"/>
        <v>0</v>
      </c>
    </row>
    <row r="16" spans="1:14" x14ac:dyDescent="0.2">
      <c r="A16" s="51" t="s">
        <v>445</v>
      </c>
      <c r="B16" s="51" t="s">
        <v>661</v>
      </c>
      <c r="C16" s="51" t="s">
        <v>446</v>
      </c>
      <c r="D16" s="51">
        <v>1827.5149999999999</v>
      </c>
      <c r="E16" s="51">
        <v>150</v>
      </c>
      <c r="F16" s="52"/>
      <c r="G16" s="51">
        <f t="shared" si="3"/>
        <v>0</v>
      </c>
      <c r="H16" s="51">
        <f t="shared" si="0"/>
        <v>1977.5149999999999</v>
      </c>
      <c r="J16" s="51">
        <f>VLOOKUP(C16,'IP PITS'!$B$6:$D$86,3,0)</f>
        <v>0</v>
      </c>
      <c r="K16" s="87">
        <v>7505.99</v>
      </c>
      <c r="L16" s="51">
        <f t="shared" si="1"/>
        <v>0</v>
      </c>
      <c r="M16" s="51">
        <f>VLOOKUP(C16,'IP PITS'!$B$6:$I$86,8,0)</f>
        <v>0</v>
      </c>
      <c r="N16" s="51">
        <f t="shared" si="2"/>
        <v>0</v>
      </c>
    </row>
    <row r="17" spans="1:14" x14ac:dyDescent="0.2">
      <c r="A17" s="52" t="s">
        <v>407</v>
      </c>
      <c r="B17" s="51" t="s">
        <v>661</v>
      </c>
      <c r="C17" s="52" t="s">
        <v>408</v>
      </c>
      <c r="D17" s="51">
        <v>140.40000000000009</v>
      </c>
      <c r="E17" s="51">
        <v>1500</v>
      </c>
      <c r="F17" s="52"/>
      <c r="G17" s="51">
        <f t="shared" si="3"/>
        <v>0</v>
      </c>
      <c r="H17" s="51">
        <f t="shared" si="0"/>
        <v>1640.4</v>
      </c>
      <c r="J17" s="51">
        <f>VLOOKUP(C17,'IP PITS'!$B$6:$D$86,3,0)</f>
        <v>1</v>
      </c>
      <c r="K17" s="87">
        <v>6000</v>
      </c>
      <c r="L17" s="51">
        <f t="shared" si="1"/>
        <v>60</v>
      </c>
      <c r="M17" s="51">
        <f>VLOOKUP(C17,'IP PITS'!$B$6:$I$86,8,0)</f>
        <v>60</v>
      </c>
      <c r="N17" s="51">
        <f t="shared" si="2"/>
        <v>0</v>
      </c>
    </row>
    <row r="18" spans="1:14" x14ac:dyDescent="0.2">
      <c r="A18" s="51" t="s">
        <v>495</v>
      </c>
      <c r="B18" s="51" t="s">
        <v>661</v>
      </c>
      <c r="C18" s="51" t="s">
        <v>383</v>
      </c>
      <c r="D18" s="51">
        <v>3727.0999999999995</v>
      </c>
      <c r="E18" s="51">
        <v>208.5</v>
      </c>
      <c r="F18" s="52"/>
      <c r="G18" s="51">
        <f t="shared" si="3"/>
        <v>0</v>
      </c>
      <c r="H18" s="51">
        <f t="shared" si="0"/>
        <v>3935.5999999999995</v>
      </c>
      <c r="J18" s="51">
        <f>VLOOKUP(C18,'IP PITS'!$B$6:$D$86,3,0)</f>
        <v>0</v>
      </c>
      <c r="K18" s="87">
        <v>14000</v>
      </c>
      <c r="L18" s="51">
        <f t="shared" si="1"/>
        <v>0</v>
      </c>
      <c r="M18" s="51">
        <f>VLOOKUP(C18,'IP PITS'!$B$6:$I$86,8,0)</f>
        <v>0</v>
      </c>
      <c r="N18" s="51">
        <f t="shared" si="2"/>
        <v>0</v>
      </c>
    </row>
    <row r="19" spans="1:14" x14ac:dyDescent="0.2">
      <c r="A19" s="51" t="s">
        <v>512</v>
      </c>
      <c r="B19" s="51" t="s">
        <v>661</v>
      </c>
      <c r="C19" s="51" t="s">
        <v>676</v>
      </c>
      <c r="D19" s="51">
        <v>2557.6</v>
      </c>
      <c r="E19" s="51">
        <v>200</v>
      </c>
      <c r="F19" s="52"/>
      <c r="G19" s="51">
        <f t="shared" si="3"/>
        <v>0</v>
      </c>
      <c r="H19" s="51">
        <f t="shared" si="0"/>
        <v>2757.6</v>
      </c>
      <c r="J19" s="51">
        <f>VLOOKUP(C19,'IP PITS'!$B$6:$D$86,3,0)</f>
        <v>0</v>
      </c>
      <c r="K19" s="87">
        <v>10000</v>
      </c>
      <c r="L19" s="51">
        <f t="shared" si="1"/>
        <v>0</v>
      </c>
      <c r="M19" s="51">
        <f>VLOOKUP(C19,'IP PITS'!$B$6:$I$86,8,0)</f>
        <v>0</v>
      </c>
      <c r="N19" s="51">
        <f t="shared" si="2"/>
        <v>0</v>
      </c>
    </row>
    <row r="20" spans="1:14" x14ac:dyDescent="0.2">
      <c r="A20" s="51" t="s">
        <v>503</v>
      </c>
      <c r="B20" s="51" t="s">
        <v>661</v>
      </c>
      <c r="C20" s="51" t="s">
        <v>420</v>
      </c>
      <c r="D20" s="51">
        <v>2673.3999999999996</v>
      </c>
      <c r="E20" s="51">
        <v>1054.5</v>
      </c>
      <c r="F20" s="52"/>
      <c r="G20" s="51">
        <f t="shared" si="3"/>
        <v>0</v>
      </c>
      <c r="H20" s="51">
        <f t="shared" si="0"/>
        <v>3727.8999999999996</v>
      </c>
      <c r="J20" s="51">
        <f>VLOOKUP(C20,'IP PITS'!$B$6:$D$86,3,0)</f>
        <v>0</v>
      </c>
      <c r="K20" s="87">
        <v>12000</v>
      </c>
      <c r="L20" s="51">
        <f t="shared" si="1"/>
        <v>0</v>
      </c>
      <c r="M20" s="51">
        <f>VLOOKUP(C20,'IP PITS'!$B$6:$I$86,8,0)</f>
        <v>0</v>
      </c>
      <c r="N20" s="51">
        <f t="shared" si="2"/>
        <v>0</v>
      </c>
    </row>
    <row r="21" spans="1:14" x14ac:dyDescent="0.2">
      <c r="A21" s="51" t="s">
        <v>596</v>
      </c>
      <c r="B21" s="51" t="s">
        <v>661</v>
      </c>
      <c r="C21" s="51" t="s">
        <v>597</v>
      </c>
      <c r="D21" s="51">
        <v>228.59999999999991</v>
      </c>
      <c r="F21" s="52"/>
      <c r="G21" s="51">
        <f t="shared" si="3"/>
        <v>0</v>
      </c>
      <c r="H21" s="51">
        <f t="shared" si="0"/>
        <v>228.59999999999991</v>
      </c>
      <c r="J21" s="51">
        <f>VLOOKUP(C21,'IP PITS'!$B$6:$D$86,3,0)</f>
        <v>0</v>
      </c>
      <c r="K21" s="87">
        <v>7000</v>
      </c>
      <c r="L21" s="51">
        <f t="shared" si="1"/>
        <v>0</v>
      </c>
      <c r="M21" s="51">
        <f>VLOOKUP(C21,'IP PITS'!$B$6:$I$86,8,0)</f>
        <v>0</v>
      </c>
      <c r="N21" s="51">
        <f t="shared" si="2"/>
        <v>0</v>
      </c>
    </row>
    <row r="22" spans="1:14" x14ac:dyDescent="0.2">
      <c r="A22" s="51" t="s">
        <v>404</v>
      </c>
      <c r="B22" s="51" t="s">
        <v>661</v>
      </c>
      <c r="C22" s="51" t="s">
        <v>400</v>
      </c>
      <c r="D22" s="51">
        <v>1060.3999999999999</v>
      </c>
      <c r="E22" s="51">
        <v>675</v>
      </c>
      <c r="F22" s="52"/>
      <c r="G22" s="51">
        <f t="shared" si="3"/>
        <v>0</v>
      </c>
      <c r="H22" s="51">
        <f t="shared" si="0"/>
        <v>1735.3999999999999</v>
      </c>
      <c r="J22" s="51">
        <f>VLOOKUP(C22,'IP PITS'!$B$6:$D$86,3,0)</f>
        <v>0</v>
      </c>
      <c r="K22" s="87">
        <v>14000</v>
      </c>
      <c r="L22" s="51">
        <f t="shared" si="1"/>
        <v>0</v>
      </c>
      <c r="M22" s="51">
        <f>VLOOKUP(C22,'IP PITS'!$B$6:$I$86,8,0)</f>
        <v>0</v>
      </c>
      <c r="N22" s="51">
        <f t="shared" si="2"/>
        <v>0</v>
      </c>
    </row>
    <row r="23" spans="1:14" x14ac:dyDescent="0.2">
      <c r="A23" s="51" t="s">
        <v>520</v>
      </c>
      <c r="B23" s="51" t="s">
        <v>661</v>
      </c>
      <c r="C23" s="51" t="s">
        <v>521</v>
      </c>
      <c r="D23" s="51">
        <v>387.54</v>
      </c>
      <c r="E23" s="51">
        <v>224.25</v>
      </c>
      <c r="F23" s="52"/>
      <c r="G23" s="51">
        <f t="shared" si="3"/>
        <v>0</v>
      </c>
      <c r="H23" s="51">
        <f t="shared" si="0"/>
        <v>611.79</v>
      </c>
      <c r="J23" s="51">
        <f>VLOOKUP(C23,'IP PITS'!$B$6:$D$86,3,0)</f>
        <v>1</v>
      </c>
      <c r="K23" s="87">
        <v>8000</v>
      </c>
      <c r="L23" s="51">
        <f t="shared" si="1"/>
        <v>80</v>
      </c>
      <c r="M23" s="51">
        <f>VLOOKUP(C23,'IP PITS'!$B$6:$I$86,8,0)</f>
        <v>80</v>
      </c>
      <c r="N23" s="51">
        <f t="shared" si="2"/>
        <v>0</v>
      </c>
    </row>
    <row r="24" spans="1:14" x14ac:dyDescent="0.2">
      <c r="A24" s="51" t="s">
        <v>439</v>
      </c>
      <c r="B24" s="51" t="s">
        <v>661</v>
      </c>
      <c r="C24" s="51" t="s">
        <v>440</v>
      </c>
      <c r="D24" s="51">
        <v>602.39999999999952</v>
      </c>
      <c r="E24" s="51">
        <v>121.5</v>
      </c>
      <c r="F24" s="52"/>
      <c r="G24" s="51">
        <f t="shared" si="3"/>
        <v>0</v>
      </c>
      <c r="H24" s="51">
        <f t="shared" si="0"/>
        <v>723.89999999999952</v>
      </c>
      <c r="J24" s="51">
        <f>VLOOKUP(C24,'IP PITS'!$B$6:$D$86,3,0)</f>
        <v>0</v>
      </c>
      <c r="K24" s="87">
        <v>10000</v>
      </c>
      <c r="L24" s="51">
        <f t="shared" si="1"/>
        <v>0</v>
      </c>
      <c r="M24" s="51">
        <f>VLOOKUP(C24,'IP PITS'!$B$6:$I$86,8,0)</f>
        <v>0</v>
      </c>
      <c r="N24" s="51">
        <f t="shared" si="2"/>
        <v>0</v>
      </c>
    </row>
    <row r="25" spans="1:14" x14ac:dyDescent="0.2">
      <c r="A25" s="51" t="s">
        <v>588</v>
      </c>
      <c r="B25" s="51" t="s">
        <v>661</v>
      </c>
      <c r="C25" s="51" t="s">
        <v>589</v>
      </c>
      <c r="D25" s="51">
        <v>107.2</v>
      </c>
      <c r="F25" s="52"/>
      <c r="G25" s="51">
        <f t="shared" si="3"/>
        <v>0</v>
      </c>
      <c r="H25" s="51">
        <f t="shared" si="0"/>
        <v>107.2</v>
      </c>
      <c r="J25" s="51">
        <f>VLOOKUP(C25,'IP PITS'!$B$6:$D$86,3,0)</f>
        <v>0</v>
      </c>
      <c r="K25" s="87">
        <v>6300</v>
      </c>
      <c r="L25" s="51">
        <f t="shared" si="1"/>
        <v>0</v>
      </c>
      <c r="M25" s="51">
        <f>VLOOKUP(C25,'IP PITS'!$B$6:$I$86,8,0)</f>
        <v>0</v>
      </c>
      <c r="N25" s="51">
        <f t="shared" si="2"/>
        <v>0</v>
      </c>
    </row>
    <row r="26" spans="1:14" x14ac:dyDescent="0.2">
      <c r="A26" s="51" t="s">
        <v>77</v>
      </c>
      <c r="B26" s="51" t="s">
        <v>661</v>
      </c>
      <c r="C26" s="51" t="s">
        <v>590</v>
      </c>
      <c r="D26" s="51">
        <v>139</v>
      </c>
      <c r="E26" s="51">
        <v>378</v>
      </c>
      <c r="F26" s="52"/>
      <c r="G26" s="51">
        <f t="shared" si="3"/>
        <v>0</v>
      </c>
      <c r="H26" s="51">
        <f t="shared" si="0"/>
        <v>517</v>
      </c>
      <c r="J26" s="51">
        <f>VLOOKUP(C26,'IP PITS'!$B$6:$D$86,3,0)</f>
        <v>0</v>
      </c>
      <c r="K26" s="87">
        <v>6000</v>
      </c>
      <c r="L26" s="51">
        <f t="shared" si="1"/>
        <v>0</v>
      </c>
      <c r="M26" s="51">
        <f>VLOOKUP(C26,'IP PITS'!$B$6:$I$86,8,0)</f>
        <v>0</v>
      </c>
      <c r="N26" s="51">
        <f t="shared" si="2"/>
        <v>0</v>
      </c>
    </row>
    <row r="27" spans="1:14" x14ac:dyDescent="0.2">
      <c r="A27" s="51" t="s">
        <v>368</v>
      </c>
      <c r="B27" s="51" t="s">
        <v>661</v>
      </c>
      <c r="C27" s="51" t="s">
        <v>686</v>
      </c>
      <c r="D27" s="51">
        <v>56.599999999999909</v>
      </c>
      <c r="E27" s="51">
        <v>395.5</v>
      </c>
      <c r="F27" s="52"/>
      <c r="G27" s="51">
        <f t="shared" si="3"/>
        <v>0</v>
      </c>
      <c r="H27" s="51">
        <f t="shared" si="0"/>
        <v>452.09999999999991</v>
      </c>
      <c r="J27" s="51">
        <f>VLOOKUP(C27,'IP PITS'!$B$6:$D$86,3,0)</f>
        <v>0</v>
      </c>
      <c r="K27" s="87">
        <v>5000</v>
      </c>
      <c r="L27" s="51">
        <f t="shared" si="1"/>
        <v>0</v>
      </c>
      <c r="M27" s="51">
        <f>VLOOKUP(C27,'IP PITS'!$B$6:$I$86,8,0)</f>
        <v>0</v>
      </c>
      <c r="N27" s="51">
        <f t="shared" si="2"/>
        <v>0</v>
      </c>
    </row>
    <row r="28" spans="1:14" x14ac:dyDescent="0.2">
      <c r="A28" s="51" t="s">
        <v>505</v>
      </c>
      <c r="B28" s="51" t="s">
        <v>661</v>
      </c>
      <c r="C28" s="51" t="s">
        <v>422</v>
      </c>
      <c r="D28" s="51">
        <v>1673.44</v>
      </c>
      <c r="E28" s="51">
        <v>226.5</v>
      </c>
      <c r="F28" s="52"/>
      <c r="G28" s="51">
        <f t="shared" si="3"/>
        <v>0</v>
      </c>
      <c r="H28" s="51">
        <f t="shared" si="0"/>
        <v>1899.94</v>
      </c>
      <c r="J28" s="51">
        <f>VLOOKUP(C28,'IP PITS'!$B$6:$D$86,3,0)</f>
        <v>0</v>
      </c>
      <c r="K28" s="87">
        <v>10000</v>
      </c>
      <c r="L28" s="51">
        <f t="shared" si="1"/>
        <v>0</v>
      </c>
      <c r="M28" s="51">
        <f>VLOOKUP(C28,'IP PITS'!$B$6:$I$86,8,0)</f>
        <v>0</v>
      </c>
      <c r="N28" s="51">
        <f t="shared" si="2"/>
        <v>0</v>
      </c>
    </row>
    <row r="29" spans="1:14" x14ac:dyDescent="0.2">
      <c r="A29" s="51" t="s">
        <v>482</v>
      </c>
      <c r="B29" s="51" t="s">
        <v>661</v>
      </c>
      <c r="C29" s="51" t="s">
        <v>480</v>
      </c>
      <c r="D29" s="51">
        <v>423</v>
      </c>
      <c r="E29" s="51">
        <v>474</v>
      </c>
      <c r="F29" s="52"/>
      <c r="G29" s="51">
        <f t="shared" si="3"/>
        <v>0</v>
      </c>
      <c r="H29" s="51">
        <f t="shared" si="0"/>
        <v>897</v>
      </c>
      <c r="J29" s="51">
        <f>VLOOKUP(C29,'IP PITS'!$B$6:$D$86,3,0)</f>
        <v>0</v>
      </c>
      <c r="K29" s="87">
        <v>8000</v>
      </c>
      <c r="L29" s="51">
        <f t="shared" si="1"/>
        <v>0</v>
      </c>
      <c r="M29" s="51">
        <f>VLOOKUP(C29,'IP PITS'!$B$6:$I$86,8,0)</f>
        <v>0</v>
      </c>
      <c r="N29" s="51">
        <f t="shared" si="2"/>
        <v>0</v>
      </c>
    </row>
    <row r="30" spans="1:14" s="52" customFormat="1" x14ac:dyDescent="0.2">
      <c r="A30" s="51" t="s">
        <v>39</v>
      </c>
      <c r="B30" s="51" t="s">
        <v>660</v>
      </c>
      <c r="C30" s="51" t="s">
        <v>324</v>
      </c>
      <c r="D30" s="51">
        <v>1562.7500000000005</v>
      </c>
      <c r="E30" s="51">
        <v>243.5</v>
      </c>
      <c r="G30" s="51">
        <f t="shared" si="3"/>
        <v>45.749999999999986</v>
      </c>
      <c r="H30" s="51">
        <f t="shared" si="0"/>
        <v>1852.0000000000005</v>
      </c>
      <c r="I30" s="138"/>
      <c r="J30" s="51">
        <f>VLOOKUP(C30,'CPD PITS'!$B$6:$D$24,3,0)</f>
        <v>1</v>
      </c>
      <c r="K30" s="87">
        <v>10150</v>
      </c>
      <c r="L30" s="51">
        <f t="shared" si="1"/>
        <v>101.49999999999999</v>
      </c>
      <c r="M30" s="51">
        <f>VLOOKUP(C30,'CPD PITS'!$B$6:$I$24,8,0)</f>
        <v>55.75</v>
      </c>
      <c r="N30" s="51">
        <f t="shared" si="2"/>
        <v>45.749999999999986</v>
      </c>
    </row>
    <row r="31" spans="1:14" x14ac:dyDescent="0.2">
      <c r="A31" s="51" t="s">
        <v>574</v>
      </c>
      <c r="B31" s="51" t="s">
        <v>661</v>
      </c>
      <c r="C31" s="51" t="s">
        <v>575</v>
      </c>
      <c r="D31" s="52">
        <v>1744.6</v>
      </c>
      <c r="E31" s="52">
        <v>400</v>
      </c>
      <c r="F31" s="52"/>
      <c r="G31" s="51">
        <f t="shared" si="3"/>
        <v>0</v>
      </c>
      <c r="H31" s="51">
        <f t="shared" si="0"/>
        <v>2144.6</v>
      </c>
      <c r="J31" s="51">
        <f>VLOOKUP(C31,'IP PITS'!$B$6:$D$86,3,0)</f>
        <v>0</v>
      </c>
      <c r="K31" s="87">
        <v>6000</v>
      </c>
      <c r="L31" s="51">
        <f t="shared" si="1"/>
        <v>0</v>
      </c>
      <c r="M31" s="51">
        <f>VLOOKUP(C31,'IP PITS'!$B$6:$I$86,8,0)</f>
        <v>0</v>
      </c>
      <c r="N31" s="51">
        <f t="shared" si="2"/>
        <v>0</v>
      </c>
    </row>
    <row r="32" spans="1:14" x14ac:dyDescent="0.2">
      <c r="A32" s="51" t="s">
        <v>602</v>
      </c>
      <c r="B32" s="51" t="s">
        <v>661</v>
      </c>
      <c r="C32" s="51" t="s">
        <v>603</v>
      </c>
      <c r="D32" s="51">
        <v>194.5199999999997</v>
      </c>
      <c r="F32" s="52"/>
      <c r="G32" s="51">
        <f t="shared" si="3"/>
        <v>0</v>
      </c>
      <c r="H32" s="51">
        <f t="shared" si="0"/>
        <v>194.5199999999997</v>
      </c>
      <c r="J32" s="51">
        <f>VLOOKUP(C32,'IP PITS'!$B$6:$D$86,3,0)</f>
        <v>0</v>
      </c>
      <c r="K32" s="87">
        <v>6300</v>
      </c>
      <c r="L32" s="51">
        <f t="shared" si="1"/>
        <v>0</v>
      </c>
      <c r="M32" s="51">
        <f>VLOOKUP(C32,'IP PITS'!$B$6:$I$86,8,0)</f>
        <v>0</v>
      </c>
      <c r="N32" s="51">
        <f t="shared" si="2"/>
        <v>0</v>
      </c>
    </row>
    <row r="33" spans="1:14" x14ac:dyDescent="0.2">
      <c r="A33" s="51" t="s">
        <v>219</v>
      </c>
      <c r="B33" s="51" t="s">
        <v>661</v>
      </c>
      <c r="C33" s="51" t="s">
        <v>355</v>
      </c>
      <c r="D33" s="51">
        <v>1423.33</v>
      </c>
      <c r="E33" s="51">
        <v>1250</v>
      </c>
      <c r="F33" s="52"/>
      <c r="G33" s="51">
        <f t="shared" si="3"/>
        <v>0</v>
      </c>
      <c r="H33" s="51">
        <f t="shared" si="0"/>
        <v>2673.33</v>
      </c>
      <c r="J33" s="51">
        <f>VLOOKUP(C33,'IP PITS'!$B$6:$D$86,3,0)</f>
        <v>0</v>
      </c>
      <c r="K33" s="87">
        <v>10000</v>
      </c>
      <c r="L33" s="51">
        <f t="shared" si="1"/>
        <v>0</v>
      </c>
      <c r="M33" s="51">
        <f>VLOOKUP(C33,'IP PITS'!$B$6:$I$86,8,0)</f>
        <v>0</v>
      </c>
      <c r="N33" s="51">
        <f t="shared" si="2"/>
        <v>0</v>
      </c>
    </row>
    <row r="34" spans="1:14" x14ac:dyDescent="0.2">
      <c r="A34" s="51" t="s">
        <v>471</v>
      </c>
      <c r="B34" s="51" t="s">
        <v>661</v>
      </c>
      <c r="C34" s="51" t="s">
        <v>687</v>
      </c>
      <c r="D34" s="51">
        <v>140.40000000000029</v>
      </c>
      <c r="E34" s="51">
        <v>292.5</v>
      </c>
      <c r="F34" s="52"/>
      <c r="G34" s="51">
        <f t="shared" si="3"/>
        <v>0</v>
      </c>
      <c r="H34" s="51">
        <f t="shared" si="0"/>
        <v>432.90000000000032</v>
      </c>
      <c r="J34" s="51">
        <f>VLOOKUP(C34,'IP PITS'!$B$6:$D$86,3,0)</f>
        <v>0</v>
      </c>
      <c r="K34" s="87">
        <v>6000</v>
      </c>
      <c r="L34" s="51">
        <f t="shared" si="1"/>
        <v>0</v>
      </c>
      <c r="M34" s="51">
        <f>VLOOKUP(C34,'IP PITS'!$B$6:$I$86,8,0)</f>
        <v>0</v>
      </c>
      <c r="N34" s="51">
        <f t="shared" si="2"/>
        <v>0</v>
      </c>
    </row>
    <row r="35" spans="1:14" x14ac:dyDescent="0.2">
      <c r="A35" s="51" t="s">
        <v>494</v>
      </c>
      <c r="B35" s="51" t="s">
        <v>661</v>
      </c>
      <c r="C35" s="51" t="s">
        <v>382</v>
      </c>
      <c r="D35" s="51">
        <v>3727</v>
      </c>
      <c r="E35" s="51">
        <v>166.67</v>
      </c>
      <c r="F35" s="52"/>
      <c r="G35" s="51">
        <f t="shared" si="3"/>
        <v>0</v>
      </c>
      <c r="H35" s="51">
        <f t="shared" ref="H35:H66" si="4">SUM(D35:G35)</f>
        <v>3893.67</v>
      </c>
      <c r="J35" s="51">
        <f>VLOOKUP(C35,'IP PITS'!$B$6:$D$86,3,0)</f>
        <v>0</v>
      </c>
      <c r="K35" s="87">
        <v>14000</v>
      </c>
      <c r="L35" s="51">
        <f t="shared" ref="L35:L66" si="5">(((+K35/30)*J35)*30%)</f>
        <v>0</v>
      </c>
      <c r="M35" s="51">
        <f>VLOOKUP(C35,'IP PITS'!$B$6:$I$86,8,0)</f>
        <v>0</v>
      </c>
      <c r="N35" s="51">
        <f t="shared" ref="N35:N66" si="6">+L35-M35</f>
        <v>0</v>
      </c>
    </row>
    <row r="36" spans="1:14" x14ac:dyDescent="0.2">
      <c r="A36" s="51" t="s">
        <v>427</v>
      </c>
      <c r="B36" s="51" t="s">
        <v>661</v>
      </c>
      <c r="C36" s="51" t="s">
        <v>428</v>
      </c>
      <c r="D36" s="63">
        <v>423</v>
      </c>
      <c r="E36" s="63">
        <v>287</v>
      </c>
      <c r="F36" s="52"/>
      <c r="G36" s="51">
        <f t="shared" ref="G36:G69" si="7">+N36</f>
        <v>0</v>
      </c>
      <c r="H36" s="51">
        <f t="shared" si="4"/>
        <v>710</v>
      </c>
      <c r="J36" s="51">
        <f>VLOOKUP(C36,'IP PITS'!$B$6:$D$86,3,0)</f>
        <v>0</v>
      </c>
      <c r="K36" s="87">
        <v>8000</v>
      </c>
      <c r="L36" s="51">
        <f t="shared" si="5"/>
        <v>0</v>
      </c>
      <c r="M36" s="51">
        <f>VLOOKUP(C36,'IP PITS'!$B$6:$I$86,8,0)</f>
        <v>0</v>
      </c>
      <c r="N36" s="51">
        <f t="shared" si="6"/>
        <v>0</v>
      </c>
    </row>
    <row r="37" spans="1:14" x14ac:dyDescent="0.2">
      <c r="A37" s="51" t="s">
        <v>447</v>
      </c>
      <c r="B37" s="51" t="s">
        <v>661</v>
      </c>
      <c r="C37" s="51" t="s">
        <v>448</v>
      </c>
      <c r="D37" s="51">
        <v>458.20500000000038</v>
      </c>
      <c r="E37" s="51">
        <v>1200</v>
      </c>
      <c r="F37" s="52"/>
      <c r="G37" s="51">
        <f t="shared" si="7"/>
        <v>0</v>
      </c>
      <c r="H37" s="51">
        <f t="shared" si="4"/>
        <v>1658.2050000000004</v>
      </c>
      <c r="J37" s="51">
        <f>VLOOKUP(C37,'IP PITS'!$B$6:$D$86,3,0)</f>
        <v>0</v>
      </c>
      <c r="K37" s="87">
        <v>8500.01</v>
      </c>
      <c r="L37" s="51">
        <f t="shared" si="5"/>
        <v>0</v>
      </c>
      <c r="M37" s="51">
        <f>VLOOKUP(C37,'IP PITS'!$B$6:$I$86,8,0)</f>
        <v>0</v>
      </c>
      <c r="N37" s="51">
        <f t="shared" si="6"/>
        <v>0</v>
      </c>
    </row>
    <row r="38" spans="1:14" x14ac:dyDescent="0.2">
      <c r="A38" s="51" t="s">
        <v>504</v>
      </c>
      <c r="B38" s="51" t="s">
        <v>661</v>
      </c>
      <c r="C38" s="51" t="s">
        <v>421</v>
      </c>
      <c r="D38" s="51">
        <v>3140.2</v>
      </c>
      <c r="E38" s="51">
        <v>399.5</v>
      </c>
      <c r="F38" s="52"/>
      <c r="G38" s="51">
        <f t="shared" si="7"/>
        <v>0</v>
      </c>
      <c r="H38" s="51">
        <f t="shared" si="4"/>
        <v>3539.7</v>
      </c>
      <c r="J38" s="51">
        <f>VLOOKUP(C38,'IP PITS'!$B$6:$D$86,3,0)</f>
        <v>0</v>
      </c>
      <c r="K38" s="87">
        <v>12000</v>
      </c>
      <c r="L38" s="51">
        <f t="shared" si="5"/>
        <v>0</v>
      </c>
      <c r="M38" s="51">
        <f>VLOOKUP(C38,'IP PITS'!$B$6:$I$86,8,0)</f>
        <v>0</v>
      </c>
      <c r="N38" s="51">
        <f t="shared" si="6"/>
        <v>0</v>
      </c>
    </row>
    <row r="39" spans="1:14" x14ac:dyDescent="0.2">
      <c r="A39" s="51" t="s">
        <v>19</v>
      </c>
      <c r="B39" s="51" t="s">
        <v>660</v>
      </c>
      <c r="C39" s="51" t="s">
        <v>313</v>
      </c>
      <c r="D39" s="51">
        <v>2607.2000000000003</v>
      </c>
      <c r="E39" s="51">
        <v>216.5</v>
      </c>
      <c r="F39" s="52"/>
      <c r="G39" s="51">
        <f t="shared" si="7"/>
        <v>0</v>
      </c>
      <c r="H39" s="51">
        <f t="shared" si="4"/>
        <v>2823.7000000000003</v>
      </c>
      <c r="J39" s="51">
        <f>VLOOKUP(C39,'CPD PITS'!$B$6:$D$24,3,0)</f>
        <v>0</v>
      </c>
      <c r="K39" s="87">
        <v>15000</v>
      </c>
      <c r="L39" s="51">
        <f t="shared" si="5"/>
        <v>0</v>
      </c>
      <c r="M39" s="51">
        <f>VLOOKUP(C39,'CPD PITS'!$B$6:$I$24,8,0)</f>
        <v>0</v>
      </c>
      <c r="N39" s="51">
        <f t="shared" si="6"/>
        <v>0</v>
      </c>
    </row>
    <row r="40" spans="1:14" x14ac:dyDescent="0.2">
      <c r="A40" s="51" t="s">
        <v>578</v>
      </c>
      <c r="B40" s="51" t="s">
        <v>661</v>
      </c>
      <c r="C40" s="51" t="s">
        <v>579</v>
      </c>
      <c r="D40" s="51">
        <v>139.19999999999965</v>
      </c>
      <c r="E40" s="51">
        <v>292.5</v>
      </c>
      <c r="F40" s="52"/>
      <c r="G40" s="51">
        <f t="shared" si="7"/>
        <v>0</v>
      </c>
      <c r="H40" s="51">
        <f t="shared" si="4"/>
        <v>431.69999999999965</v>
      </c>
      <c r="J40" s="51">
        <f>VLOOKUP(C40,'IP PITS'!$B$6:$D$86,3,0)</f>
        <v>0</v>
      </c>
      <c r="K40" s="87">
        <v>6000</v>
      </c>
      <c r="L40" s="51">
        <f t="shared" si="5"/>
        <v>0</v>
      </c>
      <c r="M40" s="51">
        <f>VLOOKUP(C40,'IP PITS'!$B$6:$I$86,8,0)</f>
        <v>0</v>
      </c>
      <c r="N40" s="51">
        <f t="shared" si="6"/>
        <v>0</v>
      </c>
    </row>
    <row r="41" spans="1:14" x14ac:dyDescent="0.2">
      <c r="A41" s="51" t="s">
        <v>85</v>
      </c>
      <c r="B41" s="51" t="s">
        <v>661</v>
      </c>
      <c r="C41" s="51" t="s">
        <v>333</v>
      </c>
      <c r="D41" s="51">
        <v>815.60000000000036</v>
      </c>
      <c r="E41" s="51">
        <v>937.5</v>
      </c>
      <c r="F41" s="52"/>
      <c r="G41" s="51">
        <f t="shared" si="7"/>
        <v>0</v>
      </c>
      <c r="H41" s="51">
        <f t="shared" si="4"/>
        <v>1753.1000000000004</v>
      </c>
      <c r="J41" s="51">
        <f>VLOOKUP(C41,'IP PITS'!$B$6:$D$86,3,0)</f>
        <v>0</v>
      </c>
      <c r="K41" s="87">
        <v>12000</v>
      </c>
      <c r="L41" s="51">
        <f t="shared" si="5"/>
        <v>0</v>
      </c>
      <c r="M41" s="51">
        <f>VLOOKUP(C41,'IP PITS'!$B$6:$I$86,8,0)</f>
        <v>0</v>
      </c>
      <c r="N41" s="51">
        <f t="shared" si="6"/>
        <v>0</v>
      </c>
    </row>
    <row r="42" spans="1:14" x14ac:dyDescent="0.2">
      <c r="A42" s="51" t="s">
        <v>441</v>
      </c>
      <c r="B42" s="51" t="s">
        <v>661</v>
      </c>
      <c r="C42" s="51" t="s">
        <v>442</v>
      </c>
      <c r="D42" s="51">
        <v>423.15000000000009</v>
      </c>
      <c r="E42" s="51">
        <v>183.5</v>
      </c>
      <c r="F42" s="52"/>
      <c r="G42" s="51">
        <f t="shared" si="7"/>
        <v>0</v>
      </c>
      <c r="H42" s="51">
        <f t="shared" si="4"/>
        <v>606.65000000000009</v>
      </c>
      <c r="J42" s="51">
        <f>VLOOKUP(C42,'IP PITS'!$B$6:$D$86,3,0)</f>
        <v>0</v>
      </c>
      <c r="K42" s="87">
        <v>8000</v>
      </c>
      <c r="L42" s="51">
        <f t="shared" si="5"/>
        <v>0</v>
      </c>
      <c r="M42" s="51">
        <f>VLOOKUP(C42,'IP PITS'!$B$6:$I$86,8,0)</f>
        <v>0</v>
      </c>
      <c r="N42" s="51">
        <f t="shared" si="6"/>
        <v>0</v>
      </c>
    </row>
    <row r="43" spans="1:14" x14ac:dyDescent="0.2">
      <c r="A43" s="51" t="s">
        <v>514</v>
      </c>
      <c r="B43" s="51" t="s">
        <v>661</v>
      </c>
      <c r="C43" s="52" t="s">
        <v>677</v>
      </c>
      <c r="D43" s="51">
        <v>289.2</v>
      </c>
      <c r="E43" s="51">
        <v>811</v>
      </c>
      <c r="F43" s="52"/>
      <c r="G43" s="51">
        <f t="shared" si="7"/>
        <v>0</v>
      </c>
      <c r="H43" s="51">
        <f t="shared" si="4"/>
        <v>1100.2</v>
      </c>
      <c r="J43" s="51">
        <f>VLOOKUP(C43,'IP PITS'!$B$6:$D$86,3,0)</f>
        <v>0</v>
      </c>
      <c r="K43" s="87">
        <v>6300</v>
      </c>
      <c r="L43" s="51">
        <f t="shared" si="5"/>
        <v>0</v>
      </c>
      <c r="M43" s="51">
        <f>VLOOKUP(C43,'IP PITS'!$B$6:$I$86,8,0)</f>
        <v>0</v>
      </c>
      <c r="N43" s="51">
        <f t="shared" si="6"/>
        <v>0</v>
      </c>
    </row>
    <row r="44" spans="1:14" x14ac:dyDescent="0.2">
      <c r="A44" s="51" t="s">
        <v>9</v>
      </c>
      <c r="B44" s="51" t="s">
        <v>660</v>
      </c>
      <c r="C44" s="51" t="s">
        <v>305</v>
      </c>
      <c r="D44" s="51">
        <v>1479.0000000000005</v>
      </c>
      <c r="E44" s="51">
        <v>288.5</v>
      </c>
      <c r="F44" s="52"/>
      <c r="G44" s="51">
        <f t="shared" si="7"/>
        <v>0</v>
      </c>
      <c r="H44" s="51">
        <f t="shared" si="4"/>
        <v>1767.5000000000005</v>
      </c>
      <c r="J44" s="51">
        <f>VLOOKUP(C44,'CPD PITS'!$B$6:$D$24,3,0)</f>
        <v>0</v>
      </c>
      <c r="K44" s="87">
        <v>8500</v>
      </c>
      <c r="L44" s="51">
        <f t="shared" si="5"/>
        <v>0</v>
      </c>
      <c r="M44" s="51">
        <f>VLOOKUP(C44,'CPD PITS'!$B$6:$I$24,8,0)</f>
        <v>0</v>
      </c>
      <c r="N44" s="51">
        <f t="shared" si="6"/>
        <v>0</v>
      </c>
    </row>
    <row r="45" spans="1:14" x14ac:dyDescent="0.2">
      <c r="A45" s="51" t="s">
        <v>491</v>
      </c>
      <c r="B45" s="51" t="s">
        <v>661</v>
      </c>
      <c r="C45" s="51" t="s">
        <v>345</v>
      </c>
      <c r="D45" s="51">
        <v>2890.54</v>
      </c>
      <c r="F45" s="52"/>
      <c r="G45" s="51">
        <f t="shared" si="7"/>
        <v>0</v>
      </c>
      <c r="H45" s="51">
        <f t="shared" si="4"/>
        <v>2890.54</v>
      </c>
      <c r="J45" s="51">
        <f>VLOOKUP(C45,'IP PITS'!$B$6:$D$86,3,0)</f>
        <v>0</v>
      </c>
      <c r="K45" s="87">
        <v>12000</v>
      </c>
      <c r="L45" s="51">
        <f t="shared" si="5"/>
        <v>0</v>
      </c>
      <c r="M45" s="51">
        <f>VLOOKUP(C45,'IP PITS'!$B$6:$I$86,8,0)</f>
        <v>0</v>
      </c>
      <c r="N45" s="51">
        <f t="shared" si="6"/>
        <v>0</v>
      </c>
    </row>
    <row r="46" spans="1:14" x14ac:dyDescent="0.2">
      <c r="A46" s="51" t="s">
        <v>475</v>
      </c>
      <c r="B46" s="51" t="s">
        <v>661</v>
      </c>
      <c r="C46" s="51" t="s">
        <v>689</v>
      </c>
      <c r="D46" s="51">
        <v>421.40000000000009</v>
      </c>
      <c r="E46" s="51">
        <v>359</v>
      </c>
      <c r="F46" s="52"/>
      <c r="G46" s="51">
        <f t="shared" si="7"/>
        <v>0</v>
      </c>
      <c r="H46" s="51">
        <f t="shared" si="4"/>
        <v>780.40000000000009</v>
      </c>
      <c r="J46" s="51">
        <f>VLOOKUP(C46,'IP PITS'!$B$6:$D$86,3,0)</f>
        <v>0</v>
      </c>
      <c r="K46" s="87">
        <v>8000</v>
      </c>
      <c r="L46" s="51">
        <f t="shared" si="5"/>
        <v>0</v>
      </c>
      <c r="M46" s="51">
        <f>VLOOKUP(C46,'IP PITS'!$B$6:$I$86,8,0)</f>
        <v>0</v>
      </c>
      <c r="N46" s="51">
        <f t="shared" si="6"/>
        <v>0</v>
      </c>
    </row>
    <row r="47" spans="1:14" s="52" customFormat="1" x14ac:dyDescent="0.2">
      <c r="A47" s="51" t="s">
        <v>31</v>
      </c>
      <c r="B47" s="51" t="s">
        <v>660</v>
      </c>
      <c r="C47" s="51" t="s">
        <v>132</v>
      </c>
      <c r="D47" s="51">
        <v>2607.3999999999996</v>
      </c>
      <c r="E47" s="51">
        <v>468</v>
      </c>
      <c r="G47" s="51">
        <f t="shared" si="7"/>
        <v>0</v>
      </c>
      <c r="H47" s="51">
        <f t="shared" si="4"/>
        <v>3075.3999999999996</v>
      </c>
      <c r="I47" s="138"/>
      <c r="J47" s="51">
        <f>VLOOKUP(C47,'CPD PITS'!$B$6:$D$24,3,0)</f>
        <v>0</v>
      </c>
      <c r="K47" s="87">
        <v>15000</v>
      </c>
      <c r="L47" s="51">
        <f t="shared" si="5"/>
        <v>0</v>
      </c>
      <c r="M47" s="51">
        <f>VLOOKUP(C47,'CPD PITS'!$B$6:$I$24,8,0)</f>
        <v>0</v>
      </c>
      <c r="N47" s="51">
        <f t="shared" si="6"/>
        <v>0</v>
      </c>
    </row>
    <row r="48" spans="1:14" x14ac:dyDescent="0.2">
      <c r="A48" s="51" t="s">
        <v>584</v>
      </c>
      <c r="B48" s="51" t="s">
        <v>661</v>
      </c>
      <c r="C48" s="51" t="s">
        <v>585</v>
      </c>
      <c r="D48" s="51">
        <v>2562.1999999999998</v>
      </c>
      <c r="F48" s="52"/>
      <c r="G48" s="51">
        <f t="shared" si="7"/>
        <v>0</v>
      </c>
      <c r="H48" s="51">
        <f t="shared" si="4"/>
        <v>2562.1999999999998</v>
      </c>
      <c r="J48" s="51">
        <f>VLOOKUP(C48,'IP PITS'!$B$6:$D$86,3,0)</f>
        <v>0</v>
      </c>
      <c r="K48" s="87">
        <v>7000</v>
      </c>
      <c r="L48" s="51">
        <f t="shared" si="5"/>
        <v>0</v>
      </c>
      <c r="M48" s="51">
        <f>VLOOKUP(C48,'IP PITS'!$B$6:$I$86,8,0)</f>
        <v>0</v>
      </c>
      <c r="N48" s="51">
        <f t="shared" si="6"/>
        <v>0</v>
      </c>
    </row>
    <row r="49" spans="1:14" x14ac:dyDescent="0.2">
      <c r="A49" s="47" t="s">
        <v>562</v>
      </c>
      <c r="B49" s="51" t="s">
        <v>661</v>
      </c>
      <c r="C49" s="47" t="s">
        <v>563</v>
      </c>
      <c r="D49" s="52">
        <v>228.4699999999998</v>
      </c>
      <c r="E49" s="52">
        <v>300</v>
      </c>
      <c r="F49" s="52"/>
      <c r="G49" s="51">
        <f t="shared" si="7"/>
        <v>0</v>
      </c>
      <c r="H49" s="51">
        <f t="shared" si="4"/>
        <v>528.4699999999998</v>
      </c>
      <c r="J49" s="51">
        <f>VLOOKUP(C49,'IP PITS'!$B$6:$D$86,3,0)</f>
        <v>0</v>
      </c>
      <c r="K49" s="87">
        <v>7000</v>
      </c>
      <c r="L49" s="51">
        <f t="shared" si="5"/>
        <v>0</v>
      </c>
      <c r="M49" s="51">
        <f>VLOOKUP(C49,'IP PITS'!$B$6:$I$86,8,0)</f>
        <v>0</v>
      </c>
      <c r="N49" s="51">
        <f t="shared" si="6"/>
        <v>0</v>
      </c>
    </row>
    <row r="50" spans="1:14" x14ac:dyDescent="0.2">
      <c r="A50" s="51" t="s">
        <v>451</v>
      </c>
      <c r="B50" s="51" t="s">
        <v>661</v>
      </c>
      <c r="C50" s="51" t="s">
        <v>452</v>
      </c>
      <c r="D50" s="51">
        <v>1050.9050000000002</v>
      </c>
      <c r="E50" s="51">
        <v>306</v>
      </c>
      <c r="F50" s="52"/>
      <c r="G50" s="51">
        <f t="shared" si="7"/>
        <v>0</v>
      </c>
      <c r="H50" s="51">
        <f t="shared" si="4"/>
        <v>1356.9050000000002</v>
      </c>
      <c r="J50" s="51">
        <f>VLOOKUP(C50,'IP PITS'!$B$6:$D$86,3,0)</f>
        <v>0</v>
      </c>
      <c r="K50" s="87">
        <v>8500.01</v>
      </c>
      <c r="L50" s="51">
        <f t="shared" si="5"/>
        <v>0</v>
      </c>
      <c r="M50" s="51">
        <f>VLOOKUP(C50,'IP PITS'!$B$6:$I$86,8,0)</f>
        <v>0</v>
      </c>
      <c r="N50" s="51">
        <f t="shared" si="6"/>
        <v>0</v>
      </c>
    </row>
    <row r="51" spans="1:14" x14ac:dyDescent="0.2">
      <c r="A51" s="51" t="s">
        <v>99</v>
      </c>
      <c r="B51" s="51" t="s">
        <v>661</v>
      </c>
      <c r="C51" s="58" t="s">
        <v>549</v>
      </c>
      <c r="D51" s="51">
        <v>590.40000000000009</v>
      </c>
      <c r="F51" s="52"/>
      <c r="G51" s="51">
        <f t="shared" si="7"/>
        <v>0</v>
      </c>
      <c r="H51" s="51">
        <f t="shared" si="4"/>
        <v>590.40000000000009</v>
      </c>
      <c r="J51" s="51">
        <f>VLOOKUP(C51,'IP PITS'!$B$6:$D$86,3,0)</f>
        <v>0</v>
      </c>
      <c r="K51" s="87">
        <v>6900</v>
      </c>
      <c r="L51" s="51">
        <f t="shared" si="5"/>
        <v>0</v>
      </c>
      <c r="M51" s="51">
        <f>VLOOKUP(C51,'IP PITS'!$B$6:$I$86,8,0)</f>
        <v>0</v>
      </c>
      <c r="N51" s="51">
        <f t="shared" si="6"/>
        <v>0</v>
      </c>
    </row>
    <row r="52" spans="1:14" x14ac:dyDescent="0.2">
      <c r="A52" s="51" t="s">
        <v>518</v>
      </c>
      <c r="B52" s="51" t="s">
        <v>661</v>
      </c>
      <c r="C52" s="51" t="s">
        <v>690</v>
      </c>
      <c r="D52" s="51">
        <v>57.199999999999818</v>
      </c>
      <c r="E52" s="51">
        <v>305.5</v>
      </c>
      <c r="F52" s="52"/>
      <c r="G52" s="51">
        <f t="shared" si="7"/>
        <v>0</v>
      </c>
      <c r="H52" s="51">
        <f t="shared" si="4"/>
        <v>362.69999999999982</v>
      </c>
      <c r="J52" s="51">
        <f>VLOOKUP(C52,'IP PITS'!$B$6:$D$86,3,0)</f>
        <v>0</v>
      </c>
      <c r="K52" s="87">
        <v>5000</v>
      </c>
      <c r="L52" s="51">
        <f t="shared" si="5"/>
        <v>0</v>
      </c>
      <c r="M52" s="51">
        <f>VLOOKUP(C52,'IP PITS'!$B$6:$I$86,8,0)</f>
        <v>0</v>
      </c>
      <c r="N52" s="51">
        <f t="shared" si="6"/>
        <v>0</v>
      </c>
    </row>
    <row r="53" spans="1:14" x14ac:dyDescent="0.2">
      <c r="A53" s="47" t="s">
        <v>566</v>
      </c>
      <c r="B53" s="51" t="s">
        <v>661</v>
      </c>
      <c r="C53" s="47" t="s">
        <v>567</v>
      </c>
      <c r="D53" s="52">
        <v>493.19999999999982</v>
      </c>
      <c r="E53" s="52"/>
      <c r="F53" s="52"/>
      <c r="G53" s="51">
        <f t="shared" si="7"/>
        <v>0</v>
      </c>
      <c r="H53" s="51">
        <f t="shared" si="4"/>
        <v>493.19999999999982</v>
      </c>
      <c r="J53" s="51">
        <f>VLOOKUP(C53,'IP PITS'!$B$6:$D$86,3,0)</f>
        <v>0</v>
      </c>
      <c r="K53" s="87">
        <v>6300</v>
      </c>
      <c r="L53" s="51">
        <f t="shared" si="5"/>
        <v>0</v>
      </c>
      <c r="M53" s="51">
        <f>VLOOKUP(C53,'IP PITS'!$B$6:$I$86,8,0)</f>
        <v>0</v>
      </c>
      <c r="N53" s="51">
        <f t="shared" si="6"/>
        <v>0</v>
      </c>
    </row>
    <row r="54" spans="1:14" x14ac:dyDescent="0.2">
      <c r="A54" s="52" t="s">
        <v>402</v>
      </c>
      <c r="B54" s="51" t="s">
        <v>661</v>
      </c>
      <c r="C54" s="52" t="s">
        <v>398</v>
      </c>
      <c r="D54" s="52">
        <v>1060.3999999999996</v>
      </c>
      <c r="E54" s="52">
        <v>200</v>
      </c>
      <c r="F54" s="52"/>
      <c r="G54" s="51">
        <f t="shared" si="7"/>
        <v>0</v>
      </c>
      <c r="H54" s="51">
        <f t="shared" si="4"/>
        <v>1260.3999999999996</v>
      </c>
      <c r="J54" s="51">
        <f>VLOOKUP(C54,'IP PITS'!$B$6:$D$86,3,0)</f>
        <v>0</v>
      </c>
      <c r="K54" s="87">
        <v>14000</v>
      </c>
      <c r="L54" s="52">
        <f t="shared" si="5"/>
        <v>0</v>
      </c>
      <c r="M54" s="51">
        <f>VLOOKUP(C54,'IP PITS'!$B$6:$I$86,8,0)</f>
        <v>0</v>
      </c>
      <c r="N54" s="51">
        <f t="shared" si="6"/>
        <v>0</v>
      </c>
    </row>
    <row r="55" spans="1:14" x14ac:dyDescent="0.2">
      <c r="A55" s="51" t="s">
        <v>550</v>
      </c>
      <c r="B55" s="51" t="s">
        <v>661</v>
      </c>
      <c r="C55" s="52" t="s">
        <v>319</v>
      </c>
      <c r="D55" s="51">
        <v>6527.1999999999989</v>
      </c>
      <c r="E55" s="51">
        <v>2102.5</v>
      </c>
      <c r="F55" s="52"/>
      <c r="G55" s="51">
        <f t="shared" si="7"/>
        <v>0</v>
      </c>
      <c r="H55" s="51">
        <f t="shared" si="4"/>
        <v>8629.6999999999989</v>
      </c>
      <c r="J55" s="51">
        <f>VLOOKUP(C55,'IP PITS'!$B$6:$D$86,3,0)</f>
        <v>0</v>
      </c>
      <c r="K55" s="87">
        <v>19950</v>
      </c>
      <c r="L55" s="51">
        <f t="shared" si="5"/>
        <v>0</v>
      </c>
      <c r="M55" s="51">
        <f>VLOOKUP(C55,'IP PITS'!$B$6:$I$86,8,0)</f>
        <v>0</v>
      </c>
      <c r="N55" s="51">
        <f t="shared" si="6"/>
        <v>0</v>
      </c>
    </row>
    <row r="56" spans="1:14" x14ac:dyDescent="0.2">
      <c r="A56" s="51" t="s">
        <v>87</v>
      </c>
      <c r="B56" s="51" t="s">
        <v>661</v>
      </c>
      <c r="C56" s="58" t="s">
        <v>538</v>
      </c>
      <c r="D56" s="51">
        <v>421.40000000000009</v>
      </c>
      <c r="E56" s="51">
        <v>168.5</v>
      </c>
      <c r="F56" s="52"/>
      <c r="G56" s="51">
        <f t="shared" si="7"/>
        <v>0</v>
      </c>
      <c r="H56" s="51">
        <f t="shared" si="4"/>
        <v>589.90000000000009</v>
      </c>
      <c r="J56" s="51">
        <f>VLOOKUP(C56,'IP PITS'!$B$6:$D$86,3,0)</f>
        <v>0</v>
      </c>
      <c r="K56" s="87">
        <v>8000</v>
      </c>
      <c r="L56" s="51">
        <f t="shared" si="5"/>
        <v>0</v>
      </c>
      <c r="M56" s="51">
        <f>VLOOKUP(C56,'IP PITS'!$B$6:$I$86,8,0)</f>
        <v>0</v>
      </c>
      <c r="N56" s="51">
        <f t="shared" si="6"/>
        <v>0</v>
      </c>
    </row>
    <row r="57" spans="1:14" s="52" customFormat="1" x14ac:dyDescent="0.2">
      <c r="A57" s="51" t="s">
        <v>25</v>
      </c>
      <c r="B57" s="51" t="s">
        <v>660</v>
      </c>
      <c r="C57" s="51" t="s">
        <v>316</v>
      </c>
      <c r="D57" s="51">
        <v>2757.8</v>
      </c>
      <c r="E57" s="51">
        <v>250</v>
      </c>
      <c r="G57" s="51">
        <f t="shared" si="7"/>
        <v>0</v>
      </c>
      <c r="H57" s="51">
        <f t="shared" si="4"/>
        <v>3007.8</v>
      </c>
      <c r="I57" s="138"/>
      <c r="J57" s="51">
        <f>VLOOKUP(C57,'CPD PITS'!$B$6:$D$24,3,0)</f>
        <v>0</v>
      </c>
      <c r="K57" s="87">
        <v>15000</v>
      </c>
      <c r="L57" s="51">
        <f t="shared" si="5"/>
        <v>0</v>
      </c>
      <c r="M57" s="51">
        <f>VLOOKUP(C57,'CPD PITS'!$B$6:$I$24,8,0)</f>
        <v>0</v>
      </c>
      <c r="N57" s="51">
        <f t="shared" si="6"/>
        <v>0</v>
      </c>
    </row>
    <row r="58" spans="1:14" x14ac:dyDescent="0.2">
      <c r="A58" s="52" t="s">
        <v>409</v>
      </c>
      <c r="B58" s="51" t="s">
        <v>661</v>
      </c>
      <c r="C58" s="52" t="s">
        <v>410</v>
      </c>
      <c r="D58" s="51">
        <v>423.19999999999982</v>
      </c>
      <c r="E58" s="51">
        <v>326</v>
      </c>
      <c r="F58" s="52"/>
      <c r="G58" s="51">
        <f t="shared" si="7"/>
        <v>0</v>
      </c>
      <c r="H58" s="51">
        <f t="shared" si="4"/>
        <v>749.19999999999982</v>
      </c>
      <c r="J58" s="51">
        <f>VLOOKUP(C58,'IP PITS'!$B$6:$D$86,3,0)</f>
        <v>0</v>
      </c>
      <c r="K58" s="87">
        <v>8000</v>
      </c>
      <c r="L58" s="51">
        <f t="shared" si="5"/>
        <v>0</v>
      </c>
      <c r="M58" s="51">
        <f>VLOOKUP(C58,'IP PITS'!$B$6:$I$86,8,0)</f>
        <v>0</v>
      </c>
      <c r="N58" s="51">
        <f t="shared" si="6"/>
        <v>0</v>
      </c>
    </row>
    <row r="59" spans="1:14" x14ac:dyDescent="0.2">
      <c r="A59" s="51" t="s">
        <v>405</v>
      </c>
      <c r="B59" s="51" t="s">
        <v>661</v>
      </c>
      <c r="C59" s="51" t="s">
        <v>406</v>
      </c>
      <c r="D59" s="51">
        <v>423.19999999999982</v>
      </c>
      <c r="E59" s="51">
        <v>280</v>
      </c>
      <c r="F59" s="52"/>
      <c r="G59" s="51">
        <f t="shared" si="7"/>
        <v>0</v>
      </c>
      <c r="H59" s="51">
        <f t="shared" si="4"/>
        <v>703.19999999999982</v>
      </c>
      <c r="J59" s="51">
        <f>VLOOKUP(C59,'IP PITS'!$B$6:$D$86,3,0)</f>
        <v>0</v>
      </c>
      <c r="K59" s="87">
        <v>8000</v>
      </c>
      <c r="L59" s="51">
        <f t="shared" si="5"/>
        <v>0</v>
      </c>
      <c r="M59" s="51">
        <f>VLOOKUP(C59,'IP PITS'!$B$6:$I$86,8,0)</f>
        <v>0</v>
      </c>
      <c r="N59" s="51">
        <f t="shared" si="6"/>
        <v>0</v>
      </c>
    </row>
    <row r="60" spans="1:14" x14ac:dyDescent="0.2">
      <c r="A60" s="51" t="s">
        <v>508</v>
      </c>
      <c r="B60" s="51" t="s">
        <v>661</v>
      </c>
      <c r="C60" s="51" t="s">
        <v>425</v>
      </c>
      <c r="D60" s="51">
        <v>1699.0999999999995</v>
      </c>
      <c r="E60" s="51">
        <v>382</v>
      </c>
      <c r="F60" s="52"/>
      <c r="G60" s="51">
        <f t="shared" si="7"/>
        <v>0</v>
      </c>
      <c r="H60" s="51">
        <f t="shared" si="4"/>
        <v>2081.0999999999995</v>
      </c>
      <c r="J60" s="51">
        <f>VLOOKUP(C60,'IP PITS'!$B$6:$D$86,3,0)</f>
        <v>0</v>
      </c>
      <c r="K60" s="87">
        <v>9000</v>
      </c>
      <c r="L60" s="51">
        <f t="shared" si="5"/>
        <v>0</v>
      </c>
      <c r="M60" s="51">
        <f>VLOOKUP(C60,'IP PITS'!$B$6:$I$86,8,0)</f>
        <v>0</v>
      </c>
      <c r="N60" s="51">
        <f t="shared" si="6"/>
        <v>0</v>
      </c>
    </row>
    <row r="61" spans="1:14" x14ac:dyDescent="0.2">
      <c r="A61" s="51" t="s">
        <v>464</v>
      </c>
      <c r="B61" s="51" t="s">
        <v>661</v>
      </c>
      <c r="C61" s="51" t="s">
        <v>465</v>
      </c>
      <c r="D61" s="51">
        <v>1060.3999999999992</v>
      </c>
      <c r="E61" s="143">
        <v>303.5</v>
      </c>
      <c r="F61" s="52"/>
      <c r="G61" s="51">
        <f t="shared" si="7"/>
        <v>0</v>
      </c>
      <c r="H61" s="51">
        <f t="shared" si="4"/>
        <v>1363.8999999999992</v>
      </c>
      <c r="J61" s="51">
        <f>VLOOKUP(C61,'IP PITS'!$B$6:$D$86,3,0)</f>
        <v>0</v>
      </c>
      <c r="K61" s="87">
        <v>14000</v>
      </c>
      <c r="L61" s="51">
        <f t="shared" si="5"/>
        <v>0</v>
      </c>
      <c r="M61" s="51">
        <f>VLOOKUP(C61,'IP PITS'!$B$6:$I$86,8,0)</f>
        <v>0</v>
      </c>
      <c r="N61" s="51">
        <f t="shared" si="6"/>
        <v>0</v>
      </c>
    </row>
    <row r="62" spans="1:14" x14ac:dyDescent="0.2">
      <c r="A62" s="51" t="s">
        <v>497</v>
      </c>
      <c r="B62" s="51" t="s">
        <v>661</v>
      </c>
      <c r="C62" s="51" t="s">
        <v>414</v>
      </c>
      <c r="D62" s="51">
        <v>3347.5</v>
      </c>
      <c r="E62" s="51">
        <v>244</v>
      </c>
      <c r="F62" s="52"/>
      <c r="G62" s="51">
        <f t="shared" si="7"/>
        <v>0</v>
      </c>
      <c r="H62" s="51">
        <f t="shared" si="4"/>
        <v>3591.5</v>
      </c>
      <c r="J62" s="51">
        <f>VLOOKUP(C62,'IP PITS'!$B$6:$D$86,3,0)</f>
        <v>0</v>
      </c>
      <c r="K62" s="87">
        <v>15000</v>
      </c>
      <c r="L62" s="51">
        <f t="shared" si="5"/>
        <v>0</v>
      </c>
      <c r="M62" s="51">
        <f>VLOOKUP(C62,'IP PITS'!$B$6:$I$86,8,0)</f>
        <v>0</v>
      </c>
      <c r="N62" s="51">
        <f t="shared" si="6"/>
        <v>0</v>
      </c>
    </row>
    <row r="63" spans="1:14" x14ac:dyDescent="0.2">
      <c r="A63" s="51" t="s">
        <v>507</v>
      </c>
      <c r="B63" s="51" t="s">
        <v>661</v>
      </c>
      <c r="C63" s="51" t="s">
        <v>424</v>
      </c>
      <c r="D63" s="51">
        <v>2556.6</v>
      </c>
      <c r="E63" s="51">
        <v>250</v>
      </c>
      <c r="F63" s="52"/>
      <c r="G63" s="51">
        <f t="shared" si="7"/>
        <v>0</v>
      </c>
      <c r="H63" s="51">
        <f t="shared" si="4"/>
        <v>2806.6</v>
      </c>
      <c r="J63" s="51">
        <f>VLOOKUP(C63,'IP PITS'!$B$6:$D$86,3,0)</f>
        <v>0</v>
      </c>
      <c r="K63" s="87">
        <v>10000</v>
      </c>
      <c r="L63" s="51">
        <f t="shared" si="5"/>
        <v>0</v>
      </c>
      <c r="M63" s="51">
        <f>VLOOKUP(C63,'IP PITS'!$B$6:$I$86,8,0)</f>
        <v>0</v>
      </c>
      <c r="N63" s="51">
        <f t="shared" si="6"/>
        <v>0</v>
      </c>
    </row>
    <row r="64" spans="1:14" x14ac:dyDescent="0.2">
      <c r="A64" s="51" t="s">
        <v>443</v>
      </c>
      <c r="B64" s="51" t="s">
        <v>661</v>
      </c>
      <c r="C64" s="51" t="s">
        <v>444</v>
      </c>
      <c r="D64" s="51">
        <v>558.50500000000011</v>
      </c>
      <c r="E64" s="51">
        <v>858.5</v>
      </c>
      <c r="F64" s="52"/>
      <c r="G64" s="51">
        <f t="shared" si="7"/>
        <v>0</v>
      </c>
      <c r="H64" s="51">
        <f t="shared" si="4"/>
        <v>1417.0050000000001</v>
      </c>
      <c r="J64" s="51">
        <f>VLOOKUP(C64,'IP PITS'!$B$6:$D$86,3,0)</f>
        <v>0</v>
      </c>
      <c r="K64" s="87">
        <v>9550.01</v>
      </c>
      <c r="L64" s="51">
        <f t="shared" si="5"/>
        <v>0</v>
      </c>
      <c r="M64" s="51">
        <f>VLOOKUP(C64,'IP PITS'!$B$6:$I$86,8,0)</f>
        <v>0</v>
      </c>
      <c r="N64" s="51">
        <f t="shared" si="6"/>
        <v>0</v>
      </c>
    </row>
    <row r="65" spans="1:14" x14ac:dyDescent="0.2">
      <c r="A65" s="51" t="s">
        <v>498</v>
      </c>
      <c r="B65" s="51" t="s">
        <v>661</v>
      </c>
      <c r="C65" s="51" t="s">
        <v>415</v>
      </c>
      <c r="D65" s="51">
        <v>4347.4399999999996</v>
      </c>
      <c r="E65" s="51">
        <v>484.38</v>
      </c>
      <c r="F65" s="52"/>
      <c r="G65" s="51">
        <f t="shared" si="7"/>
        <v>0</v>
      </c>
      <c r="H65" s="51">
        <f t="shared" si="4"/>
        <v>4831.82</v>
      </c>
      <c r="J65" s="51">
        <f>VLOOKUP(C65,'IP PITS'!$B$6:$D$86,3,0)</f>
        <v>0</v>
      </c>
      <c r="K65" s="87">
        <v>17000</v>
      </c>
      <c r="L65" s="51">
        <f t="shared" si="5"/>
        <v>0</v>
      </c>
      <c r="M65" s="51">
        <f>VLOOKUP(C65,'IP PITS'!$B$6:$I$86,8,0)</f>
        <v>0</v>
      </c>
      <c r="N65" s="51">
        <f t="shared" si="6"/>
        <v>0</v>
      </c>
    </row>
    <row r="66" spans="1:14" s="58" customFormat="1" x14ac:dyDescent="0.2">
      <c r="A66" s="51" t="s">
        <v>510</v>
      </c>
      <c r="B66" s="51" t="s">
        <v>661</v>
      </c>
      <c r="C66" s="52" t="s">
        <v>678</v>
      </c>
      <c r="D66" s="51">
        <v>3557.3999999999996</v>
      </c>
      <c r="E66" s="51">
        <v>552</v>
      </c>
      <c r="F66" s="52"/>
      <c r="G66" s="51">
        <f t="shared" si="7"/>
        <v>0</v>
      </c>
      <c r="H66" s="51">
        <f t="shared" si="4"/>
        <v>4109.3999999999996</v>
      </c>
      <c r="I66" s="138"/>
      <c r="J66" s="51">
        <f>VLOOKUP(C66,'IP PITS'!$B$6:$D$86,3,0)</f>
        <v>0</v>
      </c>
      <c r="K66" s="87">
        <v>12000</v>
      </c>
      <c r="L66" s="51">
        <f t="shared" si="5"/>
        <v>0</v>
      </c>
      <c r="M66" s="51">
        <f>VLOOKUP(C66,'IP PITS'!$B$6:$I$86,8,0)</f>
        <v>0</v>
      </c>
      <c r="N66" s="51">
        <f t="shared" si="6"/>
        <v>0</v>
      </c>
    </row>
    <row r="67" spans="1:14" x14ac:dyDescent="0.2">
      <c r="A67" s="51" t="s">
        <v>543</v>
      </c>
      <c r="B67" s="51" t="s">
        <v>661</v>
      </c>
      <c r="C67" s="51" t="s">
        <v>544</v>
      </c>
      <c r="D67" s="51">
        <v>56.639999999999873</v>
      </c>
      <c r="E67" s="51">
        <v>338.5</v>
      </c>
      <c r="F67" s="52"/>
      <c r="G67" s="51">
        <f t="shared" si="7"/>
        <v>0</v>
      </c>
      <c r="H67" s="51">
        <f t="shared" ref="H67:H98" si="8">SUM(D67:G67)</f>
        <v>395.13999999999987</v>
      </c>
      <c r="J67" s="51">
        <f>VLOOKUP(C67,'IP PITS'!$B$6:$D$86,3,0)</f>
        <v>0</v>
      </c>
      <c r="K67" s="87">
        <v>5000</v>
      </c>
      <c r="L67" s="51">
        <f t="shared" ref="L67:L74" si="9">(((+K67/30)*J67)*30%)</f>
        <v>0</v>
      </c>
      <c r="M67" s="51">
        <f>VLOOKUP(C67,'IP PITS'!$B$6:$I$86,8,0)</f>
        <v>0</v>
      </c>
      <c r="N67" s="51">
        <f t="shared" ref="N67:N74" si="10">+L67-M67</f>
        <v>0</v>
      </c>
    </row>
    <row r="68" spans="1:14" x14ac:dyDescent="0.2">
      <c r="A68" s="51" t="s">
        <v>493</v>
      </c>
      <c r="B68" s="51" t="s">
        <v>661</v>
      </c>
      <c r="C68" s="51" t="s">
        <v>379</v>
      </c>
      <c r="D68" s="51">
        <v>2266.0000000000005</v>
      </c>
      <c r="F68" s="52"/>
      <c r="G68" s="51">
        <f t="shared" si="7"/>
        <v>0</v>
      </c>
      <c r="H68" s="51">
        <f t="shared" si="8"/>
        <v>2266.0000000000005</v>
      </c>
      <c r="J68" s="51">
        <f>VLOOKUP(C68,'IP PITS'!$B$6:$D$86,3,0)</f>
        <v>0</v>
      </c>
      <c r="K68" s="87">
        <v>9000</v>
      </c>
      <c r="L68" s="51">
        <f t="shared" si="9"/>
        <v>0</v>
      </c>
      <c r="M68" s="51">
        <f>VLOOKUP(C68,'IP PITS'!$B$6:$I$86,8,0)</f>
        <v>0</v>
      </c>
      <c r="N68" s="51">
        <f t="shared" si="10"/>
        <v>0</v>
      </c>
    </row>
    <row r="69" spans="1:14" x14ac:dyDescent="0.2">
      <c r="A69" s="51" t="s">
        <v>492</v>
      </c>
      <c r="B69" s="51" t="s">
        <v>661</v>
      </c>
      <c r="C69" s="51" t="s">
        <v>340</v>
      </c>
      <c r="D69" s="51">
        <v>3029</v>
      </c>
      <c r="E69" s="51">
        <v>450</v>
      </c>
      <c r="F69" s="52"/>
      <c r="G69" s="51">
        <f t="shared" si="7"/>
        <v>0</v>
      </c>
      <c r="H69" s="51">
        <f t="shared" si="8"/>
        <v>3479</v>
      </c>
      <c r="J69" s="51">
        <f>VLOOKUP(C69,'IP PITS'!$B$6:$D$86,3,0)</f>
        <v>0</v>
      </c>
      <c r="K69" s="87">
        <v>9000</v>
      </c>
      <c r="L69" s="51">
        <f t="shared" si="9"/>
        <v>0</v>
      </c>
      <c r="M69" s="51">
        <f>VLOOKUP(C69,'IP PITS'!$B$6:$I$86,8,0)</f>
        <v>0</v>
      </c>
      <c r="N69" s="51">
        <f t="shared" si="10"/>
        <v>0</v>
      </c>
    </row>
    <row r="70" spans="1:14" x14ac:dyDescent="0.2">
      <c r="A70" s="51" t="s">
        <v>361</v>
      </c>
      <c r="B70" s="51" t="s">
        <v>661</v>
      </c>
      <c r="C70" s="58" t="s">
        <v>537</v>
      </c>
      <c r="D70" s="51">
        <v>421.19999999999982</v>
      </c>
      <c r="E70" s="51">
        <v>121.5</v>
      </c>
      <c r="F70" s="52"/>
      <c r="G70" s="51">
        <v>0</v>
      </c>
      <c r="H70" s="51">
        <f t="shared" si="8"/>
        <v>542.69999999999982</v>
      </c>
      <c r="J70" s="51">
        <f>VLOOKUP(C70,'IP PITS'!$B$6:$D$86,3,0)</f>
        <v>0</v>
      </c>
      <c r="K70" s="87">
        <v>8000</v>
      </c>
      <c r="L70" s="51">
        <f t="shared" si="9"/>
        <v>0</v>
      </c>
      <c r="M70" s="51">
        <f>VLOOKUP(C70,'IP PITS'!$B$6:$I$86,8,0)</f>
        <v>0</v>
      </c>
      <c r="N70" s="51">
        <f t="shared" si="10"/>
        <v>0</v>
      </c>
    </row>
    <row r="71" spans="1:14" x14ac:dyDescent="0.2">
      <c r="A71" s="51" t="s">
        <v>203</v>
      </c>
      <c r="B71" s="51" t="s">
        <v>660</v>
      </c>
      <c r="C71" s="51" t="s">
        <v>309</v>
      </c>
      <c r="D71" s="51">
        <v>2469.3999999999996</v>
      </c>
      <c r="E71" s="51">
        <v>1000</v>
      </c>
      <c r="F71" s="52"/>
      <c r="G71" s="51">
        <f t="shared" ref="G71:G99" si="11">+N71</f>
        <v>0</v>
      </c>
      <c r="H71" s="51">
        <f t="shared" si="8"/>
        <v>3469.3999999999996</v>
      </c>
      <c r="J71" s="51">
        <f>VLOOKUP(C71,'CPD PITS'!$B$6:$D$24,3,0)</f>
        <v>0</v>
      </c>
      <c r="K71" s="87">
        <v>13000</v>
      </c>
      <c r="L71" s="51">
        <f t="shared" si="9"/>
        <v>0</v>
      </c>
      <c r="M71" s="51">
        <f>VLOOKUP(C71,'CPD PITS'!$B$6:$I$24,8,0)</f>
        <v>0</v>
      </c>
      <c r="N71" s="51">
        <f t="shared" si="10"/>
        <v>0</v>
      </c>
    </row>
    <row r="72" spans="1:14" x14ac:dyDescent="0.2">
      <c r="A72" s="51" t="s">
        <v>594</v>
      </c>
      <c r="B72" s="51" t="s">
        <v>661</v>
      </c>
      <c r="C72" s="51" t="s">
        <v>595</v>
      </c>
      <c r="D72" s="51">
        <v>180.80000000000018</v>
      </c>
      <c r="F72" s="52"/>
      <c r="G72" s="51">
        <f t="shared" si="11"/>
        <v>0</v>
      </c>
      <c r="H72" s="51">
        <f t="shared" si="8"/>
        <v>180.80000000000018</v>
      </c>
      <c r="J72" s="51">
        <f>VLOOKUP(C72,'IP PITS'!$B$6:$D$86,3,0)</f>
        <v>0</v>
      </c>
      <c r="K72" s="87">
        <v>6300</v>
      </c>
      <c r="L72" s="51">
        <f t="shared" si="9"/>
        <v>0</v>
      </c>
      <c r="M72" s="51">
        <f>VLOOKUP(C72,'IP PITS'!$B$6:$I$86,8,0)</f>
        <v>0</v>
      </c>
      <c r="N72" s="51">
        <f t="shared" si="10"/>
        <v>0</v>
      </c>
    </row>
    <row r="73" spans="1:14" x14ac:dyDescent="0.2">
      <c r="A73" s="51" t="s">
        <v>473</v>
      </c>
      <c r="B73" s="51" t="s">
        <v>661</v>
      </c>
      <c r="C73" s="51" t="s">
        <v>688</v>
      </c>
      <c r="D73" s="51">
        <v>423.19999999999982</v>
      </c>
      <c r="E73" s="51">
        <v>1250</v>
      </c>
      <c r="F73" s="52"/>
      <c r="G73" s="51">
        <f t="shared" si="11"/>
        <v>0</v>
      </c>
      <c r="H73" s="51">
        <f t="shared" si="8"/>
        <v>1673.1999999999998</v>
      </c>
      <c r="J73" s="51">
        <f>VLOOKUP(C73,'IP PITS'!$B$6:$D$86,3,0)</f>
        <v>0</v>
      </c>
      <c r="K73" s="87">
        <v>8000</v>
      </c>
      <c r="L73" s="51">
        <f t="shared" si="9"/>
        <v>0</v>
      </c>
      <c r="M73" s="51">
        <f>VLOOKUP(C73,'IP PITS'!$B$6:$I$86,8,0)</f>
        <v>0</v>
      </c>
      <c r="N73" s="51">
        <f t="shared" si="10"/>
        <v>0</v>
      </c>
    </row>
    <row r="74" spans="1:14" x14ac:dyDescent="0.2">
      <c r="A74" s="51" t="s">
        <v>15</v>
      </c>
      <c r="B74" s="51" t="s">
        <v>660</v>
      </c>
      <c r="C74" s="51" t="s">
        <v>311</v>
      </c>
      <c r="D74" s="51">
        <v>2607.1999999999998</v>
      </c>
      <c r="E74" s="51">
        <v>281.5</v>
      </c>
      <c r="F74" s="52"/>
      <c r="G74" s="51">
        <f t="shared" si="11"/>
        <v>0</v>
      </c>
      <c r="H74" s="51">
        <f t="shared" si="8"/>
        <v>2888.7</v>
      </c>
      <c r="J74" s="51">
        <f>VLOOKUP(C74,'CPD PITS'!$B$6:$D$24,3,0)</f>
        <v>0</v>
      </c>
      <c r="K74" s="87">
        <v>15000</v>
      </c>
      <c r="L74" s="51">
        <f t="shared" si="9"/>
        <v>0</v>
      </c>
      <c r="M74" s="51">
        <f>VLOOKUP(C74,'CPD PITS'!$B$6:$I$24,8,0)</f>
        <v>0</v>
      </c>
      <c r="N74" s="51">
        <f t="shared" si="10"/>
        <v>0</v>
      </c>
    </row>
    <row r="75" spans="1:14" x14ac:dyDescent="0.2">
      <c r="A75" s="51" t="s">
        <v>572</v>
      </c>
      <c r="B75" s="51" t="s">
        <v>660</v>
      </c>
      <c r="C75" s="51" t="s">
        <v>573</v>
      </c>
      <c r="D75" s="46">
        <v>2777.47</v>
      </c>
      <c r="E75" s="46">
        <v>250</v>
      </c>
      <c r="F75" s="52"/>
      <c r="G75" s="51">
        <f t="shared" si="11"/>
        <v>0</v>
      </c>
      <c r="H75" s="51">
        <f t="shared" si="8"/>
        <v>3027.47</v>
      </c>
      <c r="J75" s="51">
        <f>VLOOKUP(C75,'CPD PITS'!$B$6:$D$24,3,0)</f>
        <v>0</v>
      </c>
      <c r="K75" s="87">
        <v>15400</v>
      </c>
      <c r="M75" s="51">
        <f>VLOOKUP(C75,'CPD PITS'!$B$6:$I$24,8,0)</f>
        <v>0</v>
      </c>
    </row>
    <row r="76" spans="1:14" x14ac:dyDescent="0.2">
      <c r="A76" s="51" t="s">
        <v>81</v>
      </c>
      <c r="B76" s="51" t="s">
        <v>661</v>
      </c>
      <c r="C76" s="51" t="s">
        <v>331</v>
      </c>
      <c r="D76" s="51">
        <v>421.40999999999985</v>
      </c>
      <c r="E76" s="51">
        <v>358.5</v>
      </c>
      <c r="F76" s="52"/>
      <c r="G76" s="51">
        <f t="shared" si="11"/>
        <v>0</v>
      </c>
      <c r="H76" s="51">
        <f t="shared" si="8"/>
        <v>779.90999999999985</v>
      </c>
      <c r="J76" s="51">
        <f>VLOOKUP(C76,'IP PITS'!$B$6:$D$86,3,0)</f>
        <v>0</v>
      </c>
      <c r="K76" s="87">
        <v>8000</v>
      </c>
      <c r="L76" s="51">
        <f t="shared" ref="L76:L102" si="12">(((+K76/30)*J76)*30%)</f>
        <v>0</v>
      </c>
      <c r="M76" s="51">
        <f>VLOOKUP(C76,'IP PITS'!$B$6:$I$86,8,0)</f>
        <v>0</v>
      </c>
      <c r="N76" s="51">
        <f t="shared" ref="N76:N102" si="13">+L76-M76</f>
        <v>0</v>
      </c>
    </row>
    <row r="77" spans="1:14" x14ac:dyDescent="0.2">
      <c r="A77" s="51" t="s">
        <v>91</v>
      </c>
      <c r="B77" s="51" t="s">
        <v>661</v>
      </c>
      <c r="C77" s="51" t="s">
        <v>335</v>
      </c>
      <c r="D77" s="51">
        <v>602.39999999999964</v>
      </c>
      <c r="E77" s="51">
        <v>121.5</v>
      </c>
      <c r="F77" s="52"/>
      <c r="G77" s="51">
        <f t="shared" si="11"/>
        <v>0</v>
      </c>
      <c r="H77" s="51">
        <f t="shared" si="8"/>
        <v>723.89999999999964</v>
      </c>
      <c r="J77" s="51">
        <f>VLOOKUP(C77,'IP PITS'!$B$6:$D$86,3,0)</f>
        <v>0</v>
      </c>
      <c r="K77" s="87">
        <v>10000</v>
      </c>
      <c r="L77" s="51">
        <f t="shared" si="12"/>
        <v>0</v>
      </c>
      <c r="M77" s="51">
        <f>VLOOKUP(C77,'IP PITS'!$B$6:$I$86,8,0)</f>
        <v>0</v>
      </c>
      <c r="N77" s="51">
        <f t="shared" si="13"/>
        <v>0</v>
      </c>
    </row>
    <row r="78" spans="1:14" x14ac:dyDescent="0.2">
      <c r="A78" s="51" t="s">
        <v>35</v>
      </c>
      <c r="B78" s="51" t="s">
        <v>660</v>
      </c>
      <c r="C78" s="51" t="s">
        <v>321</v>
      </c>
      <c r="D78" s="51">
        <v>1487.6999999999998</v>
      </c>
      <c r="E78" s="51">
        <v>83</v>
      </c>
      <c r="F78" s="52"/>
      <c r="G78" s="51">
        <f t="shared" si="11"/>
        <v>0</v>
      </c>
      <c r="H78" s="51">
        <f t="shared" si="8"/>
        <v>1570.6999999999998</v>
      </c>
      <c r="J78" s="51">
        <f>VLOOKUP(C78,'CPD PITS'!$B$6:$D$24,3,0)</f>
        <v>0</v>
      </c>
      <c r="K78" s="87">
        <v>10000</v>
      </c>
      <c r="L78" s="51">
        <f t="shared" si="12"/>
        <v>0</v>
      </c>
      <c r="M78" s="51">
        <f>VLOOKUP(C78,'CPD PITS'!$B$6:$I$24,8,0)</f>
        <v>0</v>
      </c>
      <c r="N78" s="51">
        <f t="shared" si="13"/>
        <v>0</v>
      </c>
    </row>
    <row r="79" spans="1:14" x14ac:dyDescent="0.2">
      <c r="A79" s="47" t="s">
        <v>564</v>
      </c>
      <c r="B79" s="51" t="s">
        <v>661</v>
      </c>
      <c r="C79" s="47" t="s">
        <v>565</v>
      </c>
      <c r="D79" s="52">
        <v>180.80000000000018</v>
      </c>
      <c r="E79" s="52">
        <v>843.75</v>
      </c>
      <c r="F79" s="52"/>
      <c r="G79" s="51">
        <f t="shared" si="11"/>
        <v>0</v>
      </c>
      <c r="H79" s="51">
        <f t="shared" si="8"/>
        <v>1024.5500000000002</v>
      </c>
      <c r="J79" s="51">
        <f>VLOOKUP(C79,'IP PITS'!$B$6:$D$86,3,0)</f>
        <v>0</v>
      </c>
      <c r="K79" s="87">
        <v>6300</v>
      </c>
      <c r="L79" s="51">
        <f t="shared" si="12"/>
        <v>0</v>
      </c>
      <c r="M79" s="51">
        <f>VLOOKUP(C79,'IP PITS'!$B$6:$I$86,8,0)</f>
        <v>0</v>
      </c>
      <c r="N79" s="51">
        <f t="shared" si="13"/>
        <v>0</v>
      </c>
    </row>
    <row r="80" spans="1:14" x14ac:dyDescent="0.2">
      <c r="A80" s="51" t="s">
        <v>390</v>
      </c>
      <c r="B80" s="51" t="s">
        <v>661</v>
      </c>
      <c r="C80" s="51" t="s">
        <v>391</v>
      </c>
      <c r="D80" s="51">
        <v>423.19999999999976</v>
      </c>
      <c r="E80" s="51">
        <v>349</v>
      </c>
      <c r="F80" s="52"/>
      <c r="G80" s="51">
        <f t="shared" si="11"/>
        <v>0</v>
      </c>
      <c r="H80" s="51">
        <f t="shared" si="8"/>
        <v>772.19999999999982</v>
      </c>
      <c r="J80" s="51">
        <f>VLOOKUP(C80,'IP PITS'!$B$6:$D$86,3,0)</f>
        <v>0</v>
      </c>
      <c r="K80" s="87">
        <v>8000</v>
      </c>
      <c r="L80" s="51">
        <f t="shared" si="12"/>
        <v>0</v>
      </c>
      <c r="M80" s="51">
        <f>VLOOKUP(C80,'IP PITS'!$B$6:$I$86,8,0)</f>
        <v>0</v>
      </c>
      <c r="N80" s="51">
        <f t="shared" si="13"/>
        <v>0</v>
      </c>
    </row>
    <row r="81" spans="1:14" x14ac:dyDescent="0.2">
      <c r="A81" s="47" t="s">
        <v>554</v>
      </c>
      <c r="B81" s="51" t="s">
        <v>661</v>
      </c>
      <c r="C81" s="46" t="s">
        <v>555</v>
      </c>
      <c r="D81" s="52">
        <v>56.400000000000091</v>
      </c>
      <c r="E81" s="52">
        <v>186.5</v>
      </c>
      <c r="F81" s="52"/>
      <c r="G81" s="51">
        <f t="shared" si="11"/>
        <v>0</v>
      </c>
      <c r="H81" s="51">
        <f t="shared" si="8"/>
        <v>242.90000000000009</v>
      </c>
      <c r="J81" s="51">
        <f>VLOOKUP(C81,'IP PITS'!$B$6:$D$86,3,0)</f>
        <v>0</v>
      </c>
      <c r="K81" s="87">
        <v>5000</v>
      </c>
      <c r="L81" s="51">
        <f t="shared" si="12"/>
        <v>0</v>
      </c>
      <c r="M81" s="51">
        <f>VLOOKUP(C81,'IP PITS'!$B$6:$I$86,8,0)</f>
        <v>0</v>
      </c>
      <c r="N81" s="51">
        <f t="shared" si="13"/>
        <v>0</v>
      </c>
    </row>
    <row r="82" spans="1:14" x14ac:dyDescent="0.2">
      <c r="A82" s="51" t="s">
        <v>11</v>
      </c>
      <c r="B82" s="51" t="s">
        <v>660</v>
      </c>
      <c r="C82" s="51" t="s">
        <v>306</v>
      </c>
      <c r="D82" s="51">
        <v>1591.7999999999997</v>
      </c>
      <c r="E82" s="51">
        <v>375</v>
      </c>
      <c r="F82" s="52"/>
      <c r="G82" s="51">
        <f t="shared" si="11"/>
        <v>0</v>
      </c>
      <c r="H82" s="51">
        <f t="shared" si="8"/>
        <v>1966.7999999999997</v>
      </c>
      <c r="J82" s="51">
        <f>VLOOKUP(C82,'CPD PITS'!$B$6:$D$24,3,0)</f>
        <v>0</v>
      </c>
      <c r="K82" s="87">
        <v>9000</v>
      </c>
      <c r="L82" s="51">
        <f t="shared" si="12"/>
        <v>0</v>
      </c>
      <c r="M82" s="51">
        <f>VLOOKUP(C82,'CPD PITS'!$B$6:$I$24,8,0)</f>
        <v>0</v>
      </c>
      <c r="N82" s="51">
        <f t="shared" si="13"/>
        <v>0</v>
      </c>
    </row>
    <row r="83" spans="1:14" s="52" customFormat="1" x14ac:dyDescent="0.2">
      <c r="A83" s="47" t="s">
        <v>560</v>
      </c>
      <c r="B83" s="51" t="s">
        <v>661</v>
      </c>
      <c r="C83" s="47" t="s">
        <v>561</v>
      </c>
      <c r="D83" s="52">
        <v>221.59999999999991</v>
      </c>
      <c r="G83" s="51">
        <f t="shared" si="11"/>
        <v>0</v>
      </c>
      <c r="H83" s="51">
        <f t="shared" si="8"/>
        <v>221.59999999999991</v>
      </c>
      <c r="I83" s="138"/>
      <c r="J83" s="51">
        <f>VLOOKUP(C83,'IP PITS'!$B$6:$D$86,3,0)</f>
        <v>0</v>
      </c>
      <c r="K83" s="87">
        <v>6900</v>
      </c>
      <c r="L83" s="51">
        <f t="shared" si="12"/>
        <v>0</v>
      </c>
      <c r="M83" s="51">
        <f>VLOOKUP(C83,'IP PITS'!$B$6:$I$86,8,0)</f>
        <v>0</v>
      </c>
      <c r="N83" s="51">
        <f t="shared" si="13"/>
        <v>0</v>
      </c>
    </row>
    <row r="84" spans="1:14" x14ac:dyDescent="0.2">
      <c r="A84" s="51" t="s">
        <v>509</v>
      </c>
      <c r="B84" s="51" t="s">
        <v>661</v>
      </c>
      <c r="C84" s="51" t="s">
        <v>426</v>
      </c>
      <c r="D84" s="51">
        <v>2199.1900000000005</v>
      </c>
      <c r="E84" s="51">
        <v>84</v>
      </c>
      <c r="F84" s="52"/>
      <c r="G84" s="51">
        <f t="shared" si="11"/>
        <v>0</v>
      </c>
      <c r="H84" s="51">
        <f t="shared" si="8"/>
        <v>2283.1900000000005</v>
      </c>
      <c r="J84" s="51">
        <f>VLOOKUP(C84,'IP PITS'!$B$6:$D$86,3,0)</f>
        <v>0</v>
      </c>
      <c r="K84" s="87">
        <v>10000</v>
      </c>
      <c r="L84" s="51">
        <f t="shared" si="12"/>
        <v>0</v>
      </c>
      <c r="M84" s="51">
        <f>VLOOKUP(C84,'IP PITS'!$B$6:$I$86,8,0)</f>
        <v>0</v>
      </c>
      <c r="N84" s="51">
        <f t="shared" si="13"/>
        <v>0</v>
      </c>
    </row>
    <row r="85" spans="1:14" x14ac:dyDescent="0.2">
      <c r="A85" s="51" t="s">
        <v>437</v>
      </c>
      <c r="B85" s="51" t="s">
        <v>661</v>
      </c>
      <c r="C85" s="51" t="s">
        <v>438</v>
      </c>
      <c r="D85" s="51">
        <v>389.14</v>
      </c>
      <c r="E85" s="51">
        <v>140</v>
      </c>
      <c r="F85" s="52"/>
      <c r="G85" s="51">
        <f t="shared" si="11"/>
        <v>0</v>
      </c>
      <c r="H85" s="51">
        <f t="shared" si="8"/>
        <v>529.14</v>
      </c>
      <c r="J85" s="51">
        <f>VLOOKUP(C85,'IP PITS'!$B$6:$D$86,3,0)</f>
        <v>0</v>
      </c>
      <c r="K85" s="87">
        <v>8000</v>
      </c>
      <c r="L85" s="51">
        <f t="shared" si="12"/>
        <v>0</v>
      </c>
      <c r="M85" s="51">
        <f>VLOOKUP(C85,'IP PITS'!$B$6:$I$86,8,0)</f>
        <v>0</v>
      </c>
      <c r="N85" s="51">
        <f t="shared" si="13"/>
        <v>0</v>
      </c>
    </row>
    <row r="86" spans="1:14" x14ac:dyDescent="0.2">
      <c r="A86" s="51" t="s">
        <v>93</v>
      </c>
      <c r="B86" s="51" t="s">
        <v>661</v>
      </c>
      <c r="C86" s="51" t="s">
        <v>336</v>
      </c>
      <c r="D86" s="52">
        <v>228.40000000000009</v>
      </c>
      <c r="E86" s="52">
        <v>253.25</v>
      </c>
      <c r="F86" s="52"/>
      <c r="G86" s="51">
        <f t="shared" si="11"/>
        <v>0</v>
      </c>
      <c r="H86" s="51">
        <f t="shared" si="8"/>
        <v>481.65000000000009</v>
      </c>
      <c r="J86" s="51">
        <f>VLOOKUP(C86,'IP PITS'!$B$6:$D$86,3,0)</f>
        <v>0</v>
      </c>
      <c r="K86" s="87">
        <v>7000</v>
      </c>
      <c r="L86" s="51">
        <f t="shared" si="12"/>
        <v>0</v>
      </c>
      <c r="M86" s="51">
        <f>VLOOKUP(C86,'IP PITS'!$B$6:$I$86,8,0)</f>
        <v>0</v>
      </c>
      <c r="N86" s="51">
        <f t="shared" si="13"/>
        <v>0</v>
      </c>
    </row>
    <row r="87" spans="1:14" x14ac:dyDescent="0.2">
      <c r="A87" s="51" t="s">
        <v>215</v>
      </c>
      <c r="B87" s="51" t="s">
        <v>660</v>
      </c>
      <c r="C87" s="51" t="s">
        <v>322</v>
      </c>
      <c r="D87" s="51">
        <v>12643.25</v>
      </c>
      <c r="F87" s="52"/>
      <c r="G87" s="51">
        <f t="shared" si="11"/>
        <v>281.75</v>
      </c>
      <c r="H87" s="51">
        <f t="shared" si="8"/>
        <v>12925</v>
      </c>
      <c r="J87" s="51">
        <f>VLOOKUP(C87,'CPD PITS'!$B$6:$D$24,3,0)</f>
        <v>1</v>
      </c>
      <c r="K87" s="87">
        <v>60000</v>
      </c>
      <c r="L87" s="51">
        <f t="shared" si="12"/>
        <v>600</v>
      </c>
      <c r="M87" s="51">
        <f>VLOOKUP(C87,'CPD PITS'!$B$6:$I$24,8,0)</f>
        <v>318.25</v>
      </c>
      <c r="N87" s="51">
        <f t="shared" si="13"/>
        <v>281.75</v>
      </c>
    </row>
    <row r="88" spans="1:14" x14ac:dyDescent="0.2">
      <c r="A88" s="47" t="s">
        <v>558</v>
      </c>
      <c r="B88" s="51" t="s">
        <v>661</v>
      </c>
      <c r="C88" s="47" t="s">
        <v>559</v>
      </c>
      <c r="D88" s="52">
        <v>227.19999999999982</v>
      </c>
      <c r="E88" s="52"/>
      <c r="F88" s="52"/>
      <c r="G88" s="51">
        <f t="shared" si="11"/>
        <v>0</v>
      </c>
      <c r="H88" s="51">
        <f t="shared" si="8"/>
        <v>227.19999999999982</v>
      </c>
      <c r="J88" s="51">
        <f>VLOOKUP(C88,'IP PITS'!$B$6:$D$86,3,0)</f>
        <v>0</v>
      </c>
      <c r="K88" s="87">
        <v>7000</v>
      </c>
      <c r="L88" s="51">
        <f t="shared" si="12"/>
        <v>0</v>
      </c>
      <c r="M88" s="51">
        <f>VLOOKUP(C88,'IP PITS'!$B$6:$I$86,8,0)</f>
        <v>0</v>
      </c>
      <c r="N88" s="51">
        <f t="shared" si="13"/>
        <v>0</v>
      </c>
    </row>
    <row r="89" spans="1:14" x14ac:dyDescent="0.2">
      <c r="A89" s="51" t="s">
        <v>547</v>
      </c>
      <c r="B89" s="51" t="s">
        <v>661</v>
      </c>
      <c r="C89" s="52" t="s">
        <v>679</v>
      </c>
      <c r="D89" s="51">
        <v>140.27000000000001</v>
      </c>
      <c r="E89" s="51">
        <v>337.5</v>
      </c>
      <c r="F89" s="52"/>
      <c r="G89" s="51">
        <f t="shared" si="11"/>
        <v>0</v>
      </c>
      <c r="H89" s="51">
        <f t="shared" si="8"/>
        <v>477.77</v>
      </c>
      <c r="J89" s="51">
        <f>VLOOKUP(C89,'IP PITS'!$B$6:$D$86,3,0)</f>
        <v>0</v>
      </c>
      <c r="K89" s="87">
        <v>6000</v>
      </c>
      <c r="L89" s="51">
        <f t="shared" si="12"/>
        <v>0</v>
      </c>
      <c r="M89" s="51">
        <f>VLOOKUP(C89,'IP PITS'!$B$6:$I$86,8,0)</f>
        <v>0</v>
      </c>
      <c r="N89" s="51">
        <f t="shared" si="13"/>
        <v>0</v>
      </c>
    </row>
    <row r="90" spans="1:14" x14ac:dyDescent="0.2">
      <c r="A90" s="51" t="s">
        <v>455</v>
      </c>
      <c r="B90" s="51" t="s">
        <v>661</v>
      </c>
      <c r="C90" s="51" t="s">
        <v>456</v>
      </c>
      <c r="D90" s="51">
        <v>423.19999999999982</v>
      </c>
      <c r="E90" s="51">
        <v>262.5</v>
      </c>
      <c r="F90" s="52"/>
      <c r="G90" s="51">
        <f t="shared" si="11"/>
        <v>0</v>
      </c>
      <c r="H90" s="51">
        <f t="shared" si="8"/>
        <v>685.69999999999982</v>
      </c>
      <c r="J90" s="51">
        <f>VLOOKUP(C90,'IP PITS'!$B$6:$D$86,3,0)</f>
        <v>0</v>
      </c>
      <c r="K90" s="87">
        <v>8000</v>
      </c>
      <c r="L90" s="51">
        <f t="shared" si="12"/>
        <v>0</v>
      </c>
      <c r="M90" s="51">
        <f>VLOOKUP(C90,'IP PITS'!$B$6:$I$86,8,0)</f>
        <v>0</v>
      </c>
      <c r="N90" s="51">
        <f t="shared" si="13"/>
        <v>0</v>
      </c>
    </row>
    <row r="91" spans="1:14" x14ac:dyDescent="0.2">
      <c r="A91" s="51" t="s">
        <v>477</v>
      </c>
      <c r="B91" s="51" t="s">
        <v>661</v>
      </c>
      <c r="C91" s="51" t="s">
        <v>478</v>
      </c>
      <c r="D91" s="51">
        <v>421.19999999999982</v>
      </c>
      <c r="E91" s="51">
        <v>450</v>
      </c>
      <c r="F91" s="52"/>
      <c r="G91" s="51">
        <f t="shared" si="11"/>
        <v>0</v>
      </c>
      <c r="H91" s="51">
        <f t="shared" si="8"/>
        <v>871.19999999999982</v>
      </c>
      <c r="J91" s="51">
        <f>VLOOKUP(C91,'IP PITS'!$B$6:$D$86,3,0)</f>
        <v>0</v>
      </c>
      <c r="K91" s="87">
        <v>8000</v>
      </c>
      <c r="L91" s="51">
        <f t="shared" si="12"/>
        <v>0</v>
      </c>
      <c r="M91" s="51">
        <f>VLOOKUP(C91,'IP PITS'!$B$6:$I$86,8,0)</f>
        <v>0</v>
      </c>
      <c r="N91" s="51">
        <f t="shared" si="13"/>
        <v>0</v>
      </c>
    </row>
    <row r="92" spans="1:14" x14ac:dyDescent="0.2">
      <c r="A92" s="51" t="s">
        <v>586</v>
      </c>
      <c r="B92" s="51" t="s">
        <v>661</v>
      </c>
      <c r="C92" s="51" t="s">
        <v>587</v>
      </c>
      <c r="D92" s="51">
        <v>1707.3799999999999</v>
      </c>
      <c r="E92" s="51">
        <v>675</v>
      </c>
      <c r="F92" s="52"/>
      <c r="G92" s="51">
        <f t="shared" si="11"/>
        <v>0</v>
      </c>
      <c r="H92" s="51">
        <f t="shared" si="8"/>
        <v>2382.38</v>
      </c>
      <c r="J92" s="51">
        <f>VLOOKUP(C92,'IP PITS'!$B$6:$D$86,3,0)</f>
        <v>0</v>
      </c>
      <c r="K92" s="87">
        <v>7000</v>
      </c>
      <c r="L92" s="51">
        <f t="shared" si="12"/>
        <v>0</v>
      </c>
      <c r="M92" s="51">
        <f>VLOOKUP(C92,'IP PITS'!$B$6:$I$86,8,0)</f>
        <v>0</v>
      </c>
      <c r="N92" s="51">
        <f t="shared" si="13"/>
        <v>0</v>
      </c>
    </row>
    <row r="93" spans="1:14" x14ac:dyDescent="0.2">
      <c r="A93" s="51" t="s">
        <v>404</v>
      </c>
      <c r="B93" s="51" t="s">
        <v>660</v>
      </c>
      <c r="C93" s="51" t="s">
        <v>664</v>
      </c>
      <c r="D93" s="51">
        <v>2469.3999999999996</v>
      </c>
      <c r="E93" s="51">
        <v>1000</v>
      </c>
      <c r="F93" s="52"/>
      <c r="G93" s="51">
        <f t="shared" si="11"/>
        <v>0</v>
      </c>
      <c r="H93" s="51">
        <f t="shared" si="8"/>
        <v>3469.3999999999996</v>
      </c>
      <c r="J93" s="51">
        <f>VLOOKUP(C93,'CPD PITS'!$B$6:$D$24,3,0)</f>
        <v>0</v>
      </c>
      <c r="K93" s="87">
        <v>13000</v>
      </c>
      <c r="L93" s="51">
        <f t="shared" si="12"/>
        <v>0</v>
      </c>
      <c r="M93" s="51">
        <f>VLOOKUP(C93,'CPD PITS'!$B$6:$I$24,8,0)</f>
        <v>0</v>
      </c>
      <c r="N93" s="51">
        <f t="shared" si="13"/>
        <v>0</v>
      </c>
    </row>
    <row r="94" spans="1:14" x14ac:dyDescent="0.2">
      <c r="A94" s="51" t="s">
        <v>502</v>
      </c>
      <c r="B94" s="51" t="s">
        <v>661</v>
      </c>
      <c r="C94" s="51" t="s">
        <v>419</v>
      </c>
      <c r="D94" s="51">
        <v>2796</v>
      </c>
      <c r="E94" s="51">
        <v>417</v>
      </c>
      <c r="F94" s="52"/>
      <c r="G94" s="51">
        <f t="shared" si="11"/>
        <v>0</v>
      </c>
      <c r="H94" s="51">
        <f t="shared" si="8"/>
        <v>3213</v>
      </c>
      <c r="J94" s="51">
        <f>VLOOKUP(C94,'IP PITS'!$B$6:$D$86,3,0)</f>
        <v>0</v>
      </c>
      <c r="K94" s="87">
        <v>10000</v>
      </c>
      <c r="L94" s="51">
        <f t="shared" si="12"/>
        <v>0</v>
      </c>
      <c r="M94" s="51">
        <f>VLOOKUP(C94,'IP PITS'!$B$6:$I$86,8,0)</f>
        <v>0</v>
      </c>
      <c r="N94" s="51">
        <f t="shared" si="13"/>
        <v>0</v>
      </c>
    </row>
    <row r="95" spans="1:14" x14ac:dyDescent="0.2">
      <c r="A95" s="51" t="s">
        <v>499</v>
      </c>
      <c r="B95" s="51" t="s">
        <v>661</v>
      </c>
      <c r="C95" s="51" t="s">
        <v>416</v>
      </c>
      <c r="D95" s="51">
        <v>1923.4</v>
      </c>
      <c r="E95" s="51">
        <v>1421.88</v>
      </c>
      <c r="F95" s="52"/>
      <c r="G95" s="51">
        <f t="shared" si="11"/>
        <v>0</v>
      </c>
      <c r="H95" s="51">
        <f t="shared" si="8"/>
        <v>3345.28</v>
      </c>
      <c r="J95" s="51">
        <f>VLOOKUP(C95,'IP PITS'!$B$6:$D$86,3,0)</f>
        <v>0</v>
      </c>
      <c r="K95" s="87">
        <v>10500</v>
      </c>
      <c r="L95" s="51">
        <f t="shared" si="12"/>
        <v>0</v>
      </c>
      <c r="M95" s="51">
        <f>VLOOKUP(C95,'IP PITS'!$B$6:$I$86,8,0)</f>
        <v>0</v>
      </c>
      <c r="N95" s="51">
        <f t="shared" si="13"/>
        <v>0</v>
      </c>
    </row>
    <row r="96" spans="1:14" x14ac:dyDescent="0.2">
      <c r="A96" s="51" t="s">
        <v>67</v>
      </c>
      <c r="B96" s="51" t="s">
        <v>661</v>
      </c>
      <c r="C96" s="51" t="s">
        <v>328</v>
      </c>
      <c r="D96" s="51">
        <v>421.19999999999982</v>
      </c>
      <c r="E96" s="51">
        <v>258.5</v>
      </c>
      <c r="F96" s="52"/>
      <c r="G96" s="51">
        <f t="shared" si="11"/>
        <v>0</v>
      </c>
      <c r="H96" s="51">
        <f t="shared" si="8"/>
        <v>679.69999999999982</v>
      </c>
      <c r="J96" s="51">
        <f>VLOOKUP(C96,'IP PITS'!$B$6:$D$86,3,0)</f>
        <v>0</v>
      </c>
      <c r="K96" s="87">
        <v>8000</v>
      </c>
      <c r="L96" s="51">
        <f t="shared" si="12"/>
        <v>0</v>
      </c>
      <c r="M96" s="51">
        <f>VLOOKUP(C96,'IP PITS'!$B$6:$I$86,8,0)</f>
        <v>0</v>
      </c>
      <c r="N96" s="51">
        <f t="shared" si="13"/>
        <v>0</v>
      </c>
    </row>
    <row r="97" spans="1:14" x14ac:dyDescent="0.2">
      <c r="A97" s="51" t="s">
        <v>469</v>
      </c>
      <c r="B97" s="51" t="s">
        <v>661</v>
      </c>
      <c r="C97" s="51" t="s">
        <v>470</v>
      </c>
      <c r="D97" s="51">
        <v>422.99999999999977</v>
      </c>
      <c r="E97" s="51">
        <v>546</v>
      </c>
      <c r="F97" s="52"/>
      <c r="G97" s="51">
        <f t="shared" si="11"/>
        <v>0</v>
      </c>
      <c r="H97" s="51">
        <f t="shared" si="8"/>
        <v>968.99999999999977</v>
      </c>
      <c r="J97" s="51">
        <f>VLOOKUP(C97,'IP PITS'!$B$6:$D$86,3,0)</f>
        <v>0</v>
      </c>
      <c r="K97" s="87">
        <v>8000</v>
      </c>
      <c r="L97" s="51">
        <f t="shared" si="12"/>
        <v>0</v>
      </c>
      <c r="M97" s="51">
        <f>VLOOKUP(C97,'IP PITS'!$B$6:$I$86,8,0)</f>
        <v>0</v>
      </c>
      <c r="N97" s="51">
        <f t="shared" si="13"/>
        <v>0</v>
      </c>
    </row>
    <row r="98" spans="1:14" x14ac:dyDescent="0.2">
      <c r="A98" s="51" t="s">
        <v>501</v>
      </c>
      <c r="B98" s="51" t="s">
        <v>661</v>
      </c>
      <c r="C98" s="51" t="s">
        <v>418</v>
      </c>
      <c r="D98" s="51">
        <v>2673.37</v>
      </c>
      <c r="F98" s="52"/>
      <c r="G98" s="51">
        <f t="shared" si="11"/>
        <v>0</v>
      </c>
      <c r="H98" s="51">
        <f t="shared" si="8"/>
        <v>2673.37</v>
      </c>
      <c r="J98" s="51">
        <f>VLOOKUP(C98,'IP PITS'!$B$6:$D$86,3,0)</f>
        <v>0</v>
      </c>
      <c r="K98" s="87">
        <v>12000</v>
      </c>
      <c r="L98" s="51">
        <f t="shared" si="12"/>
        <v>0</v>
      </c>
      <c r="M98" s="51">
        <f>VLOOKUP(C98,'IP PITS'!$B$6:$I$86,8,0)</f>
        <v>0</v>
      </c>
      <c r="N98" s="51">
        <f t="shared" si="13"/>
        <v>0</v>
      </c>
    </row>
    <row r="99" spans="1:14" x14ac:dyDescent="0.2">
      <c r="A99" s="51" t="s">
        <v>459</v>
      </c>
      <c r="B99" s="51" t="s">
        <v>661</v>
      </c>
      <c r="C99" s="51" t="s">
        <v>460</v>
      </c>
      <c r="D99" s="51">
        <v>423.25</v>
      </c>
      <c r="E99" s="51">
        <v>471</v>
      </c>
      <c r="F99" s="52"/>
      <c r="G99" s="51">
        <f t="shared" si="11"/>
        <v>0</v>
      </c>
      <c r="H99" s="51">
        <f t="shared" ref="H99:H102" si="14">SUM(D99:G99)</f>
        <v>894.25</v>
      </c>
      <c r="J99" s="51">
        <f>VLOOKUP(C99,'IP PITS'!$B$6:$D$86,3,0)</f>
        <v>0</v>
      </c>
      <c r="K99" s="87">
        <v>8000</v>
      </c>
      <c r="L99" s="51">
        <f t="shared" si="12"/>
        <v>0</v>
      </c>
      <c r="M99" s="51">
        <f>VLOOKUP(C99,'IP PITS'!$B$6:$I$86,8,0)</f>
        <v>0</v>
      </c>
      <c r="N99" s="51">
        <f t="shared" si="13"/>
        <v>0</v>
      </c>
    </row>
    <row r="100" spans="1:14" ht="14.25" customHeight="1" x14ac:dyDescent="0.2">
      <c r="A100" s="51" t="s">
        <v>666</v>
      </c>
      <c r="B100" s="51" t="s">
        <v>661</v>
      </c>
      <c r="C100" s="51" t="s">
        <v>670</v>
      </c>
      <c r="D100" s="51">
        <v>181</v>
      </c>
      <c r="F100" s="52"/>
      <c r="H100" s="51">
        <f t="shared" si="14"/>
        <v>181</v>
      </c>
      <c r="J100" s="51">
        <f>VLOOKUP(C100,'IP PITS'!$B$6:$D$86,3,0)</f>
        <v>0</v>
      </c>
      <c r="K100" s="87">
        <v>6000</v>
      </c>
      <c r="L100" s="51">
        <f t="shared" si="12"/>
        <v>0</v>
      </c>
      <c r="M100" s="51">
        <f>VLOOKUP(C100,'IP PITS'!$B$6:$I$86,8,0)</f>
        <v>0</v>
      </c>
      <c r="N100" s="51">
        <f t="shared" si="13"/>
        <v>0</v>
      </c>
    </row>
    <row r="101" spans="1:14" ht="14.25" customHeight="1" x14ac:dyDescent="0.2">
      <c r="A101" s="51" t="s">
        <v>204</v>
      </c>
      <c r="B101" s="51" t="s">
        <v>660</v>
      </c>
      <c r="C101" s="51" t="s">
        <v>310</v>
      </c>
      <c r="D101" s="51">
        <v>4183.2</v>
      </c>
      <c r="E101" s="51">
        <v>750</v>
      </c>
      <c r="F101" s="52"/>
      <c r="G101" s="51">
        <f>+N101</f>
        <v>0</v>
      </c>
      <c r="H101" s="51">
        <f t="shared" si="14"/>
        <v>4933.2</v>
      </c>
      <c r="J101" s="51">
        <f>VLOOKUP(C101,'CPD PITS'!$B$6:$D$24,3,0)</f>
        <v>0</v>
      </c>
      <c r="K101" s="87">
        <v>18500</v>
      </c>
      <c r="L101" s="51">
        <f t="shared" si="12"/>
        <v>0</v>
      </c>
      <c r="M101" s="51">
        <f>VLOOKUP(C101,'CPD PITS'!$B$6:$I$24,8,0)</f>
        <v>0</v>
      </c>
      <c r="N101" s="51">
        <f t="shared" si="13"/>
        <v>0</v>
      </c>
    </row>
    <row r="102" spans="1:14" ht="14.25" customHeight="1" x14ac:dyDescent="0.2">
      <c r="A102" s="51" t="s">
        <v>89</v>
      </c>
      <c r="B102" s="51" t="s">
        <v>661</v>
      </c>
      <c r="C102" s="51" t="s">
        <v>334</v>
      </c>
      <c r="D102" s="51">
        <v>1140.3699999999999</v>
      </c>
      <c r="F102" s="52"/>
      <c r="G102" s="51">
        <f>+N102</f>
        <v>20</v>
      </c>
      <c r="H102" s="51">
        <f t="shared" si="14"/>
        <v>1160.3699999999999</v>
      </c>
      <c r="J102" s="51">
        <f>VLOOKUP(C102,'IP PITS'!$B$6:$D$86,3,0)</f>
        <v>1</v>
      </c>
      <c r="K102" s="87">
        <v>8000</v>
      </c>
      <c r="L102" s="51">
        <f t="shared" si="12"/>
        <v>80</v>
      </c>
      <c r="M102" s="51">
        <f>VLOOKUP(C102,'IP PITS'!$B$6:$I$86,8,0)</f>
        <v>60</v>
      </c>
      <c r="N102" s="51">
        <f t="shared" si="13"/>
        <v>20</v>
      </c>
    </row>
    <row r="103" spans="1:14" ht="14.25" customHeight="1" x14ac:dyDescent="0.2">
      <c r="D103" s="63">
        <f>SUM(D3:D102)</f>
        <v>161280.69999999995</v>
      </c>
      <c r="E103" s="63">
        <f t="shared" ref="E103:N103" si="15">SUM(E3:E102)</f>
        <v>39087.43</v>
      </c>
      <c r="F103" s="63">
        <f t="shared" si="15"/>
        <v>0</v>
      </c>
      <c r="G103" s="63">
        <f t="shared" si="15"/>
        <v>347.5</v>
      </c>
      <c r="H103" s="63">
        <f t="shared" si="15"/>
        <v>200715.63</v>
      </c>
      <c r="I103" s="63">
        <f t="shared" si="15"/>
        <v>0</v>
      </c>
      <c r="J103" s="63">
        <f t="shared" si="15"/>
        <v>5</v>
      </c>
      <c r="K103" s="63">
        <f t="shared" si="15"/>
        <v>1016806.02</v>
      </c>
      <c r="L103" s="63">
        <f t="shared" si="15"/>
        <v>921.5</v>
      </c>
      <c r="M103" s="63">
        <f t="shared" si="15"/>
        <v>574</v>
      </c>
      <c r="N103" s="63">
        <f t="shared" si="15"/>
        <v>347.5</v>
      </c>
    </row>
    <row r="104" spans="1:14" x14ac:dyDescent="0.2">
      <c r="B104" s="83"/>
      <c r="D104" s="82"/>
      <c r="E104" s="82"/>
      <c r="G104" s="149"/>
      <c r="H104" s="150">
        <f>+H103</f>
        <v>200715.63</v>
      </c>
      <c r="I104" s="140"/>
    </row>
    <row r="105" spans="1:14" x14ac:dyDescent="0.2">
      <c r="A105" s="83"/>
      <c r="B105" s="83"/>
      <c r="C105" s="83"/>
      <c r="G105" s="149"/>
      <c r="H105" s="150">
        <v>0</v>
      </c>
      <c r="I105" s="140"/>
    </row>
    <row r="106" spans="1:14" x14ac:dyDescent="0.2">
      <c r="A106" s="83"/>
      <c r="C106" s="83"/>
      <c r="G106" s="149"/>
      <c r="H106" s="149">
        <f>+H104+H105</f>
        <v>200715.63</v>
      </c>
      <c r="I106" s="141"/>
    </row>
    <row r="107" spans="1:14" x14ac:dyDescent="0.2">
      <c r="A107" s="83"/>
      <c r="B107" s="83"/>
      <c r="C107" s="83"/>
      <c r="G107" s="149"/>
      <c r="H107" s="149">
        <f>+H106*2%</f>
        <v>4014.3126000000002</v>
      </c>
      <c r="I107" s="141"/>
    </row>
    <row r="108" spans="1:14" x14ac:dyDescent="0.2">
      <c r="A108" s="83"/>
      <c r="B108" s="83"/>
      <c r="C108" s="83"/>
      <c r="D108" s="51">
        <v>0</v>
      </c>
      <c r="G108" s="149"/>
      <c r="H108" s="149">
        <f>+H106+H107</f>
        <v>204729.94260000001</v>
      </c>
      <c r="I108" s="141"/>
    </row>
    <row r="109" spans="1:14" x14ac:dyDescent="0.2">
      <c r="B109" s="83"/>
      <c r="G109" s="149"/>
      <c r="H109" s="150"/>
      <c r="I109" s="140"/>
    </row>
    <row r="110" spans="1:14" x14ac:dyDescent="0.2">
      <c r="B110" s="83"/>
      <c r="G110" s="149"/>
      <c r="H110" s="150"/>
      <c r="I110" s="140"/>
    </row>
    <row r="111" spans="1:14" x14ac:dyDescent="0.2">
      <c r="G111" s="149"/>
      <c r="H111" s="149">
        <f>+H108</f>
        <v>204729.94260000001</v>
      </c>
      <c r="I111" s="141"/>
    </row>
    <row r="112" spans="1:14" x14ac:dyDescent="0.2">
      <c r="G112" s="149"/>
      <c r="H112" s="150">
        <f>+H111*16%</f>
        <v>32756.790816000001</v>
      </c>
      <c r="I112" s="140"/>
    </row>
    <row r="113" spans="7:9" x14ac:dyDescent="0.2">
      <c r="G113" s="149"/>
      <c r="H113" s="149">
        <f>+H111+H112</f>
        <v>237486.733416</v>
      </c>
      <c r="I113" s="141"/>
    </row>
    <row r="114" spans="7:9" ht="15.75" customHeight="1" x14ac:dyDescent="0.2">
      <c r="I114" s="51"/>
    </row>
    <row r="115" spans="7:9" x14ac:dyDescent="0.2">
      <c r="I115" s="51"/>
    </row>
    <row r="116" spans="7:9" x14ac:dyDescent="0.2">
      <c r="I116" s="51"/>
    </row>
    <row r="117" spans="7:9" x14ac:dyDescent="0.2">
      <c r="I117" s="51"/>
    </row>
    <row r="118" spans="7:9" x14ac:dyDescent="0.2">
      <c r="I118" s="51"/>
    </row>
    <row r="119" spans="7:9" x14ac:dyDescent="0.2">
      <c r="I119" s="51"/>
    </row>
  </sheetData>
  <autoFilter ref="A2:N100" xr:uid="{00000000-0009-0000-0000-000003000000}">
    <sortState xmlns:xlrd2="http://schemas.microsoft.com/office/spreadsheetml/2017/richdata2" ref="A3:N108">
      <sortCondition ref="C2:C100"/>
    </sortState>
  </autoFilter>
  <mergeCells count="2">
    <mergeCell ref="J1:N1"/>
    <mergeCell ref="D1:H1"/>
  </mergeCells>
  <pageMargins left="0.7" right="0.7" top="0.75" bottom="0.75" header="0.3" footer="0.3"/>
  <pageSetup orientation="portrait" horizontalDpi="4294967292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IO141"/>
  <sheetViews>
    <sheetView showGridLines="0" zoomScale="80" zoomScaleNormal="80" workbookViewId="0">
      <pane xSplit="3" ySplit="3" topLeftCell="D121" activePane="bottomRight" state="frozen"/>
      <selection pane="topRight" activeCell="D1" sqref="D1"/>
      <selection pane="bottomLeft" activeCell="A4" sqref="A4"/>
      <selection pane="bottomRight" activeCell="E141" sqref="E141"/>
    </sheetView>
  </sheetViews>
  <sheetFormatPr baseColWidth="10" defaultColWidth="11.42578125" defaultRowHeight="12.75" x14ac:dyDescent="0.2"/>
  <cols>
    <col min="1" max="1" width="11.42578125" style="47"/>
    <col min="2" max="2" width="26.42578125" style="47" bestFit="1" customWidth="1"/>
    <col min="3" max="3" width="46.28515625" style="79" customWidth="1"/>
    <col min="4" max="5" width="22" style="47" customWidth="1"/>
    <col min="6" max="6" width="4" style="94" customWidth="1"/>
    <col min="7" max="7" width="19.7109375" style="47" customWidth="1"/>
    <col min="8" max="9" width="24.5703125" style="47" customWidth="1"/>
    <col min="10" max="10" width="3.5703125" style="94" customWidth="1"/>
    <col min="11" max="11" width="19.5703125" style="47" customWidth="1"/>
    <col min="12" max="12" width="22.5703125" style="47" customWidth="1"/>
    <col min="13" max="13" width="19.5703125" style="47" customWidth="1"/>
    <col min="14" max="14" width="3.7109375" style="95" customWidth="1"/>
    <col min="15" max="15" width="17.42578125" style="47" customWidth="1"/>
    <col min="16" max="16" width="17.7109375" style="47" customWidth="1"/>
    <col min="17" max="21" width="16.28515625" style="47" customWidth="1"/>
    <col min="22" max="22" width="19.42578125" style="47" customWidth="1"/>
    <col min="23" max="23" width="21.5703125" style="47" customWidth="1"/>
    <col min="24" max="24" width="6" style="94" customWidth="1"/>
    <col min="25" max="25" width="24" style="47" customWidth="1"/>
    <col min="26" max="26" width="21" style="46" customWidth="1"/>
    <col min="27" max="27" width="35.85546875" style="96" customWidth="1"/>
    <col min="28" max="28" width="11.42578125" style="46" customWidth="1"/>
    <col min="29" max="41" width="11.42578125" style="88" customWidth="1"/>
    <col min="42" max="249" width="11.42578125" style="88"/>
    <col min="250" max="16384" width="11.42578125" style="47"/>
  </cols>
  <sheetData>
    <row r="1" spans="1:249" s="92" customFormat="1" x14ac:dyDescent="0.2">
      <c r="C1" s="93"/>
      <c r="F1" s="94"/>
      <c r="J1" s="94"/>
      <c r="N1" s="95"/>
      <c r="X1" s="94"/>
      <c r="Z1" s="46"/>
      <c r="AA1" s="96"/>
      <c r="AB1" s="46"/>
      <c r="AC1" s="88"/>
      <c r="AD1" s="88"/>
      <c r="AE1" s="88"/>
      <c r="AF1" s="88"/>
      <c r="AG1" s="88"/>
      <c r="AH1" s="88"/>
      <c r="AI1" s="88"/>
      <c r="AJ1" s="88"/>
      <c r="AK1" s="88"/>
      <c r="AL1" s="88"/>
      <c r="AM1" s="88"/>
      <c r="AN1" s="88"/>
      <c r="AO1" s="88"/>
      <c r="AP1" s="88"/>
      <c r="AQ1" s="88"/>
      <c r="AR1" s="88"/>
      <c r="AS1" s="88"/>
      <c r="AT1" s="88"/>
      <c r="AU1" s="88"/>
      <c r="AV1" s="88"/>
      <c r="AW1" s="88"/>
      <c r="AX1" s="88"/>
      <c r="AY1" s="88"/>
      <c r="AZ1" s="88"/>
      <c r="BA1" s="88"/>
      <c r="BB1" s="88"/>
      <c r="BC1" s="88"/>
      <c r="BD1" s="88"/>
      <c r="BE1" s="88"/>
      <c r="BF1" s="88"/>
      <c r="BG1" s="88"/>
      <c r="BH1" s="88"/>
      <c r="BI1" s="88"/>
      <c r="BJ1" s="88"/>
      <c r="BK1" s="88"/>
      <c r="BL1" s="88"/>
      <c r="BM1" s="88"/>
      <c r="BN1" s="88"/>
      <c r="BO1" s="88"/>
      <c r="BP1" s="88"/>
      <c r="BQ1" s="88"/>
      <c r="BR1" s="88"/>
      <c r="BS1" s="88"/>
      <c r="BT1" s="88"/>
      <c r="BU1" s="88"/>
      <c r="BV1" s="88"/>
      <c r="BW1" s="88"/>
      <c r="BX1" s="88"/>
      <c r="BY1" s="88"/>
      <c r="BZ1" s="88"/>
      <c r="CA1" s="88"/>
      <c r="CB1" s="88"/>
      <c r="CC1" s="88"/>
      <c r="CD1" s="88"/>
      <c r="CE1" s="88"/>
      <c r="CF1" s="88"/>
      <c r="CG1" s="88"/>
      <c r="CH1" s="88"/>
      <c r="CI1" s="88"/>
      <c r="CJ1" s="88"/>
      <c r="CK1" s="88"/>
      <c r="CL1" s="88"/>
      <c r="CM1" s="88"/>
      <c r="CN1" s="88"/>
      <c r="CO1" s="88"/>
      <c r="CP1" s="88"/>
      <c r="CQ1" s="88"/>
      <c r="CR1" s="88"/>
      <c r="CS1" s="88"/>
      <c r="CT1" s="88"/>
      <c r="CU1" s="88"/>
      <c r="CV1" s="88"/>
      <c r="CW1" s="88"/>
      <c r="CX1" s="88"/>
      <c r="CY1" s="88"/>
      <c r="CZ1" s="88"/>
      <c r="DA1" s="88"/>
      <c r="DB1" s="88"/>
      <c r="DC1" s="88"/>
      <c r="DD1" s="88"/>
      <c r="DE1" s="88"/>
      <c r="DF1" s="88"/>
      <c r="DG1" s="88"/>
      <c r="DH1" s="88"/>
      <c r="DI1" s="88"/>
      <c r="DJ1" s="88"/>
      <c r="DK1" s="88"/>
      <c r="DL1" s="88"/>
      <c r="DM1" s="88"/>
      <c r="DN1" s="88"/>
      <c r="DO1" s="88"/>
      <c r="DP1" s="88"/>
      <c r="DQ1" s="88"/>
      <c r="DR1" s="88"/>
      <c r="DS1" s="88"/>
      <c r="DT1" s="88"/>
      <c r="DU1" s="88"/>
      <c r="DV1" s="88"/>
      <c r="DW1" s="88"/>
      <c r="DX1" s="88"/>
      <c r="DY1" s="88"/>
      <c r="DZ1" s="88"/>
      <c r="EA1" s="88"/>
      <c r="EB1" s="88"/>
      <c r="EC1" s="88"/>
      <c r="ED1" s="88"/>
      <c r="EE1" s="88"/>
      <c r="EF1" s="88"/>
      <c r="EG1" s="88"/>
      <c r="EH1" s="88"/>
      <c r="EI1" s="88"/>
      <c r="EJ1" s="88"/>
      <c r="EK1" s="88"/>
      <c r="EL1" s="88"/>
      <c r="EM1" s="88"/>
      <c r="EN1" s="88"/>
      <c r="EO1" s="88"/>
      <c r="EP1" s="88"/>
      <c r="EQ1" s="88"/>
      <c r="ER1" s="88"/>
      <c r="ES1" s="88"/>
      <c r="ET1" s="88"/>
      <c r="EU1" s="88"/>
      <c r="EV1" s="88"/>
      <c r="EW1" s="88"/>
      <c r="EX1" s="88"/>
      <c r="EY1" s="88"/>
      <c r="EZ1" s="88"/>
      <c r="FA1" s="88"/>
      <c r="FB1" s="88"/>
      <c r="FC1" s="88"/>
      <c r="FD1" s="88"/>
      <c r="FE1" s="88"/>
      <c r="FF1" s="88"/>
      <c r="FG1" s="88"/>
      <c r="FH1" s="88"/>
      <c r="FI1" s="88"/>
      <c r="FJ1" s="88"/>
      <c r="FK1" s="88"/>
      <c r="FL1" s="88"/>
      <c r="FM1" s="88"/>
      <c r="FN1" s="88"/>
      <c r="FO1" s="88"/>
      <c r="FP1" s="88"/>
      <c r="FQ1" s="88"/>
      <c r="FR1" s="88"/>
      <c r="FS1" s="88"/>
      <c r="FT1" s="88"/>
      <c r="FU1" s="88"/>
      <c r="FV1" s="88"/>
      <c r="FW1" s="88"/>
      <c r="FX1" s="88"/>
      <c r="FY1" s="88"/>
      <c r="FZ1" s="88"/>
      <c r="GA1" s="88"/>
      <c r="GB1" s="88"/>
      <c r="GC1" s="88"/>
      <c r="GD1" s="88"/>
      <c r="GE1" s="88"/>
      <c r="GF1" s="88"/>
      <c r="GG1" s="88"/>
      <c r="GH1" s="88"/>
      <c r="GI1" s="88"/>
      <c r="GJ1" s="88"/>
      <c r="GK1" s="88"/>
      <c r="GL1" s="88"/>
      <c r="GM1" s="88"/>
      <c r="GN1" s="88"/>
      <c r="GO1" s="88"/>
      <c r="GP1" s="88"/>
      <c r="GQ1" s="88"/>
      <c r="GR1" s="88"/>
      <c r="GS1" s="88"/>
      <c r="GT1" s="88"/>
      <c r="GU1" s="88"/>
      <c r="GV1" s="88"/>
      <c r="GW1" s="88"/>
      <c r="GX1" s="88"/>
      <c r="GY1" s="88"/>
      <c r="GZ1" s="88"/>
      <c r="HA1" s="88"/>
      <c r="HB1" s="88"/>
      <c r="HC1" s="88"/>
      <c r="HD1" s="88"/>
      <c r="HE1" s="88"/>
      <c r="HF1" s="88"/>
      <c r="HG1" s="88"/>
      <c r="HH1" s="88"/>
      <c r="HI1" s="88"/>
      <c r="HJ1" s="88"/>
      <c r="HK1" s="88"/>
      <c r="HL1" s="88"/>
      <c r="HM1" s="88"/>
      <c r="HN1" s="88"/>
      <c r="HO1" s="88"/>
      <c r="HP1" s="88"/>
      <c r="HQ1" s="88"/>
      <c r="HR1" s="88"/>
      <c r="HS1" s="88"/>
      <c r="HT1" s="88"/>
      <c r="HU1" s="88"/>
      <c r="HV1" s="88"/>
      <c r="HW1" s="88"/>
      <c r="HX1" s="88"/>
      <c r="HY1" s="88"/>
      <c r="HZ1" s="88"/>
      <c r="IA1" s="88"/>
      <c r="IB1" s="88"/>
      <c r="IC1" s="88"/>
      <c r="ID1" s="88"/>
      <c r="IE1" s="88"/>
      <c r="IF1" s="88"/>
      <c r="IG1" s="88"/>
      <c r="IH1" s="88"/>
      <c r="II1" s="88"/>
      <c r="IJ1" s="88"/>
      <c r="IK1" s="88"/>
      <c r="IL1" s="88"/>
      <c r="IM1" s="88"/>
      <c r="IN1" s="88"/>
      <c r="IO1" s="88"/>
    </row>
    <row r="2" spans="1:249" s="92" customFormat="1" x14ac:dyDescent="0.2">
      <c r="A2" s="164" t="s">
        <v>611</v>
      </c>
      <c r="B2" s="164"/>
      <c r="C2" s="164"/>
      <c r="D2" s="164"/>
      <c r="E2" s="164"/>
      <c r="F2" s="94"/>
      <c r="G2" s="164" t="s">
        <v>612</v>
      </c>
      <c r="H2" s="164"/>
      <c r="I2" s="164"/>
      <c r="J2" s="94"/>
      <c r="K2" s="164" t="s">
        <v>613</v>
      </c>
      <c r="L2" s="164"/>
      <c r="M2" s="164"/>
      <c r="N2" s="95"/>
      <c r="O2" s="164" t="s">
        <v>614</v>
      </c>
      <c r="P2" s="164"/>
      <c r="Q2" s="164"/>
      <c r="R2" s="164"/>
      <c r="S2" s="164"/>
      <c r="T2" s="164"/>
      <c r="U2" s="164"/>
      <c r="V2" s="164"/>
      <c r="W2" s="164"/>
      <c r="X2" s="94"/>
      <c r="Z2" s="46"/>
      <c r="AA2" s="96"/>
      <c r="AB2" s="46"/>
      <c r="AC2" s="88"/>
      <c r="AD2" s="88"/>
      <c r="AE2" s="88"/>
      <c r="AF2" s="88"/>
      <c r="AG2" s="88"/>
      <c r="AH2" s="88"/>
      <c r="AI2" s="88"/>
      <c r="AJ2" s="88"/>
      <c r="AK2" s="88"/>
      <c r="AL2" s="88"/>
      <c r="AM2" s="88"/>
      <c r="AN2" s="88"/>
      <c r="AO2" s="88"/>
      <c r="AP2" s="88"/>
      <c r="AQ2" s="88"/>
      <c r="AR2" s="88"/>
      <c r="AS2" s="88"/>
      <c r="AT2" s="88"/>
      <c r="AU2" s="88"/>
      <c r="AV2" s="88"/>
      <c r="AW2" s="88"/>
      <c r="AX2" s="88"/>
      <c r="AY2" s="88"/>
      <c r="AZ2" s="88"/>
      <c r="BA2" s="88"/>
      <c r="BB2" s="88"/>
      <c r="BC2" s="88"/>
      <c r="BD2" s="88"/>
      <c r="BE2" s="88"/>
      <c r="BF2" s="88"/>
      <c r="BG2" s="88"/>
      <c r="BH2" s="88"/>
      <c r="BI2" s="88"/>
      <c r="BJ2" s="88"/>
      <c r="BK2" s="88"/>
      <c r="BL2" s="88"/>
      <c r="BM2" s="88"/>
      <c r="BN2" s="88"/>
      <c r="BO2" s="88"/>
      <c r="BP2" s="88"/>
      <c r="BQ2" s="88"/>
      <c r="BR2" s="88"/>
      <c r="BS2" s="88"/>
      <c r="BT2" s="88"/>
      <c r="BU2" s="88"/>
      <c r="BV2" s="88"/>
      <c r="BW2" s="88"/>
      <c r="BX2" s="88"/>
      <c r="BY2" s="88"/>
      <c r="BZ2" s="88"/>
      <c r="CA2" s="88"/>
      <c r="CB2" s="88"/>
      <c r="CC2" s="88"/>
      <c r="CD2" s="88"/>
      <c r="CE2" s="88"/>
      <c r="CF2" s="88"/>
      <c r="CG2" s="88"/>
      <c r="CH2" s="88"/>
      <c r="CI2" s="88"/>
      <c r="CJ2" s="88"/>
      <c r="CK2" s="88"/>
      <c r="CL2" s="88"/>
      <c r="CM2" s="88"/>
      <c r="CN2" s="88"/>
      <c r="CO2" s="88"/>
      <c r="CP2" s="88"/>
      <c r="CQ2" s="88"/>
      <c r="CR2" s="88"/>
      <c r="CS2" s="88"/>
      <c r="CT2" s="88"/>
      <c r="CU2" s="88"/>
      <c r="CV2" s="88"/>
      <c r="CW2" s="88"/>
      <c r="CX2" s="88"/>
      <c r="CY2" s="88"/>
      <c r="CZ2" s="88"/>
      <c r="DA2" s="88"/>
      <c r="DB2" s="88"/>
      <c r="DC2" s="88"/>
      <c r="DD2" s="88"/>
      <c r="DE2" s="88"/>
      <c r="DF2" s="88"/>
      <c r="DG2" s="88"/>
      <c r="DH2" s="88"/>
      <c r="DI2" s="88"/>
      <c r="DJ2" s="88"/>
      <c r="DK2" s="88"/>
      <c r="DL2" s="88"/>
      <c r="DM2" s="88"/>
      <c r="DN2" s="88"/>
      <c r="DO2" s="88"/>
      <c r="DP2" s="88"/>
      <c r="DQ2" s="88"/>
      <c r="DR2" s="88"/>
      <c r="DS2" s="88"/>
      <c r="DT2" s="88"/>
      <c r="DU2" s="88"/>
      <c r="DV2" s="88"/>
      <c r="DW2" s="88"/>
      <c r="DX2" s="88"/>
      <c r="DY2" s="88"/>
      <c r="DZ2" s="88"/>
      <c r="EA2" s="88"/>
      <c r="EB2" s="88"/>
      <c r="EC2" s="88"/>
      <c r="ED2" s="88"/>
      <c r="EE2" s="88"/>
      <c r="EF2" s="88"/>
      <c r="EG2" s="88"/>
      <c r="EH2" s="88"/>
      <c r="EI2" s="88"/>
      <c r="EJ2" s="88"/>
      <c r="EK2" s="88"/>
      <c r="EL2" s="88"/>
      <c r="EM2" s="88"/>
      <c r="EN2" s="88"/>
      <c r="EO2" s="88"/>
      <c r="EP2" s="88"/>
      <c r="EQ2" s="88"/>
      <c r="ER2" s="88"/>
      <c r="ES2" s="88"/>
      <c r="ET2" s="88"/>
      <c r="EU2" s="88"/>
      <c r="EV2" s="88"/>
      <c r="EW2" s="88"/>
      <c r="EX2" s="88"/>
      <c r="EY2" s="88"/>
      <c r="EZ2" s="88"/>
      <c r="FA2" s="88"/>
      <c r="FB2" s="88"/>
      <c r="FC2" s="88"/>
      <c r="FD2" s="88"/>
      <c r="FE2" s="88"/>
      <c r="FF2" s="88"/>
      <c r="FG2" s="88"/>
      <c r="FH2" s="88"/>
      <c r="FI2" s="88"/>
      <c r="FJ2" s="88"/>
      <c r="FK2" s="88"/>
      <c r="FL2" s="88"/>
      <c r="FM2" s="88"/>
      <c r="FN2" s="88"/>
      <c r="FO2" s="88"/>
      <c r="FP2" s="88"/>
      <c r="FQ2" s="88"/>
      <c r="FR2" s="88"/>
      <c r="FS2" s="88"/>
      <c r="FT2" s="88"/>
      <c r="FU2" s="88"/>
      <c r="FV2" s="88"/>
      <c r="FW2" s="88"/>
      <c r="FX2" s="88"/>
      <c r="FY2" s="88"/>
      <c r="FZ2" s="88"/>
      <c r="GA2" s="88"/>
      <c r="GB2" s="88"/>
      <c r="GC2" s="88"/>
      <c r="GD2" s="88"/>
      <c r="GE2" s="88"/>
      <c r="GF2" s="88"/>
      <c r="GG2" s="88"/>
      <c r="GH2" s="88"/>
      <c r="GI2" s="88"/>
      <c r="GJ2" s="88"/>
      <c r="GK2" s="88"/>
      <c r="GL2" s="88"/>
      <c r="GM2" s="88"/>
      <c r="GN2" s="88"/>
      <c r="GO2" s="88"/>
      <c r="GP2" s="88"/>
      <c r="GQ2" s="88"/>
      <c r="GR2" s="88"/>
      <c r="GS2" s="88"/>
      <c r="GT2" s="88"/>
      <c r="GU2" s="88"/>
      <c r="GV2" s="88"/>
      <c r="GW2" s="88"/>
      <c r="GX2" s="88"/>
      <c r="GY2" s="88"/>
      <c r="GZ2" s="88"/>
      <c r="HA2" s="88"/>
      <c r="HB2" s="88"/>
      <c r="HC2" s="88"/>
      <c r="HD2" s="88"/>
      <c r="HE2" s="88"/>
      <c r="HF2" s="88"/>
      <c r="HG2" s="88"/>
      <c r="HH2" s="88"/>
      <c r="HI2" s="88"/>
      <c r="HJ2" s="88"/>
      <c r="HK2" s="88"/>
      <c r="HL2" s="88"/>
      <c r="HM2" s="88"/>
      <c r="HN2" s="88"/>
      <c r="HO2" s="88"/>
      <c r="HP2" s="88"/>
      <c r="HQ2" s="88"/>
      <c r="HR2" s="88"/>
      <c r="HS2" s="88"/>
      <c r="HT2" s="88"/>
      <c r="HU2" s="88"/>
      <c r="HV2" s="88"/>
      <c r="HW2" s="88"/>
      <c r="HX2" s="88"/>
      <c r="HY2" s="88"/>
      <c r="HZ2" s="88"/>
      <c r="IA2" s="88"/>
      <c r="IB2" s="88"/>
      <c r="IC2" s="88"/>
      <c r="ID2" s="88"/>
      <c r="IE2" s="88"/>
      <c r="IF2" s="88"/>
      <c r="IG2" s="88"/>
      <c r="IH2" s="88"/>
      <c r="II2" s="88"/>
      <c r="IJ2" s="88"/>
      <c r="IK2" s="88"/>
      <c r="IL2" s="88"/>
      <c r="IM2" s="88"/>
      <c r="IN2" s="88"/>
      <c r="IO2" s="88"/>
    </row>
    <row r="3" spans="1:249" ht="26.25" thickBot="1" x14ac:dyDescent="0.25">
      <c r="A3" s="97" t="s">
        <v>604</v>
      </c>
      <c r="B3" s="97" t="s">
        <v>605</v>
      </c>
      <c r="C3" s="97" t="s">
        <v>3</v>
      </c>
      <c r="D3" s="97" t="s">
        <v>615</v>
      </c>
      <c r="E3" s="98" t="s">
        <v>616</v>
      </c>
      <c r="F3" s="99" t="s">
        <v>617</v>
      </c>
      <c r="G3" s="100" t="s">
        <v>618</v>
      </c>
      <c r="H3" s="100" t="s">
        <v>619</v>
      </c>
      <c r="I3" s="100" t="s">
        <v>620</v>
      </c>
      <c r="J3" s="99" t="s">
        <v>621</v>
      </c>
      <c r="K3" s="101" t="s">
        <v>121</v>
      </c>
      <c r="L3" s="97" t="s">
        <v>622</v>
      </c>
      <c r="M3" s="102" t="s">
        <v>623</v>
      </c>
      <c r="N3" s="103" t="s">
        <v>624</v>
      </c>
      <c r="O3" s="97" t="s">
        <v>625</v>
      </c>
      <c r="P3" s="97" t="s">
        <v>626</v>
      </c>
      <c r="Q3" s="97" t="s">
        <v>627</v>
      </c>
      <c r="R3" s="97" t="s">
        <v>627</v>
      </c>
      <c r="S3" s="97" t="s">
        <v>627</v>
      </c>
      <c r="T3" s="97" t="s">
        <v>627</v>
      </c>
      <c r="U3" s="97" t="s">
        <v>628</v>
      </c>
      <c r="V3" s="97" t="s">
        <v>629</v>
      </c>
      <c r="W3" s="97" t="s">
        <v>630</v>
      </c>
      <c r="X3" s="99" t="s">
        <v>631</v>
      </c>
      <c r="Y3" s="104" t="s">
        <v>632</v>
      </c>
      <c r="Z3" s="105" t="s">
        <v>633</v>
      </c>
      <c r="AA3" s="106" t="s">
        <v>634</v>
      </c>
      <c r="AB3" s="46" t="s">
        <v>522</v>
      </c>
    </row>
    <row r="4" spans="1:249" s="88" customFormat="1" ht="13.5" thickTop="1" x14ac:dyDescent="0.2">
      <c r="A4" s="87" t="s">
        <v>9</v>
      </c>
      <c r="B4" s="87" t="s">
        <v>5</v>
      </c>
      <c r="C4" s="86" t="s">
        <v>305</v>
      </c>
      <c r="D4" s="87">
        <f>VLOOKUP(C4,[1]CPD!$B$9:$Y$35,24,0)</f>
        <v>2774.6</v>
      </c>
      <c r="E4" s="87"/>
      <c r="F4" s="107"/>
      <c r="G4" s="88" t="e">
        <f>VLOOKUP(C4,#REF!,4,0)</f>
        <v>#REF!</v>
      </c>
      <c r="H4" s="88" t="e">
        <f>VLOOKUP(C4,#REF!,5,0)</f>
        <v>#REF!</v>
      </c>
      <c r="I4" s="88" t="e">
        <f>VLOOKUP(C4,#REF!,6,0)</f>
        <v>#REF!</v>
      </c>
      <c r="J4" s="94"/>
      <c r="K4" s="88" t="e">
        <f t="shared" ref="K4:K67" si="0">+D4+E4+G4+H4+I4</f>
        <v>#REF!</v>
      </c>
      <c r="L4" s="88">
        <f>VLOOKUP(C4,[2]ABC!$A$3:$B$88,2,0)</f>
        <v>8500</v>
      </c>
      <c r="M4" s="88">
        <f t="shared" ref="M4:M67" si="1">+L4/2</f>
        <v>4250</v>
      </c>
      <c r="N4" s="95"/>
      <c r="O4" s="88">
        <f>VLOOKUP(C4,[1]CPD!$B$9:$I$35,8,0)</f>
        <v>0</v>
      </c>
      <c r="P4" s="88" t="e">
        <f>+H4+I4</f>
        <v>#REF!</v>
      </c>
      <c r="Q4" s="88">
        <f>VLOOKUP(C4,[1]CPD!$B$9:$R$35,17,0)</f>
        <v>0</v>
      </c>
      <c r="R4" s="88">
        <f>VLOOKUP(C4,[1]CPD!$B$9:$Q$35,16,0)</f>
        <v>0</v>
      </c>
      <c r="S4" s="88">
        <f>VLOOKUP(C4,[2]CPD!$B$9:$S$35,18,0)</f>
        <v>0</v>
      </c>
      <c r="T4" s="88">
        <f>VLOOKUP(C4,[1]CPD!$B$9:$T$35,19,0)</f>
        <v>0</v>
      </c>
      <c r="W4" s="88">
        <f>VLOOKUP(C4,[1]CPD!$B$9:$V$35,21,0)</f>
        <v>0</v>
      </c>
      <c r="X4" s="94"/>
      <c r="Y4" s="88" t="e">
        <f t="shared" ref="Y4:Y67" si="2">+K4-O4-P4+Q4+R4+S4+T4+U4+V4+W4</f>
        <v>#REF!</v>
      </c>
      <c r="Z4" s="46" t="e">
        <f t="shared" ref="Z4:Z42" si="3">+M4-Y4</f>
        <v>#REF!</v>
      </c>
      <c r="AA4" s="46"/>
      <c r="AB4" s="88" t="e">
        <f>VLOOKUP(C4,[2]SINDICATO!$C$7:$Q$141,15,0)</f>
        <v>#N/A</v>
      </c>
    </row>
    <row r="5" spans="1:249" s="88" customFormat="1" x14ac:dyDescent="0.2">
      <c r="A5" s="88" t="s">
        <v>67</v>
      </c>
      <c r="B5" s="87" t="s">
        <v>5</v>
      </c>
      <c r="C5" s="86" t="s">
        <v>303</v>
      </c>
      <c r="D5" s="87">
        <f>VLOOKUP(C5,[1]CPD!$B$9:$Y$35,24,0)</f>
        <v>4005.2</v>
      </c>
      <c r="E5" s="87"/>
      <c r="F5" s="107"/>
      <c r="G5" s="88" t="e">
        <f>VLOOKUP(C5,#REF!,4,0)</f>
        <v>#REF!</v>
      </c>
      <c r="H5" s="88" t="e">
        <f>VLOOKUP(C5,#REF!,5,0)</f>
        <v>#REF!</v>
      </c>
      <c r="I5" s="88" t="e">
        <f>VLOOKUP(C5,#REF!,6,0)</f>
        <v>#REF!</v>
      </c>
      <c r="J5" s="94"/>
      <c r="K5" s="88" t="e">
        <f t="shared" si="0"/>
        <v>#REF!</v>
      </c>
      <c r="L5" s="88">
        <f>VLOOKUP(C5,[2]ABC!$A$3:$B$88,2,0)</f>
        <v>18000</v>
      </c>
      <c r="M5" s="88">
        <f t="shared" si="1"/>
        <v>9000</v>
      </c>
      <c r="N5" s="95"/>
      <c r="O5" s="88">
        <f>VLOOKUP(C5,[1]CPD!$B$9:$I$35,8,0)</f>
        <v>0</v>
      </c>
      <c r="P5" s="88" t="e">
        <f t="shared" ref="P5:P30" si="4">+H5+I5</f>
        <v>#REF!</v>
      </c>
      <c r="Q5" s="88">
        <f>VLOOKUP(C5,[1]CPD!$B$9:$R$35,17,0)</f>
        <v>1333.87</v>
      </c>
      <c r="R5" s="88">
        <f>VLOOKUP(C5,[1]CPD!$B$9:$Q$35,16,0)</f>
        <v>0</v>
      </c>
      <c r="S5" s="88">
        <f>VLOOKUP(C5,[2]CPD!$B$9:$S$35,18,0)</f>
        <v>0</v>
      </c>
      <c r="T5" s="88">
        <f>VLOOKUP(C5,[1]CPD!$B$9:$T$35,19,0)</f>
        <v>15</v>
      </c>
      <c r="W5" s="88">
        <f>VLOOKUP(C5,[1]CPD!$B$9:$V$35,21,0)</f>
        <v>0</v>
      </c>
      <c r="X5" s="94"/>
      <c r="Y5" s="88" t="e">
        <f t="shared" si="2"/>
        <v>#REF!</v>
      </c>
      <c r="Z5" s="46" t="e">
        <f t="shared" si="3"/>
        <v>#REF!</v>
      </c>
      <c r="AA5" s="46"/>
      <c r="AB5" s="88">
        <f>VLOOKUP(C5,[2]SINDICATO!$C$7:$Q$141,15,0)</f>
        <v>0</v>
      </c>
    </row>
    <row r="6" spans="1:249" s="88" customFormat="1" x14ac:dyDescent="0.2">
      <c r="A6" s="87" t="s">
        <v>11</v>
      </c>
      <c r="B6" s="87" t="s">
        <v>5</v>
      </c>
      <c r="C6" s="86" t="s">
        <v>306</v>
      </c>
      <c r="D6" s="87">
        <f>VLOOKUP(C6,[1]CPD!$B$9:$Y$35,24,0)</f>
        <v>2911.8</v>
      </c>
      <c r="E6" s="87"/>
      <c r="F6" s="107"/>
      <c r="G6" s="88" t="e">
        <f>VLOOKUP(C6,#REF!,4,0)</f>
        <v>#REF!</v>
      </c>
      <c r="H6" s="88" t="e">
        <f>VLOOKUP(C6,#REF!,5,0)</f>
        <v>#REF!</v>
      </c>
      <c r="I6" s="88" t="e">
        <f>VLOOKUP(C6,#REF!,6,0)</f>
        <v>#REF!</v>
      </c>
      <c r="J6" s="94"/>
      <c r="K6" s="88" t="e">
        <f t="shared" si="0"/>
        <v>#REF!</v>
      </c>
      <c r="L6" s="88">
        <f>VLOOKUP(C6,[2]ABC!$A$3:$B$88,2,0)</f>
        <v>9000</v>
      </c>
      <c r="M6" s="88">
        <f t="shared" si="1"/>
        <v>4500</v>
      </c>
      <c r="N6" s="95"/>
      <c r="O6" s="88">
        <f>VLOOKUP(C6,[1]CPD!$B$9:$I$35,8,0)</f>
        <v>0</v>
      </c>
      <c r="P6" s="88" t="e">
        <f t="shared" si="4"/>
        <v>#REF!</v>
      </c>
      <c r="Q6" s="88">
        <f>VLOOKUP(C6,[1]CPD!$B$9:$R$35,17,0)</f>
        <v>0</v>
      </c>
      <c r="R6" s="88">
        <f>VLOOKUP(C6,[1]CPD!$B$9:$Q$35,16,0)</f>
        <v>0</v>
      </c>
      <c r="S6" s="88">
        <f>VLOOKUP(C6,[2]CPD!$B$9:$S$35,18,0)</f>
        <v>0</v>
      </c>
      <c r="T6" s="88">
        <f>VLOOKUP(C6,[1]CPD!$B$9:$T$35,19,0)</f>
        <v>0</v>
      </c>
      <c r="W6" s="88">
        <f>VLOOKUP(C6,[1]CPD!$B$9:$V$35,21,0)</f>
        <v>0</v>
      </c>
      <c r="X6" s="94"/>
      <c r="Y6" s="88" t="e">
        <f t="shared" si="2"/>
        <v>#REF!</v>
      </c>
      <c r="Z6" s="46" t="e">
        <f t="shared" si="3"/>
        <v>#REF!</v>
      </c>
      <c r="AA6" s="46"/>
      <c r="AB6" s="88" t="e">
        <f>VLOOKUP(C6,[2]SINDICATO!$C$7:$Q$141,15,0)</f>
        <v>#N/A</v>
      </c>
    </row>
    <row r="7" spans="1:249" s="88" customFormat="1" x14ac:dyDescent="0.2">
      <c r="A7" s="87" t="s">
        <v>203</v>
      </c>
      <c r="B7" s="87" t="s">
        <v>5</v>
      </c>
      <c r="C7" s="86" t="s">
        <v>309</v>
      </c>
      <c r="D7" s="87">
        <f>VLOOKUP(C7,[1]CPD!$B$9:$Y$35,24,0)</f>
        <v>4036</v>
      </c>
      <c r="E7" s="87"/>
      <c r="F7" s="107"/>
      <c r="G7" s="88" t="e">
        <f>VLOOKUP(C7,#REF!,4,0)</f>
        <v>#REF!</v>
      </c>
      <c r="H7" s="88" t="e">
        <f>VLOOKUP(C7,#REF!,5,0)</f>
        <v>#REF!</v>
      </c>
      <c r="I7" s="88" t="e">
        <f>VLOOKUP(C7,#REF!,6,0)</f>
        <v>#REF!</v>
      </c>
      <c r="J7" s="94"/>
      <c r="K7" s="88" t="e">
        <f t="shared" si="0"/>
        <v>#REF!</v>
      </c>
      <c r="L7" s="88">
        <v>13000</v>
      </c>
      <c r="M7" s="88">
        <f t="shared" si="1"/>
        <v>6500</v>
      </c>
      <c r="N7" s="95"/>
      <c r="O7" s="88">
        <f>VLOOKUP(C7,[1]CPD!$B$9:$I$35,8,0)</f>
        <v>0</v>
      </c>
      <c r="P7" s="88" t="e">
        <f t="shared" si="4"/>
        <v>#REF!</v>
      </c>
      <c r="Q7" s="88">
        <f>VLOOKUP(C7,[1]CPD!$B$9:$R$35,17,0)</f>
        <v>0</v>
      </c>
      <c r="R7" s="88">
        <f>VLOOKUP(C7,[1]CPD!$B$9:$Q$35,16,0)</f>
        <v>0</v>
      </c>
      <c r="S7" s="88">
        <f>VLOOKUP(C7,[2]CPD!$B$9:$S$35,18,0)</f>
        <v>0</v>
      </c>
      <c r="T7" s="88">
        <f>VLOOKUP(C7,[1]CPD!$B$9:$T$35,19,0)</f>
        <v>0</v>
      </c>
      <c r="W7" s="88">
        <f>VLOOKUP(C7,[1]CPD!$B$9:$V$35,21,0)</f>
        <v>0</v>
      </c>
      <c r="X7" s="94"/>
      <c r="Y7" s="88" t="e">
        <f t="shared" si="2"/>
        <v>#REF!</v>
      </c>
      <c r="Z7" s="46" t="e">
        <f t="shared" si="3"/>
        <v>#REF!</v>
      </c>
      <c r="AA7" s="46"/>
      <c r="AB7" s="88" t="e">
        <f>VLOOKUP(C7,[2]SINDICATO!$C$7:$Q$141,15,0)</f>
        <v>#N/A</v>
      </c>
    </row>
    <row r="8" spans="1:249" s="88" customFormat="1" x14ac:dyDescent="0.2">
      <c r="A8" s="87" t="s">
        <v>204</v>
      </c>
      <c r="B8" s="87" t="s">
        <v>5</v>
      </c>
      <c r="C8" s="86" t="s">
        <v>310</v>
      </c>
      <c r="D8" s="87">
        <f>VLOOKUP(C8,[1]CPD!$B$9:$Y$35,24,0)</f>
        <v>5074</v>
      </c>
      <c r="E8" s="87"/>
      <c r="F8" s="107"/>
      <c r="G8" s="88" t="e">
        <f>VLOOKUP(C8,#REF!,4,0)</f>
        <v>#REF!</v>
      </c>
      <c r="H8" s="88" t="e">
        <f>VLOOKUP(C8,#REF!,5,0)</f>
        <v>#REF!</v>
      </c>
      <c r="I8" s="88" t="e">
        <f>VLOOKUP(C8,#REF!,6,0)</f>
        <v>#REF!</v>
      </c>
      <c r="J8" s="94"/>
      <c r="K8" s="88" t="e">
        <f t="shared" si="0"/>
        <v>#REF!</v>
      </c>
      <c r="L8" s="88">
        <f>VLOOKUP(C8,[2]ABC!$A$3:$B$88,2,0)</f>
        <v>18500</v>
      </c>
      <c r="M8" s="88">
        <f t="shared" si="1"/>
        <v>9250</v>
      </c>
      <c r="N8" s="95"/>
      <c r="O8" s="88">
        <f>VLOOKUP(C8,[1]CPD!$B$9:$I$35,8,0)</f>
        <v>0</v>
      </c>
      <c r="P8" s="88" t="e">
        <f t="shared" si="4"/>
        <v>#REF!</v>
      </c>
      <c r="Q8" s="88">
        <f>VLOOKUP(C8,[1]CPD!$B$9:$R$35,17,0)</f>
        <v>0</v>
      </c>
      <c r="R8" s="88">
        <f>VLOOKUP(C8,[1]CPD!$B$9:$Q$35,16,0)</f>
        <v>0</v>
      </c>
      <c r="S8" s="88">
        <f>VLOOKUP(C8,[2]CPD!$B$9:$S$35,18,0)</f>
        <v>0</v>
      </c>
      <c r="T8" s="88">
        <f>VLOOKUP(C8,[1]CPD!$B$9:$T$35,19,0)</f>
        <v>0</v>
      </c>
      <c r="W8" s="88">
        <f>VLOOKUP(C8,[1]CPD!$B$9:$V$35,21,0)</f>
        <v>0</v>
      </c>
      <c r="X8" s="94"/>
      <c r="Y8" s="88" t="e">
        <f t="shared" si="2"/>
        <v>#REF!</v>
      </c>
      <c r="Z8" s="46" t="e">
        <f t="shared" si="3"/>
        <v>#REF!</v>
      </c>
      <c r="AA8" s="46"/>
      <c r="AB8" s="88" t="e">
        <f>VLOOKUP(C8,[2]SINDICATO!$C$7:$Q$141,15,0)</f>
        <v>#N/A</v>
      </c>
    </row>
    <row r="9" spans="1:249" s="88" customFormat="1" x14ac:dyDescent="0.2">
      <c r="A9" s="87" t="s">
        <v>15</v>
      </c>
      <c r="B9" s="87" t="s">
        <v>5</v>
      </c>
      <c r="C9" s="86" t="s">
        <v>311</v>
      </c>
      <c r="D9" s="87">
        <f>VLOOKUP(C9,[1]CPD!$B$9:$Y$35,24,0)</f>
        <v>4899.6000000000004</v>
      </c>
      <c r="E9" s="87"/>
      <c r="F9" s="107"/>
      <c r="G9" s="88" t="e">
        <f>VLOOKUP(C9,#REF!,4,0)</f>
        <v>#REF!</v>
      </c>
      <c r="H9" s="88" t="e">
        <f>VLOOKUP(C9,#REF!,5,0)</f>
        <v>#REF!</v>
      </c>
      <c r="I9" s="88" t="e">
        <f>VLOOKUP(C9,#REF!,6,0)</f>
        <v>#REF!</v>
      </c>
      <c r="J9" s="94"/>
      <c r="K9" s="88" t="e">
        <f t="shared" si="0"/>
        <v>#REF!</v>
      </c>
      <c r="L9" s="88">
        <f>VLOOKUP(C9,[2]ABC!$A$3:$B$88,2,0)</f>
        <v>15000</v>
      </c>
      <c r="M9" s="88">
        <f t="shared" si="1"/>
        <v>7500</v>
      </c>
      <c r="N9" s="95"/>
      <c r="O9" s="88">
        <f>VLOOKUP(C9,[1]CPD!$B$9:$I$35,8,0)</f>
        <v>0</v>
      </c>
      <c r="P9" s="88" t="e">
        <f t="shared" si="4"/>
        <v>#REF!</v>
      </c>
      <c r="Q9" s="88">
        <f>VLOOKUP(C9,[1]CPD!$B$9:$R$35,17,0)</f>
        <v>0</v>
      </c>
      <c r="R9" s="88">
        <f>VLOOKUP(C9,[1]CPD!$B$9:$Q$35,16,0)</f>
        <v>0</v>
      </c>
      <c r="S9" s="88">
        <f>VLOOKUP(C9,[2]CPD!$B$9:$S$35,18,0)</f>
        <v>0</v>
      </c>
      <c r="T9" s="88">
        <f>VLOOKUP(C9,[1]CPD!$B$9:$T$35,19,0)</f>
        <v>0</v>
      </c>
      <c r="W9" s="88">
        <f>VLOOKUP(C9,[1]CPD!$B$9:$V$35,21,0)</f>
        <v>0</v>
      </c>
      <c r="X9" s="94"/>
      <c r="Y9" s="88" t="e">
        <f t="shared" si="2"/>
        <v>#REF!</v>
      </c>
      <c r="Z9" s="46" t="e">
        <f t="shared" si="3"/>
        <v>#REF!</v>
      </c>
      <c r="AA9" s="46"/>
      <c r="AB9" s="88" t="e">
        <f>VLOOKUP(C9,[2]SINDICATO!$C$7:$Q$141,15,0)</f>
        <v>#N/A</v>
      </c>
    </row>
    <row r="10" spans="1:249" s="88" customFormat="1" x14ac:dyDescent="0.2">
      <c r="A10" s="87" t="s">
        <v>17</v>
      </c>
      <c r="B10" s="87" t="s">
        <v>5</v>
      </c>
      <c r="C10" s="86" t="s">
        <v>312</v>
      </c>
      <c r="D10" s="87">
        <f>VLOOKUP(C10,[1]CPD!$B$9:$Y$35,24,0)</f>
        <v>1927.6</v>
      </c>
      <c r="E10" s="87"/>
      <c r="F10" s="107"/>
      <c r="G10" s="88" t="e">
        <f>VLOOKUP(C10,#REF!,4,0)</f>
        <v>#REF!</v>
      </c>
      <c r="H10" s="88" t="e">
        <f>VLOOKUP(C10,#REF!,5,0)</f>
        <v>#REF!</v>
      </c>
      <c r="I10" s="88" t="e">
        <f>VLOOKUP(C10,#REF!,6,0)</f>
        <v>#REF!</v>
      </c>
      <c r="J10" s="94"/>
      <c r="K10" s="88" t="e">
        <f t="shared" si="0"/>
        <v>#REF!</v>
      </c>
      <c r="L10" s="88">
        <f>VLOOKUP(C10,[2]ABC!$A$3:$B$88,2,0)</f>
        <v>10150</v>
      </c>
      <c r="M10" s="88">
        <f t="shared" si="1"/>
        <v>5075</v>
      </c>
      <c r="N10" s="95"/>
      <c r="O10" s="88">
        <f>VLOOKUP(C10,[1]CPD!$B$9:$I$35,8,0)</f>
        <v>0</v>
      </c>
      <c r="P10" s="88" t="e">
        <f t="shared" si="4"/>
        <v>#REF!</v>
      </c>
      <c r="Q10" s="88">
        <f>VLOOKUP(C10,[1]CPD!$B$9:$R$35,17,0)</f>
        <v>1574.29</v>
      </c>
      <c r="R10" s="88">
        <f>VLOOKUP(C10,[1]CPD!$B$9:$Q$35,16,0)</f>
        <v>0</v>
      </c>
      <c r="S10" s="88">
        <f>VLOOKUP(C10,[2]CPD!$B$9:$S$35,18,0)</f>
        <v>0</v>
      </c>
      <c r="T10" s="88">
        <f>VLOOKUP(C10,[1]CPD!$B$9:$T$35,19,0)</f>
        <v>15</v>
      </c>
      <c r="W10" s="88">
        <f>VLOOKUP(C10,[1]CPD!$B$9:$V$35,21,0)</f>
        <v>0</v>
      </c>
      <c r="X10" s="94"/>
      <c r="Y10" s="88" t="e">
        <f t="shared" si="2"/>
        <v>#REF!</v>
      </c>
      <c r="Z10" s="46" t="e">
        <f t="shared" si="3"/>
        <v>#REF!</v>
      </c>
      <c r="AA10" s="46"/>
      <c r="AB10" s="88" t="e">
        <f>VLOOKUP(C10,[2]SINDICATO!$C$7:$Q$141,15,0)</f>
        <v>#N/A</v>
      </c>
    </row>
    <row r="11" spans="1:249" s="88" customFormat="1" x14ac:dyDescent="0.2">
      <c r="A11" s="87" t="s">
        <v>19</v>
      </c>
      <c r="B11" s="87" t="s">
        <v>5</v>
      </c>
      <c r="C11" s="86" t="s">
        <v>313</v>
      </c>
      <c r="D11" s="87">
        <f>VLOOKUP(C11,[1]CPD!$B$9:$Y$35,24,0)</f>
        <v>4899.8</v>
      </c>
      <c r="E11" s="87"/>
      <c r="F11" s="107"/>
      <c r="G11" s="88" t="e">
        <f>VLOOKUP(C11,#REF!,4,0)</f>
        <v>#REF!</v>
      </c>
      <c r="H11" s="88" t="e">
        <f>VLOOKUP(C11,#REF!,5,0)</f>
        <v>#REF!</v>
      </c>
      <c r="I11" s="88" t="e">
        <f>VLOOKUP(C11,#REF!,6,0)</f>
        <v>#REF!</v>
      </c>
      <c r="J11" s="94"/>
      <c r="K11" s="88" t="e">
        <f t="shared" si="0"/>
        <v>#REF!</v>
      </c>
      <c r="L11" s="88">
        <f>VLOOKUP(C11,[2]ABC!$A$3:$B$88,2,0)</f>
        <v>15000</v>
      </c>
      <c r="M11" s="88">
        <f t="shared" si="1"/>
        <v>7500</v>
      </c>
      <c r="N11" s="95"/>
      <c r="O11" s="88">
        <f>VLOOKUP(C11,[1]CPD!$B$9:$I$35,8,0)</f>
        <v>0</v>
      </c>
      <c r="P11" s="88" t="e">
        <f t="shared" si="4"/>
        <v>#REF!</v>
      </c>
      <c r="Q11" s="88">
        <f>VLOOKUP(C11,[1]CPD!$B$9:$R$35,17,0)</f>
        <v>0</v>
      </c>
      <c r="R11" s="88">
        <f>VLOOKUP(C11,[1]CPD!$B$9:$Q$35,16,0)</f>
        <v>0</v>
      </c>
      <c r="S11" s="88">
        <f>VLOOKUP(C11,[2]CPD!$B$9:$S$35,18,0)</f>
        <v>0</v>
      </c>
      <c r="T11" s="88">
        <f>VLOOKUP(C11,[1]CPD!$B$9:$T$35,19,0)</f>
        <v>0</v>
      </c>
      <c r="W11" s="88">
        <f>VLOOKUP(C11,[1]CPD!$B$9:$V$35,21,0)</f>
        <v>0</v>
      </c>
      <c r="X11" s="94"/>
      <c r="Y11" s="88" t="e">
        <f t="shared" si="2"/>
        <v>#REF!</v>
      </c>
      <c r="Z11" s="46" t="e">
        <f t="shared" si="3"/>
        <v>#REF!</v>
      </c>
      <c r="AA11" s="46"/>
      <c r="AB11" s="88" t="e">
        <f>VLOOKUP(C11,[2]SINDICATO!$C$7:$Q$141,15,0)</f>
        <v>#N/A</v>
      </c>
    </row>
    <row r="12" spans="1:249" s="88" customFormat="1" x14ac:dyDescent="0.2">
      <c r="A12" s="87" t="s">
        <v>21</v>
      </c>
      <c r="B12" s="87" t="s">
        <v>5</v>
      </c>
      <c r="C12" s="86" t="s">
        <v>314</v>
      </c>
      <c r="D12" s="87">
        <f>VLOOKUP(C12,[1]CPD!$B$9:$Y$35,24,0)</f>
        <v>1675.4</v>
      </c>
      <c r="E12" s="87"/>
      <c r="F12" s="107"/>
      <c r="G12" s="88" t="e">
        <f>VLOOKUP(C12,#REF!,4,0)</f>
        <v>#REF!</v>
      </c>
      <c r="H12" s="88" t="e">
        <f>VLOOKUP(C12,#REF!,5,0)</f>
        <v>#REF!</v>
      </c>
      <c r="I12" s="88" t="e">
        <f>VLOOKUP(C12,#REF!,6,0)</f>
        <v>#REF!</v>
      </c>
      <c r="J12" s="94"/>
      <c r="K12" s="88" t="e">
        <f t="shared" si="0"/>
        <v>#REF!</v>
      </c>
      <c r="L12" s="88">
        <f>VLOOKUP(C12,[2]ABC!$A$3:$B$88,2,0)</f>
        <v>10150</v>
      </c>
      <c r="M12" s="88">
        <f t="shared" si="1"/>
        <v>5075</v>
      </c>
      <c r="N12" s="95"/>
      <c r="O12" s="88">
        <f>VLOOKUP(C12,[1]CPD!$B$9:$I$35,8,0)</f>
        <v>0</v>
      </c>
      <c r="P12" s="88" t="e">
        <f t="shared" si="4"/>
        <v>#REF!</v>
      </c>
      <c r="Q12" s="88">
        <f>VLOOKUP(C12,[1]CPD!$B$9:$R$35,17,0)</f>
        <v>1826.51</v>
      </c>
      <c r="R12" s="88">
        <f>VLOOKUP(C12,[1]CPD!$B$9:$Q$35,16,0)</f>
        <v>0</v>
      </c>
      <c r="S12" s="88">
        <f>VLOOKUP(C12,[2]CPD!$B$9:$S$35,18,0)</f>
        <v>0</v>
      </c>
      <c r="T12" s="88">
        <f>VLOOKUP(C12,[1]CPD!$B$9:$T$35,19,0)</f>
        <v>15</v>
      </c>
      <c r="W12" s="88">
        <f>VLOOKUP(C12,[1]CPD!$B$9:$V$35,21,0)</f>
        <v>0</v>
      </c>
      <c r="X12" s="94"/>
      <c r="Y12" s="88" t="e">
        <f t="shared" si="2"/>
        <v>#REF!</v>
      </c>
      <c r="Z12" s="46" t="e">
        <f t="shared" si="3"/>
        <v>#REF!</v>
      </c>
      <c r="AA12" s="46"/>
      <c r="AB12" s="88" t="e">
        <f>VLOOKUP(C12,[2]SINDICATO!$C$7:$Q$141,15,0)</f>
        <v>#N/A</v>
      </c>
    </row>
    <row r="13" spans="1:249" s="88" customFormat="1" x14ac:dyDescent="0.2">
      <c r="A13" s="87" t="s">
        <v>23</v>
      </c>
      <c r="B13" s="87" t="s">
        <v>5</v>
      </c>
      <c r="C13" s="86" t="s">
        <v>315</v>
      </c>
      <c r="D13" s="87">
        <f>VLOOKUP(C13,[1]CPD!$B$9:$Y$35,24,0)</f>
        <v>3336.6</v>
      </c>
      <c r="E13" s="87"/>
      <c r="F13" s="107"/>
      <c r="G13" s="88" t="e">
        <f>VLOOKUP(C13,#REF!,4,0)</f>
        <v>#REF!</v>
      </c>
      <c r="H13" s="88" t="e">
        <f>VLOOKUP(C13,#REF!,5,0)</f>
        <v>#REF!</v>
      </c>
      <c r="I13" s="88" t="e">
        <f>VLOOKUP(C13,#REF!,6,0)</f>
        <v>#REF!</v>
      </c>
      <c r="J13" s="94"/>
      <c r="K13" s="88" t="e">
        <f t="shared" si="0"/>
        <v>#REF!</v>
      </c>
      <c r="L13" s="88">
        <f>VLOOKUP(C13,[2]ABC!$A$3:$B$88,2,0)</f>
        <v>12000</v>
      </c>
      <c r="M13" s="88">
        <f t="shared" si="1"/>
        <v>6000</v>
      </c>
      <c r="N13" s="95"/>
      <c r="O13" s="88">
        <f>VLOOKUP(C13,[1]CPD!$B$9:$I$35,8,0)</f>
        <v>0</v>
      </c>
      <c r="P13" s="88" t="e">
        <f t="shared" si="4"/>
        <v>#REF!</v>
      </c>
      <c r="Q13" s="88">
        <f>VLOOKUP(C13,[1]CPD!$B$9:$R$35,17,0)</f>
        <v>757.32</v>
      </c>
      <c r="R13" s="88">
        <f>VLOOKUP(C13,[1]CPD!$B$9:$Q$35,16,0)</f>
        <v>0</v>
      </c>
      <c r="S13" s="88">
        <f>VLOOKUP(C13,[2]CPD!$B$9:$S$35,18,0)</f>
        <v>0</v>
      </c>
      <c r="T13" s="88">
        <f>VLOOKUP(C13,[1]CPD!$B$9:$T$35,19,0)</f>
        <v>15</v>
      </c>
      <c r="W13" s="88">
        <f>VLOOKUP(C13,[1]CPD!$B$9:$V$35,21,0)</f>
        <v>0</v>
      </c>
      <c r="X13" s="94"/>
      <c r="Y13" s="88" t="e">
        <f t="shared" si="2"/>
        <v>#REF!</v>
      </c>
      <c r="Z13" s="46" t="e">
        <f t="shared" si="3"/>
        <v>#REF!</v>
      </c>
      <c r="AA13" s="46"/>
      <c r="AB13" s="88" t="e">
        <f>VLOOKUP(C13,[2]SINDICATO!$C$7:$Q$141,15,0)</f>
        <v>#N/A</v>
      </c>
    </row>
    <row r="14" spans="1:249" s="46" customFormat="1" x14ac:dyDescent="0.2">
      <c r="A14" s="90" t="s">
        <v>25</v>
      </c>
      <c r="B14" s="90" t="s">
        <v>5</v>
      </c>
      <c r="C14" s="89" t="s">
        <v>316</v>
      </c>
      <c r="D14" s="87">
        <f>VLOOKUP(C14,[1]CPD!$B$9:$Y$35,24,0)</f>
        <v>3060</v>
      </c>
      <c r="E14" s="90"/>
      <c r="F14" s="107"/>
      <c r="G14" s="88" t="e">
        <f>VLOOKUP(C14,#REF!,4,0)</f>
        <v>#REF!</v>
      </c>
      <c r="H14" s="88" t="e">
        <f>VLOOKUP(C14,#REF!,5,0)</f>
        <v>#REF!</v>
      </c>
      <c r="I14" s="88" t="e">
        <f>VLOOKUP(C14,#REF!,6,0)</f>
        <v>#REF!</v>
      </c>
      <c r="J14" s="94"/>
      <c r="K14" s="88" t="e">
        <f t="shared" si="0"/>
        <v>#REF!</v>
      </c>
      <c r="L14" s="46">
        <v>15000</v>
      </c>
      <c r="M14" s="46">
        <f t="shared" si="1"/>
        <v>7500</v>
      </c>
      <c r="N14" s="95"/>
      <c r="O14" s="88">
        <f>VLOOKUP(C14,[1]CPD!$B$9:$I$35,8,0)</f>
        <v>0</v>
      </c>
      <c r="P14" s="88" t="e">
        <f t="shared" si="4"/>
        <v>#REF!</v>
      </c>
      <c r="Q14" s="88">
        <f>VLOOKUP(C14,[1]CPD!$B$9:$R$35,17,0)</f>
        <v>1674</v>
      </c>
      <c r="R14" s="88">
        <f>VLOOKUP(C14,[1]CPD!$B$9:$Q$35,16,0)</f>
        <v>0</v>
      </c>
      <c r="S14" s="88">
        <f>VLOOKUP(C14,[2]CPD!$B$9:$S$35,18,0)</f>
        <v>0</v>
      </c>
      <c r="T14" s="88">
        <f>VLOOKUP(C14,[1]CPD!$B$9:$T$35,19,0)</f>
        <v>15</v>
      </c>
      <c r="U14" s="88"/>
      <c r="V14" s="88"/>
      <c r="W14" s="88">
        <f>VLOOKUP(C14,[1]CPD!$B$9:$V$35,21,0)</f>
        <v>0</v>
      </c>
      <c r="X14" s="94"/>
      <c r="Y14" s="88" t="e">
        <f t="shared" si="2"/>
        <v>#REF!</v>
      </c>
      <c r="Z14" s="46" t="e">
        <f t="shared" si="3"/>
        <v>#REF!</v>
      </c>
      <c r="AB14" s="88" t="e">
        <f>VLOOKUP(C14,[2]SINDICATO!$C$7:$Q$141,15,0)</f>
        <v>#N/A</v>
      </c>
    </row>
    <row r="15" spans="1:249" s="88" customFormat="1" x14ac:dyDescent="0.2">
      <c r="A15" s="87" t="s">
        <v>27</v>
      </c>
      <c r="B15" s="87" t="s">
        <v>5</v>
      </c>
      <c r="C15" s="86" t="s">
        <v>317</v>
      </c>
      <c r="D15" s="87">
        <f>VLOOKUP(C15,[1]CPD!$B$9:$Y$35,24,0)</f>
        <v>2967.4</v>
      </c>
      <c r="E15" s="87"/>
      <c r="F15" s="107"/>
      <c r="G15" s="88" t="e">
        <f>VLOOKUP(C15,#REF!,4,0)</f>
        <v>#REF!</v>
      </c>
      <c r="H15" s="88" t="e">
        <f>VLOOKUP(C15,#REF!,5,0)</f>
        <v>#REF!</v>
      </c>
      <c r="I15" s="88" t="e">
        <f>VLOOKUP(C15,#REF!,6,0)</f>
        <v>#REF!</v>
      </c>
      <c r="J15" s="94"/>
      <c r="K15" s="88" t="e">
        <f t="shared" si="0"/>
        <v>#REF!</v>
      </c>
      <c r="L15" s="88">
        <f>VLOOKUP(C15,[2]ABC!$A$3:$B$88,2,0)</f>
        <v>13000</v>
      </c>
      <c r="M15" s="88">
        <f t="shared" si="1"/>
        <v>6500</v>
      </c>
      <c r="N15" s="95"/>
      <c r="O15" s="88">
        <f>VLOOKUP(C15,[1]CPD!$B$9:$I$35,8,0)</f>
        <v>285.99</v>
      </c>
      <c r="P15" s="88" t="e">
        <f t="shared" si="4"/>
        <v>#REF!</v>
      </c>
      <c r="Q15" s="88">
        <f>VLOOKUP(C15,[1]CPD!$B$9:$R$35,17,0)</f>
        <v>1432.4</v>
      </c>
      <c r="R15" s="88">
        <f>VLOOKUP(C15,[1]CPD!$B$9:$Q$35,16,0)</f>
        <v>0</v>
      </c>
      <c r="S15" s="88">
        <f>VLOOKUP(C15,[2]CPD!$B$9:$S$35,18,0)</f>
        <v>0</v>
      </c>
      <c r="T15" s="88">
        <f>VLOOKUP(C15,[1]CPD!$B$9:$T$35,19,0)</f>
        <v>15</v>
      </c>
      <c r="W15" s="88">
        <f>VLOOKUP(C15,[1]CPD!$B$9:$V$35,21,0)</f>
        <v>268.35000000000002</v>
      </c>
      <c r="X15" s="94"/>
      <c r="Y15" s="88" t="e">
        <f t="shared" si="2"/>
        <v>#REF!</v>
      </c>
      <c r="Z15" s="46" t="e">
        <f t="shared" si="3"/>
        <v>#REF!</v>
      </c>
      <c r="AA15" s="46"/>
      <c r="AB15" s="88" t="e">
        <f>VLOOKUP(C15,[2]SINDICATO!$C$7:$Q$141,15,0)</f>
        <v>#N/A</v>
      </c>
    </row>
    <row r="16" spans="1:249" s="88" customFormat="1" x14ac:dyDescent="0.2">
      <c r="A16" s="87" t="s">
        <v>210</v>
      </c>
      <c r="B16" s="87" t="s">
        <v>5</v>
      </c>
      <c r="C16" s="86" t="s">
        <v>556</v>
      </c>
      <c r="D16" s="87">
        <f>VLOOKUP(C16,[1]CPD!$B$9:$Y$35,24,0)</f>
        <v>4635.3999999999996</v>
      </c>
      <c r="E16" s="87"/>
      <c r="F16" s="107"/>
      <c r="G16" s="88" t="e">
        <f>VLOOKUP(C16,#REF!,4,0)</f>
        <v>#REF!</v>
      </c>
      <c r="H16" s="88" t="e">
        <f>VLOOKUP(C16,#REF!,5,0)</f>
        <v>#REF!</v>
      </c>
      <c r="I16" s="88" t="e">
        <f>VLOOKUP(C16,#REF!,6,0)</f>
        <v>#REF!</v>
      </c>
      <c r="J16" s="94">
        <v>0</v>
      </c>
      <c r="K16" s="88" t="e">
        <f t="shared" si="0"/>
        <v>#REF!</v>
      </c>
      <c r="L16" s="88">
        <v>13000</v>
      </c>
      <c r="M16" s="88">
        <f t="shared" si="1"/>
        <v>6500</v>
      </c>
      <c r="N16" s="95"/>
      <c r="O16" s="88">
        <f>VLOOKUP(C16,[1]CPD!$B$9:$I$35,8,0)</f>
        <v>786.49</v>
      </c>
      <c r="P16" s="88" t="e">
        <f t="shared" si="4"/>
        <v>#REF!</v>
      </c>
      <c r="Q16" s="88">
        <f>VLOOKUP(C16,[1]CPD!$B$9:$R$35,17,0)</f>
        <v>0</v>
      </c>
      <c r="R16" s="88">
        <f>VLOOKUP(C16,[1]CPD!$B$9:$Q$35,16,0)</f>
        <v>533.16</v>
      </c>
      <c r="S16" s="88">
        <f>VLOOKUP(C16,[2]CPD!$B$9:$S$35,18,0)</f>
        <v>0</v>
      </c>
      <c r="T16" s="88">
        <f>VLOOKUP(C16,[1]CPD!$B$9:$T$35,19,0)</f>
        <v>15</v>
      </c>
      <c r="W16" s="88">
        <f>VLOOKUP(C16,[1]CPD!$B$9:$V$35,21,0)</f>
        <v>0</v>
      </c>
      <c r="X16" s="94">
        <v>0</v>
      </c>
      <c r="Y16" s="88" t="e">
        <f t="shared" si="2"/>
        <v>#REF!</v>
      </c>
      <c r="Z16" s="46" t="e">
        <f t="shared" si="3"/>
        <v>#REF!</v>
      </c>
      <c r="AA16" s="96"/>
      <c r="AB16" s="88">
        <f>VLOOKUP(C16,[2]SINDICATO!$C$7:$Q$141,15,0)</f>
        <v>0</v>
      </c>
    </row>
    <row r="17" spans="1:28" s="88" customFormat="1" x14ac:dyDescent="0.2">
      <c r="A17" s="87" t="s">
        <v>31</v>
      </c>
      <c r="B17" s="87" t="s">
        <v>5</v>
      </c>
      <c r="C17" s="89" t="s">
        <v>132</v>
      </c>
      <c r="D17" s="87">
        <f>VLOOKUP(C17,[1]CPD!$B$9:$Y$35,24,0)</f>
        <v>4899.8</v>
      </c>
      <c r="E17" s="87"/>
      <c r="F17" s="108"/>
      <c r="G17" s="88" t="e">
        <f>VLOOKUP(C17,#REF!,4,0)</f>
        <v>#REF!</v>
      </c>
      <c r="H17" s="88" t="e">
        <f>VLOOKUP(C17,#REF!,5,0)</f>
        <v>#REF!</v>
      </c>
      <c r="I17" s="88" t="e">
        <f>VLOOKUP(C17,#REF!,6,0)</f>
        <v>#REF!</v>
      </c>
      <c r="J17" s="94"/>
      <c r="K17" s="88" t="e">
        <f t="shared" si="0"/>
        <v>#REF!</v>
      </c>
      <c r="L17" s="88">
        <f>VLOOKUP(C17,[2]ABC!$A$3:$B$88,2,0)</f>
        <v>15000</v>
      </c>
      <c r="M17" s="88">
        <f t="shared" si="1"/>
        <v>7500</v>
      </c>
      <c r="N17" s="95"/>
      <c r="O17" s="88">
        <f>VLOOKUP(C17,[1]CPD!$B$9:$I$35,8,0)</f>
        <v>0</v>
      </c>
      <c r="P17" s="88" t="e">
        <f t="shared" si="4"/>
        <v>#REF!</v>
      </c>
      <c r="Q17" s="88">
        <f>VLOOKUP(C17,[1]CPD!$B$9:$R$35,17,0)</f>
        <v>0</v>
      </c>
      <c r="R17" s="88">
        <f>VLOOKUP(C17,[1]CPD!$B$9:$Q$35,16,0)</f>
        <v>0</v>
      </c>
      <c r="S17" s="88">
        <f>VLOOKUP(C17,[2]CPD!$B$9:$S$35,18,0)</f>
        <v>0</v>
      </c>
      <c r="T17" s="88">
        <f>VLOOKUP(C17,[1]CPD!$B$9:$T$35,19,0)</f>
        <v>0</v>
      </c>
      <c r="W17" s="88">
        <f>VLOOKUP(C17,[1]CPD!$B$9:$V$35,21,0)</f>
        <v>0</v>
      </c>
      <c r="X17" s="94"/>
      <c r="Y17" s="88" t="e">
        <f t="shared" si="2"/>
        <v>#REF!</v>
      </c>
      <c r="Z17" s="46" t="e">
        <f t="shared" si="3"/>
        <v>#REF!</v>
      </c>
      <c r="AA17" s="46"/>
      <c r="AB17" s="88" t="e">
        <f>VLOOKUP(C17,[2]SINDICATO!$C$7:$Q$141,15,0)</f>
        <v>#N/A</v>
      </c>
    </row>
    <row r="18" spans="1:28" s="88" customFormat="1" x14ac:dyDescent="0.2">
      <c r="A18" s="87" t="s">
        <v>214</v>
      </c>
      <c r="B18" s="87" t="s">
        <v>5</v>
      </c>
      <c r="C18" s="86" t="s">
        <v>320</v>
      </c>
      <c r="D18" s="87">
        <f>VLOOKUP(C18,[1]CPD!$B$9:$Y$35,24,0)</f>
        <v>5056.2</v>
      </c>
      <c r="E18" s="87"/>
      <c r="F18" s="108"/>
      <c r="G18" s="88" t="e">
        <f>VLOOKUP(C18,#REF!,4,0)</f>
        <v>#REF!</v>
      </c>
      <c r="H18" s="88" t="e">
        <f>VLOOKUP(C18,#REF!,5,0)</f>
        <v>#REF!</v>
      </c>
      <c r="I18" s="88" t="e">
        <f>VLOOKUP(C18,#REF!,6,0)</f>
        <v>#REF!</v>
      </c>
      <c r="J18" s="94"/>
      <c r="K18" s="88" t="e">
        <f t="shared" si="0"/>
        <v>#REF!</v>
      </c>
      <c r="L18" s="88">
        <v>25000</v>
      </c>
      <c r="M18" s="88">
        <f t="shared" si="1"/>
        <v>12500</v>
      </c>
      <c r="N18" s="95"/>
      <c r="O18" s="88">
        <f>VLOOKUP(C18,[1]CPD!$B$9:$I$35,8,0)</f>
        <v>0</v>
      </c>
      <c r="P18" s="88" t="e">
        <f t="shared" si="4"/>
        <v>#REF!</v>
      </c>
      <c r="Q18" s="88">
        <f>VLOOKUP(C18,[1]CPD!$B$9:$R$35,17,0)</f>
        <v>419.76</v>
      </c>
      <c r="R18" s="88">
        <f>VLOOKUP(C18,[1]CPD!$B$9:$Q$35,16,0)</f>
        <v>0</v>
      </c>
      <c r="S18" s="88">
        <f>VLOOKUP(C18,[2]CPD!$B$9:$S$35,18,0)</f>
        <v>0</v>
      </c>
      <c r="T18" s="88">
        <f>VLOOKUP(C18,[1]CPD!$B$9:$T$35,19,0)</f>
        <v>15</v>
      </c>
      <c r="W18" s="88">
        <f>VLOOKUP(C18,[1]CPD!$B$9:$V$35,21,0)</f>
        <v>0</v>
      </c>
      <c r="X18" s="94"/>
      <c r="Y18" s="88" t="e">
        <f t="shared" si="2"/>
        <v>#REF!</v>
      </c>
      <c r="Z18" s="46" t="e">
        <f t="shared" si="3"/>
        <v>#REF!</v>
      </c>
      <c r="AA18" s="46"/>
      <c r="AB18" s="88">
        <f>VLOOKUP(C18,[2]SINDICATO!$C$7:$Q$141,15,0)</f>
        <v>0</v>
      </c>
    </row>
    <row r="19" spans="1:28" s="88" customFormat="1" x14ac:dyDescent="0.2">
      <c r="A19" s="87" t="s">
        <v>35</v>
      </c>
      <c r="B19" s="87" t="s">
        <v>5</v>
      </c>
      <c r="C19" s="86" t="s">
        <v>321</v>
      </c>
      <c r="D19" s="87">
        <f>VLOOKUP(C19,[1]CPD!$B$9:$Y$35,24,0)</f>
        <v>1332.2</v>
      </c>
      <c r="E19" s="87"/>
      <c r="F19" s="108"/>
      <c r="G19" s="88" t="e">
        <f>VLOOKUP(C19,#REF!,4,0)</f>
        <v>#REF!</v>
      </c>
      <c r="H19" s="88" t="e">
        <f>VLOOKUP(C19,#REF!,5,0)</f>
        <v>#REF!</v>
      </c>
      <c r="I19" s="88" t="e">
        <f>VLOOKUP(C19,#REF!,6,0)</f>
        <v>#REF!</v>
      </c>
      <c r="J19" s="94"/>
      <c r="K19" s="88" t="e">
        <f t="shared" si="0"/>
        <v>#REF!</v>
      </c>
      <c r="L19" s="88">
        <f>VLOOKUP(C19,[2]ABC!$A$3:$B$88,2,0)</f>
        <v>10000</v>
      </c>
      <c r="M19" s="88">
        <f t="shared" si="1"/>
        <v>5000</v>
      </c>
      <c r="N19" s="95"/>
      <c r="O19" s="88">
        <f>VLOOKUP(C19,[1]CPD!$B$9:$I$35,8,0)</f>
        <v>0</v>
      </c>
      <c r="P19" s="88" t="e">
        <f t="shared" si="4"/>
        <v>#REF!</v>
      </c>
      <c r="Q19" s="88">
        <f>VLOOKUP(C19,[1]CPD!$B$9:$R$35,17,0)</f>
        <v>2169.67</v>
      </c>
      <c r="R19" s="88">
        <f>VLOOKUP(C19,[1]CPD!$B$9:$Q$35,16,0)</f>
        <v>0</v>
      </c>
      <c r="S19" s="88">
        <f>VLOOKUP(C19,[2]CPD!$B$9:$S$35,18,0)</f>
        <v>0</v>
      </c>
      <c r="T19" s="88">
        <f>VLOOKUP(C19,[1]CPD!$B$9:$T$35,19,0)</f>
        <v>15</v>
      </c>
      <c r="W19" s="88">
        <f>VLOOKUP(C19,[1]CPD!$B$9:$V$35,21,0)</f>
        <v>0</v>
      </c>
      <c r="X19" s="94"/>
      <c r="Y19" s="88" t="e">
        <f t="shared" si="2"/>
        <v>#REF!</v>
      </c>
      <c r="Z19" s="46" t="e">
        <f t="shared" si="3"/>
        <v>#REF!</v>
      </c>
      <c r="AA19" s="46"/>
      <c r="AB19" s="88" t="e">
        <f>VLOOKUP(C19,[2]SINDICATO!$C$7:$Q$141,15,0)</f>
        <v>#N/A</v>
      </c>
    </row>
    <row r="20" spans="1:28" s="88" customFormat="1" x14ac:dyDescent="0.2">
      <c r="A20" s="87" t="s">
        <v>215</v>
      </c>
      <c r="B20" s="87" t="s">
        <v>5</v>
      </c>
      <c r="C20" s="86" t="s">
        <v>322</v>
      </c>
      <c r="D20" s="87">
        <f>VLOOKUP(C20,[1]CPD!$B$9:$Y$35,24,0)</f>
        <v>16969.2</v>
      </c>
      <c r="E20" s="87"/>
      <c r="F20" s="108"/>
      <c r="G20" s="88" t="e">
        <f>VLOOKUP(C20,#REF!,4,0)</f>
        <v>#REF!</v>
      </c>
      <c r="H20" s="88" t="e">
        <f>VLOOKUP(C20,#REF!,5,0)</f>
        <v>#REF!</v>
      </c>
      <c r="I20" s="88" t="e">
        <f>VLOOKUP(C20,#REF!,6,0)</f>
        <v>#REF!</v>
      </c>
      <c r="J20" s="94"/>
      <c r="K20" s="88" t="e">
        <f t="shared" si="0"/>
        <v>#REF!</v>
      </c>
      <c r="L20" s="88">
        <v>60000</v>
      </c>
      <c r="M20" s="88">
        <f t="shared" si="1"/>
        <v>30000</v>
      </c>
      <c r="N20" s="95"/>
      <c r="O20" s="88">
        <f>VLOOKUP(C20,[1]CPD!$B$9:$I$35,8,0)</f>
        <v>0</v>
      </c>
      <c r="P20" s="88" t="e">
        <f t="shared" si="4"/>
        <v>#REF!</v>
      </c>
      <c r="Q20" s="88">
        <f>VLOOKUP(C20,[1]CPD!$B$9:$R$35,17,0)</f>
        <v>0</v>
      </c>
      <c r="R20" s="88">
        <f>VLOOKUP(C20,[1]CPD!$B$9:$Q$35,16,0)</f>
        <v>0</v>
      </c>
      <c r="S20" s="88">
        <f>VLOOKUP(C20,[2]CPD!$B$9:$S$35,18,0)</f>
        <v>0</v>
      </c>
      <c r="T20" s="88">
        <f>VLOOKUP(C20,[1]CPD!$B$9:$T$35,19,0)</f>
        <v>0</v>
      </c>
      <c r="U20" s="109"/>
      <c r="W20" s="88">
        <f>VLOOKUP(C20,[1]CPD!$B$9:$V$35,21,0)</f>
        <v>417.6</v>
      </c>
      <c r="X20" s="94"/>
      <c r="Y20" s="88" t="e">
        <f t="shared" si="2"/>
        <v>#REF!</v>
      </c>
      <c r="Z20" s="46" t="e">
        <f t="shared" si="3"/>
        <v>#REF!</v>
      </c>
      <c r="AA20" s="46"/>
      <c r="AB20" s="88" t="e">
        <f>VLOOKUP(C20,[2]SINDICATO!$C$7:$Q$141,15,0)</f>
        <v>#N/A</v>
      </c>
    </row>
    <row r="21" spans="1:28" s="88" customFormat="1" x14ac:dyDescent="0.2">
      <c r="A21" s="87" t="s">
        <v>216</v>
      </c>
      <c r="B21" s="87" t="s">
        <v>5</v>
      </c>
      <c r="C21" s="86" t="s">
        <v>323</v>
      </c>
      <c r="D21" s="87">
        <f>VLOOKUP(C21,[1]CPD!$B$9:$Y$35,24,0)</f>
        <v>4241.3999999999996</v>
      </c>
      <c r="E21" s="87"/>
      <c r="F21" s="108"/>
      <c r="G21" s="88" t="e">
        <f>VLOOKUP(C21,#REF!,4,0)</f>
        <v>#REF!</v>
      </c>
      <c r="H21" s="88" t="e">
        <f>VLOOKUP(C21,#REF!,5,0)</f>
        <v>#REF!</v>
      </c>
      <c r="I21" s="88" t="e">
        <f>VLOOKUP(C21,#REF!,6,0)</f>
        <v>#REF!</v>
      </c>
      <c r="J21" s="94"/>
      <c r="K21" s="88" t="e">
        <f t="shared" si="0"/>
        <v>#REF!</v>
      </c>
      <c r="L21" s="88">
        <v>12000</v>
      </c>
      <c r="M21" s="88">
        <f t="shared" si="1"/>
        <v>6000</v>
      </c>
      <c r="N21" s="95"/>
      <c r="O21" s="88">
        <f>VLOOKUP(C21,[1]CPD!$B$9:$I$35,8,0)</f>
        <v>132.5</v>
      </c>
      <c r="P21" s="88" t="e">
        <f t="shared" si="4"/>
        <v>#REF!</v>
      </c>
      <c r="Q21" s="88">
        <f>VLOOKUP(C21,[1]CPD!$B$9:$R$35,17,0)</f>
        <v>0</v>
      </c>
      <c r="R21" s="88">
        <f>VLOOKUP(C21,[1]CPD!$B$9:$Q$35,16,0)</f>
        <v>0</v>
      </c>
      <c r="S21" s="88">
        <f>VLOOKUP(C21,[2]CPD!$B$9:$S$35,18,0)</f>
        <v>0</v>
      </c>
      <c r="T21" s="88">
        <f>VLOOKUP(C21,[1]CPD!$B$9:$T$35,19,0)</f>
        <v>0</v>
      </c>
      <c r="W21" s="88">
        <f>VLOOKUP(C21,[1]CPD!$B$9:$V$35,21,0)</f>
        <v>0</v>
      </c>
      <c r="X21" s="94"/>
      <c r="Y21" s="88" t="e">
        <f t="shared" si="2"/>
        <v>#REF!</v>
      </c>
      <c r="Z21" s="46" t="e">
        <f t="shared" si="3"/>
        <v>#REF!</v>
      </c>
      <c r="AA21" s="46"/>
      <c r="AB21" s="88">
        <f>VLOOKUP(C21,[2]SINDICATO!$C$7:$Q$141,15,0)</f>
        <v>0</v>
      </c>
    </row>
    <row r="22" spans="1:28" s="88" customFormat="1" x14ac:dyDescent="0.2">
      <c r="A22" s="47" t="s">
        <v>380</v>
      </c>
      <c r="B22" s="87" t="s">
        <v>5</v>
      </c>
      <c r="C22" s="47" t="s">
        <v>381</v>
      </c>
      <c r="D22" s="87">
        <f>VLOOKUP(C22,[1]CPD!$B$9:$Y$35,24,0)</f>
        <v>2911.8</v>
      </c>
      <c r="E22" s="87"/>
      <c r="F22" s="108"/>
      <c r="G22" s="88" t="e">
        <f>VLOOKUP(C22,#REF!,4,0)</f>
        <v>#REF!</v>
      </c>
      <c r="H22" s="88" t="e">
        <f>VLOOKUP(C22,#REF!,5,0)</f>
        <v>#REF!</v>
      </c>
      <c r="I22" s="88" t="e">
        <f>VLOOKUP(C22,#REF!,6,0)</f>
        <v>#REF!</v>
      </c>
      <c r="J22" s="94"/>
      <c r="K22" s="88" t="e">
        <f t="shared" si="0"/>
        <v>#REF!</v>
      </c>
      <c r="L22" s="88">
        <f>VLOOKUP(C22,[2]ABC!$A$3:$B$88,2,0)</f>
        <v>9000</v>
      </c>
      <c r="M22" s="88">
        <f t="shared" si="1"/>
        <v>4500</v>
      </c>
      <c r="N22" s="95"/>
      <c r="O22" s="88">
        <f>VLOOKUP(C22,[1]CPD!$B$9:$I$35,8,0)</f>
        <v>0</v>
      </c>
      <c r="P22" s="88" t="e">
        <f t="shared" si="4"/>
        <v>#REF!</v>
      </c>
      <c r="Q22" s="88">
        <f>VLOOKUP(C22,[1]CPD!$B$9:$R$35,17,0)</f>
        <v>0</v>
      </c>
      <c r="R22" s="88">
        <f>VLOOKUP(C22,[1]CPD!$B$9:$Q$35,16,0)</f>
        <v>0</v>
      </c>
      <c r="S22" s="88">
        <f>VLOOKUP(C22,[2]CPD!$B$9:$S$35,18,0)</f>
        <v>0</v>
      </c>
      <c r="T22" s="88">
        <f>VLOOKUP(C22,[1]CPD!$B$9:$T$35,19,0)</f>
        <v>0</v>
      </c>
      <c r="V22" s="109"/>
      <c r="W22" s="88">
        <f>VLOOKUP(C22,[1]CPD!$B$9:$V$35,21,0)</f>
        <v>0</v>
      </c>
      <c r="X22" s="94"/>
      <c r="Y22" s="88" t="e">
        <f t="shared" si="2"/>
        <v>#REF!</v>
      </c>
      <c r="Z22" s="46" t="e">
        <f t="shared" si="3"/>
        <v>#REF!</v>
      </c>
      <c r="AA22" s="46"/>
      <c r="AB22" s="88">
        <f>VLOOKUP(C22,[2]SINDICATO!$C$7:$Q$141,15,0)</f>
        <v>0</v>
      </c>
    </row>
    <row r="23" spans="1:28" s="88" customFormat="1" x14ac:dyDescent="0.2">
      <c r="A23" s="87" t="s">
        <v>39</v>
      </c>
      <c r="B23" s="87" t="s">
        <v>5</v>
      </c>
      <c r="C23" s="86" t="s">
        <v>324</v>
      </c>
      <c r="D23" s="87">
        <f>VLOOKUP(C23,[1]CPD!$B$9:$Y$35,24,0)</f>
        <v>3203.8</v>
      </c>
      <c r="E23" s="87"/>
      <c r="F23" s="108"/>
      <c r="G23" s="88" t="e">
        <f>VLOOKUP(C23,#REF!,4,0)</f>
        <v>#REF!</v>
      </c>
      <c r="H23" s="88" t="e">
        <f>VLOOKUP(C23,#REF!,5,0)</f>
        <v>#REF!</v>
      </c>
      <c r="I23" s="88" t="e">
        <f>VLOOKUP(C23,#REF!,6,0)</f>
        <v>#REF!</v>
      </c>
      <c r="J23" s="94"/>
      <c r="K23" s="88" t="e">
        <f t="shared" si="0"/>
        <v>#REF!</v>
      </c>
      <c r="L23" s="88">
        <f>VLOOKUP(C23,[2]ABC!$A$3:$B$88,2,0)</f>
        <v>10150</v>
      </c>
      <c r="M23" s="88">
        <f t="shared" si="1"/>
        <v>5075</v>
      </c>
      <c r="N23" s="95"/>
      <c r="O23" s="88">
        <f>VLOOKUP(C23,[1]CPD!$B$9:$I$35,8,0)</f>
        <v>0</v>
      </c>
      <c r="P23" s="88" t="e">
        <f t="shared" si="4"/>
        <v>#REF!</v>
      </c>
      <c r="Q23" s="88">
        <f>VLOOKUP(C23,[1]CPD!$B$9:$R$35,17,0)</f>
        <v>0</v>
      </c>
      <c r="R23" s="88">
        <f>VLOOKUP(C23,[1]CPD!$B$9:$Q$35,16,0)</f>
        <v>0</v>
      </c>
      <c r="S23" s="88">
        <f>VLOOKUP(C23,[2]CPD!$B$9:$S$35,18,0)</f>
        <v>0</v>
      </c>
      <c r="T23" s="88">
        <f>VLOOKUP(C23,[1]CPD!$B$9:$T$35,19,0)</f>
        <v>0</v>
      </c>
      <c r="W23" s="88">
        <f>VLOOKUP(C23,[1]CPD!$B$9:$V$35,21,0)</f>
        <v>313.2</v>
      </c>
      <c r="X23" s="94"/>
      <c r="Y23" s="88" t="e">
        <f t="shared" si="2"/>
        <v>#REF!</v>
      </c>
      <c r="Z23" s="46" t="e">
        <f t="shared" si="3"/>
        <v>#REF!</v>
      </c>
      <c r="AA23" s="46"/>
      <c r="AB23" s="88" t="e">
        <f>VLOOKUP(C23,[2]SINDICATO!$C$7:$Q$141,15,0)</f>
        <v>#N/A</v>
      </c>
    </row>
    <row r="24" spans="1:28" s="88" customFormat="1" x14ac:dyDescent="0.2">
      <c r="A24" s="87" t="s">
        <v>41</v>
      </c>
      <c r="B24" s="87" t="s">
        <v>5</v>
      </c>
      <c r="C24" s="86" t="s">
        <v>133</v>
      </c>
      <c r="D24" s="87">
        <f>VLOOKUP(C24,[1]CPD!$B$9:$Y$35,24,0)</f>
        <v>1995.4</v>
      </c>
      <c r="E24" s="87"/>
      <c r="F24" s="108"/>
      <c r="G24" s="88" t="e">
        <f>VLOOKUP(C24,#REF!,4,0)</f>
        <v>#REF!</v>
      </c>
      <c r="H24" s="88" t="e">
        <f>VLOOKUP(C24,#REF!,5,0)</f>
        <v>#REF!</v>
      </c>
      <c r="I24" s="88" t="e">
        <f>VLOOKUP(C24,#REF!,6,0)</f>
        <v>#REF!</v>
      </c>
      <c r="J24" s="94"/>
      <c r="K24" s="88" t="e">
        <f t="shared" si="0"/>
        <v>#REF!</v>
      </c>
      <c r="L24" s="88">
        <f>VLOOKUP(C24,[2]ABC!$A$3:$B$88,2,0)</f>
        <v>10250</v>
      </c>
      <c r="M24" s="88">
        <f t="shared" si="1"/>
        <v>5125</v>
      </c>
      <c r="N24" s="95"/>
      <c r="O24" s="88">
        <f>VLOOKUP(C24,[1]CPD!$B$9:$I$35,8,0)</f>
        <v>0</v>
      </c>
      <c r="P24" s="88" t="e">
        <f t="shared" si="4"/>
        <v>#REF!</v>
      </c>
      <c r="Q24" s="88">
        <f>VLOOKUP(C24,[1]CPD!$B$9:$R$35,17,0)</f>
        <v>1506.5</v>
      </c>
      <c r="R24" s="88">
        <f>VLOOKUP(C24,[1]CPD!$B$9:$Q$35,16,0)</f>
        <v>0</v>
      </c>
      <c r="S24" s="88">
        <f>VLOOKUP(C24,[2]CPD!$B$9:$S$35,18,0)</f>
        <v>0</v>
      </c>
      <c r="T24" s="88">
        <f>VLOOKUP(C24,[1]CPD!$B$9:$T$35,19,0)</f>
        <v>15</v>
      </c>
      <c r="W24" s="88">
        <f>VLOOKUP(C24,[1]CPD!$B$9:$V$35,21,0)</f>
        <v>0</v>
      </c>
      <c r="X24" s="94"/>
      <c r="Y24" s="88" t="e">
        <f t="shared" si="2"/>
        <v>#REF!</v>
      </c>
      <c r="Z24" s="46" t="e">
        <f t="shared" si="3"/>
        <v>#REF!</v>
      </c>
      <c r="AA24" s="46"/>
      <c r="AB24" s="88" t="e">
        <f>VLOOKUP(C24,[2]SINDICATO!$C$7:$Q$141,15,0)</f>
        <v>#N/A</v>
      </c>
    </row>
    <row r="25" spans="1:28" s="46" customFormat="1" x14ac:dyDescent="0.2">
      <c r="A25" s="52" t="s">
        <v>401</v>
      </c>
      <c r="B25" s="90" t="s">
        <v>5</v>
      </c>
      <c r="C25" s="52" t="s">
        <v>359</v>
      </c>
      <c r="D25" s="87">
        <f>VLOOKUP(C25,[1]CPD!$B$9:$Y$35,24,0)</f>
        <v>3196.8</v>
      </c>
      <c r="E25" s="90"/>
      <c r="F25" s="108"/>
      <c r="G25" s="88" t="e">
        <f>VLOOKUP(C25,#REF!,4,0)</f>
        <v>#REF!</v>
      </c>
      <c r="H25" s="88" t="e">
        <f>VLOOKUP(C25,#REF!,5,0)</f>
        <v>#REF!</v>
      </c>
      <c r="I25" s="88" t="e">
        <f>VLOOKUP(C25,#REF!,6,0)</f>
        <v>#REF!</v>
      </c>
      <c r="J25" s="94"/>
      <c r="K25" s="88" t="e">
        <f t="shared" si="0"/>
        <v>#REF!</v>
      </c>
      <c r="L25" s="46">
        <v>40000</v>
      </c>
      <c r="M25" s="46">
        <f t="shared" si="1"/>
        <v>20000</v>
      </c>
      <c r="N25" s="95"/>
      <c r="O25" s="88">
        <f>VLOOKUP(C25,[1]CPD!$B$9:$I$35,8,0)</f>
        <v>0</v>
      </c>
      <c r="P25" s="88" t="e">
        <f t="shared" si="4"/>
        <v>#REF!</v>
      </c>
      <c r="Q25" s="88">
        <f>VLOOKUP(C25,[1]CPD!$B$9:$R$35,17,0)</f>
        <v>0</v>
      </c>
      <c r="R25" s="88">
        <f>VLOOKUP(C25,[1]CPD!$B$9:$Q$35,16,0)</f>
        <v>0</v>
      </c>
      <c r="S25" s="88">
        <f>VLOOKUP(C25,[2]CPD!$B$9:$S$35,18,0)</f>
        <v>0</v>
      </c>
      <c r="T25" s="88">
        <f>VLOOKUP(C25,[1]CPD!$B$9:$T$35,19,0)</f>
        <v>0</v>
      </c>
      <c r="U25" s="88"/>
      <c r="V25" s="88"/>
      <c r="W25" s="88">
        <f>VLOOKUP(C25,[1]CPD!$B$9:$V$35,21,0)</f>
        <v>0</v>
      </c>
      <c r="X25" s="94"/>
      <c r="Y25" s="88" t="e">
        <f t="shared" si="2"/>
        <v>#REF!</v>
      </c>
      <c r="Z25" s="46" t="e">
        <f t="shared" si="3"/>
        <v>#REF!</v>
      </c>
      <c r="AB25" s="88" t="e">
        <f>VLOOKUP(C25,[2]SINDICATO!$C$7:$Q$141,15,0)</f>
        <v>#N/A</v>
      </c>
    </row>
    <row r="26" spans="1:28" s="88" customFormat="1" x14ac:dyDescent="0.2">
      <c r="A26" s="51" t="s">
        <v>453</v>
      </c>
      <c r="B26" s="51" t="s">
        <v>5</v>
      </c>
      <c r="C26" s="51" t="s">
        <v>454</v>
      </c>
      <c r="D26" s="87">
        <f>VLOOKUP(C26,[1]CPD!$B$9:$Y$35,24,0)</f>
        <v>2782.8</v>
      </c>
      <c r="E26" s="87"/>
      <c r="F26" s="108"/>
      <c r="G26" s="88" t="e">
        <f>VLOOKUP(C26,#REF!,4,0)</f>
        <v>#REF!</v>
      </c>
      <c r="H26" s="88" t="e">
        <f>VLOOKUP(C26,#REF!,5,0)</f>
        <v>#REF!</v>
      </c>
      <c r="I26" s="88" t="e">
        <f>VLOOKUP(C26,#REF!,6,0)</f>
        <v>#REF!</v>
      </c>
      <c r="J26" s="94"/>
      <c r="K26" s="88" t="e">
        <f t="shared" si="0"/>
        <v>#REF!</v>
      </c>
      <c r="L26" s="88">
        <v>10000</v>
      </c>
      <c r="M26" s="88">
        <f t="shared" si="1"/>
        <v>5000</v>
      </c>
      <c r="N26" s="95"/>
      <c r="O26" s="88">
        <f>VLOOKUP(C26,[1]CPD!$B$9:$I$35,8,0)</f>
        <v>0</v>
      </c>
      <c r="P26" s="88" t="e">
        <f t="shared" si="4"/>
        <v>#REF!</v>
      </c>
      <c r="Q26" s="88">
        <f>VLOOKUP(C26,[1]CPD!$B$9:$R$35,17,0)</f>
        <v>398.98</v>
      </c>
      <c r="R26" s="88">
        <f>VLOOKUP(C26,[1]CPD!$B$9:$Q$35,16,0)</f>
        <v>0</v>
      </c>
      <c r="S26" s="88">
        <f>VLOOKUP(C26,[2]CPD!$B$9:$S$35,18,0)</f>
        <v>0</v>
      </c>
      <c r="T26" s="88">
        <f>VLOOKUP(C26,[1]CPD!$B$9:$T$35,19,0)</f>
        <v>15</v>
      </c>
      <c r="W26" s="88">
        <f>VLOOKUP(C26,[1]CPD!$B$9:$V$35,21,0)</f>
        <v>0</v>
      </c>
      <c r="X26" s="94"/>
      <c r="Y26" s="88" t="e">
        <f t="shared" si="2"/>
        <v>#REF!</v>
      </c>
      <c r="Z26" s="46" t="e">
        <f t="shared" si="3"/>
        <v>#REF!</v>
      </c>
      <c r="AA26" s="46"/>
      <c r="AB26" s="88">
        <f>VLOOKUP(C26,[2]SINDICATO!$C$7:$Q$141,15,0)</f>
        <v>0</v>
      </c>
    </row>
    <row r="27" spans="1:28" s="88" customFormat="1" x14ac:dyDescent="0.2">
      <c r="A27" s="51" t="s">
        <v>536</v>
      </c>
      <c r="B27" s="51" t="s">
        <v>5</v>
      </c>
      <c r="C27" s="51" t="s">
        <v>432</v>
      </c>
      <c r="D27" s="87">
        <f>VLOOKUP(C27,[1]CPD!$B$9:$Y$35,24,0)</f>
        <v>1003</v>
      </c>
      <c r="E27" s="87"/>
      <c r="F27" s="108"/>
      <c r="G27" s="88" t="e">
        <f>VLOOKUP(C27,#REF!,4,0)</f>
        <v>#REF!</v>
      </c>
      <c r="H27" s="88" t="e">
        <f>VLOOKUP(C27,#REF!,5,0)</f>
        <v>#REF!</v>
      </c>
      <c r="I27" s="88" t="e">
        <f>VLOOKUP(C27,#REF!,6,0)</f>
        <v>#REF!</v>
      </c>
      <c r="J27" s="94"/>
      <c r="K27" s="88" t="e">
        <f t="shared" si="0"/>
        <v>#REF!</v>
      </c>
      <c r="L27" s="88">
        <v>4000</v>
      </c>
      <c r="M27" s="88">
        <f t="shared" si="1"/>
        <v>2000</v>
      </c>
      <c r="N27" s="95"/>
      <c r="O27" s="88">
        <f>VLOOKUP(C27,[1]CPD!$B$9:$I$35,8,0)</f>
        <v>0</v>
      </c>
      <c r="P27" s="88" t="e">
        <f t="shared" si="4"/>
        <v>#REF!</v>
      </c>
      <c r="Q27" s="88">
        <f>VLOOKUP(C27,[1]CPD!$B$9:$R$35,17,0)</f>
        <v>1005.81</v>
      </c>
      <c r="R27" s="88">
        <f>VLOOKUP(C27,[1]CPD!$B$9:$Q$35,16,0)</f>
        <v>0</v>
      </c>
      <c r="S27" s="88">
        <f>VLOOKUP(C27,[2]CPD!$B$9:$S$35,18,0)</f>
        <v>0</v>
      </c>
      <c r="T27" s="88">
        <f>VLOOKUP(C27,[1]CPD!$B$9:$T$35,19,0)</f>
        <v>15</v>
      </c>
      <c r="W27" s="88">
        <f>VLOOKUP(C27,[1]CPD!$B$9:$V$35,21,0)</f>
        <v>0</v>
      </c>
      <c r="X27" s="94"/>
      <c r="Y27" s="88" t="e">
        <f t="shared" si="2"/>
        <v>#REF!</v>
      </c>
      <c r="Z27" s="110" t="e">
        <f t="shared" si="3"/>
        <v>#REF!</v>
      </c>
      <c r="AA27" s="111" t="s">
        <v>635</v>
      </c>
      <c r="AB27" s="88">
        <f>VLOOKUP(C27,[2]SINDICATO!$C$7:$Q$141,15,0)</f>
        <v>0</v>
      </c>
    </row>
    <row r="28" spans="1:28" s="88" customFormat="1" x14ac:dyDescent="0.2">
      <c r="A28" s="51" t="s">
        <v>404</v>
      </c>
      <c r="B28" s="51" t="s">
        <v>5</v>
      </c>
      <c r="C28" s="51" t="s">
        <v>557</v>
      </c>
      <c r="D28" s="87">
        <f>VLOOKUP(C28,[1]CPD!$B$9:$Y$35,24,0)</f>
        <v>4036</v>
      </c>
      <c r="E28" s="87"/>
      <c r="F28" s="108"/>
      <c r="G28" s="88" t="e">
        <f>VLOOKUP(C28,#REF!,4,0)</f>
        <v>#REF!</v>
      </c>
      <c r="H28" s="88" t="e">
        <f>VLOOKUP(C28,#REF!,5,0)</f>
        <v>#REF!</v>
      </c>
      <c r="I28" s="88" t="e">
        <f>VLOOKUP(C28,#REF!,6,0)</f>
        <v>#REF!</v>
      </c>
      <c r="J28" s="94"/>
      <c r="K28" s="88" t="e">
        <f t="shared" si="0"/>
        <v>#REF!</v>
      </c>
      <c r="L28" s="88">
        <v>13000</v>
      </c>
      <c r="M28" s="88">
        <f t="shared" si="1"/>
        <v>6500</v>
      </c>
      <c r="N28" s="95"/>
      <c r="O28" s="88">
        <f>VLOOKUP(C28,[1]CPD!$B$9:$I$35,8,0)</f>
        <v>0</v>
      </c>
      <c r="P28" s="88" t="e">
        <f t="shared" si="4"/>
        <v>#REF!</v>
      </c>
      <c r="Q28" s="88">
        <f>VLOOKUP(C28,[1]CPD!$B$9:$R$35,17,0)</f>
        <v>0</v>
      </c>
      <c r="R28" s="88">
        <f>VLOOKUP(C28,[1]CPD!$B$9:$Q$35,16,0)</f>
        <v>0</v>
      </c>
      <c r="S28" s="88">
        <f>VLOOKUP(C28,[2]CPD!$B$9:$S$35,18,0)</f>
        <v>0</v>
      </c>
      <c r="T28" s="88">
        <f>VLOOKUP(C28,[1]CPD!$B$9:$T$35,19,0)</f>
        <v>0</v>
      </c>
      <c r="W28" s="88">
        <f>VLOOKUP(C28,[1]CPD!$B$9:$V$35,21,0)</f>
        <v>0</v>
      </c>
      <c r="X28" s="94"/>
      <c r="Y28" s="88" t="e">
        <f t="shared" si="2"/>
        <v>#REF!</v>
      </c>
      <c r="Z28" s="46" t="e">
        <f t="shared" si="3"/>
        <v>#REF!</v>
      </c>
      <c r="AA28" s="112"/>
      <c r="AB28" s="88" t="e">
        <f>VLOOKUP(C28,[2]SINDICATO!$C$7:$Q$141,15,0)</f>
        <v>#N/A</v>
      </c>
    </row>
    <row r="29" spans="1:28" s="88" customFormat="1" x14ac:dyDescent="0.2">
      <c r="A29" s="51" t="s">
        <v>572</v>
      </c>
      <c r="B29" s="51" t="s">
        <v>5</v>
      </c>
      <c r="C29" s="51" t="s">
        <v>573</v>
      </c>
      <c r="D29" s="87">
        <f>VLOOKUP(C29,[1]CPD!$B$9:$Y$35,24,0)</f>
        <v>4609.3999999999996</v>
      </c>
      <c r="E29" s="87"/>
      <c r="F29" s="108"/>
      <c r="G29" s="88" t="e">
        <f>VLOOKUP(C29,#REF!,4,0)</f>
        <v>#REF!</v>
      </c>
      <c r="H29" s="88" t="e">
        <f>VLOOKUP(C29,#REF!,5,0)</f>
        <v>#REF!</v>
      </c>
      <c r="I29" s="88" t="e">
        <f>VLOOKUP(C29,#REF!,6,0)</f>
        <v>#REF!</v>
      </c>
      <c r="J29" s="94"/>
      <c r="K29" s="88" t="e">
        <f t="shared" si="0"/>
        <v>#REF!</v>
      </c>
      <c r="L29" s="88">
        <v>15400</v>
      </c>
      <c r="M29" s="88">
        <f t="shared" si="1"/>
        <v>7700</v>
      </c>
      <c r="N29" s="95"/>
      <c r="O29" s="88">
        <f>VLOOKUP(C29,[1]CPD!$B$9:$I$35,8,0)</f>
        <v>0</v>
      </c>
      <c r="P29" s="88" t="e">
        <f t="shared" si="4"/>
        <v>#REF!</v>
      </c>
      <c r="Q29" s="88">
        <f>VLOOKUP(C29,[1]CPD!$B$9:$R$35,17,0)</f>
        <v>0</v>
      </c>
      <c r="R29" s="88">
        <f>VLOOKUP(C29,[1]CPD!$B$9:$Q$35,16,0)</f>
        <v>0</v>
      </c>
      <c r="S29" s="88">
        <f>VLOOKUP(C29,[2]CPD!$B$9:$S$35,18,0)</f>
        <v>0</v>
      </c>
      <c r="T29" s="88">
        <f>VLOOKUP(C29,[1]CPD!$B$9:$T$35,19,0)</f>
        <v>0</v>
      </c>
      <c r="W29" s="88">
        <f>VLOOKUP(C29,[1]CPD!$B$9:$V$35,21,0)</f>
        <v>0</v>
      </c>
      <c r="X29" s="94"/>
      <c r="Y29" s="88" t="e">
        <f t="shared" si="2"/>
        <v>#REF!</v>
      </c>
      <c r="Z29" s="46" t="e">
        <f t="shared" si="3"/>
        <v>#REF!</v>
      </c>
      <c r="AA29" s="112"/>
      <c r="AB29" s="88" t="e">
        <f>VLOOKUP(C29,[2]SINDICATO!$C$7:$Q$141,15,0)</f>
        <v>#N/A</v>
      </c>
    </row>
    <row r="30" spans="1:28" s="88" customFormat="1" x14ac:dyDescent="0.2">
      <c r="A30" s="51" t="s">
        <v>582</v>
      </c>
      <c r="B30" s="51" t="s">
        <v>5</v>
      </c>
      <c r="C30" s="51" t="s">
        <v>583</v>
      </c>
      <c r="D30" s="87">
        <f>VLOOKUP(C30,[1]CPD!$B$9:$Y$35,24,0)</f>
        <v>4327.3999999999996</v>
      </c>
      <c r="E30" s="90"/>
      <c r="F30" s="108"/>
      <c r="G30" s="88" t="e">
        <f>VLOOKUP(C30,#REF!,4,0)</f>
        <v>#REF!</v>
      </c>
      <c r="H30" s="88" t="e">
        <f>VLOOKUP(C30,#REF!,5,0)</f>
        <v>#REF!</v>
      </c>
      <c r="I30" s="88" t="e">
        <f>VLOOKUP(C30,#REF!,6,0)</f>
        <v>#REF!</v>
      </c>
      <c r="J30" s="94"/>
      <c r="K30" s="88" t="e">
        <f t="shared" si="0"/>
        <v>#REF!</v>
      </c>
      <c r="L30" s="88">
        <v>14000</v>
      </c>
      <c r="M30" s="88">
        <f t="shared" si="1"/>
        <v>7000</v>
      </c>
      <c r="N30" s="95"/>
      <c r="O30" s="88">
        <f>VLOOKUP(C30,[1]CPD!$B$9:$I$35,8,0)</f>
        <v>0</v>
      </c>
      <c r="P30" s="88" t="e">
        <f t="shared" si="4"/>
        <v>#REF!</v>
      </c>
      <c r="Q30" s="88">
        <f>VLOOKUP(C30,[1]CPD!$B$9:$R$35,17,0)</f>
        <v>0</v>
      </c>
      <c r="R30" s="88">
        <f>VLOOKUP(C30,[1]CPD!$B$9:$Q$35,16,0)</f>
        <v>0</v>
      </c>
      <c r="S30" s="88">
        <f>VLOOKUP(C30,[2]CPD!$B$9:$S$35,18,0)</f>
        <v>0</v>
      </c>
      <c r="T30" s="88">
        <f>VLOOKUP(C30,[1]CPD!$B$9:$T$35,19,0)</f>
        <v>0</v>
      </c>
      <c r="W30" s="88">
        <f>VLOOKUP(C30,[1]CPD!$B$9:$V$35,21,0)</f>
        <v>0</v>
      </c>
      <c r="X30" s="94"/>
      <c r="Y30" s="88" t="e">
        <f t="shared" si="2"/>
        <v>#REF!</v>
      </c>
      <c r="Z30" s="46" t="e">
        <f t="shared" si="3"/>
        <v>#REF!</v>
      </c>
      <c r="AA30" s="112"/>
      <c r="AB30" s="88">
        <f>VLOOKUP(C30,[2]SINDICATO!$C$7:$Q$141,15,0)</f>
        <v>0</v>
      </c>
    </row>
    <row r="31" spans="1:28" s="110" customFormat="1" x14ac:dyDescent="0.2">
      <c r="A31" s="85" t="s">
        <v>67</v>
      </c>
      <c r="B31" s="91" t="s">
        <v>57</v>
      </c>
      <c r="C31" s="85" t="s">
        <v>328</v>
      </c>
      <c r="D31" s="91"/>
      <c r="E31" s="91">
        <f>VLOOKUP(C31,[1]IP!$B$9:$V$116,21,0)</f>
        <v>3585.4</v>
      </c>
      <c r="F31" s="124"/>
      <c r="G31" s="110" t="e">
        <f>VLOOKUP(C31,#REF!,4,0)</f>
        <v>#REF!</v>
      </c>
      <c r="H31" s="110" t="e">
        <f>VLOOKUP(C31,#REF!,5,0)</f>
        <v>#REF!</v>
      </c>
      <c r="I31" s="110" t="e">
        <f>VLOOKUP(C31,#REF!,6,0)</f>
        <v>#REF!</v>
      </c>
      <c r="J31" s="125"/>
      <c r="K31" s="110" t="e">
        <f t="shared" si="0"/>
        <v>#REF!</v>
      </c>
      <c r="L31" s="110">
        <f>VLOOKUP(C31,[2]ABC!$A$3:$B$88,2,0)</f>
        <v>8000</v>
      </c>
      <c r="M31" s="110">
        <f t="shared" si="1"/>
        <v>4000</v>
      </c>
      <c r="N31" s="125"/>
      <c r="O31" s="46">
        <f>VLOOKUP(C31,[1]IP!$B$9:$I$116,8,0)</f>
        <v>0</v>
      </c>
      <c r="P31" s="46" t="e">
        <f>+H31+I31</f>
        <v>#REF!</v>
      </c>
      <c r="Q31" s="110">
        <f>VLOOKUP(C31,[1]IP!$B$9:$N$116,13,0)</f>
        <v>0</v>
      </c>
      <c r="R31" s="46">
        <f>VLOOKUP(C31,[1]IP!$B$9:$O$116,14,0)</f>
        <v>0</v>
      </c>
      <c r="S31" s="46"/>
      <c r="T31" s="46">
        <f>VLOOKUP(C31,[1]IP!$B$9:$P$116,15,0)</f>
        <v>0</v>
      </c>
      <c r="U31" s="46">
        <f>VLOOKUP(C31,[1]IP!$B$9:$Q$116,16,0)</f>
        <v>0</v>
      </c>
      <c r="V31" s="46">
        <f>VLOOKUP(C31,[1]IP!$B$9:$S$116,18,0)</f>
        <v>0</v>
      </c>
      <c r="W31" s="46">
        <f>VLOOKUP(C31,[1]IP!$B$9:$R$116,17,0)</f>
        <v>0</v>
      </c>
      <c r="X31" s="114"/>
      <c r="Y31" s="46" t="e">
        <f t="shared" si="2"/>
        <v>#REF!</v>
      </c>
      <c r="Z31" s="46" t="e">
        <f t="shared" si="3"/>
        <v>#REF!</v>
      </c>
      <c r="AA31" s="46"/>
      <c r="AB31" s="46" t="e">
        <f>VLOOKUP(C31,[2]SINDICATO!$C$7:$Q$141,15,0)</f>
        <v>#N/A</v>
      </c>
    </row>
    <row r="32" spans="1:28" s="88" customFormat="1" x14ac:dyDescent="0.2">
      <c r="A32" s="51" t="s">
        <v>361</v>
      </c>
      <c r="B32" s="87" t="s">
        <v>57</v>
      </c>
      <c r="C32" s="58" t="s">
        <v>537</v>
      </c>
      <c r="D32" s="87"/>
      <c r="E32" s="90">
        <f>VLOOKUP(C32,[1]IP!$B$9:$V$116,21,0)</f>
        <v>3585.2</v>
      </c>
      <c r="F32" s="108"/>
      <c r="G32" s="88" t="e">
        <f>VLOOKUP(C32,#REF!,4,0)</f>
        <v>#REF!</v>
      </c>
      <c r="H32" s="88" t="e">
        <f>VLOOKUP(C32,#REF!,5,0)</f>
        <v>#REF!</v>
      </c>
      <c r="I32" s="88" t="e">
        <f>VLOOKUP(C32,#REF!,6,0)</f>
        <v>#REF!</v>
      </c>
      <c r="J32" s="94"/>
      <c r="K32" s="88" t="e">
        <f t="shared" si="0"/>
        <v>#REF!</v>
      </c>
      <c r="L32" s="88">
        <v>8000</v>
      </c>
      <c r="M32" s="88">
        <f t="shared" si="1"/>
        <v>4000</v>
      </c>
      <c r="N32" s="95"/>
      <c r="O32" s="46">
        <f>VLOOKUP(C32,[1]IP!$B$9:$I$116,8,0)</f>
        <v>0</v>
      </c>
      <c r="P32" s="46" t="e">
        <f t="shared" ref="P32:P95" si="5">+H32+I32</f>
        <v>#REF!</v>
      </c>
      <c r="Q32" s="46">
        <f>VLOOKUP(C32,[1]IP!$B$9:$N$116,13,0)</f>
        <v>0</v>
      </c>
      <c r="R32" s="46">
        <f>VLOOKUP(C32,[1]IP!$B$9:$O$116,14,0)</f>
        <v>0</v>
      </c>
      <c r="S32" s="46"/>
      <c r="T32" s="46">
        <f>VLOOKUP(C32,[1]IP!$B$9:$P$116,15,0)</f>
        <v>0</v>
      </c>
      <c r="U32" s="46">
        <f>VLOOKUP(C32,[1]IP!$B$9:$Q$116,16,0)</f>
        <v>0</v>
      </c>
      <c r="V32" s="46">
        <f>VLOOKUP(C32,[1]IP!$B$9:$S$116,18,0)</f>
        <v>0</v>
      </c>
      <c r="W32" s="46">
        <f>VLOOKUP(C32,[1]IP!$B$9:$R$116,17,0)</f>
        <v>0</v>
      </c>
      <c r="X32" s="94"/>
      <c r="Y32" s="88" t="e">
        <f t="shared" si="2"/>
        <v>#REF!</v>
      </c>
      <c r="Z32" s="46" t="e">
        <f t="shared" si="3"/>
        <v>#REF!</v>
      </c>
      <c r="AA32" s="46"/>
      <c r="AB32" s="88" t="e">
        <f>VLOOKUP(C32,[2]SINDICATO!$C$7:$Q$141,15,0)</f>
        <v>#N/A</v>
      </c>
    </row>
    <row r="33" spans="1:28" s="88" customFormat="1" x14ac:dyDescent="0.2">
      <c r="A33" s="58" t="s">
        <v>79</v>
      </c>
      <c r="B33" s="87" t="s">
        <v>57</v>
      </c>
      <c r="C33" s="52" t="s">
        <v>330</v>
      </c>
      <c r="D33" s="87"/>
      <c r="E33" s="90">
        <f>VLOOKUP(C33,[1]IP!$B$9:$V$116,21,0)</f>
        <v>1278</v>
      </c>
      <c r="F33" s="108"/>
      <c r="G33" s="88" t="e">
        <f>VLOOKUP(C33,#REF!,4,0)</f>
        <v>#REF!</v>
      </c>
      <c r="H33" s="88" t="e">
        <f>VLOOKUP(C33,#REF!,5,0)</f>
        <v>#REF!</v>
      </c>
      <c r="I33" s="88" t="e">
        <f>VLOOKUP(C33,#REF!,6,0)</f>
        <v>#REF!</v>
      </c>
      <c r="J33" s="94"/>
      <c r="K33" s="88" t="e">
        <f t="shared" si="0"/>
        <v>#REF!</v>
      </c>
      <c r="L33" s="88">
        <f>VLOOKUP(C33,[2]ABC!$A$3:$B$88,2,0)</f>
        <v>4620</v>
      </c>
      <c r="M33" s="88">
        <f t="shared" si="1"/>
        <v>2310</v>
      </c>
      <c r="N33" s="95"/>
      <c r="O33" s="46">
        <f>VLOOKUP(C33,[1]IP!$B$9:$I$116,8,0)</f>
        <v>0</v>
      </c>
      <c r="P33" s="46" t="e">
        <f t="shared" si="5"/>
        <v>#REF!</v>
      </c>
      <c r="Q33" s="46">
        <f>VLOOKUP(C33,[1]IP!$B$9:$N$116,13,0)</f>
        <v>999.51</v>
      </c>
      <c r="R33" s="46">
        <f>VLOOKUP(C33,[1]IP!$B$9:$O$116,14,0)</f>
        <v>0</v>
      </c>
      <c r="S33" s="46"/>
      <c r="T33" s="46">
        <f>VLOOKUP(C33,[1]IP!$B$9:$P$116,15,0)</f>
        <v>15</v>
      </c>
      <c r="U33" s="46">
        <f>VLOOKUP(C33,[1]IP!$B$9:$Q$116,16,0)</f>
        <v>0</v>
      </c>
      <c r="V33" s="46">
        <f>VLOOKUP(C33,[1]IP!$B$9:$S$116,18,0)</f>
        <v>0</v>
      </c>
      <c r="W33" s="46">
        <f>VLOOKUP(C33,[1]IP!$B$9:$R$116,17,0)</f>
        <v>0</v>
      </c>
      <c r="X33" s="94"/>
      <c r="Y33" s="88" t="e">
        <f t="shared" si="2"/>
        <v>#REF!</v>
      </c>
      <c r="Z33" s="46" t="e">
        <f t="shared" si="3"/>
        <v>#REF!</v>
      </c>
      <c r="AA33" s="46"/>
      <c r="AB33" s="88">
        <f>VLOOKUP(C33,[2]SINDICATO!$C$7:$Q$141,15,0)</f>
        <v>0</v>
      </c>
    </row>
    <row r="34" spans="1:28" s="88" customFormat="1" x14ac:dyDescent="0.2">
      <c r="A34" s="58" t="s">
        <v>81</v>
      </c>
      <c r="B34" s="87" t="s">
        <v>57</v>
      </c>
      <c r="C34" s="58" t="s">
        <v>331</v>
      </c>
      <c r="D34" s="87"/>
      <c r="E34" s="90">
        <f>VLOOKUP(C34,[1]IP!$B$9:$V$116,21,0)</f>
        <v>2692.8</v>
      </c>
      <c r="F34" s="108"/>
      <c r="G34" s="88" t="e">
        <f>VLOOKUP(C34,#REF!,4,0)</f>
        <v>#REF!</v>
      </c>
      <c r="H34" s="88" t="e">
        <f>VLOOKUP(C34,#REF!,5,0)</f>
        <v>#REF!</v>
      </c>
      <c r="I34" s="88" t="e">
        <f>VLOOKUP(C34,#REF!,6,0)</f>
        <v>#REF!</v>
      </c>
      <c r="J34" s="94"/>
      <c r="K34" s="88" t="e">
        <f t="shared" si="0"/>
        <v>#REF!</v>
      </c>
      <c r="L34" s="88">
        <f>VLOOKUP(C34,[2]ABC!$A$3:$B$88,2,0)</f>
        <v>8000</v>
      </c>
      <c r="M34" s="88">
        <f t="shared" si="1"/>
        <v>4000</v>
      </c>
      <c r="N34" s="95"/>
      <c r="O34" s="46">
        <f>VLOOKUP(C34,[1]IP!$B$9:$I$116,8,0)</f>
        <v>0</v>
      </c>
      <c r="P34" s="46" t="e">
        <f t="shared" si="5"/>
        <v>#REF!</v>
      </c>
      <c r="Q34" s="46">
        <f>VLOOKUP(C34,[1]IP!$B$9:$N$116,13,0)</f>
        <v>877.59</v>
      </c>
      <c r="R34" s="46">
        <f>VLOOKUP(C34,[1]IP!$B$9:$O$116,14,0)</f>
        <v>0</v>
      </c>
      <c r="S34" s="46"/>
      <c r="T34" s="46">
        <f>VLOOKUP(C34,[1]IP!$B$9:$P$116,15,0)</f>
        <v>15</v>
      </c>
      <c r="U34" s="46">
        <f>VLOOKUP(C34,[1]IP!$B$9:$Q$116,16,0)</f>
        <v>0</v>
      </c>
      <c r="V34" s="46">
        <f>VLOOKUP(C34,[1]IP!$B$9:$S$116,18,0)</f>
        <v>0</v>
      </c>
      <c r="W34" s="46">
        <f>VLOOKUP(C34,[1]IP!$B$9:$R$116,17,0)</f>
        <v>0</v>
      </c>
      <c r="X34" s="94"/>
      <c r="Y34" s="88" t="e">
        <f t="shared" si="2"/>
        <v>#REF!</v>
      </c>
      <c r="Z34" s="46" t="e">
        <f t="shared" si="3"/>
        <v>#REF!</v>
      </c>
      <c r="AA34" s="46"/>
      <c r="AB34" s="88" t="e">
        <f>VLOOKUP(C34,[2]SINDICATO!$C$7:$Q$141,15,0)</f>
        <v>#N/A</v>
      </c>
    </row>
    <row r="35" spans="1:28" s="88" customFormat="1" x14ac:dyDescent="0.2">
      <c r="A35" s="58" t="s">
        <v>85</v>
      </c>
      <c r="B35" s="87" t="s">
        <v>57</v>
      </c>
      <c r="C35" s="58" t="s">
        <v>333</v>
      </c>
      <c r="D35" s="87"/>
      <c r="E35" s="90">
        <f>VLOOKUP(C35,[1]IP!$B$9:$V$116,21,0)</f>
        <v>5195.2</v>
      </c>
      <c r="F35" s="108"/>
      <c r="G35" s="88" t="e">
        <f>VLOOKUP(C35,#REF!,4,0)</f>
        <v>#REF!</v>
      </c>
      <c r="H35" s="88" t="e">
        <f>VLOOKUP(C35,#REF!,5,0)</f>
        <v>#REF!</v>
      </c>
      <c r="I35" s="88" t="e">
        <f>VLOOKUP(C35,#REF!,6,0)</f>
        <v>#REF!</v>
      </c>
      <c r="J35" s="94"/>
      <c r="K35" s="88" t="e">
        <f t="shared" si="0"/>
        <v>#REF!</v>
      </c>
      <c r="L35" s="88">
        <f>VLOOKUP(C35,[2]ABC!$A$3:$B$88,2,0)</f>
        <v>12000</v>
      </c>
      <c r="M35" s="88">
        <f t="shared" si="1"/>
        <v>6000</v>
      </c>
      <c r="N35" s="95"/>
      <c r="O35" s="46">
        <f>VLOOKUP(C35,[1]IP!$B$9:$I$116,8,0)</f>
        <v>0</v>
      </c>
      <c r="P35" s="46" t="e">
        <f t="shared" si="5"/>
        <v>#REF!</v>
      </c>
      <c r="Q35" s="46">
        <f>VLOOKUP(C35,[1]IP!$B$9:$N$116,13,0)</f>
        <v>0</v>
      </c>
      <c r="R35" s="46">
        <f>VLOOKUP(C35,[1]IP!$B$9:$O$116,14,0)</f>
        <v>0</v>
      </c>
      <c r="S35" s="46"/>
      <c r="T35" s="46">
        <f>VLOOKUP(C35,[1]IP!$B$9:$P$116,15,0)</f>
        <v>0</v>
      </c>
      <c r="U35" s="46">
        <f>VLOOKUP(C35,[1]IP!$B$9:$Q$116,16,0)</f>
        <v>0</v>
      </c>
      <c r="V35" s="46">
        <f>VLOOKUP(C35,[1]IP!$B$9:$S$116,18,0)</f>
        <v>0</v>
      </c>
      <c r="W35" s="46">
        <f>VLOOKUP(C35,[1]IP!$B$9:$R$116,17,0)</f>
        <v>0</v>
      </c>
      <c r="X35" s="94"/>
      <c r="Y35" s="88" t="e">
        <f t="shared" si="2"/>
        <v>#REF!</v>
      </c>
      <c r="Z35" s="46" t="e">
        <f t="shared" si="3"/>
        <v>#REF!</v>
      </c>
      <c r="AA35" s="46"/>
      <c r="AB35" s="88" t="e">
        <f>VLOOKUP(C35,[2]SINDICATO!$C$7:$Q$141,15,0)</f>
        <v>#N/A</v>
      </c>
    </row>
    <row r="36" spans="1:28" s="88" customFormat="1" x14ac:dyDescent="0.2">
      <c r="A36" s="58" t="s">
        <v>87</v>
      </c>
      <c r="B36" s="87" t="s">
        <v>57</v>
      </c>
      <c r="C36" s="58" t="s">
        <v>538</v>
      </c>
      <c r="D36" s="87"/>
      <c r="E36" s="90">
        <f>VLOOKUP(C36,[1]IP!$B$9:$V$116,21,0)</f>
        <v>3585.4</v>
      </c>
      <c r="F36" s="108"/>
      <c r="G36" s="88" t="e">
        <f>VLOOKUP(C36,#REF!,4,0)</f>
        <v>#REF!</v>
      </c>
      <c r="H36" s="88" t="e">
        <f>VLOOKUP(C36,#REF!,5,0)</f>
        <v>#REF!</v>
      </c>
      <c r="I36" s="88" t="e">
        <f>VLOOKUP(C36,#REF!,6,0)</f>
        <v>#REF!</v>
      </c>
      <c r="J36" s="94"/>
      <c r="K36" s="88" t="e">
        <f t="shared" si="0"/>
        <v>#REF!</v>
      </c>
      <c r="L36" s="88">
        <v>8000</v>
      </c>
      <c r="M36" s="88">
        <f t="shared" si="1"/>
        <v>4000</v>
      </c>
      <c r="N36" s="95"/>
      <c r="O36" s="46">
        <f>VLOOKUP(C36,[1]IP!$B$9:$I$116,8,0)</f>
        <v>0</v>
      </c>
      <c r="P36" s="46" t="e">
        <f t="shared" si="5"/>
        <v>#REF!</v>
      </c>
      <c r="Q36" s="46">
        <f>VLOOKUP(C36,[1]IP!$B$9:$N$116,13,0)</f>
        <v>0</v>
      </c>
      <c r="R36" s="46">
        <f>VLOOKUP(C36,[1]IP!$B$9:$O$116,14,0)</f>
        <v>0</v>
      </c>
      <c r="S36" s="46"/>
      <c r="T36" s="46">
        <f>VLOOKUP(C36,[1]IP!$B$9:$P$116,15,0)</f>
        <v>0</v>
      </c>
      <c r="U36" s="46">
        <f>VLOOKUP(C36,[1]IP!$B$9:$Q$116,16,0)</f>
        <v>0</v>
      </c>
      <c r="V36" s="46">
        <f>VLOOKUP(C36,[1]IP!$B$9:$S$116,18,0)</f>
        <v>0</v>
      </c>
      <c r="W36" s="46">
        <f>VLOOKUP(C36,[1]IP!$B$9:$R$116,17,0)</f>
        <v>0</v>
      </c>
      <c r="X36" s="94"/>
      <c r="Y36" s="88" t="e">
        <f t="shared" si="2"/>
        <v>#REF!</v>
      </c>
      <c r="Z36" s="46" t="e">
        <f t="shared" si="3"/>
        <v>#REF!</v>
      </c>
      <c r="AA36" s="46"/>
      <c r="AB36" s="88" t="e">
        <f>VLOOKUP(C36,[2]SINDICATO!$C$7:$Q$141,15,0)</f>
        <v>#N/A</v>
      </c>
    </row>
    <row r="37" spans="1:28" s="46" customFormat="1" x14ac:dyDescent="0.2">
      <c r="A37" s="52" t="s">
        <v>89</v>
      </c>
      <c r="B37" s="90" t="s">
        <v>57</v>
      </c>
      <c r="C37" s="52" t="s">
        <v>334</v>
      </c>
      <c r="D37" s="87"/>
      <c r="E37" s="90">
        <f>VLOOKUP(C37,[1]IP!$B$9:$V$116,21,0)</f>
        <v>1490.6</v>
      </c>
      <c r="F37" s="108"/>
      <c r="G37" s="88" t="e">
        <f>VLOOKUP(C37,#REF!,4,0)</f>
        <v>#REF!</v>
      </c>
      <c r="H37" s="88" t="e">
        <f>VLOOKUP(C37,#REF!,5,0)</f>
        <v>#REF!</v>
      </c>
      <c r="I37" s="88" t="e">
        <f>VLOOKUP(C37,#REF!,6,0)</f>
        <v>#REF!</v>
      </c>
      <c r="J37" s="94"/>
      <c r="K37" s="88" t="e">
        <f t="shared" si="0"/>
        <v>#REF!</v>
      </c>
      <c r="L37" s="46">
        <v>8000</v>
      </c>
      <c r="M37" s="46">
        <f t="shared" si="1"/>
        <v>4000</v>
      </c>
      <c r="N37" s="95"/>
      <c r="O37" s="46">
        <f>VLOOKUP(C37,[1]IP!$B$9:$I$116,8,0)</f>
        <v>0</v>
      </c>
      <c r="P37" s="46" t="e">
        <f t="shared" si="5"/>
        <v>#REF!</v>
      </c>
      <c r="Q37" s="46">
        <f>VLOOKUP(C37,[1]IP!$B$9:$N$116,13,0)</f>
        <v>1359.23</v>
      </c>
      <c r="R37" s="46">
        <f>VLOOKUP(C37,[1]IP!$B$9:$O$116,14,0)</f>
        <v>0</v>
      </c>
      <c r="T37" s="46">
        <f>VLOOKUP(C37,[1]IP!$B$9:$P$116,15,0)</f>
        <v>15</v>
      </c>
      <c r="U37" s="46">
        <f>VLOOKUP(C37,[1]IP!$B$9:$Q$116,16,0)</f>
        <v>0</v>
      </c>
      <c r="V37" s="46">
        <f>VLOOKUP(C37,[1]IP!$B$9:$S$116,18,0)</f>
        <v>0</v>
      </c>
      <c r="W37" s="46">
        <f>VLOOKUP(C37,[1]IP!$B$9:$R$116,17,0)</f>
        <v>0</v>
      </c>
      <c r="X37" s="94"/>
      <c r="Y37" s="88" t="e">
        <f t="shared" si="2"/>
        <v>#REF!</v>
      </c>
      <c r="Z37" s="46" t="e">
        <f t="shared" si="3"/>
        <v>#REF!</v>
      </c>
      <c r="AB37" s="88" t="e">
        <f>VLOOKUP(C37,[2]SINDICATO!$C$7:$Q$141,15,0)</f>
        <v>#N/A</v>
      </c>
    </row>
    <row r="38" spans="1:28" s="88" customFormat="1" x14ac:dyDescent="0.2">
      <c r="A38" s="58" t="s">
        <v>91</v>
      </c>
      <c r="B38" s="87" t="s">
        <v>57</v>
      </c>
      <c r="C38" s="58" t="s">
        <v>335</v>
      </c>
      <c r="D38" s="87"/>
      <c r="E38" s="90">
        <f>VLOOKUP(C38,[1]IP!$B$9:$V$116,21,0)</f>
        <v>4406.3999999999996</v>
      </c>
      <c r="F38" s="108"/>
      <c r="G38" s="88" t="e">
        <f>VLOOKUP(C38,#REF!,4,0)</f>
        <v>#REF!</v>
      </c>
      <c r="H38" s="88" t="e">
        <f>VLOOKUP(C38,#REF!,5,0)</f>
        <v>#REF!</v>
      </c>
      <c r="I38" s="88" t="e">
        <f>VLOOKUP(C38,#REF!,6,0)</f>
        <v>#REF!</v>
      </c>
      <c r="J38" s="94"/>
      <c r="K38" s="88" t="e">
        <f t="shared" si="0"/>
        <v>#REF!</v>
      </c>
      <c r="L38" s="88">
        <f>VLOOKUP(C38,[2]ABC!$A$3:$B$88,2,0)</f>
        <v>10000</v>
      </c>
      <c r="M38" s="88">
        <f t="shared" si="1"/>
        <v>5000</v>
      </c>
      <c r="N38" s="95"/>
      <c r="O38" s="46">
        <f>VLOOKUP(C38,[1]IP!$B$9:$I$116,8,0)</f>
        <v>0</v>
      </c>
      <c r="P38" s="46" t="e">
        <f t="shared" si="5"/>
        <v>#REF!</v>
      </c>
      <c r="Q38" s="46">
        <f>VLOOKUP(C38,[1]IP!$B$9:$N$116,13,0)</f>
        <v>0</v>
      </c>
      <c r="R38" s="46">
        <f>VLOOKUP(C38,[1]IP!$B$9:$O$116,14,0)</f>
        <v>0</v>
      </c>
      <c r="S38" s="46"/>
      <c r="T38" s="46">
        <f>VLOOKUP(C38,[1]IP!$B$9:$P$116,15,0)</f>
        <v>0</v>
      </c>
      <c r="U38" s="46">
        <f>VLOOKUP(C38,[1]IP!$B$9:$Q$116,16,0)</f>
        <v>0</v>
      </c>
      <c r="V38" s="46">
        <f>VLOOKUP(C38,[1]IP!$B$9:$S$116,18,0)</f>
        <v>0</v>
      </c>
      <c r="W38" s="46">
        <f>VLOOKUP(C38,[1]IP!$B$9:$R$116,17,0)</f>
        <v>0</v>
      </c>
      <c r="X38" s="94"/>
      <c r="Y38" s="88" t="e">
        <f t="shared" si="2"/>
        <v>#REF!</v>
      </c>
      <c r="Z38" s="46" t="e">
        <f t="shared" si="3"/>
        <v>#REF!</v>
      </c>
      <c r="AA38" s="46"/>
      <c r="AB38" s="88" t="e">
        <f>VLOOKUP(C38,[2]SINDICATO!$C$7:$Q$141,15,0)</f>
        <v>#N/A</v>
      </c>
    </row>
    <row r="39" spans="1:28" s="88" customFormat="1" x14ac:dyDescent="0.2">
      <c r="A39" s="58" t="s">
        <v>93</v>
      </c>
      <c r="B39" s="87" t="s">
        <v>57</v>
      </c>
      <c r="C39" s="58" t="s">
        <v>336</v>
      </c>
      <c r="D39" s="87"/>
      <c r="E39" s="90">
        <f>VLOOKUP(C39,[1]IP!$B$9:$V$116,21,0)</f>
        <v>3277.4</v>
      </c>
      <c r="F39" s="108"/>
      <c r="G39" s="88" t="e">
        <f>VLOOKUP(C39,#REF!,4,0)</f>
        <v>#REF!</v>
      </c>
      <c r="H39" s="88" t="e">
        <f>VLOOKUP(C39,#REF!,5,0)</f>
        <v>#REF!</v>
      </c>
      <c r="I39" s="88" t="e">
        <f>VLOOKUP(C39,#REF!,6,0)</f>
        <v>#REF!</v>
      </c>
      <c r="J39" s="94"/>
      <c r="K39" s="88" t="e">
        <f t="shared" si="0"/>
        <v>#REF!</v>
      </c>
      <c r="L39" s="88">
        <f>VLOOKUP(C39,[2]ABC!$A$3:$B$88,2,0)</f>
        <v>7000</v>
      </c>
      <c r="M39" s="88">
        <f t="shared" si="1"/>
        <v>3500</v>
      </c>
      <c r="N39" s="95"/>
      <c r="O39" s="46">
        <f>VLOOKUP(C39,[1]IP!$B$9:$I$116,8,0)</f>
        <v>0</v>
      </c>
      <c r="P39" s="46" t="e">
        <f t="shared" si="5"/>
        <v>#REF!</v>
      </c>
      <c r="Q39" s="46">
        <f>VLOOKUP(C39,[1]IP!$B$9:$N$116,13,0)</f>
        <v>0</v>
      </c>
      <c r="R39" s="46">
        <f>VLOOKUP(C39,[1]IP!$B$9:$O$116,14,0)</f>
        <v>0</v>
      </c>
      <c r="S39" s="46"/>
      <c r="T39" s="46">
        <f>VLOOKUP(C39,[1]IP!$B$9:$P$116,15,0)</f>
        <v>0</v>
      </c>
      <c r="U39" s="46">
        <f>VLOOKUP(C39,[1]IP!$B$9:$Q$116,16,0)</f>
        <v>0</v>
      </c>
      <c r="V39" s="46">
        <f>VLOOKUP(C39,[1]IP!$B$9:$S$116,18,0)</f>
        <v>0</v>
      </c>
      <c r="W39" s="46">
        <f>VLOOKUP(C39,[1]IP!$B$9:$R$116,17,0)</f>
        <v>0</v>
      </c>
      <c r="X39" s="94"/>
      <c r="Y39" s="88" t="e">
        <f t="shared" si="2"/>
        <v>#REF!</v>
      </c>
      <c r="Z39" s="46" t="e">
        <f t="shared" si="3"/>
        <v>#REF!</v>
      </c>
      <c r="AA39" s="46"/>
      <c r="AB39" s="88" t="e">
        <f>VLOOKUP(C39,[2]SINDICATO!$C$7:$Q$141,15,0)</f>
        <v>#N/A</v>
      </c>
    </row>
    <row r="40" spans="1:28" s="88" customFormat="1" x14ac:dyDescent="0.2">
      <c r="A40" s="58" t="s">
        <v>101</v>
      </c>
      <c r="B40" s="87" t="s">
        <v>57</v>
      </c>
      <c r="C40" s="58" t="s">
        <v>337</v>
      </c>
      <c r="D40" s="87"/>
      <c r="E40" s="90">
        <f>VLOOKUP(C40,[1]IP!$B$9:$V$116,21,0)</f>
        <v>2090.1999999999998</v>
      </c>
      <c r="F40" s="108"/>
      <c r="G40" s="88" t="e">
        <f>VLOOKUP(C40,#REF!,4,0)</f>
        <v>#REF!</v>
      </c>
      <c r="H40" s="88" t="e">
        <f>VLOOKUP(C40,#REF!,5,0)</f>
        <v>#REF!</v>
      </c>
      <c r="I40" s="88" t="e">
        <f>VLOOKUP(C40,#REF!,6,0)</f>
        <v>#REF!</v>
      </c>
      <c r="J40" s="94"/>
      <c r="K40" s="88" t="e">
        <f t="shared" si="0"/>
        <v>#REF!</v>
      </c>
      <c r="L40" s="88">
        <f>VLOOKUP(C40,[2]ABC!$A$3:$B$88,2,0)</f>
        <v>6000</v>
      </c>
      <c r="M40" s="88">
        <f t="shared" si="1"/>
        <v>3000</v>
      </c>
      <c r="N40" s="95"/>
      <c r="O40" s="46">
        <f>VLOOKUP(C40,[1]IP!$B$9:$I$116,8,0)</f>
        <v>0</v>
      </c>
      <c r="P40" s="46" t="e">
        <f t="shared" si="5"/>
        <v>#REF!</v>
      </c>
      <c r="Q40" s="46">
        <f>VLOOKUP(C40,[1]IP!$B$9:$N$116,13,0)</f>
        <v>0</v>
      </c>
      <c r="R40" s="46">
        <f>VLOOKUP(C40,[1]IP!$B$9:$O$116,14,0)</f>
        <v>0</v>
      </c>
      <c r="S40" s="46"/>
      <c r="T40" s="46">
        <f>VLOOKUP(C40,[1]IP!$B$9:$P$116,15,0)</f>
        <v>0</v>
      </c>
      <c r="U40" s="46">
        <f>VLOOKUP(C40,[1]IP!$B$9:$Q$116,16,0)</f>
        <v>600</v>
      </c>
      <c r="V40" s="46">
        <f>VLOOKUP(C40,[1]IP!$B$9:$S$116,18,0)</f>
        <v>0</v>
      </c>
      <c r="W40" s="46">
        <f>VLOOKUP(C40,[1]IP!$B$9:$R$116,17,0)</f>
        <v>0</v>
      </c>
      <c r="X40" s="94"/>
      <c r="Y40" s="88" t="e">
        <f t="shared" si="2"/>
        <v>#REF!</v>
      </c>
      <c r="Z40" s="46" t="e">
        <f t="shared" si="3"/>
        <v>#REF!</v>
      </c>
      <c r="AA40" s="96"/>
      <c r="AB40" s="88" t="e">
        <f>VLOOKUP(C40,[2]SINDICATO!$C$7:$Q$141,15,0)</f>
        <v>#N/A</v>
      </c>
    </row>
    <row r="41" spans="1:28" s="88" customFormat="1" x14ac:dyDescent="0.2">
      <c r="A41" s="58" t="s">
        <v>105</v>
      </c>
      <c r="B41" s="87" t="s">
        <v>57</v>
      </c>
      <c r="C41" s="58" t="s">
        <v>339</v>
      </c>
      <c r="D41" s="87"/>
      <c r="E41" s="90">
        <f>VLOOKUP(C41,[1]IP!$B$9:$V$116,21,0)</f>
        <v>3234.2</v>
      </c>
      <c r="F41" s="108"/>
      <c r="G41" s="88" t="e">
        <f>VLOOKUP(C41,#REF!,4,0)</f>
        <v>#REF!</v>
      </c>
      <c r="H41" s="88" t="e">
        <f>VLOOKUP(C41,#REF!,5,0)</f>
        <v>#REF!</v>
      </c>
      <c r="I41" s="88" t="e">
        <f>VLOOKUP(C41,#REF!,6,0)</f>
        <v>#REF!</v>
      </c>
      <c r="J41" s="94"/>
      <c r="K41" s="88" t="e">
        <f t="shared" si="0"/>
        <v>#REF!</v>
      </c>
      <c r="L41" s="88">
        <f>VLOOKUP(C41,[2]ABC!$A$3:$B$88,2,0)</f>
        <v>6900</v>
      </c>
      <c r="M41" s="88">
        <f t="shared" si="1"/>
        <v>3450</v>
      </c>
      <c r="N41" s="95"/>
      <c r="O41" s="46">
        <f>VLOOKUP(C41,[1]IP!$B$9:$I$116,8,0)</f>
        <v>0</v>
      </c>
      <c r="P41" s="46" t="e">
        <f t="shared" si="5"/>
        <v>#REF!</v>
      </c>
      <c r="Q41" s="46">
        <f>VLOOKUP(C41,[1]IP!$B$9:$N$116,13,0)</f>
        <v>0</v>
      </c>
      <c r="R41" s="46">
        <f>VLOOKUP(C41,[1]IP!$B$9:$O$116,14,0)</f>
        <v>0</v>
      </c>
      <c r="S41" s="46"/>
      <c r="T41" s="46">
        <f>VLOOKUP(C41,[1]IP!$B$9:$P$116,15,0)</f>
        <v>0</v>
      </c>
      <c r="U41" s="46">
        <f>VLOOKUP(C41,[1]IP!$B$9:$Q$116,16,0)</f>
        <v>0</v>
      </c>
      <c r="V41" s="46">
        <f>VLOOKUP(C41,[1]IP!$B$9:$S$116,18,0)</f>
        <v>0</v>
      </c>
      <c r="W41" s="46">
        <f>VLOOKUP(C41,[1]IP!$B$9:$R$116,17,0)</f>
        <v>0</v>
      </c>
      <c r="X41" s="94"/>
      <c r="Y41" s="88" t="e">
        <f t="shared" si="2"/>
        <v>#REF!</v>
      </c>
      <c r="Z41" s="46" t="e">
        <f t="shared" si="3"/>
        <v>#REF!</v>
      </c>
      <c r="AA41" s="46"/>
      <c r="AB41" s="88">
        <f>VLOOKUP(C41,[2]SINDICATO!$C$7:$Q$141,15,0)</f>
        <v>0</v>
      </c>
    </row>
    <row r="42" spans="1:28" s="88" customFormat="1" x14ac:dyDescent="0.2">
      <c r="A42" s="58" t="s">
        <v>201</v>
      </c>
      <c r="B42" s="87" t="s">
        <v>57</v>
      </c>
      <c r="C42" s="58" t="s">
        <v>341</v>
      </c>
      <c r="D42" s="87"/>
      <c r="E42" s="90">
        <f>VLOOKUP(C42,[1]IP!$B$9:$V$116,21,0)</f>
        <v>2864.8</v>
      </c>
      <c r="F42" s="108"/>
      <c r="G42" s="88" t="e">
        <f>VLOOKUP(C42,#REF!,4,0)</f>
        <v>#REF!</v>
      </c>
      <c r="H42" s="88" t="e">
        <f>VLOOKUP(C42,#REF!,5,0)</f>
        <v>#REF!</v>
      </c>
      <c r="I42" s="88" t="e">
        <f>VLOOKUP(C42,#REF!,6,0)</f>
        <v>#REF!</v>
      </c>
      <c r="J42" s="94"/>
      <c r="K42" s="88" t="e">
        <f t="shared" si="0"/>
        <v>#REF!</v>
      </c>
      <c r="L42" s="72">
        <v>10000</v>
      </c>
      <c r="M42" s="88">
        <f t="shared" si="1"/>
        <v>5000</v>
      </c>
      <c r="N42" s="95"/>
      <c r="O42" s="46">
        <f>VLOOKUP(C42,[1]IP!$B$9:$I$116,8,0)</f>
        <v>0</v>
      </c>
      <c r="P42" s="46" t="e">
        <f t="shared" si="5"/>
        <v>#REF!</v>
      </c>
      <c r="Q42" s="46">
        <f>VLOOKUP(C42,[1]IP!$B$9:$N$116,13,0)</f>
        <v>0</v>
      </c>
      <c r="R42" s="46">
        <f>VLOOKUP(C42,[1]IP!$B$9:$O$116,14,0)</f>
        <v>0</v>
      </c>
      <c r="S42" s="46"/>
      <c r="T42" s="46">
        <f>VLOOKUP(C42,[1]IP!$B$9:$P$116,15,0)</f>
        <v>0</v>
      </c>
      <c r="U42" s="46">
        <f>VLOOKUP(C42,[1]IP!$B$9:$Q$116,16,0)</f>
        <v>0</v>
      </c>
      <c r="V42" s="46">
        <f>VLOOKUP(C42,[1]IP!$B$9:$S$116,18,0)</f>
        <v>0</v>
      </c>
      <c r="W42" s="46">
        <f>VLOOKUP(C42,[1]IP!$B$9:$R$116,17,0)</f>
        <v>0</v>
      </c>
      <c r="X42" s="94"/>
      <c r="Y42" s="88" t="e">
        <f t="shared" si="2"/>
        <v>#REF!</v>
      </c>
      <c r="Z42" s="46" t="e">
        <f t="shared" si="3"/>
        <v>#REF!</v>
      </c>
      <c r="AA42" s="46"/>
      <c r="AB42" s="88">
        <f>VLOOKUP(C42,[2]SINDICATO!$C$7:$Q$141,15,0)</f>
        <v>0</v>
      </c>
    </row>
    <row r="43" spans="1:28" s="46" customFormat="1" x14ac:dyDescent="0.2">
      <c r="A43" s="52" t="s">
        <v>205</v>
      </c>
      <c r="B43" s="90" t="s">
        <v>57</v>
      </c>
      <c r="C43" s="52" t="s">
        <v>342</v>
      </c>
      <c r="D43" s="87"/>
      <c r="E43" s="90">
        <f>VLOOKUP(C43,[1]IP!$B$9:$V$116,21,0)</f>
        <v>3583.6</v>
      </c>
      <c r="F43" s="113"/>
      <c r="G43" s="88" t="e">
        <f>VLOOKUP(C43,#REF!,4,0)</f>
        <v>#REF!</v>
      </c>
      <c r="H43" s="88" t="e">
        <f>VLOOKUP(C43,#REF!,5,0)</f>
        <v>#REF!</v>
      </c>
      <c r="I43" s="88" t="e">
        <f>VLOOKUP(C43,#REF!,6,0)</f>
        <v>#REF!</v>
      </c>
      <c r="J43" s="114"/>
      <c r="K43" s="46" t="e">
        <f t="shared" si="0"/>
        <v>#REF!</v>
      </c>
      <c r="L43" s="46">
        <v>9000</v>
      </c>
      <c r="M43" s="46">
        <f t="shared" si="1"/>
        <v>4500</v>
      </c>
      <c r="N43" s="114"/>
      <c r="O43" s="46">
        <f>VLOOKUP(C43,[1]IP!$B$9:$I$116,8,0)</f>
        <v>0</v>
      </c>
      <c r="P43" s="46" t="e">
        <f t="shared" si="5"/>
        <v>#REF!</v>
      </c>
      <c r="Q43" s="46">
        <f>VLOOKUP(C43,[1]IP!$B$9:$N$116,13,0)</f>
        <v>0</v>
      </c>
      <c r="R43" s="46">
        <f>VLOOKUP(C43,[1]IP!$B$9:$O$116,14,0)</f>
        <v>0</v>
      </c>
      <c r="T43" s="46">
        <f>VLOOKUP(C43,[1]IP!$B$9:$P$116,15,0)</f>
        <v>0</v>
      </c>
      <c r="U43" s="46">
        <f>VLOOKUP(C43,[1]IP!$B$9:$Q$116,16,0)</f>
        <v>0</v>
      </c>
      <c r="V43" s="46">
        <f>VLOOKUP(C43,[1]IP!$B$9:$S$116,18,0)</f>
        <v>0</v>
      </c>
      <c r="W43" s="46">
        <f>VLOOKUP(C43,[1]IP!$B$9:$R$116,17,0)</f>
        <v>0</v>
      </c>
      <c r="X43" s="114"/>
      <c r="Y43" s="46" t="e">
        <f t="shared" si="2"/>
        <v>#REF!</v>
      </c>
      <c r="AB43" s="88">
        <f>VLOOKUP(C43,[2]SINDICATO!$C$7:$Q$141,15,0)</f>
        <v>0</v>
      </c>
    </row>
    <row r="44" spans="1:28" s="88" customFormat="1" x14ac:dyDescent="0.2">
      <c r="A44" s="58" t="s">
        <v>206</v>
      </c>
      <c r="B44" s="87" t="s">
        <v>57</v>
      </c>
      <c r="C44" s="58" t="s">
        <v>343</v>
      </c>
      <c r="D44" s="87"/>
      <c r="E44" s="90">
        <f>VLOOKUP(C44,[1]IP!$B$9:$V$116,21,0)</f>
        <v>7087.8</v>
      </c>
      <c r="F44" s="108"/>
      <c r="G44" s="88" t="e">
        <f>VLOOKUP(C44,#REF!,4,0)</f>
        <v>#REF!</v>
      </c>
      <c r="H44" s="88" t="e">
        <f>VLOOKUP(C44,#REF!,5,0)</f>
        <v>#REF!</v>
      </c>
      <c r="I44" s="88" t="e">
        <f>VLOOKUP(C44,#REF!,6,0)</f>
        <v>#REF!</v>
      </c>
      <c r="J44" s="94"/>
      <c r="K44" s="88" t="e">
        <f t="shared" si="0"/>
        <v>#REF!</v>
      </c>
      <c r="L44" s="88">
        <f>VLOOKUP(C44,[2]ABC!$A$3:$B$88,2,0)</f>
        <v>18500</v>
      </c>
      <c r="M44" s="88">
        <f t="shared" si="1"/>
        <v>9250</v>
      </c>
      <c r="N44" s="95"/>
      <c r="O44" s="46">
        <f>VLOOKUP(C44,[1]IP!$B$9:$I$116,8,0)</f>
        <v>0</v>
      </c>
      <c r="P44" s="46" t="e">
        <f t="shared" si="5"/>
        <v>#REF!</v>
      </c>
      <c r="Q44" s="46">
        <f>VLOOKUP(C44,[1]IP!$B$9:$N$116,13,0)</f>
        <v>0</v>
      </c>
      <c r="R44" s="46">
        <f>VLOOKUP(C44,[1]IP!$B$9:$O$116,14,0)</f>
        <v>0</v>
      </c>
      <c r="S44" s="46"/>
      <c r="T44" s="46">
        <f>VLOOKUP(C44,[1]IP!$B$9:$P$116,15,0)</f>
        <v>0</v>
      </c>
      <c r="U44" s="46">
        <f>VLOOKUP(C44,[1]IP!$B$9:$Q$116,16,0)</f>
        <v>0</v>
      </c>
      <c r="V44" s="46">
        <f>VLOOKUP(C44,[1]IP!$B$9:$S$116,18,0)</f>
        <v>0</v>
      </c>
      <c r="W44" s="46">
        <f>VLOOKUP(C44,[1]IP!$B$9:$R$116,17,0)</f>
        <v>0</v>
      </c>
      <c r="X44" s="94"/>
      <c r="Y44" s="88" t="e">
        <f t="shared" si="2"/>
        <v>#REF!</v>
      </c>
      <c r="Z44" s="46" t="e">
        <f t="shared" ref="Z44:Z83" si="6">+M44-Y44</f>
        <v>#REF!</v>
      </c>
      <c r="AA44" s="46"/>
      <c r="AB44" s="88">
        <f>VLOOKUP(C44,[2]SINDICATO!$C$7:$Q$141,15,0)</f>
        <v>0</v>
      </c>
    </row>
    <row r="45" spans="1:28" s="88" customFormat="1" x14ac:dyDescent="0.2">
      <c r="A45" s="58" t="s">
        <v>207</v>
      </c>
      <c r="B45" s="87" t="s">
        <v>57</v>
      </c>
      <c r="C45" s="58" t="s">
        <v>344</v>
      </c>
      <c r="D45" s="87"/>
      <c r="E45" s="90">
        <f>VLOOKUP(C45,[1]IP!$B$9:$V$116,21,0)</f>
        <v>3518.2</v>
      </c>
      <c r="F45" s="108"/>
      <c r="G45" s="88" t="e">
        <f>VLOOKUP(C45,#REF!,4,0)</f>
        <v>#REF!</v>
      </c>
      <c r="H45" s="88" t="e">
        <f>VLOOKUP(C45,#REF!,5,0)</f>
        <v>#REF!</v>
      </c>
      <c r="I45" s="88" t="e">
        <f>VLOOKUP(C45,#REF!,6,0)</f>
        <v>#REF!</v>
      </c>
      <c r="J45" s="94"/>
      <c r="K45" s="88" t="e">
        <f t="shared" si="0"/>
        <v>#REF!</v>
      </c>
      <c r="L45" s="88">
        <f>VLOOKUP(C45,[2]ABC!$A$3:$B$88,2,0)</f>
        <v>8500</v>
      </c>
      <c r="M45" s="88">
        <f t="shared" si="1"/>
        <v>4250</v>
      </c>
      <c r="N45" s="95"/>
      <c r="O45" s="46">
        <f>VLOOKUP(C45,[1]IP!$B$9:$I$116,8,0)</f>
        <v>150</v>
      </c>
      <c r="P45" s="46" t="e">
        <f t="shared" si="5"/>
        <v>#REF!</v>
      </c>
      <c r="Q45" s="46">
        <f>VLOOKUP(C45,[1]IP!$B$9:$N$116,13,0)</f>
        <v>0</v>
      </c>
      <c r="R45" s="46">
        <f>VLOOKUP(C45,[1]IP!$B$9:$O$116,14,0)</f>
        <v>0</v>
      </c>
      <c r="S45" s="46"/>
      <c r="T45" s="46">
        <f>VLOOKUP(C45,[1]IP!$B$9:$P$116,15,0)</f>
        <v>0</v>
      </c>
      <c r="U45" s="46">
        <f>VLOOKUP(C45,[1]IP!$B$9:$Q$116,16,0)</f>
        <v>0</v>
      </c>
      <c r="V45" s="46">
        <f>VLOOKUP(C45,[1]IP!$B$9:$S$116,18,0)</f>
        <v>0</v>
      </c>
      <c r="W45" s="46">
        <f>VLOOKUP(C45,[1]IP!$B$9:$R$116,17,0)</f>
        <v>0</v>
      </c>
      <c r="X45" s="94"/>
      <c r="Y45" s="88" t="e">
        <f t="shared" si="2"/>
        <v>#REF!</v>
      </c>
      <c r="Z45" s="46" t="e">
        <f t="shared" si="6"/>
        <v>#REF!</v>
      </c>
      <c r="AA45" s="46"/>
      <c r="AB45" s="88">
        <f>VLOOKUP(C45,[2]SINDICATO!$C$7:$Q$141,15,0)</f>
        <v>0</v>
      </c>
    </row>
    <row r="46" spans="1:28" s="88" customFormat="1" x14ac:dyDescent="0.2">
      <c r="A46" s="58" t="s">
        <v>208</v>
      </c>
      <c r="B46" s="87" t="s">
        <v>57</v>
      </c>
      <c r="C46" s="58" t="s">
        <v>347</v>
      </c>
      <c r="D46" s="87"/>
      <c r="E46" s="90">
        <f>VLOOKUP(C46,[1]IP!$B$9:$V$116,21,0)</f>
        <v>3906.4</v>
      </c>
      <c r="F46" s="108"/>
      <c r="G46" s="88" t="e">
        <f>VLOOKUP(C46,#REF!,4,0)</f>
        <v>#REF!</v>
      </c>
      <c r="H46" s="88" t="e">
        <f>VLOOKUP(C46,#REF!,5,0)</f>
        <v>#REF!</v>
      </c>
      <c r="I46" s="88" t="e">
        <f>VLOOKUP(C46,#REF!,6,0)</f>
        <v>#REF!</v>
      </c>
      <c r="J46" s="94"/>
      <c r="K46" s="88" t="e">
        <f t="shared" si="0"/>
        <v>#REF!</v>
      </c>
      <c r="L46" s="88">
        <f>VLOOKUP(C46,[2]ABC!$A$3:$B$88,2,0)</f>
        <v>10000</v>
      </c>
      <c r="M46" s="88">
        <f t="shared" si="1"/>
        <v>5000</v>
      </c>
      <c r="N46" s="95"/>
      <c r="O46" s="46">
        <f>VLOOKUP(C46,[1]IP!$B$9:$I$116,8,0)</f>
        <v>0</v>
      </c>
      <c r="P46" s="46" t="e">
        <f t="shared" si="5"/>
        <v>#REF!</v>
      </c>
      <c r="Q46" s="46">
        <f>VLOOKUP(C46,[1]IP!$B$9:$N$116,13,0)</f>
        <v>0</v>
      </c>
      <c r="R46" s="46">
        <f>VLOOKUP(C46,[1]IP!$B$9:$O$116,14,0)</f>
        <v>0</v>
      </c>
      <c r="S46" s="46"/>
      <c r="T46" s="46">
        <f>VLOOKUP(C46,[1]IP!$B$9:$P$116,15,0)</f>
        <v>0</v>
      </c>
      <c r="U46" s="46">
        <f>VLOOKUP(C46,[1]IP!$B$9:$Q$116,16,0)</f>
        <v>0</v>
      </c>
      <c r="V46" s="46">
        <f>VLOOKUP(C46,[1]IP!$B$9:$S$116,18,0)</f>
        <v>500</v>
      </c>
      <c r="W46" s="46">
        <f>VLOOKUP(C46,[1]IP!$B$9:$R$116,17,0)</f>
        <v>0</v>
      </c>
      <c r="X46" s="94"/>
      <c r="Y46" s="88" t="e">
        <f t="shared" si="2"/>
        <v>#REF!</v>
      </c>
      <c r="Z46" s="46" t="e">
        <f t="shared" si="6"/>
        <v>#REF!</v>
      </c>
      <c r="AA46" s="46"/>
      <c r="AB46" s="88">
        <f>VLOOKUP(C46,[2]SINDICATO!$C$7:$Q$141,15,0)</f>
        <v>0</v>
      </c>
    </row>
    <row r="47" spans="1:28" s="88" customFormat="1" x14ac:dyDescent="0.2">
      <c r="A47" s="58" t="s">
        <v>209</v>
      </c>
      <c r="B47" s="87" t="s">
        <v>57</v>
      </c>
      <c r="C47" s="58" t="s">
        <v>348</v>
      </c>
      <c r="D47" s="87"/>
      <c r="E47" s="90">
        <f>VLOOKUP(C47,[1]IP!$B$9:$V$116,21,0)</f>
        <v>2125.1999999999998</v>
      </c>
      <c r="F47" s="108"/>
      <c r="G47" s="88" t="e">
        <f>VLOOKUP(C47,#REF!,4,0)</f>
        <v>#REF!</v>
      </c>
      <c r="H47" s="88" t="e">
        <f>VLOOKUP(C47,#REF!,5,0)</f>
        <v>#REF!</v>
      </c>
      <c r="I47" s="88" t="e">
        <f>VLOOKUP(C47,#REF!,6,0)</f>
        <v>#REF!</v>
      </c>
      <c r="J47" s="94"/>
      <c r="K47" s="88" t="e">
        <f t="shared" si="0"/>
        <v>#REF!</v>
      </c>
      <c r="L47" s="88">
        <f>VLOOKUP(C47,[2]ABC!$A$3:$B$88,2,0)</f>
        <v>9800</v>
      </c>
      <c r="M47" s="88">
        <f t="shared" si="1"/>
        <v>4900</v>
      </c>
      <c r="N47" s="95"/>
      <c r="O47" s="46">
        <f>VLOOKUP(C47,[1]IP!$B$9:$I$116,8,0)</f>
        <v>0</v>
      </c>
      <c r="P47" s="46" t="e">
        <f t="shared" si="5"/>
        <v>#REF!</v>
      </c>
      <c r="Q47" s="46">
        <f>VLOOKUP(C47,[1]IP!$B$9:$N$116,13,0)</f>
        <v>1637.48</v>
      </c>
      <c r="R47" s="46">
        <f>VLOOKUP(C47,[1]IP!$B$9:$O$116,14,0)</f>
        <v>0</v>
      </c>
      <c r="S47" s="46"/>
      <c r="T47" s="46">
        <f>VLOOKUP(C47,[1]IP!$B$9:$P$116,15,0)</f>
        <v>15</v>
      </c>
      <c r="U47" s="46">
        <f>VLOOKUP(C47,[1]IP!$B$9:$Q$116,16,0)</f>
        <v>0</v>
      </c>
      <c r="V47" s="46">
        <f>VLOOKUP(C47,[1]IP!$B$9:$S$116,18,0)</f>
        <v>0</v>
      </c>
      <c r="W47" s="46">
        <f>VLOOKUP(C47,[1]IP!$B$9:$R$116,17,0)</f>
        <v>0</v>
      </c>
      <c r="X47" s="94"/>
      <c r="Y47" s="88" t="e">
        <f t="shared" si="2"/>
        <v>#REF!</v>
      </c>
      <c r="Z47" s="46" t="e">
        <f t="shared" si="6"/>
        <v>#REF!</v>
      </c>
      <c r="AA47" s="46"/>
      <c r="AB47" s="88">
        <f>VLOOKUP(C47,[2]SINDICATO!$C$7:$Q$141,15,0)</f>
        <v>0</v>
      </c>
    </row>
    <row r="48" spans="1:28" s="46" customFormat="1" x14ac:dyDescent="0.2">
      <c r="A48" s="52" t="s">
        <v>211</v>
      </c>
      <c r="B48" s="90" t="s">
        <v>57</v>
      </c>
      <c r="C48" s="52" t="s">
        <v>349</v>
      </c>
      <c r="D48" s="87"/>
      <c r="E48" s="90">
        <f>VLOOKUP(C48,[1]IP!$B$9:$V$116,21,0)</f>
        <v>4810.8</v>
      </c>
      <c r="F48" s="113"/>
      <c r="G48" s="88" t="e">
        <f>VLOOKUP(C48,#REF!,4,0)</f>
        <v>#REF!</v>
      </c>
      <c r="H48" s="88" t="e">
        <f>VLOOKUP(C48,#REF!,5,0)</f>
        <v>#REF!</v>
      </c>
      <c r="I48" s="88" t="e">
        <f>VLOOKUP(C48,#REF!,6,0)</f>
        <v>#REF!</v>
      </c>
      <c r="J48" s="114"/>
      <c r="K48" s="46" t="e">
        <f t="shared" si="0"/>
        <v>#REF!</v>
      </c>
      <c r="L48" s="46">
        <v>9000</v>
      </c>
      <c r="M48" s="46">
        <f t="shared" si="1"/>
        <v>4500</v>
      </c>
      <c r="N48" s="114"/>
      <c r="O48" s="46">
        <f>VLOOKUP(C48,[1]IP!$B$9:$I$116,8,0)</f>
        <v>307.22000000000003</v>
      </c>
      <c r="P48" s="46" t="e">
        <f t="shared" si="5"/>
        <v>#REF!</v>
      </c>
      <c r="Q48" s="46">
        <f>VLOOKUP(C48,[1]IP!$B$9:$N$116,13,0)</f>
        <v>0</v>
      </c>
      <c r="R48" s="46">
        <f>VLOOKUP(C48,[1]IP!$B$9:$O$116,14,0)</f>
        <v>0</v>
      </c>
      <c r="T48" s="46">
        <f>VLOOKUP(C48,[1]IP!$B$9:$P$116,15,0)</f>
        <v>0</v>
      </c>
      <c r="U48" s="46">
        <f>VLOOKUP(C48,[1]IP!$B$9:$Q$116,16,0)</f>
        <v>0</v>
      </c>
      <c r="V48" s="46">
        <f>VLOOKUP(C48,[1]IP!$B$9:$S$116,18,0)</f>
        <v>0</v>
      </c>
      <c r="W48" s="46">
        <f>VLOOKUP(C48,[1]IP!$B$9:$R$116,17,0)</f>
        <v>0</v>
      </c>
      <c r="X48" s="114"/>
      <c r="Y48" s="46" t="e">
        <f t="shared" si="2"/>
        <v>#REF!</v>
      </c>
      <c r="Z48" s="110" t="e">
        <f t="shared" si="6"/>
        <v>#REF!</v>
      </c>
      <c r="AA48" s="110" t="s">
        <v>636</v>
      </c>
      <c r="AB48" s="88">
        <f>VLOOKUP(C48,[2]SINDICATO!$C$7:$Q$141,15,0)</f>
        <v>0</v>
      </c>
    </row>
    <row r="49" spans="1:29" s="88" customFormat="1" x14ac:dyDescent="0.2">
      <c r="A49" s="58" t="s">
        <v>212</v>
      </c>
      <c r="B49" s="87" t="s">
        <v>57</v>
      </c>
      <c r="C49" s="58" t="s">
        <v>350</v>
      </c>
      <c r="D49" s="87"/>
      <c r="E49" s="90">
        <f>VLOOKUP(C49,[1]IP!$B$9:$V$116,21,0)</f>
        <v>2480.1999999999998</v>
      </c>
      <c r="F49" s="108"/>
      <c r="G49" s="88" t="e">
        <f>VLOOKUP(C49,#REF!,4,0)</f>
        <v>#REF!</v>
      </c>
      <c r="H49" s="88" t="e">
        <f>VLOOKUP(C49,#REF!,5,0)</f>
        <v>#REF!</v>
      </c>
      <c r="I49" s="88" t="e">
        <f>VLOOKUP(C49,#REF!,6,0)</f>
        <v>#REF!</v>
      </c>
      <c r="J49" s="94"/>
      <c r="K49" s="88" t="e">
        <f t="shared" si="0"/>
        <v>#REF!</v>
      </c>
      <c r="L49" s="88">
        <f>VLOOKUP(C49,[2]ABC!$A$3:$B$88,2,0)</f>
        <v>11500</v>
      </c>
      <c r="M49" s="88">
        <f t="shared" si="1"/>
        <v>5750</v>
      </c>
      <c r="N49" s="95"/>
      <c r="O49" s="46">
        <f>VLOOKUP(C49,[1]IP!$B$9:$I$116,8,0)</f>
        <v>0</v>
      </c>
      <c r="P49" s="46" t="e">
        <f t="shared" si="5"/>
        <v>#REF!</v>
      </c>
      <c r="Q49" s="46">
        <f>VLOOKUP(C49,[1]IP!$B$9:$N$116,13,0)</f>
        <v>1088.47</v>
      </c>
      <c r="R49" s="46">
        <f>VLOOKUP(C49,[1]IP!$B$9:$O$116,14,0)</f>
        <v>0</v>
      </c>
      <c r="S49" s="46"/>
      <c r="T49" s="46">
        <f>VLOOKUP(C49,[1]IP!$B$9:$P$116,15,0)</f>
        <v>15</v>
      </c>
      <c r="U49" s="46">
        <f>VLOOKUP(C49,[1]IP!$B$9:$Q$116,16,0)</f>
        <v>0</v>
      </c>
      <c r="V49" s="46">
        <f>VLOOKUP(C49,[1]IP!$B$9:$S$116,18,0)</f>
        <v>0</v>
      </c>
      <c r="W49" s="46">
        <f>VLOOKUP(C49,[1]IP!$B$9:$R$116,17,0)</f>
        <v>0</v>
      </c>
      <c r="X49" s="94"/>
      <c r="Y49" s="88" t="e">
        <f t="shared" si="2"/>
        <v>#REF!</v>
      </c>
      <c r="Z49" s="46" t="e">
        <f t="shared" si="6"/>
        <v>#REF!</v>
      </c>
      <c r="AA49" s="46"/>
      <c r="AB49" s="88">
        <f>VLOOKUP(C49,[2]SINDICATO!$C$7:$Q$141,15,0)</f>
        <v>0</v>
      </c>
    </row>
    <row r="50" spans="1:29" s="88" customFormat="1" x14ac:dyDescent="0.2">
      <c r="A50" s="58" t="s">
        <v>213</v>
      </c>
      <c r="B50" s="87" t="s">
        <v>57</v>
      </c>
      <c r="C50" s="58" t="s">
        <v>351</v>
      </c>
      <c r="D50" s="87"/>
      <c r="E50" s="90">
        <f>VLOOKUP(C50,[1]IP!$B$9:$V$116,21,0)</f>
        <v>2929.8</v>
      </c>
      <c r="F50" s="108"/>
      <c r="G50" s="88" t="e">
        <f>VLOOKUP(C50,#REF!,4,0)</f>
        <v>#REF!</v>
      </c>
      <c r="H50" s="88" t="e">
        <f>VLOOKUP(C50,#REF!,5,0)</f>
        <v>#REF!</v>
      </c>
      <c r="I50" s="88" t="e">
        <f>VLOOKUP(C50,#REF!,6,0)</f>
        <v>#REF!</v>
      </c>
      <c r="J50" s="94"/>
      <c r="K50" s="88" t="e">
        <f t="shared" si="0"/>
        <v>#REF!</v>
      </c>
      <c r="L50" s="88">
        <f>VLOOKUP(C50,[2]ABC!$A$3:$B$88,2,0)</f>
        <v>10000</v>
      </c>
      <c r="M50" s="88">
        <f t="shared" si="1"/>
        <v>5000</v>
      </c>
      <c r="N50" s="95"/>
      <c r="O50" s="46">
        <f>VLOOKUP(C50,[1]IP!$B$9:$I$116,8,0)</f>
        <v>240</v>
      </c>
      <c r="P50" s="46" t="e">
        <f t="shared" si="5"/>
        <v>#REF!</v>
      </c>
      <c r="Q50" s="46">
        <f>VLOOKUP(C50,[1]IP!$B$9:$N$116,13,0)</f>
        <v>878.84</v>
      </c>
      <c r="R50" s="46">
        <f>VLOOKUP(C50,[1]IP!$B$9:$O$116,14,0)</f>
        <v>0</v>
      </c>
      <c r="S50" s="46"/>
      <c r="T50" s="46">
        <f>VLOOKUP(C50,[1]IP!$B$9:$P$116,15,0)</f>
        <v>15</v>
      </c>
      <c r="U50" s="46">
        <f>VLOOKUP(C50,[1]IP!$B$9:$Q$116,16,0)</f>
        <v>0</v>
      </c>
      <c r="V50" s="46">
        <f>VLOOKUP(C50,[1]IP!$B$9:$S$116,18,0)</f>
        <v>0</v>
      </c>
      <c r="W50" s="46">
        <f>VLOOKUP(C50,[1]IP!$B$9:$R$116,17,0)</f>
        <v>0</v>
      </c>
      <c r="X50" s="94"/>
      <c r="Y50" s="88" t="e">
        <f t="shared" si="2"/>
        <v>#REF!</v>
      </c>
      <c r="Z50" s="46" t="e">
        <f t="shared" si="6"/>
        <v>#REF!</v>
      </c>
      <c r="AA50" s="46"/>
      <c r="AB50" s="88">
        <f>VLOOKUP(C50,[2]SINDICATO!$C$7:$Q$141,15,0)</f>
        <v>0</v>
      </c>
    </row>
    <row r="51" spans="1:29" s="88" customFormat="1" x14ac:dyDescent="0.2">
      <c r="A51" s="58" t="s">
        <v>217</v>
      </c>
      <c r="B51" s="87" t="s">
        <v>57</v>
      </c>
      <c r="C51" s="58" t="s">
        <v>352</v>
      </c>
      <c r="D51" s="87"/>
      <c r="E51" s="90">
        <f>VLOOKUP(C51,[1]IP!$B$9:$V$116,21,0)</f>
        <v>3583.6</v>
      </c>
      <c r="F51" s="108"/>
      <c r="G51" s="88" t="e">
        <f>VLOOKUP(C51,#REF!,4,0)</f>
        <v>#REF!</v>
      </c>
      <c r="H51" s="88" t="e">
        <f>VLOOKUP(C51,#REF!,5,0)</f>
        <v>#REF!</v>
      </c>
      <c r="I51" s="88" t="e">
        <f>VLOOKUP(C51,#REF!,6,0)</f>
        <v>#REF!</v>
      </c>
      <c r="J51" s="94"/>
      <c r="K51" s="88" t="e">
        <f t="shared" si="0"/>
        <v>#REF!</v>
      </c>
      <c r="L51" s="88">
        <v>12600</v>
      </c>
      <c r="M51" s="88">
        <f t="shared" si="1"/>
        <v>6300</v>
      </c>
      <c r="N51" s="95"/>
      <c r="O51" s="46">
        <f>VLOOKUP(C51,[1]IP!$B$9:$I$116,8,0)</f>
        <v>0</v>
      </c>
      <c r="P51" s="46" t="e">
        <f t="shared" si="5"/>
        <v>#REF!</v>
      </c>
      <c r="Q51" s="46">
        <f>VLOOKUP(C51,[1]IP!$B$9:$N$116,13,0)</f>
        <v>0</v>
      </c>
      <c r="R51" s="46">
        <f>VLOOKUP(C51,[1]IP!$B$9:$O$116,14,0)</f>
        <v>0</v>
      </c>
      <c r="S51" s="46"/>
      <c r="T51" s="46">
        <f>VLOOKUP(C51,[1]IP!$B$9:$P$116,15,0)</f>
        <v>0</v>
      </c>
      <c r="U51" s="46">
        <f>VLOOKUP(C51,[1]IP!$B$9:$Q$116,16,0)</f>
        <v>0</v>
      </c>
      <c r="V51" s="46">
        <f>VLOOKUP(C51,[1]IP!$B$9:$S$116,18,0)</f>
        <v>0</v>
      </c>
      <c r="W51" s="46">
        <f>VLOOKUP(C51,[1]IP!$B$9:$R$116,17,0)</f>
        <v>0</v>
      </c>
      <c r="X51" s="94"/>
      <c r="Y51" s="88" t="e">
        <f t="shared" si="2"/>
        <v>#REF!</v>
      </c>
      <c r="Z51" s="46" t="e">
        <f t="shared" si="6"/>
        <v>#REF!</v>
      </c>
      <c r="AA51" s="46"/>
      <c r="AB51" s="88">
        <f>VLOOKUP(C51,[2]SINDICATO!$C$7:$Q$141,15,0)</f>
        <v>0</v>
      </c>
      <c r="AC51" s="109"/>
    </row>
    <row r="52" spans="1:29" s="46" customFormat="1" x14ac:dyDescent="0.2">
      <c r="A52" s="52" t="s">
        <v>218</v>
      </c>
      <c r="B52" s="90" t="s">
        <v>57</v>
      </c>
      <c r="C52" s="52" t="s">
        <v>353</v>
      </c>
      <c r="D52" s="87"/>
      <c r="E52" s="90">
        <f>VLOOKUP(C52,[1]IP!$B$9:$V$116,21,0)</f>
        <v>4753.8</v>
      </c>
      <c r="F52" s="113"/>
      <c r="G52" s="88" t="e">
        <f>VLOOKUP(C52,#REF!,4,0)</f>
        <v>#REF!</v>
      </c>
      <c r="H52" s="88" t="e">
        <f>VLOOKUP(C52,#REF!,5,0)</f>
        <v>#REF!</v>
      </c>
      <c r="I52" s="88" t="e">
        <f>VLOOKUP(C52,#REF!,6,0)</f>
        <v>#REF!</v>
      </c>
      <c r="J52" s="114"/>
      <c r="K52" s="46" t="e">
        <f t="shared" si="0"/>
        <v>#REF!</v>
      </c>
      <c r="L52" s="46">
        <f>VLOOKUP(C52,[2]ABC!$A$3:$B$88,2,0)</f>
        <v>9500</v>
      </c>
      <c r="M52" s="46">
        <f t="shared" si="1"/>
        <v>4750</v>
      </c>
      <c r="N52" s="114"/>
      <c r="O52" s="46">
        <f>VLOOKUP(C52,[1]IP!$B$9:$I$116,8,0)</f>
        <v>0</v>
      </c>
      <c r="P52" s="46" t="e">
        <f t="shared" si="5"/>
        <v>#REF!</v>
      </c>
      <c r="Q52" s="46">
        <f>VLOOKUP(C52,[1]IP!$B$9:$N$116,13,0)</f>
        <v>0</v>
      </c>
      <c r="R52" s="46">
        <f>VLOOKUP(C52,[1]IP!$B$9:$O$116,14,0)</f>
        <v>0</v>
      </c>
      <c r="T52" s="46">
        <f>VLOOKUP(C52,[1]IP!$B$9:$P$116,15,0)</f>
        <v>0</v>
      </c>
      <c r="U52" s="46">
        <f>VLOOKUP(C52,[1]IP!$B$9:$Q$116,16,0)</f>
        <v>0</v>
      </c>
      <c r="V52" s="46">
        <f>VLOOKUP(C52,[1]IP!$B$9:$S$116,18,0)</f>
        <v>0</v>
      </c>
      <c r="W52" s="46">
        <f>VLOOKUP(C52,[1]IP!$B$9:$R$116,17,0)</f>
        <v>0</v>
      </c>
      <c r="X52" s="114"/>
      <c r="Y52" s="46" t="e">
        <f t="shared" si="2"/>
        <v>#REF!</v>
      </c>
      <c r="Z52" s="110" t="e">
        <f t="shared" si="6"/>
        <v>#REF!</v>
      </c>
      <c r="AA52" s="110" t="s">
        <v>636</v>
      </c>
      <c r="AB52" s="88">
        <f>VLOOKUP(C52,[2]SINDICATO!$C$7:$Q$141,15,0)</f>
        <v>0</v>
      </c>
    </row>
    <row r="53" spans="1:29" s="88" customFormat="1" x14ac:dyDescent="0.2">
      <c r="A53" s="58" t="s">
        <v>113</v>
      </c>
      <c r="B53" s="87" t="s">
        <v>57</v>
      </c>
      <c r="C53" s="58" t="s">
        <v>354</v>
      </c>
      <c r="D53" s="87"/>
      <c r="E53" s="90">
        <f>VLOOKUP(C53,[1]IP!$B$9:$V$116,21,0)</f>
        <v>3003.4</v>
      </c>
      <c r="F53" s="108"/>
      <c r="G53" s="88" t="e">
        <f>VLOOKUP(C53,#REF!,4,0)</f>
        <v>#REF!</v>
      </c>
      <c r="H53" s="88" t="e">
        <f>VLOOKUP(C53,#REF!,5,0)</f>
        <v>#REF!</v>
      </c>
      <c r="I53" s="88" t="e">
        <f>VLOOKUP(C53,#REF!,6,0)</f>
        <v>#REF!</v>
      </c>
      <c r="J53" s="94"/>
      <c r="K53" s="88" t="e">
        <f t="shared" si="0"/>
        <v>#REF!</v>
      </c>
      <c r="L53" s="88">
        <v>9050</v>
      </c>
      <c r="M53" s="88">
        <f t="shared" si="1"/>
        <v>4525</v>
      </c>
      <c r="N53" s="95"/>
      <c r="O53" s="46">
        <f>VLOOKUP(C53,[1]IP!$B$9:$I$116,8,0)</f>
        <v>0</v>
      </c>
      <c r="P53" s="46" t="e">
        <f t="shared" si="5"/>
        <v>#REF!</v>
      </c>
      <c r="Q53" s="46">
        <f>VLOOKUP(C53,[1]IP!$B$9:$N$116,13,0)</f>
        <v>565.24</v>
      </c>
      <c r="R53" s="46">
        <f>VLOOKUP(C53,[1]IP!$B$9:$O$116,14,0)</f>
        <v>0</v>
      </c>
      <c r="S53" s="46"/>
      <c r="T53" s="46">
        <f>VLOOKUP(C53,[1]IP!$B$9:$P$116,15,0)</f>
        <v>15</v>
      </c>
      <c r="U53" s="46">
        <f>VLOOKUP(C53,[1]IP!$B$9:$Q$116,16,0)</f>
        <v>0</v>
      </c>
      <c r="V53" s="46">
        <f>VLOOKUP(C53,[1]IP!$B$9:$S$116,18,0)</f>
        <v>0</v>
      </c>
      <c r="W53" s="46">
        <f>VLOOKUP(C53,[1]IP!$B$9:$R$116,17,0)</f>
        <v>0</v>
      </c>
      <c r="X53" s="94"/>
      <c r="Y53" s="88" t="e">
        <f t="shared" si="2"/>
        <v>#REF!</v>
      </c>
      <c r="Z53" s="46" t="e">
        <f t="shared" si="6"/>
        <v>#REF!</v>
      </c>
      <c r="AA53" s="46"/>
      <c r="AB53" s="88">
        <f>VLOOKUP(C53,[2]SINDICATO!$C$7:$Q$141,15,0)</f>
        <v>0</v>
      </c>
    </row>
    <row r="54" spans="1:29" s="88" customFormat="1" x14ac:dyDescent="0.2">
      <c r="A54" s="58" t="s">
        <v>219</v>
      </c>
      <c r="B54" s="87" t="s">
        <v>57</v>
      </c>
      <c r="C54" s="58" t="s">
        <v>355</v>
      </c>
      <c r="D54" s="87"/>
      <c r="E54" s="90">
        <f>VLOOKUP(C54,[1]IP!$B$9:$V$116,21,0)</f>
        <v>1917</v>
      </c>
      <c r="F54" s="108"/>
      <c r="G54" s="88" t="e">
        <f>VLOOKUP(C54,#REF!,4,0)</f>
        <v>#REF!</v>
      </c>
      <c r="H54" s="88" t="e">
        <f>VLOOKUP(C54,#REF!,5,0)</f>
        <v>#REF!</v>
      </c>
      <c r="I54" s="88" t="e">
        <f>VLOOKUP(C54,#REF!,6,0)</f>
        <v>#REF!</v>
      </c>
      <c r="J54" s="94"/>
      <c r="K54" s="88" t="e">
        <f t="shared" si="0"/>
        <v>#REF!</v>
      </c>
      <c r="L54" s="88">
        <f>VLOOKUP(C54,[2]ABC!$A$3:$B$88,2,0)</f>
        <v>10000</v>
      </c>
      <c r="M54" s="88">
        <f t="shared" si="1"/>
        <v>5000</v>
      </c>
      <c r="N54" s="95"/>
      <c r="O54" s="46">
        <f>VLOOKUP(C54,[1]IP!$B$9:$I$116,8,0)</f>
        <v>0</v>
      </c>
      <c r="P54" s="46" t="e">
        <f t="shared" si="5"/>
        <v>#REF!</v>
      </c>
      <c r="Q54" s="46">
        <f>VLOOKUP(C54,[1]IP!$B$9:$N$116,13,0)</f>
        <v>0</v>
      </c>
      <c r="R54" s="46">
        <f>VLOOKUP(C54,[1]IP!$B$9:$O$116,14,0)</f>
        <v>0</v>
      </c>
      <c r="S54" s="46"/>
      <c r="T54" s="46">
        <f>VLOOKUP(C54,[1]IP!$B$9:$P$116,15,0)</f>
        <v>0</v>
      </c>
      <c r="U54" s="46">
        <f>VLOOKUP(C54,[1]IP!$B$9:$Q$116,16,0)</f>
        <v>0</v>
      </c>
      <c r="V54" s="46">
        <f>VLOOKUP(C54,[1]IP!$B$9:$S$116,18,0)</f>
        <v>0</v>
      </c>
      <c r="W54" s="46">
        <f>VLOOKUP(C54,[1]IP!$B$9:$R$116,17,0)</f>
        <v>1666.67</v>
      </c>
      <c r="X54" s="94"/>
      <c r="Y54" s="88" t="e">
        <f t="shared" si="2"/>
        <v>#REF!</v>
      </c>
      <c r="Z54" s="46" t="e">
        <f t="shared" si="6"/>
        <v>#REF!</v>
      </c>
      <c r="AA54" s="46"/>
      <c r="AB54" s="88" t="e">
        <f>VLOOKUP(C54,[2]SINDICATO!$C$7:$Q$141,15,0)</f>
        <v>#N/A</v>
      </c>
    </row>
    <row r="55" spans="1:29" s="88" customFormat="1" x14ac:dyDescent="0.2">
      <c r="A55" s="58" t="s">
        <v>115</v>
      </c>
      <c r="B55" s="87" t="s">
        <v>57</v>
      </c>
      <c r="C55" s="58" t="s">
        <v>356</v>
      </c>
      <c r="D55" s="87"/>
      <c r="E55" s="90">
        <f>VLOOKUP(C55,[1]IP!$B$9:$V$116,21,0)</f>
        <v>2351</v>
      </c>
      <c r="F55" s="108"/>
      <c r="G55" s="88" t="e">
        <f>VLOOKUP(C55,#REF!,4,0)</f>
        <v>#REF!</v>
      </c>
      <c r="H55" s="88" t="e">
        <f>VLOOKUP(C55,#REF!,5,0)</f>
        <v>#REF!</v>
      </c>
      <c r="I55" s="88" t="e">
        <f>VLOOKUP(C55,#REF!,6,0)</f>
        <v>#REF!</v>
      </c>
      <c r="J55" s="94"/>
      <c r="K55" s="88" t="e">
        <f t="shared" si="0"/>
        <v>#REF!</v>
      </c>
      <c r="L55" s="88">
        <v>9050</v>
      </c>
      <c r="M55" s="88">
        <f t="shared" si="1"/>
        <v>4525</v>
      </c>
      <c r="N55" s="95"/>
      <c r="O55" s="46">
        <f>VLOOKUP(C55,[1]IP!$B$9:$I$116,8,0)</f>
        <v>0</v>
      </c>
      <c r="P55" s="46" t="e">
        <f t="shared" si="5"/>
        <v>#REF!</v>
      </c>
      <c r="Q55" s="46">
        <f>VLOOKUP(C55,[1]IP!$B$9:$N$116,13,0)</f>
        <v>0</v>
      </c>
      <c r="R55" s="46">
        <f>VLOOKUP(C55,[1]IP!$B$9:$O$116,14,0)</f>
        <v>1217.5999999999999</v>
      </c>
      <c r="S55" s="46"/>
      <c r="T55" s="46">
        <f>VLOOKUP(C55,[1]IP!$B$9:$P$116,15,0)</f>
        <v>15</v>
      </c>
      <c r="U55" s="46">
        <f>VLOOKUP(C55,[1]IP!$B$9:$Q$116,16,0)</f>
        <v>0</v>
      </c>
      <c r="V55" s="46">
        <f>VLOOKUP(C55,[1]IP!$B$9:$S$116,18,0)</f>
        <v>0</v>
      </c>
      <c r="W55" s="46">
        <f>VLOOKUP(C55,[1]IP!$B$9:$R$116,17,0)</f>
        <v>0</v>
      </c>
      <c r="X55" s="94"/>
      <c r="Y55" s="88" t="e">
        <f t="shared" si="2"/>
        <v>#REF!</v>
      </c>
      <c r="Z55" s="46" t="e">
        <f t="shared" si="6"/>
        <v>#REF!</v>
      </c>
      <c r="AA55" s="46"/>
      <c r="AB55" s="88">
        <f>VLOOKUP(C55,[2]SINDICATO!$C$7:$Q$141,15,0)</f>
        <v>0</v>
      </c>
    </row>
    <row r="56" spans="1:29" s="88" customFormat="1" x14ac:dyDescent="0.2">
      <c r="A56" s="58" t="s">
        <v>221</v>
      </c>
      <c r="B56" s="87" t="s">
        <v>57</v>
      </c>
      <c r="C56" s="58" t="s">
        <v>357</v>
      </c>
      <c r="D56" s="87"/>
      <c r="E56" s="90">
        <f>VLOOKUP(C56,[1]IP!$B$9:$V$116,21,0)</f>
        <v>1773.8</v>
      </c>
      <c r="F56" s="108"/>
      <c r="G56" s="88" t="e">
        <f>VLOOKUP(C56,#REF!,4,0)</f>
        <v>#REF!</v>
      </c>
      <c r="H56" s="88" t="e">
        <f>VLOOKUP(C56,#REF!,5,0)</f>
        <v>#REF!</v>
      </c>
      <c r="I56" s="88" t="e">
        <f>VLOOKUP(C56,#REF!,6,0)</f>
        <v>#REF!</v>
      </c>
      <c r="J56" s="94"/>
      <c r="K56" s="88" t="e">
        <f t="shared" si="0"/>
        <v>#REF!</v>
      </c>
      <c r="L56" s="88">
        <f>VLOOKUP(C56,[2]ABC!$A$3:$B$88,2,0)</f>
        <v>7500</v>
      </c>
      <c r="M56" s="88">
        <f t="shared" si="1"/>
        <v>3750</v>
      </c>
      <c r="N56" s="95"/>
      <c r="O56" s="46">
        <f>VLOOKUP(C56,[1]IP!$B$9:$I$116,8,0)</f>
        <v>0</v>
      </c>
      <c r="P56" s="46" t="e">
        <f t="shared" si="5"/>
        <v>#REF!</v>
      </c>
      <c r="Q56" s="46">
        <f>VLOOKUP(C56,[1]IP!$B$9:$N$116,13,0)</f>
        <v>1075.99</v>
      </c>
      <c r="R56" s="46">
        <f>VLOOKUP(C56,[1]IP!$B$9:$O$116,14,0)</f>
        <v>0</v>
      </c>
      <c r="S56" s="46"/>
      <c r="T56" s="46">
        <f>VLOOKUP(C56,[1]IP!$B$9:$P$116,15,0)</f>
        <v>15</v>
      </c>
      <c r="U56" s="46">
        <f>VLOOKUP(C56,[1]IP!$B$9:$Q$116,16,0)</f>
        <v>0</v>
      </c>
      <c r="V56" s="46">
        <f>VLOOKUP(C56,[1]IP!$B$9:$S$116,18,0)</f>
        <v>0</v>
      </c>
      <c r="W56" s="46">
        <f>VLOOKUP(C56,[1]IP!$B$9:$R$116,17,0)</f>
        <v>0</v>
      </c>
      <c r="X56" s="94"/>
      <c r="Y56" s="88" t="e">
        <f t="shared" si="2"/>
        <v>#REF!</v>
      </c>
      <c r="Z56" s="46" t="e">
        <f t="shared" si="6"/>
        <v>#REF!</v>
      </c>
      <c r="AA56" s="46"/>
      <c r="AB56" s="88">
        <f>VLOOKUP(C56,[2]SINDICATO!$C$7:$Q$141,15,0)</f>
        <v>0</v>
      </c>
    </row>
    <row r="57" spans="1:29" s="88" customFormat="1" x14ac:dyDescent="0.2">
      <c r="A57" s="51" t="s">
        <v>368</v>
      </c>
      <c r="B57" s="87" t="s">
        <v>57</v>
      </c>
      <c r="C57" s="51" t="s">
        <v>369</v>
      </c>
      <c r="D57" s="87"/>
      <c r="E57" s="90">
        <f>VLOOKUP(C57,[1]IP!$B$9:$V$116,21,0)</f>
        <v>2447.6</v>
      </c>
      <c r="F57" s="108"/>
      <c r="G57" s="88" t="e">
        <f>VLOOKUP(C57,#REF!,4,0)</f>
        <v>#REF!</v>
      </c>
      <c r="H57" s="88" t="e">
        <f>VLOOKUP(C57,#REF!,5,0)</f>
        <v>#REF!</v>
      </c>
      <c r="I57" s="88" t="e">
        <f>VLOOKUP(C57,#REF!,6,0)</f>
        <v>#REF!</v>
      </c>
      <c r="J57" s="94"/>
      <c r="K57" s="88" t="e">
        <f t="shared" si="0"/>
        <v>#REF!</v>
      </c>
      <c r="L57" s="88">
        <v>5000</v>
      </c>
      <c r="M57" s="88">
        <f t="shared" si="1"/>
        <v>2500</v>
      </c>
      <c r="N57" s="95"/>
      <c r="O57" s="46">
        <f>VLOOKUP(C57,[1]IP!$B$9:$I$116,8,0)</f>
        <v>0</v>
      </c>
      <c r="P57" s="46" t="e">
        <f t="shared" si="5"/>
        <v>#REF!</v>
      </c>
      <c r="Q57" s="46">
        <f>VLOOKUP(C57,[1]IP!$B$9:$N$116,13,0)</f>
        <v>0</v>
      </c>
      <c r="R57" s="46">
        <f>VLOOKUP(C57,[1]IP!$B$9:$O$116,14,0)</f>
        <v>0</v>
      </c>
      <c r="S57" s="46"/>
      <c r="T57" s="46">
        <f>VLOOKUP(C57,[1]IP!$B$9:$P$116,15,0)</f>
        <v>0</v>
      </c>
      <c r="U57" s="46">
        <f>VLOOKUP(C57,[1]IP!$B$9:$Q$116,16,0)</f>
        <v>0</v>
      </c>
      <c r="V57" s="46">
        <f>VLOOKUP(C57,[1]IP!$B$9:$S$116,18,0)</f>
        <v>0</v>
      </c>
      <c r="W57" s="46">
        <f>VLOOKUP(C57,[1]IP!$B$9:$R$116,17,0)</f>
        <v>0</v>
      </c>
      <c r="X57" s="94"/>
      <c r="Y57" s="88" t="e">
        <f t="shared" si="2"/>
        <v>#REF!</v>
      </c>
      <c r="Z57" s="46" t="e">
        <f t="shared" si="6"/>
        <v>#REF!</v>
      </c>
      <c r="AA57" s="46"/>
      <c r="AB57" s="88" t="e">
        <f>VLOOKUP(C57,[2]SINDICATO!$C$7:$Q$141,15,0)</f>
        <v>#N/A</v>
      </c>
    </row>
    <row r="58" spans="1:29" s="88" customFormat="1" x14ac:dyDescent="0.2">
      <c r="A58" s="51" t="s">
        <v>378</v>
      </c>
      <c r="B58" s="87" t="s">
        <v>57</v>
      </c>
      <c r="C58" s="51" t="s">
        <v>377</v>
      </c>
      <c r="D58" s="87"/>
      <c r="E58" s="90">
        <f>VLOOKUP(C58,[1]IP!$B$9:$V$116,21,0)</f>
        <v>3693.2</v>
      </c>
      <c r="F58" s="108"/>
      <c r="G58" s="88" t="e">
        <f>VLOOKUP(C58,#REF!,4,0)</f>
        <v>#REF!</v>
      </c>
      <c r="H58" s="88" t="e">
        <f>VLOOKUP(C58,#REF!,5,0)</f>
        <v>#REF!</v>
      </c>
      <c r="I58" s="88" t="e">
        <f>VLOOKUP(C58,#REF!,6,0)</f>
        <v>#REF!</v>
      </c>
      <c r="J58" s="94"/>
      <c r="K58" s="88" t="e">
        <f t="shared" si="0"/>
        <v>#REF!</v>
      </c>
      <c r="L58" s="88">
        <v>8800</v>
      </c>
      <c r="M58" s="88">
        <f t="shared" si="1"/>
        <v>4400</v>
      </c>
      <c r="N58" s="95"/>
      <c r="O58" s="46">
        <f>VLOOKUP(C58,[1]IP!$B$9:$I$116,8,0)</f>
        <v>0</v>
      </c>
      <c r="P58" s="46" t="e">
        <f t="shared" si="5"/>
        <v>#REF!</v>
      </c>
      <c r="Q58" s="46">
        <f>VLOOKUP(C58,[1]IP!$B$9:$N$116,13,0)</f>
        <v>0</v>
      </c>
      <c r="R58" s="46">
        <f>VLOOKUP(C58,[1]IP!$B$9:$O$116,14,0)</f>
        <v>0</v>
      </c>
      <c r="S58" s="46"/>
      <c r="T58" s="46">
        <f>VLOOKUP(C58,[1]IP!$B$9:$P$116,15,0)</f>
        <v>0</v>
      </c>
      <c r="U58" s="46">
        <f>VLOOKUP(C58,[1]IP!$B$9:$Q$116,16,0)</f>
        <v>0</v>
      </c>
      <c r="V58" s="46">
        <f>VLOOKUP(C58,[1]IP!$B$9:$S$116,18,0)</f>
        <v>0</v>
      </c>
      <c r="W58" s="46">
        <f>VLOOKUP(C58,[1]IP!$B$9:$R$116,17,0)</f>
        <v>0</v>
      </c>
      <c r="X58" s="94"/>
      <c r="Y58" s="88" t="e">
        <f t="shared" si="2"/>
        <v>#REF!</v>
      </c>
      <c r="Z58" s="46" t="e">
        <f t="shared" si="6"/>
        <v>#REF!</v>
      </c>
      <c r="AA58" s="46"/>
      <c r="AB58" s="88">
        <f>VLOOKUP(C58,[2]SINDICATO!$C$7:$Q$141,15,0)</f>
        <v>0</v>
      </c>
    </row>
    <row r="59" spans="1:29" s="88" customFormat="1" x14ac:dyDescent="0.2">
      <c r="A59" s="51" t="s">
        <v>390</v>
      </c>
      <c r="B59" s="51" t="s">
        <v>57</v>
      </c>
      <c r="C59" s="51" t="s">
        <v>391</v>
      </c>
      <c r="D59" s="87"/>
      <c r="E59" s="90">
        <f>VLOOKUP(C59,[1]IP!$B$9:$V$116,21,0)</f>
        <v>3583.6</v>
      </c>
      <c r="F59" s="108"/>
      <c r="G59" s="88" t="e">
        <f>VLOOKUP(C59,#REF!,4,0)</f>
        <v>#REF!</v>
      </c>
      <c r="H59" s="88" t="e">
        <f>VLOOKUP(C59,#REF!,5,0)</f>
        <v>#REF!</v>
      </c>
      <c r="I59" s="88" t="e">
        <f>VLOOKUP(C59,#REF!,6,0)</f>
        <v>#REF!</v>
      </c>
      <c r="J59" s="94"/>
      <c r="K59" s="88" t="e">
        <f t="shared" si="0"/>
        <v>#REF!</v>
      </c>
      <c r="L59" s="88">
        <v>8000</v>
      </c>
      <c r="M59" s="88">
        <f t="shared" si="1"/>
        <v>4000</v>
      </c>
      <c r="N59" s="95"/>
      <c r="O59" s="46">
        <f>VLOOKUP(C59,[1]IP!$B$9:$I$116,8,0)</f>
        <v>0</v>
      </c>
      <c r="P59" s="46" t="e">
        <f t="shared" si="5"/>
        <v>#REF!</v>
      </c>
      <c r="Q59" s="46">
        <f>VLOOKUP(C59,[1]IP!$B$9:$N$116,13,0)</f>
        <v>0</v>
      </c>
      <c r="R59" s="46">
        <f>VLOOKUP(C59,[1]IP!$B$9:$O$116,14,0)</f>
        <v>0</v>
      </c>
      <c r="S59" s="46"/>
      <c r="T59" s="46">
        <f>VLOOKUP(C59,[1]IP!$B$9:$P$116,15,0)</f>
        <v>0</v>
      </c>
      <c r="U59" s="46">
        <f>VLOOKUP(C59,[1]IP!$B$9:$Q$116,16,0)</f>
        <v>0</v>
      </c>
      <c r="V59" s="46">
        <f>VLOOKUP(C59,[1]IP!$B$9:$S$116,18,0)</f>
        <v>0</v>
      </c>
      <c r="W59" s="46">
        <f>VLOOKUP(C59,[1]IP!$B$9:$R$116,17,0)</f>
        <v>0</v>
      </c>
      <c r="X59" s="94"/>
      <c r="Y59" s="88" t="e">
        <f t="shared" si="2"/>
        <v>#REF!</v>
      </c>
      <c r="Z59" s="46" t="e">
        <f t="shared" si="6"/>
        <v>#REF!</v>
      </c>
      <c r="AA59" s="46"/>
      <c r="AB59" s="88" t="e">
        <f>VLOOKUP(C59,[2]SINDICATO!$C$7:$Q$141,15,0)</f>
        <v>#N/A</v>
      </c>
    </row>
    <row r="60" spans="1:29" s="88" customFormat="1" x14ac:dyDescent="0.2">
      <c r="A60" s="51" t="s">
        <v>405</v>
      </c>
      <c r="B60" s="51" t="s">
        <v>57</v>
      </c>
      <c r="C60" s="51" t="s">
        <v>406</v>
      </c>
      <c r="D60" s="87"/>
      <c r="E60" s="90">
        <f>VLOOKUP(C60,[1]IP!$B$9:$V$116,21,0)</f>
        <v>3583.8</v>
      </c>
      <c r="F60" s="108"/>
      <c r="G60" s="88" t="e">
        <f>VLOOKUP(C60,#REF!,4,0)</f>
        <v>#REF!</v>
      </c>
      <c r="H60" s="88" t="e">
        <f>VLOOKUP(C60,#REF!,5,0)</f>
        <v>#REF!</v>
      </c>
      <c r="I60" s="88" t="e">
        <f>VLOOKUP(C60,#REF!,6,0)</f>
        <v>#REF!</v>
      </c>
      <c r="J60" s="94"/>
      <c r="K60" s="88" t="e">
        <f t="shared" si="0"/>
        <v>#REF!</v>
      </c>
      <c r="L60" s="88">
        <v>8000</v>
      </c>
      <c r="M60" s="88">
        <f t="shared" si="1"/>
        <v>4000</v>
      </c>
      <c r="N60" s="95"/>
      <c r="O60" s="46">
        <f>VLOOKUP(C60,[1]IP!$B$9:$I$116,8,0)</f>
        <v>0</v>
      </c>
      <c r="P60" s="46" t="e">
        <f t="shared" si="5"/>
        <v>#REF!</v>
      </c>
      <c r="Q60" s="46">
        <f>VLOOKUP(C60,[1]IP!$B$9:$N$116,13,0)</f>
        <v>0</v>
      </c>
      <c r="R60" s="46">
        <f>VLOOKUP(C60,[1]IP!$B$9:$O$116,14,0)</f>
        <v>0</v>
      </c>
      <c r="S60" s="46"/>
      <c r="T60" s="46">
        <f>VLOOKUP(C60,[1]IP!$B$9:$P$116,15,0)</f>
        <v>0</v>
      </c>
      <c r="U60" s="46">
        <f>VLOOKUP(C60,[1]IP!$B$9:$Q$116,16,0)</f>
        <v>0</v>
      </c>
      <c r="V60" s="46">
        <f>VLOOKUP(C60,[1]IP!$B$9:$S$116,18,0)</f>
        <v>0</v>
      </c>
      <c r="W60" s="46">
        <f>VLOOKUP(C60,[1]IP!$B$9:$R$116,17,0)</f>
        <v>0</v>
      </c>
      <c r="X60" s="94"/>
      <c r="Y60" s="88" t="e">
        <f t="shared" si="2"/>
        <v>#REF!</v>
      </c>
      <c r="Z60" s="46" t="e">
        <f t="shared" si="6"/>
        <v>#REF!</v>
      </c>
      <c r="AA60" s="46"/>
      <c r="AB60" s="88" t="e">
        <f>VLOOKUP(C60,[2]SINDICATO!$C$7:$Q$141,15,0)</f>
        <v>#N/A</v>
      </c>
    </row>
    <row r="61" spans="1:29" s="88" customFormat="1" x14ac:dyDescent="0.2">
      <c r="A61" s="51" t="s">
        <v>394</v>
      </c>
      <c r="B61" s="51" t="s">
        <v>57</v>
      </c>
      <c r="C61" s="51" t="s">
        <v>395</v>
      </c>
      <c r="D61" s="87"/>
      <c r="E61" s="90">
        <f>VLOOKUP(C61,[1]IP!$B$9:$V$116,21,0)</f>
        <v>1129.4000000000001</v>
      </c>
      <c r="F61" s="108"/>
      <c r="G61" s="88" t="e">
        <f>VLOOKUP(C61,#REF!,4,0)</f>
        <v>#REF!</v>
      </c>
      <c r="H61" s="88" t="e">
        <f>VLOOKUP(C61,#REF!,5,0)</f>
        <v>#REF!</v>
      </c>
      <c r="I61" s="88" t="e">
        <f>VLOOKUP(C61,#REF!,6,0)</f>
        <v>#REF!</v>
      </c>
      <c r="J61" s="94"/>
      <c r="K61" s="88" t="e">
        <f t="shared" si="0"/>
        <v>#REF!</v>
      </c>
      <c r="L61" s="88">
        <v>6000</v>
      </c>
      <c r="M61" s="88">
        <f t="shared" si="1"/>
        <v>3000</v>
      </c>
      <c r="N61" s="95"/>
      <c r="O61" s="46">
        <f>VLOOKUP(C61,[1]IP!$B$9:$I$116,8,0)</f>
        <v>0</v>
      </c>
      <c r="P61" s="46" t="e">
        <f t="shared" si="5"/>
        <v>#REF!</v>
      </c>
      <c r="Q61" s="46">
        <f>VLOOKUP(C61,[1]IP!$B$9:$N$116,13,0)</f>
        <v>0</v>
      </c>
      <c r="R61" s="46">
        <f>VLOOKUP(C61,[1]IP!$B$9:$O$116,14,0)</f>
        <v>1120.4000000000001</v>
      </c>
      <c r="S61" s="46"/>
      <c r="T61" s="46">
        <f>VLOOKUP(C61,[1]IP!$B$9:$P$116,15,0)</f>
        <v>15</v>
      </c>
      <c r="U61" s="46">
        <f>VLOOKUP(C61,[1]IP!$B$9:$Q$116,16,0)</f>
        <v>600</v>
      </c>
      <c r="V61" s="46">
        <f>VLOOKUP(C61,[1]IP!$B$9:$S$116,18,0)</f>
        <v>0</v>
      </c>
      <c r="W61" s="46">
        <f>VLOOKUP(C61,[1]IP!$B$9:$R$116,17,0)</f>
        <v>0</v>
      </c>
      <c r="X61" s="94"/>
      <c r="Y61" s="88" t="e">
        <f t="shared" si="2"/>
        <v>#REF!</v>
      </c>
      <c r="Z61" s="46" t="e">
        <f t="shared" si="6"/>
        <v>#REF!</v>
      </c>
      <c r="AA61" s="96"/>
      <c r="AB61" s="88" t="e">
        <f>VLOOKUP(C61,[2]SINDICATO!$C$7:$Q$141,15,0)</f>
        <v>#N/A</v>
      </c>
    </row>
    <row r="62" spans="1:29" s="88" customFormat="1" ht="14.25" customHeight="1" x14ac:dyDescent="0.2">
      <c r="A62" s="51" t="s">
        <v>402</v>
      </c>
      <c r="B62" s="51" t="s">
        <v>57</v>
      </c>
      <c r="C62" s="51" t="s">
        <v>398</v>
      </c>
      <c r="D62" s="87"/>
      <c r="E62" s="90">
        <f>VLOOKUP(C62,[1]IP!$B$9:$V$116,21,0)</f>
        <v>5952.2</v>
      </c>
      <c r="F62" s="108"/>
      <c r="G62" s="88" t="e">
        <f>VLOOKUP(C62,#REF!,4,0)</f>
        <v>#REF!</v>
      </c>
      <c r="H62" s="88" t="e">
        <f>VLOOKUP(C62,#REF!,5,0)</f>
        <v>#REF!</v>
      </c>
      <c r="I62" s="88" t="e">
        <f>VLOOKUP(C62,#REF!,6,0)</f>
        <v>#REF!</v>
      </c>
      <c r="J62" s="94"/>
      <c r="K62" s="88" t="e">
        <f t="shared" si="0"/>
        <v>#REF!</v>
      </c>
      <c r="L62" s="88">
        <v>14000</v>
      </c>
      <c r="M62" s="88">
        <f t="shared" si="1"/>
        <v>7000</v>
      </c>
      <c r="N62" s="95"/>
      <c r="O62" s="46">
        <f>VLOOKUP(C62,[1]IP!$B$9:$I$116,8,0)</f>
        <v>0</v>
      </c>
      <c r="P62" s="46" t="e">
        <f t="shared" si="5"/>
        <v>#REF!</v>
      </c>
      <c r="Q62" s="46">
        <f>VLOOKUP(C62,[1]IP!$B$9:$N$116,13,0)</f>
        <v>0</v>
      </c>
      <c r="R62" s="46">
        <f>VLOOKUP(C62,[1]IP!$B$9:$O$116,14,0)</f>
        <v>0</v>
      </c>
      <c r="S62" s="46"/>
      <c r="T62" s="46">
        <f>VLOOKUP(C62,[1]IP!$B$9:$P$116,15,0)</f>
        <v>0</v>
      </c>
      <c r="U62" s="46">
        <f>VLOOKUP(C62,[1]IP!$B$9:$Q$116,16,0)</f>
        <v>0</v>
      </c>
      <c r="V62" s="46">
        <f>VLOOKUP(C62,[1]IP!$B$9:$S$116,18,0)</f>
        <v>0</v>
      </c>
      <c r="W62" s="46">
        <f>VLOOKUP(C62,[1]IP!$B$9:$R$116,17,0)</f>
        <v>0</v>
      </c>
      <c r="X62" s="94"/>
      <c r="Y62" s="88" t="e">
        <f t="shared" si="2"/>
        <v>#REF!</v>
      </c>
      <c r="Z62" s="46" t="e">
        <f t="shared" si="6"/>
        <v>#REF!</v>
      </c>
      <c r="AA62" s="46"/>
      <c r="AB62" s="88" t="e">
        <f>VLOOKUP(C62,[2]SINDICATO!$C$7:$Q$141,15,0)</f>
        <v>#N/A</v>
      </c>
    </row>
    <row r="63" spans="1:29" s="46" customFormat="1" x14ac:dyDescent="0.2">
      <c r="A63" s="52" t="s">
        <v>404</v>
      </c>
      <c r="B63" s="52" t="s">
        <v>57</v>
      </c>
      <c r="C63" s="52" t="s">
        <v>400</v>
      </c>
      <c r="D63" s="87"/>
      <c r="E63" s="90">
        <f>VLOOKUP(C63,[1]IP!$B$9:$V$116,21,0)</f>
        <v>5952.2</v>
      </c>
      <c r="F63" s="108"/>
      <c r="G63" s="88" t="e">
        <f>VLOOKUP(C63,#REF!,4,0)</f>
        <v>#REF!</v>
      </c>
      <c r="H63" s="88" t="e">
        <f>VLOOKUP(C63,#REF!,5,0)</f>
        <v>#REF!</v>
      </c>
      <c r="I63" s="88" t="e">
        <f>VLOOKUP(C63,#REF!,6,0)</f>
        <v>#REF!</v>
      </c>
      <c r="J63" s="94"/>
      <c r="K63" s="88" t="e">
        <f t="shared" si="0"/>
        <v>#REF!</v>
      </c>
      <c r="L63" s="46">
        <v>14000</v>
      </c>
      <c r="M63" s="46">
        <f t="shared" si="1"/>
        <v>7000</v>
      </c>
      <c r="N63" s="95"/>
      <c r="O63" s="46">
        <f>VLOOKUP(C63,[1]IP!$B$9:$I$116,8,0)</f>
        <v>0</v>
      </c>
      <c r="P63" s="46" t="e">
        <f t="shared" si="5"/>
        <v>#REF!</v>
      </c>
      <c r="Q63" s="46">
        <f>VLOOKUP(C63,[1]IP!$B$9:$N$116,13,0)</f>
        <v>0</v>
      </c>
      <c r="R63" s="46">
        <f>VLOOKUP(C63,[1]IP!$B$9:$O$116,14,0)</f>
        <v>0</v>
      </c>
      <c r="T63" s="46">
        <f>VLOOKUP(C63,[1]IP!$B$9:$P$116,15,0)</f>
        <v>0</v>
      </c>
      <c r="U63" s="46">
        <f>VLOOKUP(C63,[1]IP!$B$9:$Q$116,16,0)</f>
        <v>0</v>
      </c>
      <c r="V63" s="46">
        <f>VLOOKUP(C63,[1]IP!$B$9:$S$116,18,0)</f>
        <v>0</v>
      </c>
      <c r="W63" s="46">
        <f>VLOOKUP(C63,[1]IP!$B$9:$R$116,17,0)</f>
        <v>0</v>
      </c>
      <c r="X63" s="94"/>
      <c r="Y63" s="88" t="e">
        <f t="shared" si="2"/>
        <v>#REF!</v>
      </c>
      <c r="Z63" s="46" t="e">
        <f t="shared" si="6"/>
        <v>#REF!</v>
      </c>
      <c r="AB63" s="88" t="e">
        <f>VLOOKUP(C63,[2]SINDICATO!$C$7:$Q$141,15,0)</f>
        <v>#N/A</v>
      </c>
    </row>
    <row r="64" spans="1:29" s="46" customFormat="1" x14ac:dyDescent="0.2">
      <c r="A64" s="52" t="s">
        <v>407</v>
      </c>
      <c r="B64" s="52" t="s">
        <v>57</v>
      </c>
      <c r="C64" s="52" t="s">
        <v>408</v>
      </c>
      <c r="D64" s="87"/>
      <c r="E64" s="90">
        <f>VLOOKUP(C64,[1]IP!$B$9:$V$116,21,0)</f>
        <v>2864.8</v>
      </c>
      <c r="F64" s="108"/>
      <c r="G64" s="88" t="e">
        <f>VLOOKUP(C64,#REF!,4,0)</f>
        <v>#REF!</v>
      </c>
      <c r="H64" s="88" t="e">
        <f>VLOOKUP(C64,#REF!,5,0)</f>
        <v>#REF!</v>
      </c>
      <c r="I64" s="88" t="e">
        <f>VLOOKUP(C64,#REF!,6,0)</f>
        <v>#REF!</v>
      </c>
      <c r="J64" s="94"/>
      <c r="K64" s="88" t="e">
        <f t="shared" si="0"/>
        <v>#REF!</v>
      </c>
      <c r="L64" s="46">
        <v>6000</v>
      </c>
      <c r="M64" s="46">
        <f t="shared" si="1"/>
        <v>3000</v>
      </c>
      <c r="N64" s="95"/>
      <c r="O64" s="46">
        <f>VLOOKUP(C64,[1]IP!$B$9:$I$116,8,0)</f>
        <v>0</v>
      </c>
      <c r="P64" s="46" t="e">
        <f t="shared" si="5"/>
        <v>#REF!</v>
      </c>
      <c r="Q64" s="46">
        <f>VLOOKUP(C64,[1]IP!$B$9:$N$116,13,0)</f>
        <v>0</v>
      </c>
      <c r="R64" s="46">
        <f>VLOOKUP(C64,[1]IP!$B$9:$O$116,14,0)</f>
        <v>0</v>
      </c>
      <c r="T64" s="46">
        <f>VLOOKUP(C64,[1]IP!$B$9:$P$116,15,0)</f>
        <v>0</v>
      </c>
      <c r="U64" s="46">
        <f>VLOOKUP(C64,[1]IP!$B$9:$Q$116,16,0)</f>
        <v>0</v>
      </c>
      <c r="V64" s="46">
        <f>VLOOKUP(C64,[1]IP!$B$9:$S$116,18,0)</f>
        <v>0</v>
      </c>
      <c r="W64" s="46">
        <f>VLOOKUP(C64,[1]IP!$B$9:$R$116,17,0)</f>
        <v>0</v>
      </c>
      <c r="X64" s="94"/>
      <c r="Y64" s="88" t="e">
        <f t="shared" si="2"/>
        <v>#REF!</v>
      </c>
      <c r="Z64" s="46" t="e">
        <f t="shared" si="6"/>
        <v>#REF!</v>
      </c>
      <c r="AB64" s="88" t="e">
        <f>VLOOKUP(C64,[2]SINDICATO!$C$7:$Q$141,15,0)</f>
        <v>#N/A</v>
      </c>
    </row>
    <row r="65" spans="1:28" s="46" customFormat="1" x14ac:dyDescent="0.2">
      <c r="A65" s="52" t="s">
        <v>409</v>
      </c>
      <c r="B65" s="52" t="s">
        <v>57</v>
      </c>
      <c r="C65" s="52" t="s">
        <v>410</v>
      </c>
      <c r="D65" s="87"/>
      <c r="E65" s="90">
        <f>VLOOKUP(C65,[1]IP!$B$9:$V$116,21,0)</f>
        <v>3583.6</v>
      </c>
      <c r="F65" s="108"/>
      <c r="G65" s="88" t="e">
        <f>VLOOKUP(C65,#REF!,4,0)</f>
        <v>#REF!</v>
      </c>
      <c r="H65" s="88" t="e">
        <f>VLOOKUP(C65,#REF!,5,0)</f>
        <v>#REF!</v>
      </c>
      <c r="I65" s="88" t="e">
        <f>VLOOKUP(C65,#REF!,6,0)</f>
        <v>#REF!</v>
      </c>
      <c r="J65" s="94"/>
      <c r="K65" s="88" t="e">
        <f t="shared" si="0"/>
        <v>#REF!</v>
      </c>
      <c r="L65" s="46">
        <v>8000</v>
      </c>
      <c r="M65" s="46">
        <f t="shared" si="1"/>
        <v>4000</v>
      </c>
      <c r="N65" s="95"/>
      <c r="O65" s="46">
        <f>VLOOKUP(C65,[1]IP!$B$9:$I$116,8,0)</f>
        <v>0</v>
      </c>
      <c r="P65" s="46" t="e">
        <f t="shared" si="5"/>
        <v>#REF!</v>
      </c>
      <c r="Q65" s="46">
        <f>VLOOKUP(C65,[1]IP!$B$9:$N$116,13,0)</f>
        <v>0</v>
      </c>
      <c r="R65" s="46">
        <f>VLOOKUP(C65,[1]IP!$B$9:$O$116,14,0)</f>
        <v>0</v>
      </c>
      <c r="T65" s="46">
        <f>VLOOKUP(C65,[1]IP!$B$9:$P$116,15,0)</f>
        <v>0</v>
      </c>
      <c r="U65" s="46">
        <f>VLOOKUP(C65,[1]IP!$B$9:$Q$116,16,0)</f>
        <v>0</v>
      </c>
      <c r="V65" s="46">
        <f>VLOOKUP(C65,[1]IP!$B$9:$S$116,18,0)</f>
        <v>0</v>
      </c>
      <c r="W65" s="46">
        <f>VLOOKUP(C65,[1]IP!$B$9:$R$116,17,0)</f>
        <v>0</v>
      </c>
      <c r="X65" s="94"/>
      <c r="Y65" s="88" t="e">
        <f t="shared" si="2"/>
        <v>#REF!</v>
      </c>
      <c r="Z65" s="46" t="e">
        <f t="shared" si="6"/>
        <v>#REF!</v>
      </c>
      <c r="AB65" s="88" t="e">
        <f>VLOOKUP(C65,[2]SINDICATO!$C$7:$Q$141,15,0)</f>
        <v>#N/A</v>
      </c>
    </row>
    <row r="66" spans="1:28" s="46" customFormat="1" x14ac:dyDescent="0.2">
      <c r="A66" s="51" t="s">
        <v>427</v>
      </c>
      <c r="B66" s="52" t="s">
        <v>57</v>
      </c>
      <c r="C66" s="51" t="s">
        <v>428</v>
      </c>
      <c r="D66" s="87"/>
      <c r="E66" s="90">
        <f>VLOOKUP(C66,[1]IP!$B$9:$V$116,21,0)</f>
        <v>3583.6</v>
      </c>
      <c r="F66" s="108"/>
      <c r="G66" s="88" t="e">
        <f>VLOOKUP(C66,#REF!,4,0)</f>
        <v>#REF!</v>
      </c>
      <c r="H66" s="88" t="e">
        <f>VLOOKUP(C66,#REF!,5,0)</f>
        <v>#REF!</v>
      </c>
      <c r="I66" s="88" t="e">
        <f>VLOOKUP(C66,#REF!,6,0)</f>
        <v>#REF!</v>
      </c>
      <c r="J66" s="94"/>
      <c r="K66" s="88" t="e">
        <f t="shared" si="0"/>
        <v>#REF!</v>
      </c>
      <c r="L66" s="88">
        <v>8000</v>
      </c>
      <c r="M66" s="88">
        <f t="shared" si="1"/>
        <v>4000</v>
      </c>
      <c r="N66" s="95"/>
      <c r="O66" s="46">
        <f>VLOOKUP(C66,[1]IP!$B$9:$I$116,8,0)</f>
        <v>0</v>
      </c>
      <c r="P66" s="46" t="e">
        <f t="shared" si="5"/>
        <v>#REF!</v>
      </c>
      <c r="Q66" s="46">
        <f>VLOOKUP(C66,[1]IP!$B$9:$N$116,13,0)</f>
        <v>0</v>
      </c>
      <c r="R66" s="46">
        <f>VLOOKUP(C66,[1]IP!$B$9:$O$116,14,0)</f>
        <v>0</v>
      </c>
      <c r="T66" s="46">
        <f>VLOOKUP(C66,[1]IP!$B$9:$P$116,15,0)</f>
        <v>0</v>
      </c>
      <c r="U66" s="46">
        <f>VLOOKUP(C66,[1]IP!$B$9:$Q$116,16,0)</f>
        <v>0</v>
      </c>
      <c r="V66" s="46">
        <f>VLOOKUP(C66,[1]IP!$B$9:$S$116,18,0)</f>
        <v>0</v>
      </c>
      <c r="W66" s="46">
        <f>VLOOKUP(C66,[1]IP!$B$9:$R$116,17,0)</f>
        <v>0</v>
      </c>
      <c r="X66" s="94"/>
      <c r="Y66" s="88" t="e">
        <f t="shared" si="2"/>
        <v>#REF!</v>
      </c>
      <c r="Z66" s="46" t="e">
        <f t="shared" si="6"/>
        <v>#REF!</v>
      </c>
      <c r="AB66" s="88" t="e">
        <f>VLOOKUP(C66,[2]SINDICATO!$C$7:$Q$141,15,0)</f>
        <v>#N/A</v>
      </c>
    </row>
    <row r="67" spans="1:28" s="46" customFormat="1" x14ac:dyDescent="0.2">
      <c r="A67" s="51" t="s">
        <v>429</v>
      </c>
      <c r="B67" s="52" t="s">
        <v>57</v>
      </c>
      <c r="C67" s="51" t="s">
        <v>430</v>
      </c>
      <c r="D67" s="87"/>
      <c r="E67" s="90">
        <f>VLOOKUP(C67,[1]IP!$B$9:$V$116,21,0)</f>
        <v>2864.6</v>
      </c>
      <c r="F67" s="108"/>
      <c r="G67" s="88" t="e">
        <f>VLOOKUP(C67,#REF!,4,0)</f>
        <v>#REF!</v>
      </c>
      <c r="H67" s="88" t="e">
        <f>VLOOKUP(C67,#REF!,5,0)</f>
        <v>#REF!</v>
      </c>
      <c r="I67" s="88" t="e">
        <f>VLOOKUP(C67,#REF!,6,0)</f>
        <v>#REF!</v>
      </c>
      <c r="J67" s="94"/>
      <c r="K67" s="88" t="e">
        <f t="shared" si="0"/>
        <v>#REF!</v>
      </c>
      <c r="L67" s="88">
        <v>6000</v>
      </c>
      <c r="M67" s="88">
        <f t="shared" si="1"/>
        <v>3000</v>
      </c>
      <c r="N67" s="95"/>
      <c r="O67" s="46">
        <f>VLOOKUP(C67,[1]IP!$B$9:$I$116,8,0)</f>
        <v>0</v>
      </c>
      <c r="P67" s="46" t="e">
        <f t="shared" si="5"/>
        <v>#REF!</v>
      </c>
      <c r="Q67" s="46">
        <f>VLOOKUP(C67,[1]IP!$B$9:$N$116,13,0)</f>
        <v>0</v>
      </c>
      <c r="R67" s="46">
        <f>VLOOKUP(C67,[1]IP!$B$9:$O$116,14,0)</f>
        <v>0</v>
      </c>
      <c r="T67" s="46">
        <f>VLOOKUP(C67,[1]IP!$B$9:$P$116,15,0)</f>
        <v>0</v>
      </c>
      <c r="U67" s="46">
        <f>VLOOKUP(C67,[1]IP!$B$9:$Q$116,16,0)</f>
        <v>0</v>
      </c>
      <c r="V67" s="46">
        <f>VLOOKUP(C67,[1]IP!$B$9:$S$116,18,0)</f>
        <v>0</v>
      </c>
      <c r="W67" s="46">
        <f>VLOOKUP(C67,[1]IP!$B$9:$R$116,17,0)</f>
        <v>0</v>
      </c>
      <c r="X67" s="94"/>
      <c r="Y67" s="88" t="e">
        <f t="shared" si="2"/>
        <v>#REF!</v>
      </c>
      <c r="Z67" s="46" t="e">
        <f t="shared" si="6"/>
        <v>#REF!</v>
      </c>
      <c r="AB67" s="88">
        <f>VLOOKUP(C67,[2]SINDICATO!$C$7:$Q$141,15,0)</f>
        <v>0</v>
      </c>
    </row>
    <row r="68" spans="1:28" s="46" customFormat="1" x14ac:dyDescent="0.2">
      <c r="A68" s="51" t="s">
        <v>433</v>
      </c>
      <c r="B68" s="52" t="s">
        <v>57</v>
      </c>
      <c r="C68" s="51" t="s">
        <v>434</v>
      </c>
      <c r="D68" s="87"/>
      <c r="E68" s="90">
        <f>VLOOKUP(C68,[1]IP!$B$9:$V$116,21,0)</f>
        <v>3583.8</v>
      </c>
      <c r="F68" s="108"/>
      <c r="G68" s="88" t="e">
        <f>VLOOKUP(C68,#REF!,4,0)</f>
        <v>#REF!</v>
      </c>
      <c r="H68" s="88" t="e">
        <f>VLOOKUP(C68,#REF!,5,0)</f>
        <v>#REF!</v>
      </c>
      <c r="I68" s="88" t="e">
        <f>VLOOKUP(C68,#REF!,6,0)</f>
        <v>#REF!</v>
      </c>
      <c r="J68" s="94"/>
      <c r="K68" s="88" t="e">
        <f t="shared" ref="K68:K131" si="7">+D68+E68+G68+H68+I68</f>
        <v>#REF!</v>
      </c>
      <c r="L68" s="88">
        <v>8000</v>
      </c>
      <c r="M68" s="88">
        <f t="shared" ref="M68:M131" si="8">+L68/2</f>
        <v>4000</v>
      </c>
      <c r="N68" s="95"/>
      <c r="O68" s="46">
        <f>VLOOKUP(C68,[1]IP!$B$9:$I$116,8,0)</f>
        <v>0</v>
      </c>
      <c r="P68" s="46" t="e">
        <f t="shared" si="5"/>
        <v>#REF!</v>
      </c>
      <c r="Q68" s="46">
        <f>VLOOKUP(C68,[1]IP!$B$9:$N$116,13,0)</f>
        <v>0</v>
      </c>
      <c r="R68" s="46">
        <f>VLOOKUP(C68,[1]IP!$B$9:$O$116,14,0)</f>
        <v>0</v>
      </c>
      <c r="T68" s="46">
        <f>VLOOKUP(C68,[1]IP!$B$9:$P$116,15,0)</f>
        <v>0</v>
      </c>
      <c r="U68" s="46">
        <f>VLOOKUP(C68,[1]IP!$B$9:$Q$116,16,0)</f>
        <v>0</v>
      </c>
      <c r="V68" s="46">
        <f>VLOOKUP(C68,[1]IP!$B$9:$S$116,18,0)</f>
        <v>0</v>
      </c>
      <c r="W68" s="46">
        <f>VLOOKUP(C68,[1]IP!$B$9:$R$116,17,0)</f>
        <v>0</v>
      </c>
      <c r="X68" s="94"/>
      <c r="Y68" s="88" t="e">
        <f t="shared" ref="Y68:Y131" si="9">+K68-O68-P68+Q68+R68+S68+T68+U68+V68+W68</f>
        <v>#REF!</v>
      </c>
      <c r="Z68" s="46" t="e">
        <f t="shared" si="6"/>
        <v>#REF!</v>
      </c>
      <c r="AB68" s="88">
        <f>VLOOKUP(C68,[2]SINDICATO!$C$7:$Q$141,15,0)</f>
        <v>0</v>
      </c>
    </row>
    <row r="69" spans="1:28" s="46" customFormat="1" x14ac:dyDescent="0.2">
      <c r="A69" s="52" t="s">
        <v>435</v>
      </c>
      <c r="B69" s="52" t="s">
        <v>57</v>
      </c>
      <c r="C69" s="52" t="s">
        <v>436</v>
      </c>
      <c r="D69" s="87"/>
      <c r="E69" s="90">
        <f>VLOOKUP(C69,[1]IP!$B$9:$V$116,21,0)</f>
        <v>4503.3999999999996</v>
      </c>
      <c r="F69" s="113"/>
      <c r="G69" s="88" t="e">
        <f>VLOOKUP(C69,#REF!,4,0)</f>
        <v>#REF!</v>
      </c>
      <c r="H69" s="88" t="e">
        <f>VLOOKUP(C69,#REF!,5,0)</f>
        <v>#REF!</v>
      </c>
      <c r="I69" s="88" t="e">
        <f>VLOOKUP(C69,#REF!,6,0)</f>
        <v>#REF!</v>
      </c>
      <c r="J69" s="114"/>
      <c r="K69" s="46" t="e">
        <f t="shared" si="7"/>
        <v>#REF!</v>
      </c>
      <c r="L69" s="46">
        <v>9000</v>
      </c>
      <c r="M69" s="46">
        <f t="shared" si="8"/>
        <v>4500</v>
      </c>
      <c r="N69" s="114"/>
      <c r="O69" s="46">
        <f>VLOOKUP(C69,[1]IP!$B$9:$I$116,8,0)</f>
        <v>0</v>
      </c>
      <c r="P69" s="46" t="e">
        <f t="shared" si="5"/>
        <v>#REF!</v>
      </c>
      <c r="Q69" s="46">
        <f>VLOOKUP(C69,[1]IP!$B$9:$N$116,13,0)</f>
        <v>0</v>
      </c>
      <c r="R69" s="46">
        <f>VLOOKUP(C69,[1]IP!$B$9:$O$116,14,0)</f>
        <v>0</v>
      </c>
      <c r="T69" s="46">
        <f>VLOOKUP(C69,[1]IP!$B$9:$P$116,15,0)</f>
        <v>0</v>
      </c>
      <c r="U69" s="46">
        <f>VLOOKUP(C69,[1]IP!$B$9:$Q$116,16,0)</f>
        <v>0</v>
      </c>
      <c r="V69" s="46">
        <f>VLOOKUP(C69,[1]IP!$B$9:$S$116,18,0)</f>
        <v>0</v>
      </c>
      <c r="W69" s="46">
        <f>VLOOKUP(C69,[1]IP!$B$9:$R$116,17,0)</f>
        <v>0</v>
      </c>
      <c r="X69" s="114"/>
      <c r="Y69" s="46" t="e">
        <f t="shared" si="9"/>
        <v>#REF!</v>
      </c>
      <c r="Z69" s="110" t="e">
        <f t="shared" si="6"/>
        <v>#REF!</v>
      </c>
      <c r="AA69" s="110" t="s">
        <v>636</v>
      </c>
      <c r="AB69" s="88">
        <f>VLOOKUP(C69,[2]SINDICATO!$C$7:$Q$141,15,0)</f>
        <v>0</v>
      </c>
    </row>
    <row r="70" spans="1:28" s="46" customFormat="1" x14ac:dyDescent="0.2">
      <c r="A70" s="51" t="s">
        <v>437</v>
      </c>
      <c r="B70" s="52" t="s">
        <v>57</v>
      </c>
      <c r="C70" s="51" t="s">
        <v>438</v>
      </c>
      <c r="D70" s="87"/>
      <c r="E70" s="90">
        <f>VLOOKUP(C70,[1]IP!$B$9:$V$116,21,0)</f>
        <v>3583.6</v>
      </c>
      <c r="F70" s="108"/>
      <c r="G70" s="88" t="e">
        <f>VLOOKUP(C70,#REF!,4,0)</f>
        <v>#REF!</v>
      </c>
      <c r="H70" s="88" t="e">
        <f>VLOOKUP(C70,#REF!,5,0)</f>
        <v>#REF!</v>
      </c>
      <c r="I70" s="88" t="e">
        <f>VLOOKUP(C70,#REF!,6,0)</f>
        <v>#REF!</v>
      </c>
      <c r="J70" s="94"/>
      <c r="K70" s="88" t="e">
        <f t="shared" si="7"/>
        <v>#REF!</v>
      </c>
      <c r="L70" s="88">
        <v>8000</v>
      </c>
      <c r="M70" s="88">
        <f t="shared" si="8"/>
        <v>4000</v>
      </c>
      <c r="N70" s="95"/>
      <c r="O70" s="46">
        <f>VLOOKUP(C70,[1]IP!$B$9:$I$116,8,0)</f>
        <v>0</v>
      </c>
      <c r="P70" s="46" t="e">
        <f t="shared" si="5"/>
        <v>#REF!</v>
      </c>
      <c r="Q70" s="46">
        <f>VLOOKUP(C70,[1]IP!$B$9:$N$116,13,0)</f>
        <v>0</v>
      </c>
      <c r="R70" s="46">
        <f>VLOOKUP(C70,[1]IP!$B$9:$O$116,14,0)</f>
        <v>0</v>
      </c>
      <c r="T70" s="46">
        <f>VLOOKUP(C70,[1]IP!$B$9:$P$116,15,0)</f>
        <v>0</v>
      </c>
      <c r="U70" s="46">
        <f>VLOOKUP(C70,[1]IP!$B$9:$Q$116,16,0)</f>
        <v>0</v>
      </c>
      <c r="V70" s="46">
        <f>VLOOKUP(C70,[1]IP!$B$9:$S$116,18,0)</f>
        <v>0</v>
      </c>
      <c r="W70" s="46">
        <f>VLOOKUP(C70,[1]IP!$B$9:$R$116,17,0)</f>
        <v>0</v>
      </c>
      <c r="X70" s="94"/>
      <c r="Y70" s="88" t="e">
        <f t="shared" si="9"/>
        <v>#REF!</v>
      </c>
      <c r="Z70" s="46" t="e">
        <f t="shared" si="6"/>
        <v>#REF!</v>
      </c>
      <c r="AB70" s="88" t="e">
        <f>VLOOKUP(C70,[2]SINDICATO!$C$7:$Q$141,15,0)</f>
        <v>#N/A</v>
      </c>
    </row>
    <row r="71" spans="1:28" s="46" customFormat="1" x14ac:dyDescent="0.2">
      <c r="A71" s="51" t="s">
        <v>439</v>
      </c>
      <c r="B71" s="52" t="s">
        <v>57</v>
      </c>
      <c r="C71" s="51" t="s">
        <v>440</v>
      </c>
      <c r="D71" s="87"/>
      <c r="E71" s="90">
        <f>VLOOKUP(C71,[1]IP!$B$9:$V$116,21,0)</f>
        <v>4406.3999999999996</v>
      </c>
      <c r="F71" s="108"/>
      <c r="G71" s="88" t="e">
        <f>VLOOKUP(C71,#REF!,4,0)</f>
        <v>#REF!</v>
      </c>
      <c r="H71" s="88" t="e">
        <f>VLOOKUP(C71,#REF!,5,0)</f>
        <v>#REF!</v>
      </c>
      <c r="I71" s="88" t="e">
        <f>VLOOKUP(C71,#REF!,6,0)</f>
        <v>#REF!</v>
      </c>
      <c r="J71" s="94"/>
      <c r="K71" s="88" t="e">
        <f t="shared" si="7"/>
        <v>#REF!</v>
      </c>
      <c r="L71" s="88">
        <v>10000</v>
      </c>
      <c r="M71" s="88">
        <f t="shared" si="8"/>
        <v>5000</v>
      </c>
      <c r="N71" s="95"/>
      <c r="O71" s="46">
        <f>VLOOKUP(C71,[1]IP!$B$9:$I$116,8,0)</f>
        <v>0</v>
      </c>
      <c r="P71" s="46" t="e">
        <f t="shared" si="5"/>
        <v>#REF!</v>
      </c>
      <c r="Q71" s="46">
        <f>VLOOKUP(C71,[1]IP!$B$9:$N$116,13,0)</f>
        <v>0</v>
      </c>
      <c r="R71" s="46">
        <f>VLOOKUP(C71,[1]IP!$B$9:$O$116,14,0)</f>
        <v>0</v>
      </c>
      <c r="T71" s="46">
        <f>VLOOKUP(C71,[1]IP!$B$9:$P$116,15,0)</f>
        <v>0</v>
      </c>
      <c r="U71" s="46">
        <f>VLOOKUP(C71,[1]IP!$B$9:$Q$116,16,0)</f>
        <v>0</v>
      </c>
      <c r="V71" s="46">
        <f>VLOOKUP(C71,[1]IP!$B$9:$S$116,18,0)</f>
        <v>0</v>
      </c>
      <c r="W71" s="46">
        <f>VLOOKUP(C71,[1]IP!$B$9:$R$116,17,0)</f>
        <v>0</v>
      </c>
      <c r="X71" s="94"/>
      <c r="Y71" s="88" t="e">
        <f t="shared" si="9"/>
        <v>#REF!</v>
      </c>
      <c r="Z71" s="46" t="e">
        <f t="shared" si="6"/>
        <v>#REF!</v>
      </c>
      <c r="AB71" s="88" t="e">
        <f>VLOOKUP(C71,[2]SINDICATO!$C$7:$Q$141,15,0)</f>
        <v>#N/A</v>
      </c>
    </row>
    <row r="72" spans="1:28" s="46" customFormat="1" x14ac:dyDescent="0.2">
      <c r="A72" s="51" t="s">
        <v>441</v>
      </c>
      <c r="B72" s="52" t="s">
        <v>57</v>
      </c>
      <c r="C72" s="51" t="s">
        <v>442</v>
      </c>
      <c r="D72" s="87"/>
      <c r="E72" s="90">
        <f>VLOOKUP(C72,[1]IP!$B$9:$V$116,21,0)</f>
        <v>3238.4</v>
      </c>
      <c r="F72" s="108"/>
      <c r="G72" s="88" t="e">
        <f>VLOOKUP(C72,#REF!,4,0)</f>
        <v>#REF!</v>
      </c>
      <c r="H72" s="88" t="e">
        <f>VLOOKUP(C72,#REF!,5,0)</f>
        <v>#REF!</v>
      </c>
      <c r="I72" s="88" t="e">
        <f>VLOOKUP(C72,#REF!,6,0)</f>
        <v>#REF!</v>
      </c>
      <c r="J72" s="94"/>
      <c r="K72" s="88" t="e">
        <f t="shared" si="7"/>
        <v>#REF!</v>
      </c>
      <c r="L72" s="88">
        <v>8000</v>
      </c>
      <c r="M72" s="88">
        <f t="shared" si="8"/>
        <v>4000</v>
      </c>
      <c r="N72" s="95"/>
      <c r="O72" s="46">
        <f>VLOOKUP(C72,[1]IP!$B$9:$I$116,8,0)</f>
        <v>0</v>
      </c>
      <c r="P72" s="46" t="e">
        <f t="shared" si="5"/>
        <v>#REF!</v>
      </c>
      <c r="Q72" s="46">
        <f>VLOOKUP(C72,[1]IP!$B$9:$N$116,13,0)</f>
        <v>0</v>
      </c>
      <c r="R72" s="46">
        <f>VLOOKUP(C72,[1]IP!$B$9:$O$116,14,0)</f>
        <v>0</v>
      </c>
      <c r="T72" s="46">
        <f>VLOOKUP(C72,[1]IP!$B$9:$P$116,15,0)</f>
        <v>0</v>
      </c>
      <c r="U72" s="46">
        <f>VLOOKUP(C72,[1]IP!$B$9:$Q$116,16,0)</f>
        <v>0</v>
      </c>
      <c r="V72" s="46">
        <f>VLOOKUP(C72,[1]IP!$B$9:$S$116,18,0)</f>
        <v>0</v>
      </c>
      <c r="W72" s="46">
        <f>VLOOKUP(C72,[1]IP!$B$9:$R$116,17,0)</f>
        <v>345.25</v>
      </c>
      <c r="X72" s="94"/>
      <c r="Y72" s="88" t="e">
        <f t="shared" si="9"/>
        <v>#REF!</v>
      </c>
      <c r="Z72" s="46" t="e">
        <f t="shared" si="6"/>
        <v>#REF!</v>
      </c>
      <c r="AB72" s="88" t="e">
        <f>VLOOKUP(C72,[2]SINDICATO!$C$7:$Q$141,15,0)</f>
        <v>#N/A</v>
      </c>
    </row>
    <row r="73" spans="1:28" s="46" customFormat="1" x14ac:dyDescent="0.2">
      <c r="A73" s="51" t="s">
        <v>443</v>
      </c>
      <c r="B73" s="52" t="s">
        <v>57</v>
      </c>
      <c r="C73" s="51" t="s">
        <v>444</v>
      </c>
      <c r="D73" s="87"/>
      <c r="E73" s="90">
        <f>VLOOKUP(C73,[1]IP!$B$9:$V$116,21,0)</f>
        <v>2681.6</v>
      </c>
      <c r="F73" s="108"/>
      <c r="G73" s="88" t="e">
        <f>VLOOKUP(C73,#REF!,4,0)</f>
        <v>#REF!</v>
      </c>
      <c r="H73" s="88" t="e">
        <f>VLOOKUP(C73,#REF!,5,0)</f>
        <v>#REF!</v>
      </c>
      <c r="I73" s="88" t="e">
        <f>VLOOKUP(C73,#REF!,6,0)</f>
        <v>#REF!</v>
      </c>
      <c r="J73" s="94"/>
      <c r="K73" s="88" t="e">
        <f t="shared" si="7"/>
        <v>#REF!</v>
      </c>
      <c r="L73" s="88">
        <v>9550.01</v>
      </c>
      <c r="M73" s="88">
        <f t="shared" si="8"/>
        <v>4775.0050000000001</v>
      </c>
      <c r="N73" s="95"/>
      <c r="O73" s="46">
        <f>VLOOKUP(C73,[1]IP!$B$9:$I$116,8,0)</f>
        <v>0</v>
      </c>
      <c r="P73" s="46" t="e">
        <f t="shared" si="5"/>
        <v>#REF!</v>
      </c>
      <c r="Q73" s="46">
        <f>VLOOKUP(C73,[1]IP!$B$9:$N$116,13,0)</f>
        <v>1528.5</v>
      </c>
      <c r="R73" s="46">
        <f>VLOOKUP(C73,[1]IP!$B$9:$O$116,14,0)</f>
        <v>0</v>
      </c>
      <c r="T73" s="46">
        <f>VLOOKUP(C73,[1]IP!$B$9:$P$116,15,0)</f>
        <v>15</v>
      </c>
      <c r="U73" s="46">
        <f>VLOOKUP(C73,[1]IP!$B$9:$Q$116,16,0)</f>
        <v>0</v>
      </c>
      <c r="V73" s="46">
        <f>VLOOKUP(C73,[1]IP!$B$9:$S$116,18,0)</f>
        <v>0</v>
      </c>
      <c r="W73" s="46">
        <f>VLOOKUP(C73,[1]IP!$B$9:$R$116,17,0)</f>
        <v>0</v>
      </c>
      <c r="X73" s="94"/>
      <c r="Y73" s="88" t="e">
        <f t="shared" si="9"/>
        <v>#REF!</v>
      </c>
      <c r="Z73" s="46" t="e">
        <f t="shared" si="6"/>
        <v>#REF!</v>
      </c>
      <c r="AB73" s="88" t="e">
        <f>VLOOKUP(C73,[2]SINDICATO!$C$7:$Q$141,15,0)</f>
        <v>#N/A</v>
      </c>
    </row>
    <row r="74" spans="1:28" s="46" customFormat="1" x14ac:dyDescent="0.2">
      <c r="A74" s="51" t="s">
        <v>445</v>
      </c>
      <c r="B74" s="52" t="s">
        <v>57</v>
      </c>
      <c r="C74" s="51" t="s">
        <v>446</v>
      </c>
      <c r="D74" s="87"/>
      <c r="E74" s="90">
        <f>VLOOKUP(C74,[1]IP!$B$9:$V$116,21,0)</f>
        <v>1157.8</v>
      </c>
      <c r="F74" s="108"/>
      <c r="G74" s="88" t="e">
        <f>VLOOKUP(C74,#REF!,4,0)</f>
        <v>#REF!</v>
      </c>
      <c r="H74" s="88" t="e">
        <f>VLOOKUP(C74,#REF!,5,0)</f>
        <v>#REF!</v>
      </c>
      <c r="I74" s="88" t="e">
        <f>VLOOKUP(C74,#REF!,6,0)</f>
        <v>#REF!</v>
      </c>
      <c r="J74" s="94"/>
      <c r="K74" s="88" t="e">
        <f t="shared" si="7"/>
        <v>#REF!</v>
      </c>
      <c r="L74" s="88">
        <v>7505.99</v>
      </c>
      <c r="M74" s="88">
        <f t="shared" si="8"/>
        <v>3752.9949999999999</v>
      </c>
      <c r="N74" s="95"/>
      <c r="O74" s="46">
        <f>VLOOKUP(C74,[1]IP!$B$9:$I$116,8,0)</f>
        <v>0</v>
      </c>
      <c r="P74" s="46" t="e">
        <f t="shared" si="5"/>
        <v>#REF!</v>
      </c>
      <c r="Q74" s="46">
        <f>VLOOKUP(C74,[1]IP!$B$9:$N$116,13,0)</f>
        <v>0</v>
      </c>
      <c r="R74" s="46">
        <f>VLOOKUP(C74,[1]IP!$B$9:$O$116,14,0)</f>
        <v>1346.54</v>
      </c>
      <c r="T74" s="46">
        <f>VLOOKUP(C74,[1]IP!$B$9:$P$116,15,0)</f>
        <v>15</v>
      </c>
      <c r="U74" s="46">
        <f>VLOOKUP(C74,[1]IP!$B$9:$Q$116,16,0)</f>
        <v>0</v>
      </c>
      <c r="V74" s="46">
        <f>VLOOKUP(C74,[1]IP!$B$9:$S$116,18,0)</f>
        <v>0</v>
      </c>
      <c r="W74" s="46">
        <f>VLOOKUP(C74,[1]IP!$B$9:$R$116,17,0)</f>
        <v>848.88</v>
      </c>
      <c r="X74" s="94"/>
      <c r="Y74" s="88" t="e">
        <f t="shared" si="9"/>
        <v>#REF!</v>
      </c>
      <c r="Z74" s="46" t="e">
        <f t="shared" si="6"/>
        <v>#REF!</v>
      </c>
      <c r="AB74" s="88" t="e">
        <f>VLOOKUP(C74,[2]SINDICATO!$C$7:$Q$141,15,0)</f>
        <v>#N/A</v>
      </c>
    </row>
    <row r="75" spans="1:28" s="46" customFormat="1" x14ac:dyDescent="0.2">
      <c r="A75" s="51" t="s">
        <v>447</v>
      </c>
      <c r="B75" s="52" t="s">
        <v>57</v>
      </c>
      <c r="C75" s="51" t="s">
        <v>448</v>
      </c>
      <c r="D75" s="87"/>
      <c r="E75" s="90">
        <f>VLOOKUP(C75,[1]IP!$B$9:$V$116,21,0)</f>
        <v>3799</v>
      </c>
      <c r="F75" s="108"/>
      <c r="G75" s="88" t="e">
        <f>VLOOKUP(C75,#REF!,4,0)</f>
        <v>#REF!</v>
      </c>
      <c r="H75" s="88" t="e">
        <f>VLOOKUP(C75,#REF!,5,0)</f>
        <v>#REF!</v>
      </c>
      <c r="I75" s="88" t="e">
        <f>VLOOKUP(C75,#REF!,6,0)</f>
        <v>#REF!</v>
      </c>
      <c r="J75" s="94"/>
      <c r="K75" s="88" t="e">
        <f t="shared" si="7"/>
        <v>#REF!</v>
      </c>
      <c r="L75" s="88">
        <v>8500.01</v>
      </c>
      <c r="M75" s="88">
        <f t="shared" si="8"/>
        <v>4250.0050000000001</v>
      </c>
      <c r="N75" s="95"/>
      <c r="O75" s="46">
        <f>VLOOKUP(C75,[1]IP!$B$9:$I$116,8,0)</f>
        <v>0</v>
      </c>
      <c r="P75" s="46" t="e">
        <f t="shared" si="5"/>
        <v>#REF!</v>
      </c>
      <c r="Q75" s="46">
        <f>VLOOKUP(C75,[1]IP!$B$9:$N$116,13,0)</f>
        <v>0</v>
      </c>
      <c r="R75" s="46">
        <f>VLOOKUP(C75,[1]IP!$B$9:$O$116,14,0)</f>
        <v>0</v>
      </c>
      <c r="T75" s="46">
        <f>VLOOKUP(C75,[1]IP!$B$9:$P$116,15,0)</f>
        <v>0</v>
      </c>
      <c r="U75" s="46">
        <f>VLOOKUP(C75,[1]IP!$B$9:$Q$116,16,0)</f>
        <v>0</v>
      </c>
      <c r="V75" s="46">
        <f>VLOOKUP(C75,[1]IP!$B$9:$S$116,18,0)</f>
        <v>0</v>
      </c>
      <c r="W75" s="46">
        <f>VLOOKUP(C75,[1]IP!$B$9:$R$116,17,0)</f>
        <v>0</v>
      </c>
      <c r="X75" s="94"/>
      <c r="Y75" s="88" t="e">
        <f t="shared" si="9"/>
        <v>#REF!</v>
      </c>
      <c r="Z75" s="46" t="e">
        <f t="shared" si="6"/>
        <v>#REF!</v>
      </c>
      <c r="AB75" s="88" t="e">
        <f>VLOOKUP(C75,[2]SINDICATO!$C$7:$Q$141,15,0)</f>
        <v>#N/A</v>
      </c>
    </row>
    <row r="76" spans="1:28" s="46" customFormat="1" x14ac:dyDescent="0.2">
      <c r="A76" s="51" t="s">
        <v>520</v>
      </c>
      <c r="B76" s="52" t="s">
        <v>57</v>
      </c>
      <c r="C76" s="51" t="s">
        <v>521</v>
      </c>
      <c r="D76" s="87"/>
      <c r="E76" s="90">
        <f>VLOOKUP(C76,[1]IP!$B$9:$V$116,21,0)</f>
        <v>3585.4</v>
      </c>
      <c r="F76" s="108"/>
      <c r="G76" s="88" t="e">
        <f>VLOOKUP(C76,#REF!,4,0)</f>
        <v>#REF!</v>
      </c>
      <c r="H76" s="88" t="e">
        <f>VLOOKUP(C76,#REF!,5,0)</f>
        <v>#REF!</v>
      </c>
      <c r="I76" s="88" t="e">
        <f>VLOOKUP(C76,#REF!,6,0)</f>
        <v>#REF!</v>
      </c>
      <c r="J76" s="94"/>
      <c r="K76" s="88" t="e">
        <f t="shared" si="7"/>
        <v>#REF!</v>
      </c>
      <c r="L76" s="88">
        <v>8000</v>
      </c>
      <c r="M76" s="88">
        <f t="shared" si="8"/>
        <v>4000</v>
      </c>
      <c r="N76" s="95"/>
      <c r="O76" s="46">
        <f>VLOOKUP(C76,[1]IP!$B$9:$I$116,8,0)</f>
        <v>0</v>
      </c>
      <c r="P76" s="46" t="e">
        <f t="shared" si="5"/>
        <v>#REF!</v>
      </c>
      <c r="Q76" s="46">
        <f>VLOOKUP(C76,[1]IP!$B$9:$N$116,13,0)</f>
        <v>0</v>
      </c>
      <c r="R76" s="46">
        <f>VLOOKUP(C76,[1]IP!$B$9:$O$116,14,0)</f>
        <v>0</v>
      </c>
      <c r="T76" s="46">
        <f>VLOOKUP(C76,[1]IP!$B$9:$P$116,15,0)</f>
        <v>0</v>
      </c>
      <c r="U76" s="46">
        <f>VLOOKUP(C76,[1]IP!$B$9:$Q$116,16,0)</f>
        <v>0</v>
      </c>
      <c r="V76" s="46">
        <f>VLOOKUP(C76,[1]IP!$B$9:$S$116,18,0)</f>
        <v>0</v>
      </c>
      <c r="W76" s="46">
        <f>VLOOKUP(C76,[1]IP!$B$9:$R$116,17,0)</f>
        <v>0</v>
      </c>
      <c r="X76" s="94"/>
      <c r="Y76" s="88" t="e">
        <f t="shared" si="9"/>
        <v>#REF!</v>
      </c>
      <c r="Z76" s="46" t="e">
        <f t="shared" si="6"/>
        <v>#REF!</v>
      </c>
      <c r="AB76" s="88" t="e">
        <f>VLOOKUP(C76,[2]SINDICATO!$C$7:$Q$141,15,0)</f>
        <v>#N/A</v>
      </c>
    </row>
    <row r="77" spans="1:28" s="46" customFormat="1" x14ac:dyDescent="0.2">
      <c r="A77" s="51" t="s">
        <v>451</v>
      </c>
      <c r="B77" s="52" t="s">
        <v>57</v>
      </c>
      <c r="C77" s="51" t="s">
        <v>452</v>
      </c>
      <c r="D77" s="87"/>
      <c r="E77" s="90">
        <f>VLOOKUP(C77,[1]IP!$B$9:$V$116,21,0)</f>
        <v>2869</v>
      </c>
      <c r="F77" s="108"/>
      <c r="G77" s="88" t="e">
        <f>VLOOKUP(C77,#REF!,4,0)</f>
        <v>#REF!</v>
      </c>
      <c r="H77" s="88" t="e">
        <f>VLOOKUP(C77,#REF!,5,0)</f>
        <v>#REF!</v>
      </c>
      <c r="I77" s="88" t="e">
        <f>VLOOKUP(C77,#REF!,6,0)</f>
        <v>#REF!</v>
      </c>
      <c r="J77" s="94"/>
      <c r="K77" s="88" t="e">
        <f t="shared" si="7"/>
        <v>#REF!</v>
      </c>
      <c r="L77" s="88">
        <v>8500.01</v>
      </c>
      <c r="M77" s="88">
        <f t="shared" si="8"/>
        <v>4250.0050000000001</v>
      </c>
      <c r="N77" s="95"/>
      <c r="O77" s="46">
        <f>VLOOKUP(C77,[1]IP!$B$9:$I$116,8,0)</f>
        <v>0</v>
      </c>
      <c r="P77" s="46" t="e">
        <f t="shared" si="5"/>
        <v>#REF!</v>
      </c>
      <c r="Q77" s="46">
        <f>VLOOKUP(C77,[1]IP!$B$9:$N$116,13,0)</f>
        <v>0</v>
      </c>
      <c r="R77" s="46">
        <f>VLOOKUP(C77,[1]IP!$B$9:$O$116,14,0)</f>
        <v>592.54</v>
      </c>
      <c r="T77" s="46">
        <f>VLOOKUP(C77,[1]IP!$B$9:$P$116,15,0)</f>
        <v>15</v>
      </c>
      <c r="U77" s="46">
        <f>VLOOKUP(C77,[1]IP!$B$9:$Q$116,16,0)</f>
        <v>0</v>
      </c>
      <c r="V77" s="46">
        <f>VLOOKUP(C77,[1]IP!$B$9:$S$116,18,0)</f>
        <v>0</v>
      </c>
      <c r="W77" s="46">
        <f>VLOOKUP(C77,[1]IP!$B$9:$R$116,17,0)</f>
        <v>322.5</v>
      </c>
      <c r="X77" s="94"/>
      <c r="Y77" s="88" t="e">
        <f t="shared" si="9"/>
        <v>#REF!</v>
      </c>
      <c r="Z77" s="46" t="e">
        <f t="shared" si="6"/>
        <v>#REF!</v>
      </c>
      <c r="AB77" s="88" t="e">
        <f>VLOOKUP(C77,[2]SINDICATO!$C$7:$Q$141,15,0)</f>
        <v>#N/A</v>
      </c>
    </row>
    <row r="78" spans="1:28" s="46" customFormat="1" x14ac:dyDescent="0.2">
      <c r="A78" s="51" t="s">
        <v>455</v>
      </c>
      <c r="B78" s="52" t="s">
        <v>57</v>
      </c>
      <c r="C78" s="51" t="s">
        <v>456</v>
      </c>
      <c r="D78" s="87"/>
      <c r="E78" s="90">
        <f>VLOOKUP(C78,[1]IP!$B$9:$V$116,21,0)</f>
        <v>3583.6</v>
      </c>
      <c r="F78" s="108"/>
      <c r="G78" s="88" t="e">
        <f>VLOOKUP(C78,#REF!,4,0)</f>
        <v>#REF!</v>
      </c>
      <c r="H78" s="88" t="e">
        <f>VLOOKUP(C78,#REF!,5,0)</f>
        <v>#REF!</v>
      </c>
      <c r="I78" s="88" t="e">
        <f>VLOOKUP(C78,#REF!,6,0)</f>
        <v>#REF!</v>
      </c>
      <c r="J78" s="94"/>
      <c r="K78" s="88" t="e">
        <f t="shared" si="7"/>
        <v>#REF!</v>
      </c>
      <c r="L78" s="88">
        <v>8000</v>
      </c>
      <c r="M78" s="88">
        <f t="shared" si="8"/>
        <v>4000</v>
      </c>
      <c r="N78" s="95"/>
      <c r="O78" s="46">
        <f>VLOOKUP(C78,[1]IP!$B$9:$I$116,8,0)</f>
        <v>0</v>
      </c>
      <c r="P78" s="46" t="e">
        <f t="shared" si="5"/>
        <v>#REF!</v>
      </c>
      <c r="Q78" s="46">
        <f>VLOOKUP(C78,[1]IP!$B$9:$N$116,13,0)</f>
        <v>0</v>
      </c>
      <c r="R78" s="46">
        <f>VLOOKUP(C78,[1]IP!$B$9:$O$116,14,0)</f>
        <v>0</v>
      </c>
      <c r="T78" s="46">
        <f>VLOOKUP(C78,[1]IP!$B$9:$P$116,15,0)</f>
        <v>0</v>
      </c>
      <c r="U78" s="46">
        <f>VLOOKUP(C78,[1]IP!$B$9:$Q$116,16,0)</f>
        <v>0</v>
      </c>
      <c r="V78" s="46">
        <f>VLOOKUP(C78,[1]IP!$B$9:$S$116,18,0)</f>
        <v>0</v>
      </c>
      <c r="W78" s="46">
        <f>VLOOKUP(C78,[1]IP!$B$9:$R$116,17,0)</f>
        <v>0</v>
      </c>
      <c r="X78" s="94"/>
      <c r="Y78" s="88" t="e">
        <f t="shared" si="9"/>
        <v>#REF!</v>
      </c>
      <c r="Z78" s="46" t="e">
        <f t="shared" si="6"/>
        <v>#REF!</v>
      </c>
      <c r="AB78" s="88" t="e">
        <f>VLOOKUP(C78,[2]SINDICATO!$C$7:$Q$141,15,0)</f>
        <v>#N/A</v>
      </c>
    </row>
    <row r="79" spans="1:28" s="46" customFormat="1" x14ac:dyDescent="0.2">
      <c r="A79" s="51" t="s">
        <v>459</v>
      </c>
      <c r="B79" s="52" t="s">
        <v>57</v>
      </c>
      <c r="C79" s="51" t="s">
        <v>460</v>
      </c>
      <c r="D79" s="87"/>
      <c r="E79" s="90">
        <f>VLOOKUP(C79,[1]IP!$B$9:$V$116,21,0)</f>
        <v>1320.4</v>
      </c>
      <c r="F79" s="108"/>
      <c r="G79" s="88" t="e">
        <f>VLOOKUP(C79,#REF!,4,0)</f>
        <v>#REF!</v>
      </c>
      <c r="H79" s="88" t="e">
        <f>VLOOKUP(C79,#REF!,5,0)</f>
        <v>#REF!</v>
      </c>
      <c r="I79" s="88" t="e">
        <f>VLOOKUP(C79,#REF!,6,0)</f>
        <v>#REF!</v>
      </c>
      <c r="J79" s="94"/>
      <c r="K79" s="88" t="e">
        <f t="shared" si="7"/>
        <v>#REF!</v>
      </c>
      <c r="L79" s="88">
        <v>8000</v>
      </c>
      <c r="M79" s="88">
        <f t="shared" si="8"/>
        <v>4000</v>
      </c>
      <c r="N79" s="95"/>
      <c r="O79" s="46">
        <f>VLOOKUP(C79,[1]IP!$B$9:$I$116,8,0)</f>
        <v>0</v>
      </c>
      <c r="P79" s="46" t="e">
        <f t="shared" si="5"/>
        <v>#REF!</v>
      </c>
      <c r="Q79" s="46">
        <f>VLOOKUP(C79,[1]IP!$B$9:$N$116,13,0)</f>
        <v>1848.35</v>
      </c>
      <c r="R79" s="46">
        <f>VLOOKUP(C79,[1]IP!$B$9:$O$116,14,0)</f>
        <v>0</v>
      </c>
      <c r="T79" s="46">
        <f>VLOOKUP(C79,[1]IP!$B$9:$P$116,15,0)</f>
        <v>15</v>
      </c>
      <c r="U79" s="46">
        <f>VLOOKUP(C79,[1]IP!$B$9:$Q$116,16,0)</f>
        <v>0</v>
      </c>
      <c r="V79" s="46">
        <f>VLOOKUP(C79,[1]IP!$B$9:$S$116,18,0)</f>
        <v>0</v>
      </c>
      <c r="W79" s="46">
        <f>VLOOKUP(C79,[1]IP!$B$9:$R$116,17,0)</f>
        <v>400</v>
      </c>
      <c r="X79" s="94"/>
      <c r="Y79" s="88" t="e">
        <f t="shared" si="9"/>
        <v>#REF!</v>
      </c>
      <c r="Z79" s="46" t="e">
        <f t="shared" si="6"/>
        <v>#REF!</v>
      </c>
      <c r="AB79" s="88" t="e">
        <f>VLOOKUP(C79,[2]SINDICATO!$C$7:$Q$141,15,0)</f>
        <v>#N/A</v>
      </c>
    </row>
    <row r="80" spans="1:28" s="46" customFormat="1" x14ac:dyDescent="0.2">
      <c r="A80" s="52" t="s">
        <v>461</v>
      </c>
      <c r="B80" s="52" t="s">
        <v>57</v>
      </c>
      <c r="C80" s="52" t="s">
        <v>539</v>
      </c>
      <c r="D80" s="87"/>
      <c r="E80" s="90">
        <f>VLOOKUP(C80,[1]IP!$B$9:$V$116,21,0)</f>
        <v>3561.4</v>
      </c>
      <c r="F80" s="108"/>
      <c r="G80" s="88" t="e">
        <f>VLOOKUP(C80,#REF!,4,0)</f>
        <v>#REF!</v>
      </c>
      <c r="H80" s="88" t="e">
        <f>VLOOKUP(C80,#REF!,5,0)</f>
        <v>#REF!</v>
      </c>
      <c r="I80" s="88" t="e">
        <f>VLOOKUP(C80,#REF!,6,0)</f>
        <v>#REF!</v>
      </c>
      <c r="J80" s="94"/>
      <c r="K80" s="88" t="e">
        <f t="shared" si="7"/>
        <v>#REF!</v>
      </c>
      <c r="L80" s="46">
        <v>7900</v>
      </c>
      <c r="M80" s="46">
        <f t="shared" si="8"/>
        <v>3950</v>
      </c>
      <c r="N80" s="95"/>
      <c r="O80" s="46">
        <f>VLOOKUP(C80,[1]IP!$B$9:$I$116,8,0)</f>
        <v>0</v>
      </c>
      <c r="P80" s="46" t="e">
        <f t="shared" si="5"/>
        <v>#REF!</v>
      </c>
      <c r="Q80" s="46">
        <f>VLOOKUP(C80,[1]IP!$B$9:$N$116,13,0)</f>
        <v>428.6</v>
      </c>
      <c r="R80" s="46">
        <f>VLOOKUP(C80,[1]IP!$B$9:$O$116,14,0)</f>
        <v>0</v>
      </c>
      <c r="T80" s="46">
        <f>VLOOKUP(C80,[1]IP!$B$9:$P$116,15,0)</f>
        <v>15</v>
      </c>
      <c r="U80" s="46">
        <f>VLOOKUP(C80,[1]IP!$B$9:$Q$116,16,0)</f>
        <v>0</v>
      </c>
      <c r="V80" s="46">
        <f>VLOOKUP(C80,[1]IP!$B$9:$S$116,18,0)</f>
        <v>0</v>
      </c>
      <c r="W80" s="46">
        <f>VLOOKUP(C80,[1]IP!$B$9:$R$116,17,0)</f>
        <v>0</v>
      </c>
      <c r="X80" s="94"/>
      <c r="Y80" s="88" t="e">
        <f t="shared" si="9"/>
        <v>#REF!</v>
      </c>
      <c r="Z80" s="110" t="e">
        <f t="shared" si="6"/>
        <v>#REF!</v>
      </c>
      <c r="AA80" s="110" t="s">
        <v>635</v>
      </c>
      <c r="AB80" s="88">
        <f>VLOOKUP(C80,[2]SINDICATO!$C$7:$Q$141,15,0)</f>
        <v>0</v>
      </c>
    </row>
    <row r="81" spans="1:28" s="46" customFormat="1" x14ac:dyDescent="0.2">
      <c r="A81" s="51" t="s">
        <v>464</v>
      </c>
      <c r="B81" s="52" t="s">
        <v>57</v>
      </c>
      <c r="C81" s="51" t="s">
        <v>465</v>
      </c>
      <c r="D81" s="87"/>
      <c r="E81" s="90">
        <f>VLOOKUP(C81,[1]IP!$B$9:$V$116,21,0)</f>
        <v>5952.2</v>
      </c>
      <c r="F81" s="108"/>
      <c r="G81" s="88" t="e">
        <f>VLOOKUP(C81,#REF!,4,0)</f>
        <v>#REF!</v>
      </c>
      <c r="H81" s="88" t="e">
        <f>VLOOKUP(C81,#REF!,5,0)</f>
        <v>#REF!</v>
      </c>
      <c r="I81" s="88" t="e">
        <f>VLOOKUP(C81,#REF!,6,0)</f>
        <v>#REF!</v>
      </c>
      <c r="J81" s="94"/>
      <c r="K81" s="88" t="e">
        <f t="shared" si="7"/>
        <v>#REF!</v>
      </c>
      <c r="L81" s="88">
        <v>14000</v>
      </c>
      <c r="M81" s="88">
        <f t="shared" si="8"/>
        <v>7000</v>
      </c>
      <c r="N81" s="95"/>
      <c r="O81" s="46">
        <f>VLOOKUP(C81,[1]IP!$B$9:$I$116,8,0)</f>
        <v>0</v>
      </c>
      <c r="P81" s="46" t="e">
        <f t="shared" si="5"/>
        <v>#REF!</v>
      </c>
      <c r="Q81" s="46">
        <f>VLOOKUP(C81,[1]IP!$B$9:$N$116,13,0)</f>
        <v>0</v>
      </c>
      <c r="R81" s="46">
        <f>VLOOKUP(C81,[1]IP!$B$9:$O$116,14,0)</f>
        <v>0</v>
      </c>
      <c r="T81" s="46">
        <f>VLOOKUP(C81,[1]IP!$B$9:$P$116,15,0)</f>
        <v>0</v>
      </c>
      <c r="U81" s="46">
        <f>VLOOKUP(C81,[1]IP!$B$9:$Q$116,16,0)</f>
        <v>0</v>
      </c>
      <c r="V81" s="46">
        <f>VLOOKUP(C81,[1]IP!$B$9:$S$116,18,0)</f>
        <v>0</v>
      </c>
      <c r="W81" s="46">
        <f>VLOOKUP(C81,[1]IP!$B$9:$R$116,17,0)</f>
        <v>0</v>
      </c>
      <c r="X81" s="94"/>
      <c r="Y81" s="88" t="e">
        <f t="shared" si="9"/>
        <v>#REF!</v>
      </c>
      <c r="Z81" s="46" t="e">
        <f t="shared" si="6"/>
        <v>#REF!</v>
      </c>
      <c r="AB81" s="88" t="e">
        <f>VLOOKUP(C81,[2]SINDICATO!$C$7:$Q$141,15,0)</f>
        <v>#N/A</v>
      </c>
    </row>
    <row r="82" spans="1:28" s="46" customFormat="1" x14ac:dyDescent="0.2">
      <c r="A82" s="51" t="s">
        <v>466</v>
      </c>
      <c r="B82" s="52" t="s">
        <v>57</v>
      </c>
      <c r="C82" s="51" t="s">
        <v>540</v>
      </c>
      <c r="D82" s="87"/>
      <c r="E82" s="90">
        <f>VLOOKUP(C82,[1]IP!$B$9:$V$116,21,0)</f>
        <v>2895</v>
      </c>
      <c r="F82" s="108"/>
      <c r="G82" s="88" t="e">
        <f>VLOOKUP(C82,#REF!,4,0)</f>
        <v>#REF!</v>
      </c>
      <c r="H82" s="88" t="e">
        <f>VLOOKUP(C82,#REF!,5,0)</f>
        <v>#REF!</v>
      </c>
      <c r="I82" s="88" t="e">
        <f>VLOOKUP(C82,#REF!,6,0)</f>
        <v>#REF!</v>
      </c>
      <c r="J82" s="94"/>
      <c r="K82" s="88" t="e">
        <f t="shared" si="7"/>
        <v>#REF!</v>
      </c>
      <c r="L82" s="88">
        <v>8000</v>
      </c>
      <c r="M82" s="88">
        <f t="shared" si="8"/>
        <v>4000</v>
      </c>
      <c r="N82" s="95"/>
      <c r="O82" s="46">
        <f>VLOOKUP(C82,[1]IP!$B$9:$I$116,8,0)</f>
        <v>0</v>
      </c>
      <c r="P82" s="46" t="e">
        <f t="shared" si="5"/>
        <v>#REF!</v>
      </c>
      <c r="Q82" s="46">
        <f>VLOOKUP(C82,[1]IP!$B$9:$N$116,13,0)</f>
        <v>0</v>
      </c>
      <c r="R82" s="46">
        <f>VLOOKUP(C82,[1]IP!$B$9:$O$116,14,0)</f>
        <v>0</v>
      </c>
      <c r="T82" s="46">
        <f>VLOOKUP(C82,[1]IP!$B$9:$P$116,15,0)</f>
        <v>0</v>
      </c>
      <c r="U82" s="46">
        <f>VLOOKUP(C82,[1]IP!$B$9:$Q$116,16,0)</f>
        <v>0</v>
      </c>
      <c r="V82" s="46">
        <f>VLOOKUP(C82,[1]IP!$B$9:$S$116,18,0)</f>
        <v>0</v>
      </c>
      <c r="W82" s="46">
        <f>VLOOKUP(C82,[1]IP!$B$9:$R$116,17,0)</f>
        <v>688.8</v>
      </c>
      <c r="X82" s="94"/>
      <c r="Y82" s="88" t="e">
        <f t="shared" si="9"/>
        <v>#REF!</v>
      </c>
      <c r="Z82" s="46" t="e">
        <f t="shared" si="6"/>
        <v>#REF!</v>
      </c>
      <c r="AB82" s="88" t="e">
        <f>VLOOKUP(C82,[2]SINDICATO!$C$7:$Q$141,15,0)</f>
        <v>#N/A</v>
      </c>
    </row>
    <row r="83" spans="1:28" s="46" customFormat="1" x14ac:dyDescent="0.2">
      <c r="A83" s="51" t="s">
        <v>469</v>
      </c>
      <c r="B83" s="52" t="s">
        <v>57</v>
      </c>
      <c r="C83" s="51" t="s">
        <v>470</v>
      </c>
      <c r="D83" s="87"/>
      <c r="E83" s="90">
        <f>VLOOKUP(C83,[1]IP!$B$9:$V$116,21,0)</f>
        <v>3583.6</v>
      </c>
      <c r="F83" s="108"/>
      <c r="G83" s="88" t="e">
        <f>VLOOKUP(C83,#REF!,4,0)</f>
        <v>#REF!</v>
      </c>
      <c r="H83" s="88" t="e">
        <f>VLOOKUP(C83,#REF!,5,0)</f>
        <v>#REF!</v>
      </c>
      <c r="I83" s="88" t="e">
        <f>VLOOKUP(C83,#REF!,6,0)</f>
        <v>#REF!</v>
      </c>
      <c r="J83" s="94"/>
      <c r="K83" s="88" t="e">
        <f t="shared" si="7"/>
        <v>#REF!</v>
      </c>
      <c r="L83" s="88">
        <v>8000</v>
      </c>
      <c r="M83" s="88">
        <f t="shared" si="8"/>
        <v>4000</v>
      </c>
      <c r="N83" s="95"/>
      <c r="O83" s="46">
        <f>VLOOKUP(C83,[1]IP!$B$9:$I$116,8,0)</f>
        <v>0</v>
      </c>
      <c r="P83" s="46" t="e">
        <f t="shared" si="5"/>
        <v>#REF!</v>
      </c>
      <c r="Q83" s="46">
        <f>VLOOKUP(C83,[1]IP!$B$9:$N$116,13,0)</f>
        <v>0</v>
      </c>
      <c r="R83" s="46">
        <f>VLOOKUP(C83,[1]IP!$B$9:$O$116,14,0)</f>
        <v>0</v>
      </c>
      <c r="T83" s="46">
        <f>VLOOKUP(C83,[1]IP!$B$9:$P$116,15,0)</f>
        <v>0</v>
      </c>
      <c r="U83" s="46">
        <f>VLOOKUP(C83,[1]IP!$B$9:$Q$116,16,0)</f>
        <v>0</v>
      </c>
      <c r="V83" s="46">
        <f>VLOOKUP(C83,[1]IP!$B$9:$S$116,18,0)</f>
        <v>0</v>
      </c>
      <c r="W83" s="46">
        <f>VLOOKUP(C83,[1]IP!$B$9:$R$116,17,0)</f>
        <v>0</v>
      </c>
      <c r="X83" s="94"/>
      <c r="Y83" s="88" t="e">
        <f t="shared" si="9"/>
        <v>#REF!</v>
      </c>
      <c r="Z83" s="46" t="e">
        <f t="shared" si="6"/>
        <v>#REF!</v>
      </c>
      <c r="AB83" s="88" t="e">
        <f>VLOOKUP(C83,[2]SINDICATO!$C$7:$Q$141,15,0)</f>
        <v>#N/A</v>
      </c>
    </row>
    <row r="84" spans="1:28" s="46" customFormat="1" x14ac:dyDescent="0.2">
      <c r="A84" s="51" t="s">
        <v>471</v>
      </c>
      <c r="B84" s="52" t="s">
        <v>57</v>
      </c>
      <c r="C84" s="51" t="s">
        <v>472</v>
      </c>
      <c r="D84" s="87"/>
      <c r="E84" s="90">
        <f>VLOOKUP(C84,[1]IP!$B$9:$V$116,21,0)</f>
        <v>2864.8</v>
      </c>
      <c r="F84" s="108"/>
      <c r="G84" s="88" t="e">
        <f>VLOOKUP(C84,#REF!,4,0)</f>
        <v>#REF!</v>
      </c>
      <c r="H84" s="88" t="e">
        <f>VLOOKUP(C84,#REF!,5,0)</f>
        <v>#REF!</v>
      </c>
      <c r="I84" s="88" t="e">
        <f>VLOOKUP(C84,#REF!,6,0)</f>
        <v>#REF!</v>
      </c>
      <c r="J84" s="94"/>
      <c r="K84" s="88" t="e">
        <f t="shared" si="7"/>
        <v>#REF!</v>
      </c>
      <c r="L84" s="88">
        <v>6000</v>
      </c>
      <c r="M84" s="88">
        <f t="shared" si="8"/>
        <v>3000</v>
      </c>
      <c r="N84" s="95"/>
      <c r="O84" s="46">
        <f>VLOOKUP(C84,[1]IP!$B$9:$I$116,8,0)</f>
        <v>0</v>
      </c>
      <c r="P84" s="46" t="e">
        <f t="shared" si="5"/>
        <v>#REF!</v>
      </c>
      <c r="Q84" s="46">
        <f>VLOOKUP(C84,[1]IP!$B$9:$N$116,13,0)</f>
        <v>0</v>
      </c>
      <c r="R84" s="46">
        <f>VLOOKUP(C84,[1]IP!$B$9:$O$116,14,0)</f>
        <v>0</v>
      </c>
      <c r="T84" s="46">
        <f>VLOOKUP(C84,[1]IP!$B$9:$P$116,15,0)</f>
        <v>0</v>
      </c>
      <c r="U84" s="46">
        <f>VLOOKUP(C84,[1]IP!$B$9:$Q$116,16,0)</f>
        <v>0</v>
      </c>
      <c r="V84" s="46">
        <f>VLOOKUP(C84,[1]IP!$B$9:$S$116,18,0)</f>
        <v>0</v>
      </c>
      <c r="W84" s="46">
        <f>VLOOKUP(C84,[1]IP!$B$9:$R$116,17,0)</f>
        <v>0</v>
      </c>
      <c r="X84" s="94"/>
      <c r="Y84" s="88" t="e">
        <f t="shared" si="9"/>
        <v>#REF!</v>
      </c>
      <c r="AB84" s="88" t="e">
        <f>VLOOKUP(C84,[2]SINDICATO!$C$7:$Q$141,15,0)</f>
        <v>#N/A</v>
      </c>
    </row>
    <row r="85" spans="1:28" s="46" customFormat="1" x14ac:dyDescent="0.2">
      <c r="A85" s="51" t="s">
        <v>473</v>
      </c>
      <c r="B85" s="52" t="s">
        <v>57</v>
      </c>
      <c r="C85" s="51" t="s">
        <v>474</v>
      </c>
      <c r="D85" s="87"/>
      <c r="E85" s="90">
        <f>VLOOKUP(C85,[1]IP!$B$9:$V$116,21,0)</f>
        <v>3583.8</v>
      </c>
      <c r="F85" s="108"/>
      <c r="G85" s="88" t="e">
        <f>VLOOKUP(C85,#REF!,4,0)</f>
        <v>#REF!</v>
      </c>
      <c r="H85" s="88" t="e">
        <f>VLOOKUP(C85,#REF!,5,0)</f>
        <v>#REF!</v>
      </c>
      <c r="I85" s="88" t="e">
        <f>VLOOKUP(C85,#REF!,6,0)</f>
        <v>#REF!</v>
      </c>
      <c r="J85" s="94"/>
      <c r="K85" s="88" t="e">
        <f t="shared" si="7"/>
        <v>#REF!</v>
      </c>
      <c r="L85" s="88">
        <v>8000</v>
      </c>
      <c r="M85" s="88">
        <f t="shared" si="8"/>
        <v>4000</v>
      </c>
      <c r="N85" s="95"/>
      <c r="O85" s="46">
        <f>VLOOKUP(C85,[1]IP!$B$9:$I$116,8,0)</f>
        <v>0</v>
      </c>
      <c r="P85" s="46" t="e">
        <f t="shared" si="5"/>
        <v>#REF!</v>
      </c>
      <c r="Q85" s="46">
        <f>VLOOKUP(C85,[1]IP!$B$9:$N$116,13,0)</f>
        <v>0</v>
      </c>
      <c r="R85" s="46">
        <f>VLOOKUP(C85,[1]IP!$B$9:$O$116,14,0)</f>
        <v>0</v>
      </c>
      <c r="T85" s="46">
        <f>VLOOKUP(C85,[1]IP!$B$9:$P$116,15,0)</f>
        <v>0</v>
      </c>
      <c r="U85" s="46">
        <f>VLOOKUP(C85,[1]IP!$B$9:$Q$116,16,0)</f>
        <v>0</v>
      </c>
      <c r="V85" s="46">
        <f>VLOOKUP(C85,[1]IP!$B$9:$S$116,18,0)</f>
        <v>0</v>
      </c>
      <c r="W85" s="46">
        <f>VLOOKUP(C85,[1]IP!$B$9:$R$116,17,0)</f>
        <v>0</v>
      </c>
      <c r="X85" s="94"/>
      <c r="Y85" s="88" t="e">
        <f t="shared" si="9"/>
        <v>#REF!</v>
      </c>
      <c r="Z85" s="46" t="e">
        <f t="shared" ref="Z85:Z111" si="10">+M85-Y85</f>
        <v>#REF!</v>
      </c>
      <c r="AB85" s="88" t="e">
        <f>VLOOKUP(C85,[2]SINDICATO!$C$7:$Q$141,15,0)</f>
        <v>#N/A</v>
      </c>
    </row>
    <row r="86" spans="1:28" s="46" customFormat="1" x14ac:dyDescent="0.2">
      <c r="A86" s="51" t="s">
        <v>475</v>
      </c>
      <c r="B86" s="52" t="s">
        <v>57</v>
      </c>
      <c r="C86" s="51" t="s">
        <v>476</v>
      </c>
      <c r="D86" s="87"/>
      <c r="E86" s="90">
        <f>VLOOKUP(C86,[1]IP!$B$9:$V$116,21,0)</f>
        <v>3585.4</v>
      </c>
      <c r="F86" s="108"/>
      <c r="G86" s="88" t="e">
        <f>VLOOKUP(C86,#REF!,4,0)</f>
        <v>#REF!</v>
      </c>
      <c r="H86" s="88" t="e">
        <f>VLOOKUP(C86,#REF!,5,0)</f>
        <v>#REF!</v>
      </c>
      <c r="I86" s="88" t="e">
        <f>VLOOKUP(C86,#REF!,6,0)</f>
        <v>#REF!</v>
      </c>
      <c r="J86" s="94"/>
      <c r="K86" s="88" t="e">
        <f t="shared" si="7"/>
        <v>#REF!</v>
      </c>
      <c r="L86" s="88">
        <v>8000</v>
      </c>
      <c r="M86" s="88">
        <f t="shared" si="8"/>
        <v>4000</v>
      </c>
      <c r="N86" s="95"/>
      <c r="O86" s="46">
        <f>VLOOKUP(C86,[1]IP!$B$9:$I$116,8,0)</f>
        <v>0</v>
      </c>
      <c r="P86" s="46" t="e">
        <f t="shared" si="5"/>
        <v>#REF!</v>
      </c>
      <c r="Q86" s="46">
        <f>VLOOKUP(C86,[1]IP!$B$9:$N$116,13,0)</f>
        <v>0</v>
      </c>
      <c r="R86" s="46">
        <f>VLOOKUP(C86,[1]IP!$B$9:$O$116,14,0)</f>
        <v>0</v>
      </c>
      <c r="T86" s="46">
        <f>VLOOKUP(C86,[1]IP!$B$9:$P$116,15,0)</f>
        <v>0</v>
      </c>
      <c r="U86" s="46">
        <f>VLOOKUP(C86,[1]IP!$B$9:$Q$116,16,0)</f>
        <v>0</v>
      </c>
      <c r="V86" s="46">
        <f>VLOOKUP(C86,[1]IP!$B$9:$S$116,18,0)</f>
        <v>0</v>
      </c>
      <c r="W86" s="46">
        <f>VLOOKUP(C86,[1]IP!$B$9:$R$116,17,0)</f>
        <v>0</v>
      </c>
      <c r="X86" s="94"/>
      <c r="Y86" s="88" t="e">
        <f t="shared" si="9"/>
        <v>#REF!</v>
      </c>
      <c r="Z86" s="46" t="e">
        <f t="shared" si="10"/>
        <v>#REF!</v>
      </c>
      <c r="AA86" s="112"/>
      <c r="AB86" s="88" t="e">
        <f>VLOOKUP(C86,[2]SINDICATO!$C$7:$Q$141,15,0)</f>
        <v>#N/A</v>
      </c>
    </row>
    <row r="87" spans="1:28" s="46" customFormat="1" x14ac:dyDescent="0.2">
      <c r="A87" s="51" t="s">
        <v>477</v>
      </c>
      <c r="B87" s="52" t="s">
        <v>57</v>
      </c>
      <c r="C87" s="51" t="s">
        <v>478</v>
      </c>
      <c r="D87" s="87"/>
      <c r="E87" s="90">
        <f>VLOOKUP(C87,[1]IP!$B$9:$V$116,21,0)</f>
        <v>3585.4</v>
      </c>
      <c r="F87" s="108"/>
      <c r="G87" s="88" t="e">
        <f>VLOOKUP(C87,#REF!,4,0)</f>
        <v>#REF!</v>
      </c>
      <c r="H87" s="88" t="e">
        <f>VLOOKUP(C87,#REF!,5,0)</f>
        <v>#REF!</v>
      </c>
      <c r="I87" s="88" t="e">
        <f>VLOOKUP(C87,#REF!,6,0)</f>
        <v>#REF!</v>
      </c>
      <c r="J87" s="94"/>
      <c r="K87" s="88" t="e">
        <f t="shared" si="7"/>
        <v>#REF!</v>
      </c>
      <c r="L87" s="88">
        <v>8000</v>
      </c>
      <c r="M87" s="88">
        <f t="shared" si="8"/>
        <v>4000</v>
      </c>
      <c r="N87" s="95"/>
      <c r="O87" s="46">
        <f>VLOOKUP(C87,[1]IP!$B$9:$I$116,8,0)</f>
        <v>0</v>
      </c>
      <c r="P87" s="46" t="e">
        <f t="shared" si="5"/>
        <v>#REF!</v>
      </c>
      <c r="Q87" s="46">
        <f>VLOOKUP(C87,[1]IP!$B$9:$N$116,13,0)</f>
        <v>0</v>
      </c>
      <c r="R87" s="46">
        <f>VLOOKUP(C87,[1]IP!$B$9:$O$116,14,0)</f>
        <v>0</v>
      </c>
      <c r="T87" s="46">
        <f>VLOOKUP(C87,[1]IP!$B$9:$P$116,15,0)</f>
        <v>0</v>
      </c>
      <c r="U87" s="46">
        <f>VLOOKUP(C87,[1]IP!$B$9:$Q$116,16,0)</f>
        <v>0</v>
      </c>
      <c r="V87" s="46">
        <f>VLOOKUP(C87,[1]IP!$B$9:$S$116,18,0)</f>
        <v>0</v>
      </c>
      <c r="W87" s="46">
        <f>VLOOKUP(C87,[1]IP!$B$9:$R$116,17,0)</f>
        <v>0</v>
      </c>
      <c r="X87" s="94"/>
      <c r="Y87" s="88" t="e">
        <f t="shared" si="9"/>
        <v>#REF!</v>
      </c>
      <c r="Z87" s="46" t="e">
        <f t="shared" si="10"/>
        <v>#REF!</v>
      </c>
      <c r="AA87" s="115"/>
      <c r="AB87" s="88" t="e">
        <f>VLOOKUP(C87,[2]SINDICATO!$C$7:$Q$141,15,0)</f>
        <v>#N/A</v>
      </c>
    </row>
    <row r="88" spans="1:28" s="46" customFormat="1" x14ac:dyDescent="0.2">
      <c r="A88" s="51" t="s">
        <v>481</v>
      </c>
      <c r="B88" s="52" t="s">
        <v>57</v>
      </c>
      <c r="C88" s="51" t="s">
        <v>479</v>
      </c>
      <c r="D88" s="87"/>
      <c r="E88" s="90">
        <f>VLOOKUP(C88,[1]IP!$B$9:$V$116,21,0)</f>
        <v>1831</v>
      </c>
      <c r="F88" s="108"/>
      <c r="G88" s="88" t="e">
        <f>VLOOKUP(C88,#REF!,4,0)</f>
        <v>#REF!</v>
      </c>
      <c r="H88" s="88" t="e">
        <f>VLOOKUP(C88,#REF!,5,0)</f>
        <v>#REF!</v>
      </c>
      <c r="I88" s="88" t="e">
        <f>VLOOKUP(C88,#REF!,6,0)</f>
        <v>#REF!</v>
      </c>
      <c r="J88" s="94"/>
      <c r="K88" s="88" t="e">
        <f t="shared" si="7"/>
        <v>#REF!</v>
      </c>
      <c r="L88" s="88">
        <v>6000</v>
      </c>
      <c r="M88" s="88">
        <f t="shared" si="8"/>
        <v>3000</v>
      </c>
      <c r="N88" s="95"/>
      <c r="O88" s="46">
        <f>VLOOKUP(C88,[1]IP!$B$9:$I$116,8,0)</f>
        <v>0</v>
      </c>
      <c r="P88" s="46" t="e">
        <f t="shared" si="5"/>
        <v>#REF!</v>
      </c>
      <c r="Q88" s="46">
        <f>VLOOKUP(C88,[1]IP!$B$9:$N$116,13,0)</f>
        <v>1018.71</v>
      </c>
      <c r="R88" s="46">
        <f>VLOOKUP(C88,[1]IP!$B$9:$O$116,14,0)</f>
        <v>0</v>
      </c>
      <c r="T88" s="46">
        <f>VLOOKUP(C88,[1]IP!$B$9:$P$116,15,0)</f>
        <v>15</v>
      </c>
      <c r="U88" s="46">
        <f>VLOOKUP(C88,[1]IP!$B$9:$Q$116,16,0)</f>
        <v>0</v>
      </c>
      <c r="V88" s="46">
        <f>VLOOKUP(C88,[1]IP!$B$9:$S$116,18,0)</f>
        <v>0</v>
      </c>
      <c r="W88" s="46">
        <f>VLOOKUP(C88,[1]IP!$B$9:$R$116,17,0)</f>
        <v>0</v>
      </c>
      <c r="X88" s="94"/>
      <c r="Y88" s="88" t="e">
        <f t="shared" si="9"/>
        <v>#REF!</v>
      </c>
      <c r="Z88" s="46" t="e">
        <f t="shared" si="10"/>
        <v>#REF!</v>
      </c>
      <c r="AA88" s="116"/>
      <c r="AB88" s="88">
        <f>VLOOKUP(C88,[2]SINDICATO!$C$7:$Q$141,15,0)</f>
        <v>0</v>
      </c>
    </row>
    <row r="89" spans="1:28" s="46" customFormat="1" x14ac:dyDescent="0.2">
      <c r="A89" s="51" t="s">
        <v>482</v>
      </c>
      <c r="B89" s="52" t="s">
        <v>57</v>
      </c>
      <c r="C89" s="51" t="s">
        <v>480</v>
      </c>
      <c r="D89" s="87"/>
      <c r="E89" s="90">
        <f>VLOOKUP(C89,[1]IP!$B$9:$V$116,21,0)</f>
        <v>3583.6</v>
      </c>
      <c r="F89" s="108"/>
      <c r="G89" s="88" t="e">
        <f>VLOOKUP(C89,#REF!,4,0)</f>
        <v>#REF!</v>
      </c>
      <c r="H89" s="88" t="e">
        <f>VLOOKUP(C89,#REF!,5,0)</f>
        <v>#REF!</v>
      </c>
      <c r="I89" s="88" t="e">
        <f>VLOOKUP(C89,#REF!,6,0)</f>
        <v>#REF!</v>
      </c>
      <c r="J89" s="94"/>
      <c r="K89" s="88" t="e">
        <f t="shared" si="7"/>
        <v>#REF!</v>
      </c>
      <c r="L89" s="88">
        <v>8000</v>
      </c>
      <c r="M89" s="88">
        <f t="shared" si="8"/>
        <v>4000</v>
      </c>
      <c r="N89" s="95"/>
      <c r="O89" s="46">
        <f>VLOOKUP(C89,[1]IP!$B$9:$I$116,8,0)</f>
        <v>0</v>
      </c>
      <c r="P89" s="46" t="e">
        <f t="shared" si="5"/>
        <v>#REF!</v>
      </c>
      <c r="Q89" s="46">
        <f>VLOOKUP(C89,[1]IP!$B$9:$N$116,13,0)</f>
        <v>0</v>
      </c>
      <c r="R89" s="46">
        <f>VLOOKUP(C89,[1]IP!$B$9:$O$116,14,0)</f>
        <v>0</v>
      </c>
      <c r="T89" s="46">
        <f>VLOOKUP(C89,[1]IP!$B$9:$P$116,15,0)</f>
        <v>0</v>
      </c>
      <c r="U89" s="46">
        <f>VLOOKUP(C89,[1]IP!$B$9:$Q$116,16,0)</f>
        <v>0</v>
      </c>
      <c r="V89" s="46">
        <f>VLOOKUP(C89,[1]IP!$B$9:$S$116,18,0)</f>
        <v>0</v>
      </c>
      <c r="W89" s="46">
        <f>VLOOKUP(C89,[1]IP!$B$9:$R$116,17,0)</f>
        <v>0</v>
      </c>
      <c r="X89" s="94"/>
      <c r="Y89" s="88" t="e">
        <f t="shared" si="9"/>
        <v>#REF!</v>
      </c>
      <c r="Z89" s="46" t="e">
        <f t="shared" si="10"/>
        <v>#REF!</v>
      </c>
      <c r="AA89" s="112"/>
      <c r="AB89" s="88" t="e">
        <f>VLOOKUP(C89,[2]SINDICATO!$C$7:$Q$141,15,0)</f>
        <v>#N/A</v>
      </c>
    </row>
    <row r="90" spans="1:28" s="46" customFormat="1" x14ac:dyDescent="0.2">
      <c r="A90" s="52" t="s">
        <v>637</v>
      </c>
      <c r="B90" s="52" t="s">
        <v>57</v>
      </c>
      <c r="C90" s="52" t="s">
        <v>379</v>
      </c>
      <c r="D90" s="87"/>
      <c r="E90" s="90">
        <f>VLOOKUP(C90,[1]IP!$B$9:$V$116,21,0)</f>
        <v>2237.8000000000002</v>
      </c>
      <c r="F90" s="108"/>
      <c r="G90" s="88" t="e">
        <f>VLOOKUP(C90,#REF!,4,0)</f>
        <v>#REF!</v>
      </c>
      <c r="H90" s="88" t="e">
        <f>VLOOKUP(C90,#REF!,5,0)</f>
        <v>#REF!</v>
      </c>
      <c r="I90" s="88" t="e">
        <f>VLOOKUP(C90,#REF!,6,0)</f>
        <v>#REF!</v>
      </c>
      <c r="J90" s="94"/>
      <c r="K90" s="88" t="e">
        <f t="shared" si="7"/>
        <v>#REF!</v>
      </c>
      <c r="L90" s="46">
        <v>9000</v>
      </c>
      <c r="M90" s="46">
        <f t="shared" si="8"/>
        <v>4500</v>
      </c>
      <c r="N90" s="95"/>
      <c r="O90" s="46">
        <f>VLOOKUP(C90,[1]IP!$B$9:$I$116,8,0)</f>
        <v>0</v>
      </c>
      <c r="P90" s="46" t="e">
        <f t="shared" si="5"/>
        <v>#REF!</v>
      </c>
      <c r="Q90" s="46">
        <f>VLOOKUP(C90,[1]IP!$B$9:$N$116,13,0)</f>
        <v>0</v>
      </c>
      <c r="R90" s="46">
        <f>VLOOKUP(C90,[1]IP!$B$9:$O$116,14,0)</f>
        <v>0</v>
      </c>
      <c r="T90" s="46">
        <f>VLOOKUP(C90,[1]IP!$B$9:$P$116,15,0)</f>
        <v>0</v>
      </c>
      <c r="U90" s="46">
        <f>VLOOKUP(C90,[1]IP!$B$9:$Q$116,16,0)</f>
        <v>0</v>
      </c>
      <c r="V90" s="46">
        <f>VLOOKUP(C90,[1]IP!$B$9:$S$116,18,0)</f>
        <v>0</v>
      </c>
      <c r="W90" s="46">
        <f>VLOOKUP(C90,[1]IP!$B$9:$R$116,17,0)</f>
        <v>0</v>
      </c>
      <c r="X90" s="94"/>
      <c r="Y90" s="88" t="e">
        <f t="shared" si="9"/>
        <v>#REF!</v>
      </c>
      <c r="Z90" s="46" t="e">
        <f t="shared" si="10"/>
        <v>#REF!</v>
      </c>
      <c r="AB90" s="88" t="e">
        <f>VLOOKUP(C90,[2]SINDICATO!$C$7:$Q$141,15,0)</f>
        <v>#N/A</v>
      </c>
    </row>
    <row r="91" spans="1:28" s="88" customFormat="1" x14ac:dyDescent="0.2">
      <c r="A91" s="58" t="s">
        <v>638</v>
      </c>
      <c r="B91" s="52" t="s">
        <v>57</v>
      </c>
      <c r="C91" s="58" t="s">
        <v>340</v>
      </c>
      <c r="D91" s="87"/>
      <c r="E91" s="90">
        <f>VLOOKUP(C91,[1]IP!$B$9:$V$116,21,0)</f>
        <v>1459.6</v>
      </c>
      <c r="F91" s="108"/>
      <c r="G91" s="88" t="e">
        <f>VLOOKUP(C91,#REF!,4,0)</f>
        <v>#REF!</v>
      </c>
      <c r="H91" s="88" t="e">
        <f>VLOOKUP(C91,#REF!,5,0)</f>
        <v>#REF!</v>
      </c>
      <c r="I91" s="88" t="e">
        <f>VLOOKUP(C91,#REF!,6,0)</f>
        <v>#REF!</v>
      </c>
      <c r="J91" s="94"/>
      <c r="K91" s="88" t="e">
        <f t="shared" si="7"/>
        <v>#REF!</v>
      </c>
      <c r="L91" s="88">
        <f>VLOOKUP(C91,[2]ABC!$A$3:$B$88,2,0)</f>
        <v>9000</v>
      </c>
      <c r="M91" s="88">
        <f t="shared" si="8"/>
        <v>4500</v>
      </c>
      <c r="N91" s="95"/>
      <c r="O91" s="46">
        <f>VLOOKUP(C91,[1]IP!$B$9:$I$116,8,0)</f>
        <v>0</v>
      </c>
      <c r="P91" s="46" t="e">
        <f t="shared" si="5"/>
        <v>#REF!</v>
      </c>
      <c r="Q91" s="46">
        <f>VLOOKUP(C91,[1]IP!$B$9:$N$116,13,0)</f>
        <v>0</v>
      </c>
      <c r="R91" s="46">
        <f>VLOOKUP(C91,[1]IP!$B$9:$O$116,14,0)</f>
        <v>763.03</v>
      </c>
      <c r="S91" s="46"/>
      <c r="T91" s="46">
        <f>VLOOKUP(C91,[1]IP!$B$9:$P$116,15,0)</f>
        <v>15</v>
      </c>
      <c r="U91" s="46">
        <f>VLOOKUP(C91,[1]IP!$B$9:$Q$116,16,0)</f>
        <v>0</v>
      </c>
      <c r="V91" s="46">
        <f>VLOOKUP(C91,[1]IP!$B$9:$S$116,18,0)</f>
        <v>0</v>
      </c>
      <c r="W91" s="46">
        <f>VLOOKUP(C91,[1]IP!$B$9:$R$116,17,0)</f>
        <v>0</v>
      </c>
      <c r="X91" s="94"/>
      <c r="Y91" s="88" t="e">
        <f t="shared" si="9"/>
        <v>#REF!</v>
      </c>
      <c r="Z91" s="46" t="e">
        <f t="shared" si="10"/>
        <v>#REF!</v>
      </c>
      <c r="AA91" s="117"/>
      <c r="AB91" s="88" t="e">
        <f>VLOOKUP(C91,[2]SINDICATO!$C$7:$Q$141,15,0)</f>
        <v>#N/A</v>
      </c>
    </row>
    <row r="92" spans="1:28" s="88" customFormat="1" x14ac:dyDescent="0.2">
      <c r="A92" s="58" t="s">
        <v>639</v>
      </c>
      <c r="B92" s="52" t="s">
        <v>57</v>
      </c>
      <c r="C92" s="51" t="s">
        <v>345</v>
      </c>
      <c r="D92" s="87"/>
      <c r="E92" s="90">
        <f>VLOOKUP(C92,[1]IP!$B$9:$V$116,21,0)</f>
        <v>1065.8</v>
      </c>
      <c r="F92" s="108"/>
      <c r="G92" s="88" t="e">
        <f>VLOOKUP(C92,#REF!,4,0)</f>
        <v>#REF!</v>
      </c>
      <c r="H92" s="88" t="e">
        <f>VLOOKUP(C92,#REF!,5,0)</f>
        <v>#REF!</v>
      </c>
      <c r="I92" s="88" t="e">
        <f>VLOOKUP(C92,#REF!,6,0)</f>
        <v>#REF!</v>
      </c>
      <c r="J92" s="94"/>
      <c r="K92" s="88" t="e">
        <f t="shared" si="7"/>
        <v>#REF!</v>
      </c>
      <c r="L92" s="88">
        <f>VLOOKUP(C92,[2]ABC!$A$3:$B$88,2,0)</f>
        <v>12000</v>
      </c>
      <c r="M92" s="88">
        <f t="shared" si="8"/>
        <v>6000</v>
      </c>
      <c r="N92" s="95"/>
      <c r="O92" s="46">
        <f>VLOOKUP(C92,[1]IP!$B$9:$I$116,8,0)</f>
        <v>0</v>
      </c>
      <c r="P92" s="46" t="e">
        <f t="shared" si="5"/>
        <v>#REF!</v>
      </c>
      <c r="Q92" s="46">
        <f>VLOOKUP(C92,[1]IP!$B$9:$N$116,13,0)</f>
        <v>2034.26</v>
      </c>
      <c r="R92" s="46">
        <f>VLOOKUP(C92,[1]IP!$B$9:$O$116,14,0)</f>
        <v>0</v>
      </c>
      <c r="S92" s="46"/>
      <c r="T92" s="46">
        <f>VLOOKUP(C92,[1]IP!$B$9:$P$116,15,0)</f>
        <v>15</v>
      </c>
      <c r="U92" s="46">
        <f>VLOOKUP(C92,[1]IP!$B$9:$Q$116,16,0)</f>
        <v>0</v>
      </c>
      <c r="V92" s="46">
        <f>VLOOKUP(C92,[1]IP!$B$9:$S$116,18,0)</f>
        <v>0</v>
      </c>
      <c r="W92" s="46">
        <f>VLOOKUP(C92,[1]IP!$B$9:$R$116,17,0)</f>
        <v>0</v>
      </c>
      <c r="X92" s="94"/>
      <c r="Y92" s="88" t="e">
        <f t="shared" si="9"/>
        <v>#REF!</v>
      </c>
      <c r="Z92" s="46" t="e">
        <f t="shared" si="10"/>
        <v>#REF!</v>
      </c>
      <c r="AA92" s="46"/>
      <c r="AB92" s="88" t="e">
        <f>VLOOKUP(C92,[2]SINDICATO!$C$7:$Q$141,15,0)</f>
        <v>#N/A</v>
      </c>
    </row>
    <row r="93" spans="1:28" s="88" customFormat="1" x14ac:dyDescent="0.2">
      <c r="A93" s="58" t="s">
        <v>640</v>
      </c>
      <c r="B93" s="52" t="s">
        <v>57</v>
      </c>
      <c r="C93" s="51" t="s">
        <v>346</v>
      </c>
      <c r="D93" s="87"/>
      <c r="E93" s="90">
        <f>VLOOKUP(C93,[1]IP!$B$9:$V$116,21,0)</f>
        <v>1314</v>
      </c>
      <c r="F93" s="108"/>
      <c r="G93" s="88" t="e">
        <f>VLOOKUP(C93,#REF!,4,0)</f>
        <v>#REF!</v>
      </c>
      <c r="H93" s="88" t="e">
        <f>VLOOKUP(C93,#REF!,5,0)</f>
        <v>#REF!</v>
      </c>
      <c r="I93" s="88" t="e">
        <f>VLOOKUP(C93,#REF!,6,0)</f>
        <v>#REF!</v>
      </c>
      <c r="J93" s="94"/>
      <c r="K93" s="88" t="e">
        <f t="shared" si="7"/>
        <v>#REF!</v>
      </c>
      <c r="L93" s="88">
        <f>VLOOKUP(C93,[2]ABC!$A$3:$B$88,2,0)</f>
        <v>9800</v>
      </c>
      <c r="M93" s="88">
        <f t="shared" si="8"/>
        <v>4900</v>
      </c>
      <c r="N93" s="95"/>
      <c r="O93" s="46">
        <f>VLOOKUP(C93,[1]IP!$B$9:$I$116,8,0)</f>
        <v>0</v>
      </c>
      <c r="P93" s="46" t="e">
        <f t="shared" si="5"/>
        <v>#REF!</v>
      </c>
      <c r="Q93" s="46">
        <f>VLOOKUP(C93,[1]IP!$B$9:$N$116,13,0)</f>
        <v>1366.67</v>
      </c>
      <c r="R93" s="46">
        <f>VLOOKUP(C93,[1]IP!$B$9:$O$116,14,0)</f>
        <v>0</v>
      </c>
      <c r="S93" s="46"/>
      <c r="T93" s="46">
        <f>VLOOKUP(C93,[1]IP!$B$9:$P$116,15,0)</f>
        <v>0</v>
      </c>
      <c r="U93" s="46">
        <f>VLOOKUP(C93,[1]IP!$B$9:$Q$116,16,0)</f>
        <v>0</v>
      </c>
      <c r="V93" s="46">
        <f>VLOOKUP(C93,[1]IP!$B$9:$S$116,18,0)</f>
        <v>0</v>
      </c>
      <c r="W93" s="46">
        <f>VLOOKUP(C93,[1]IP!$B$9:$R$116,17,0)</f>
        <v>0</v>
      </c>
      <c r="X93" s="94"/>
      <c r="Y93" s="88" t="e">
        <f t="shared" si="9"/>
        <v>#REF!</v>
      </c>
      <c r="Z93" s="46" t="e">
        <f t="shared" si="10"/>
        <v>#REF!</v>
      </c>
      <c r="AA93" s="46"/>
      <c r="AB93" s="88">
        <f>VLOOKUP(C93,[2]SINDICATO!$C$7:$Q$141,15,0)</f>
        <v>0</v>
      </c>
    </row>
    <row r="94" spans="1:28" s="88" customFormat="1" x14ac:dyDescent="0.2">
      <c r="A94" s="51" t="s">
        <v>641</v>
      </c>
      <c r="B94" s="52" t="s">
        <v>57</v>
      </c>
      <c r="C94" s="51" t="s">
        <v>382</v>
      </c>
      <c r="D94" s="87"/>
      <c r="E94" s="90">
        <f>VLOOKUP(C94,[1]IP!$B$9:$V$116,21,0)</f>
        <v>3278.8</v>
      </c>
      <c r="F94" s="108"/>
      <c r="G94" s="88" t="e">
        <f>VLOOKUP(C94,#REF!,4,0)</f>
        <v>#REF!</v>
      </c>
      <c r="H94" s="88" t="e">
        <f>VLOOKUP(C94,#REF!,5,0)</f>
        <v>#REF!</v>
      </c>
      <c r="I94" s="88" t="e">
        <f>VLOOKUP(C94,#REF!,6,0)</f>
        <v>#REF!</v>
      </c>
      <c r="J94" s="94"/>
      <c r="K94" s="88" t="e">
        <f t="shared" si="7"/>
        <v>#REF!</v>
      </c>
      <c r="L94" s="88">
        <v>14000</v>
      </c>
      <c r="M94" s="88">
        <f t="shared" si="8"/>
        <v>7000</v>
      </c>
      <c r="N94" s="95"/>
      <c r="O94" s="46">
        <f>VLOOKUP(C94,[1]IP!$B$9:$I$116,8,0)</f>
        <v>0</v>
      </c>
      <c r="P94" s="46" t="e">
        <f t="shared" si="5"/>
        <v>#REF!</v>
      </c>
      <c r="Q94" s="46">
        <f>VLOOKUP(C94,[1]IP!$B$9:$N$116,13,0)</f>
        <v>0</v>
      </c>
      <c r="R94" s="46">
        <f>VLOOKUP(C94,[1]IP!$B$9:$O$116,14,0)</f>
        <v>0</v>
      </c>
      <c r="S94" s="46"/>
      <c r="T94" s="46">
        <f>VLOOKUP(C94,[1]IP!$B$9:$P$116,15,0)</f>
        <v>0</v>
      </c>
      <c r="U94" s="46">
        <f>VLOOKUP(C94,[1]IP!$B$9:$Q$116,16,0)</f>
        <v>0</v>
      </c>
      <c r="V94" s="46">
        <f>VLOOKUP(C94,[1]IP!$B$9:$S$116,18,0)</f>
        <v>0</v>
      </c>
      <c r="W94" s="46">
        <f>VLOOKUP(C94,[1]IP!$B$9:$R$116,17,0)</f>
        <v>0</v>
      </c>
      <c r="X94" s="94"/>
      <c r="Y94" s="88" t="e">
        <f t="shared" si="9"/>
        <v>#REF!</v>
      </c>
      <c r="Z94" s="46" t="e">
        <f t="shared" si="10"/>
        <v>#REF!</v>
      </c>
      <c r="AA94" s="46"/>
      <c r="AB94" s="88" t="e">
        <f>VLOOKUP(C94,[2]SINDICATO!$C$7:$Q$141,15,0)</f>
        <v>#N/A</v>
      </c>
    </row>
    <row r="95" spans="1:28" s="88" customFormat="1" x14ac:dyDescent="0.2">
      <c r="A95" s="51" t="s">
        <v>642</v>
      </c>
      <c r="B95" s="52" t="s">
        <v>57</v>
      </c>
      <c r="C95" s="51" t="s">
        <v>383</v>
      </c>
      <c r="D95" s="87"/>
      <c r="E95" s="90">
        <f>VLOOKUP(C95,[1]IP!$B$9:$V$116,21,0)</f>
        <v>2727.8</v>
      </c>
      <c r="F95" s="108"/>
      <c r="G95" s="88" t="e">
        <f>VLOOKUP(C95,#REF!,4,0)</f>
        <v>#REF!</v>
      </c>
      <c r="H95" s="88" t="e">
        <f>VLOOKUP(C95,#REF!,5,0)</f>
        <v>#REF!</v>
      </c>
      <c r="I95" s="88" t="e">
        <f>VLOOKUP(C95,#REF!,6,0)</f>
        <v>#REF!</v>
      </c>
      <c r="J95" s="94"/>
      <c r="K95" s="88" t="e">
        <f t="shared" si="7"/>
        <v>#REF!</v>
      </c>
      <c r="L95" s="88">
        <v>14000</v>
      </c>
      <c r="M95" s="88">
        <f t="shared" si="8"/>
        <v>7000</v>
      </c>
      <c r="N95" s="95"/>
      <c r="O95" s="46">
        <f>VLOOKUP(C95,[1]IP!$B$9:$I$116,8,0)</f>
        <v>0</v>
      </c>
      <c r="P95" s="46" t="e">
        <f t="shared" si="5"/>
        <v>#REF!</v>
      </c>
      <c r="Q95" s="46">
        <f>VLOOKUP(C95,[1]IP!$B$9:$N$116,13,0)</f>
        <v>0</v>
      </c>
      <c r="R95" s="46">
        <f>VLOOKUP(C95,[1]IP!$B$9:$O$116,14,0)</f>
        <v>0</v>
      </c>
      <c r="S95" s="46"/>
      <c r="T95" s="46">
        <f>VLOOKUP(C95,[1]IP!$B$9:$P$116,15,0)</f>
        <v>0</v>
      </c>
      <c r="U95" s="46">
        <f>VLOOKUP(C95,[1]IP!$B$9:$Q$116,16,0)</f>
        <v>0</v>
      </c>
      <c r="V95" s="46">
        <f>VLOOKUP(C95,[1]IP!$B$9:$S$116,18,0)</f>
        <v>0</v>
      </c>
      <c r="W95" s="46">
        <f>VLOOKUP(C95,[1]IP!$B$9:$R$116,17,0)</f>
        <v>550.83000000000004</v>
      </c>
      <c r="X95" s="94"/>
      <c r="Y95" s="88" t="e">
        <f t="shared" si="9"/>
        <v>#REF!</v>
      </c>
      <c r="Z95" s="46" t="e">
        <f t="shared" si="10"/>
        <v>#REF!</v>
      </c>
      <c r="AA95" s="46"/>
      <c r="AB95" s="88" t="e">
        <f>VLOOKUP(C95,[2]SINDICATO!$C$7:$Q$141,15,0)</f>
        <v>#N/A</v>
      </c>
    </row>
    <row r="96" spans="1:28" s="88" customFormat="1" x14ac:dyDescent="0.2">
      <c r="A96" s="51" t="s">
        <v>643</v>
      </c>
      <c r="B96" s="52" t="s">
        <v>57</v>
      </c>
      <c r="C96" s="51" t="s">
        <v>414</v>
      </c>
      <c r="D96" s="87"/>
      <c r="E96" s="90">
        <f>VLOOKUP(C96,[1]IP!$B$9:$V$116,21,0)</f>
        <v>1962.8</v>
      </c>
      <c r="F96" s="108"/>
      <c r="G96" s="88" t="e">
        <f>VLOOKUP(C96,#REF!,4,0)</f>
        <v>#REF!</v>
      </c>
      <c r="H96" s="88" t="e">
        <f>VLOOKUP(C96,#REF!,5,0)</f>
        <v>#REF!</v>
      </c>
      <c r="I96" s="88" t="e">
        <f>VLOOKUP(C96,#REF!,6,0)</f>
        <v>#REF!</v>
      </c>
      <c r="J96" s="94"/>
      <c r="K96" s="88" t="e">
        <f t="shared" si="7"/>
        <v>#REF!</v>
      </c>
      <c r="L96" s="88">
        <v>15000</v>
      </c>
      <c r="M96" s="88">
        <f t="shared" si="8"/>
        <v>7500</v>
      </c>
      <c r="N96" s="95"/>
      <c r="O96" s="46">
        <f>VLOOKUP(C96,[1]IP!$B$9:$I$116,8,0)</f>
        <v>0</v>
      </c>
      <c r="P96" s="46" t="e">
        <f t="shared" ref="P96:P138" si="11">+H96+I96</f>
        <v>#REF!</v>
      </c>
      <c r="Q96" s="46">
        <f>VLOOKUP(C96,[1]IP!$B$9:$N$116,13,0)</f>
        <v>1881.2</v>
      </c>
      <c r="R96" s="46">
        <f>VLOOKUP(C96,[1]IP!$B$9:$O$116,14,0)</f>
        <v>0</v>
      </c>
      <c r="S96" s="46"/>
      <c r="T96" s="46">
        <f>VLOOKUP(C96,[1]IP!$B$9:$P$116,15,0)</f>
        <v>15</v>
      </c>
      <c r="U96" s="46">
        <f>VLOOKUP(C96,[1]IP!$B$9:$Q$116,16,0)</f>
        <v>0</v>
      </c>
      <c r="V96" s="46">
        <f>VLOOKUP(C96,[1]IP!$B$9:$S$116,18,0)</f>
        <v>0</v>
      </c>
      <c r="W96" s="46">
        <f>VLOOKUP(C96,[1]IP!$B$9:$R$116,17,0)</f>
        <v>301.5</v>
      </c>
      <c r="X96" s="94"/>
      <c r="Y96" s="88" t="e">
        <f t="shared" si="9"/>
        <v>#REF!</v>
      </c>
      <c r="Z96" s="46" t="e">
        <f t="shared" si="10"/>
        <v>#REF!</v>
      </c>
      <c r="AA96" s="46"/>
      <c r="AB96" s="88" t="e">
        <f>VLOOKUP(C96,[2]SINDICATO!$C$7:$Q$141,15,0)</f>
        <v>#N/A</v>
      </c>
    </row>
    <row r="97" spans="1:28" s="88" customFormat="1" x14ac:dyDescent="0.2">
      <c r="A97" s="51" t="s">
        <v>378</v>
      </c>
      <c r="B97" s="52" t="s">
        <v>57</v>
      </c>
      <c r="C97" s="51" t="s">
        <v>415</v>
      </c>
      <c r="D97" s="87"/>
      <c r="E97" s="90">
        <f>VLOOKUP(C97,[1]IP!$B$9:$V$116,21,0)</f>
        <v>1572.4</v>
      </c>
      <c r="F97" s="108"/>
      <c r="G97" s="88" t="e">
        <f>VLOOKUP(C97,#REF!,4,0)</f>
        <v>#REF!</v>
      </c>
      <c r="H97" s="88" t="e">
        <f>VLOOKUP(C97,#REF!,5,0)</f>
        <v>#REF!</v>
      </c>
      <c r="I97" s="88" t="e">
        <f>VLOOKUP(C97,#REF!,6,0)</f>
        <v>#REF!</v>
      </c>
      <c r="J97" s="94"/>
      <c r="K97" s="88" t="e">
        <f t="shared" si="7"/>
        <v>#REF!</v>
      </c>
      <c r="L97" s="88">
        <v>17000</v>
      </c>
      <c r="M97" s="88">
        <f t="shared" si="8"/>
        <v>8500</v>
      </c>
      <c r="N97" s="95"/>
      <c r="O97" s="46">
        <f>VLOOKUP(C97,[1]IP!$B$9:$I$116,8,0)</f>
        <v>0</v>
      </c>
      <c r="P97" s="46" t="e">
        <f t="shared" si="11"/>
        <v>#REF!</v>
      </c>
      <c r="Q97" s="46">
        <f>VLOOKUP(C97,[1]IP!$B$9:$N$116,13,0)</f>
        <v>2177.34</v>
      </c>
      <c r="R97" s="46">
        <f>VLOOKUP(C97,[1]IP!$B$9:$O$116,14,0)</f>
        <v>0</v>
      </c>
      <c r="S97" s="46"/>
      <c r="T97" s="46">
        <f>VLOOKUP(C97,[1]IP!$B$9:$P$116,15,0)</f>
        <v>15</v>
      </c>
      <c r="U97" s="46">
        <f>VLOOKUP(C97,[1]IP!$B$9:$Q$116,16,0)</f>
        <v>0</v>
      </c>
      <c r="V97" s="46">
        <f>VLOOKUP(C97,[1]IP!$B$9:$S$116,18,0)</f>
        <v>0</v>
      </c>
      <c r="W97" s="46">
        <f>VLOOKUP(C97,[1]IP!$B$9:$R$116,17,0)</f>
        <v>395.82</v>
      </c>
      <c r="X97" s="94"/>
      <c r="Y97" s="88" t="e">
        <f t="shared" si="9"/>
        <v>#REF!</v>
      </c>
      <c r="Z97" s="46" t="e">
        <f t="shared" si="10"/>
        <v>#REF!</v>
      </c>
      <c r="AA97" s="46"/>
      <c r="AB97" s="88" t="e">
        <f>VLOOKUP(C97,[2]SINDICATO!$C$7:$Q$141,15,0)</f>
        <v>#N/A</v>
      </c>
    </row>
    <row r="98" spans="1:28" s="88" customFormat="1" x14ac:dyDescent="0.2">
      <c r="A98" s="51" t="s">
        <v>385</v>
      </c>
      <c r="B98" s="52" t="s">
        <v>57</v>
      </c>
      <c r="C98" s="51" t="s">
        <v>416</v>
      </c>
      <c r="D98" s="87"/>
      <c r="E98" s="90">
        <f>VLOOKUP(C98,[1]IP!$B$9:$V$116,21,0)</f>
        <v>3079.2</v>
      </c>
      <c r="F98" s="108"/>
      <c r="G98" s="88" t="e">
        <f>VLOOKUP(C98,#REF!,4,0)</f>
        <v>#REF!</v>
      </c>
      <c r="H98" s="88" t="e">
        <f>VLOOKUP(C98,#REF!,5,0)</f>
        <v>#REF!</v>
      </c>
      <c r="I98" s="88" t="e">
        <f>VLOOKUP(C98,#REF!,6,0)</f>
        <v>#REF!</v>
      </c>
      <c r="J98" s="94"/>
      <c r="K98" s="88" t="e">
        <f t="shared" si="7"/>
        <v>#REF!</v>
      </c>
      <c r="L98" s="72">
        <v>10500</v>
      </c>
      <c r="M98" s="88">
        <f t="shared" si="8"/>
        <v>5250</v>
      </c>
      <c r="N98" s="95"/>
      <c r="O98" s="46">
        <f>VLOOKUP(C98,[1]IP!$B$9:$I$116,8,0)</f>
        <v>0</v>
      </c>
      <c r="P98" s="46" t="e">
        <f t="shared" si="11"/>
        <v>#REF!</v>
      </c>
      <c r="Q98" s="46">
        <f>VLOOKUP(C98,[1]IP!$B$9:$N$116,13,0)</f>
        <v>0</v>
      </c>
      <c r="R98" s="46">
        <f>VLOOKUP(C98,[1]IP!$B$9:$O$116,14,0)</f>
        <v>0</v>
      </c>
      <c r="S98" s="46"/>
      <c r="T98" s="46">
        <f>VLOOKUP(C98,[1]IP!$B$9:$P$116,15,0)</f>
        <v>0</v>
      </c>
      <c r="U98" s="46">
        <f>VLOOKUP(C98,[1]IP!$B$9:$Q$116,16,0)</f>
        <v>0</v>
      </c>
      <c r="V98" s="46">
        <f>VLOOKUP(C98,[1]IP!$B$9:$S$116,18,0)</f>
        <v>0</v>
      </c>
      <c r="W98" s="46">
        <f>VLOOKUP(C98,[1]IP!$B$9:$R$116,17,0)</f>
        <v>253.5</v>
      </c>
      <c r="X98" s="94"/>
      <c r="Y98" s="88" t="e">
        <f t="shared" si="9"/>
        <v>#REF!</v>
      </c>
      <c r="Z98" s="46" t="e">
        <f t="shared" si="10"/>
        <v>#REF!</v>
      </c>
      <c r="AA98" s="46"/>
      <c r="AB98" s="88" t="e">
        <f>VLOOKUP(C98,[2]SINDICATO!$C$7:$Q$141,15,0)</f>
        <v>#N/A</v>
      </c>
    </row>
    <row r="99" spans="1:28" s="88" customFormat="1" x14ac:dyDescent="0.2">
      <c r="A99" s="51" t="s">
        <v>390</v>
      </c>
      <c r="B99" s="52" t="s">
        <v>57</v>
      </c>
      <c r="C99" s="51" t="s">
        <v>418</v>
      </c>
      <c r="D99" s="87"/>
      <c r="E99" s="90">
        <f>VLOOKUP(C99,[1]IP!$B$9:$V$116,21,0)</f>
        <v>1805.2</v>
      </c>
      <c r="F99" s="108"/>
      <c r="G99" s="88" t="e">
        <f>VLOOKUP(C99,#REF!,4,0)</f>
        <v>#REF!</v>
      </c>
      <c r="H99" s="88" t="e">
        <f>VLOOKUP(C99,#REF!,5,0)</f>
        <v>#REF!</v>
      </c>
      <c r="I99" s="88" t="e">
        <f>VLOOKUP(C99,#REF!,6,0)</f>
        <v>#REF!</v>
      </c>
      <c r="J99" s="94"/>
      <c r="K99" s="88" t="e">
        <f t="shared" si="7"/>
        <v>#REF!</v>
      </c>
      <c r="L99" s="88">
        <v>12000</v>
      </c>
      <c r="M99" s="88">
        <f t="shared" si="8"/>
        <v>6000</v>
      </c>
      <c r="N99" s="95"/>
      <c r="O99" s="46">
        <f>VLOOKUP(C99,[1]IP!$B$9:$I$116,8,0)</f>
        <v>0</v>
      </c>
      <c r="P99" s="46" t="e">
        <f t="shared" si="11"/>
        <v>#REF!</v>
      </c>
      <c r="Q99" s="46">
        <f>VLOOKUP(C99,[1]IP!$B$9:$N$116,13,0)</f>
        <v>1202.43</v>
      </c>
      <c r="R99" s="46">
        <f>VLOOKUP(C99,[1]IP!$B$9:$O$116,14,0)</f>
        <v>0</v>
      </c>
      <c r="S99" s="46"/>
      <c r="T99" s="46">
        <f>VLOOKUP(C99,[1]IP!$B$9:$P$116,15,0)</f>
        <v>15</v>
      </c>
      <c r="U99" s="46">
        <f>VLOOKUP(C99,[1]IP!$B$9:$Q$116,16,0)</f>
        <v>0</v>
      </c>
      <c r="V99" s="46">
        <f>VLOOKUP(C99,[1]IP!$B$9:$S$116,18,0)</f>
        <v>0</v>
      </c>
      <c r="W99" s="46">
        <f>VLOOKUP(C99,[1]IP!$B$9:$R$116,17,0)</f>
        <v>310</v>
      </c>
      <c r="X99" s="94"/>
      <c r="Y99" s="88" t="e">
        <f t="shared" si="9"/>
        <v>#REF!</v>
      </c>
      <c r="Z99" s="46" t="e">
        <f t="shared" si="10"/>
        <v>#REF!</v>
      </c>
      <c r="AA99" s="46"/>
      <c r="AB99" s="88" t="e">
        <f>VLOOKUP(C99,[2]SINDICATO!$C$7:$Q$141,15,0)</f>
        <v>#N/A</v>
      </c>
    </row>
    <row r="100" spans="1:28" s="88" customFormat="1" x14ac:dyDescent="0.2">
      <c r="A100" s="51" t="s">
        <v>41</v>
      </c>
      <c r="B100" s="52" t="s">
        <v>57</v>
      </c>
      <c r="C100" s="51" t="s">
        <v>419</v>
      </c>
      <c r="D100" s="87"/>
      <c r="E100" s="90">
        <f>VLOOKUP(C100,[1]IP!$B$9:$V$116,21,0)</f>
        <v>2195</v>
      </c>
      <c r="F100" s="108"/>
      <c r="G100" s="88" t="e">
        <f>VLOOKUP(C100,#REF!,4,0)</f>
        <v>#REF!</v>
      </c>
      <c r="H100" s="88" t="e">
        <f>VLOOKUP(C100,#REF!,5,0)</f>
        <v>#REF!</v>
      </c>
      <c r="I100" s="88" t="e">
        <f>VLOOKUP(C100,#REF!,6,0)</f>
        <v>#REF!</v>
      </c>
      <c r="J100" s="94"/>
      <c r="K100" s="88" t="e">
        <f t="shared" si="7"/>
        <v>#REF!</v>
      </c>
      <c r="L100" s="88">
        <v>10000</v>
      </c>
      <c r="M100" s="88">
        <f t="shared" si="8"/>
        <v>5000</v>
      </c>
      <c r="N100" s="95"/>
      <c r="O100" s="46">
        <f>VLOOKUP(C100,[1]IP!$B$9:$I$116,8,0)</f>
        <v>0</v>
      </c>
      <c r="P100" s="46" t="e">
        <f t="shared" si="11"/>
        <v>#REF!</v>
      </c>
      <c r="Q100" s="46">
        <f>VLOOKUP(C100,[1]IP!$B$9:$N$116,13,0)</f>
        <v>0</v>
      </c>
      <c r="R100" s="46">
        <f>VLOOKUP(C100,[1]IP!$B$9:$O$116,14,0)</f>
        <v>1122.6300000000001</v>
      </c>
      <c r="S100" s="46"/>
      <c r="T100" s="46">
        <f>VLOOKUP(C100,[1]IP!$B$9:$P$116,15,0)</f>
        <v>15</v>
      </c>
      <c r="U100" s="46">
        <f>VLOOKUP(C100,[1]IP!$B$9:$Q$116,16,0)</f>
        <v>0</v>
      </c>
      <c r="V100" s="46">
        <f>VLOOKUP(C100,[1]IP!$B$9:$S$116,18,0)</f>
        <v>0</v>
      </c>
      <c r="W100" s="46">
        <f>VLOOKUP(C100,[1]IP!$B$9:$R$116,17,0)</f>
        <v>0</v>
      </c>
      <c r="X100" s="94"/>
      <c r="Y100" s="88" t="e">
        <f t="shared" si="9"/>
        <v>#REF!</v>
      </c>
      <c r="Z100" s="46" t="e">
        <f t="shared" si="10"/>
        <v>#REF!</v>
      </c>
      <c r="AA100" s="46"/>
      <c r="AB100" s="88" t="e">
        <f>VLOOKUP(C100,[2]SINDICATO!$C$7:$Q$141,15,0)</f>
        <v>#N/A</v>
      </c>
    </row>
    <row r="101" spans="1:28" s="88" customFormat="1" x14ac:dyDescent="0.2">
      <c r="A101" s="51" t="s">
        <v>644</v>
      </c>
      <c r="B101" s="52" t="s">
        <v>57</v>
      </c>
      <c r="C101" s="51" t="s">
        <v>420</v>
      </c>
      <c r="D101" s="87"/>
      <c r="E101" s="90">
        <f>VLOOKUP(C101,[1]IP!$B$9:$V$116,21,0)</f>
        <v>3332.6</v>
      </c>
      <c r="F101" s="108"/>
      <c r="G101" s="88" t="e">
        <f>VLOOKUP(C101,#REF!,4,0)</f>
        <v>#REF!</v>
      </c>
      <c r="H101" s="88" t="e">
        <f>VLOOKUP(C101,#REF!,5,0)</f>
        <v>#REF!</v>
      </c>
      <c r="I101" s="88" t="e">
        <f>VLOOKUP(C101,#REF!,6,0)</f>
        <v>#REF!</v>
      </c>
      <c r="J101" s="94"/>
      <c r="K101" s="88" t="e">
        <f t="shared" si="7"/>
        <v>#REF!</v>
      </c>
      <c r="L101" s="88">
        <v>12000</v>
      </c>
      <c r="M101" s="88">
        <f t="shared" si="8"/>
        <v>6000</v>
      </c>
      <c r="N101" s="95"/>
      <c r="O101" s="46">
        <f>VLOOKUP(C101,[1]IP!$B$9:$I$116,8,0)</f>
        <v>0</v>
      </c>
      <c r="P101" s="46" t="e">
        <f t="shared" si="11"/>
        <v>#REF!</v>
      </c>
      <c r="Q101" s="46">
        <f>VLOOKUP(C101,[1]IP!$B$9:$N$116,13,0)</f>
        <v>0</v>
      </c>
      <c r="R101" s="46">
        <f>VLOOKUP(C101,[1]IP!$B$9:$O$116,14,0)</f>
        <v>0</v>
      </c>
      <c r="S101" s="46"/>
      <c r="T101" s="46">
        <f>VLOOKUP(C101,[1]IP!$B$9:$P$116,15,0)</f>
        <v>0</v>
      </c>
      <c r="U101" s="46">
        <f>VLOOKUP(C101,[1]IP!$B$9:$Q$116,16,0)</f>
        <v>0</v>
      </c>
      <c r="V101" s="46">
        <f>VLOOKUP(C101,[1]IP!$B$9:$S$116,18,0)</f>
        <v>0</v>
      </c>
      <c r="W101" s="46">
        <f>VLOOKUP(C101,[1]IP!$B$9:$R$116,17,0)</f>
        <v>0</v>
      </c>
      <c r="X101" s="94"/>
      <c r="Y101" s="88" t="e">
        <f t="shared" si="9"/>
        <v>#REF!</v>
      </c>
      <c r="Z101" s="46" t="e">
        <f t="shared" si="10"/>
        <v>#REF!</v>
      </c>
      <c r="AA101" s="118"/>
      <c r="AB101" s="88" t="e">
        <f>VLOOKUP(C101,[2]SINDICATO!$C$7:$Q$141,15,0)</f>
        <v>#N/A</v>
      </c>
    </row>
    <row r="102" spans="1:28" s="88" customFormat="1" x14ac:dyDescent="0.2">
      <c r="A102" s="51" t="s">
        <v>405</v>
      </c>
      <c r="B102" s="52" t="s">
        <v>57</v>
      </c>
      <c r="C102" s="51" t="s">
        <v>422</v>
      </c>
      <c r="D102" s="87"/>
      <c r="E102" s="90">
        <f>VLOOKUP(C102,[1]IP!$B$9:$V$116,21,0)</f>
        <v>2624.6</v>
      </c>
      <c r="F102" s="108"/>
      <c r="G102" s="88" t="e">
        <f>VLOOKUP(C102,#REF!,4,0)</f>
        <v>#REF!</v>
      </c>
      <c r="H102" s="88" t="e">
        <f>VLOOKUP(C102,#REF!,5,0)</f>
        <v>#REF!</v>
      </c>
      <c r="I102" s="88" t="e">
        <f>VLOOKUP(C102,#REF!,6,0)</f>
        <v>#REF!</v>
      </c>
      <c r="J102" s="94"/>
      <c r="K102" s="88" t="e">
        <f t="shared" si="7"/>
        <v>#REF!</v>
      </c>
      <c r="L102" s="88">
        <v>10000</v>
      </c>
      <c r="M102" s="88">
        <f t="shared" si="8"/>
        <v>5000</v>
      </c>
      <c r="N102" s="95"/>
      <c r="O102" s="46">
        <f>VLOOKUP(C102,[1]IP!$B$9:$I$116,8,0)</f>
        <v>0</v>
      </c>
      <c r="P102" s="46" t="e">
        <f t="shared" si="11"/>
        <v>#REF!</v>
      </c>
      <c r="Q102" s="46">
        <f>VLOOKUP(C102,[1]IP!$B$9:$N$116,13,0)</f>
        <v>692.93</v>
      </c>
      <c r="R102" s="46">
        <f>VLOOKUP(C102,[1]IP!$B$9:$O$116,14,0)</f>
        <v>0</v>
      </c>
      <c r="S102" s="46"/>
      <c r="T102" s="46">
        <f>VLOOKUP(C102,[1]IP!$B$9:$P$116,15,0)</f>
        <v>15</v>
      </c>
      <c r="U102" s="46">
        <f>VLOOKUP(C102,[1]IP!$B$9:$Q$116,16,0)</f>
        <v>0</v>
      </c>
      <c r="V102" s="46">
        <f>VLOOKUP(C102,[1]IP!$B$9:$S$116,18,0)</f>
        <v>0</v>
      </c>
      <c r="W102" s="46">
        <f>VLOOKUP(C102,[1]IP!$B$9:$R$116,17,0)</f>
        <v>0</v>
      </c>
      <c r="X102" s="94"/>
      <c r="Y102" s="88" t="e">
        <f t="shared" si="9"/>
        <v>#REF!</v>
      </c>
      <c r="Z102" s="46" t="e">
        <f t="shared" si="10"/>
        <v>#REF!</v>
      </c>
      <c r="AA102" s="46"/>
      <c r="AB102" s="88" t="e">
        <f>VLOOKUP(C102,[2]SINDICATO!$C$7:$Q$141,15,0)</f>
        <v>#N/A</v>
      </c>
    </row>
    <row r="103" spans="1:28" s="88" customFormat="1" x14ac:dyDescent="0.2">
      <c r="A103" s="51" t="s">
        <v>645</v>
      </c>
      <c r="B103" s="52" t="s">
        <v>57</v>
      </c>
      <c r="C103" s="51" t="s">
        <v>424</v>
      </c>
      <c r="D103" s="87"/>
      <c r="E103" s="90">
        <f>VLOOKUP(C103,[1]IP!$B$9:$V$116,21,0)</f>
        <v>2447.6</v>
      </c>
      <c r="F103" s="108"/>
      <c r="G103" s="88" t="e">
        <f>VLOOKUP(C103,#REF!,4,0)</f>
        <v>#REF!</v>
      </c>
      <c r="H103" s="88" t="e">
        <f>VLOOKUP(C103,#REF!,5,0)</f>
        <v>#REF!</v>
      </c>
      <c r="I103" s="88" t="e">
        <f>VLOOKUP(C103,#REF!,6,0)</f>
        <v>#REF!</v>
      </c>
      <c r="J103" s="94"/>
      <c r="K103" s="88" t="e">
        <f t="shared" si="7"/>
        <v>#REF!</v>
      </c>
      <c r="L103" s="88">
        <v>10000</v>
      </c>
      <c r="M103" s="88">
        <f t="shared" si="8"/>
        <v>5000</v>
      </c>
      <c r="N103" s="95"/>
      <c r="O103" s="46">
        <f>VLOOKUP(C103,[1]IP!$B$9:$I$116,8,0)</f>
        <v>0</v>
      </c>
      <c r="P103" s="46" t="e">
        <f t="shared" si="11"/>
        <v>#REF!</v>
      </c>
      <c r="Q103" s="46">
        <f>VLOOKUP(C103,[1]IP!$B$9:$N$116,13,0)</f>
        <v>0</v>
      </c>
      <c r="R103" s="46">
        <f>VLOOKUP(C103,[1]IP!$B$9:$O$116,14,0)</f>
        <v>0</v>
      </c>
      <c r="S103" s="46"/>
      <c r="T103" s="46">
        <f>VLOOKUP(C103,[1]IP!$B$9:$P$116,15,0)</f>
        <v>0</v>
      </c>
      <c r="U103" s="46">
        <f>VLOOKUP(C103,[1]IP!$B$9:$Q$116,16,0)</f>
        <v>0</v>
      </c>
      <c r="V103" s="46">
        <f>VLOOKUP(C103,[1]IP!$B$9:$S$116,18,0)</f>
        <v>0</v>
      </c>
      <c r="W103" s="46">
        <f>VLOOKUP(C103,[1]IP!$B$9:$R$116,17,0)</f>
        <v>0</v>
      </c>
      <c r="X103" s="94"/>
      <c r="Y103" s="88" t="e">
        <f t="shared" si="9"/>
        <v>#REF!</v>
      </c>
      <c r="Z103" s="46" t="e">
        <f t="shared" si="10"/>
        <v>#REF!</v>
      </c>
      <c r="AA103" s="46"/>
      <c r="AB103" s="88" t="e">
        <f>VLOOKUP(C103,[2]SINDICATO!$C$7:$Q$141,15,0)</f>
        <v>#N/A</v>
      </c>
    </row>
    <row r="104" spans="1:28" s="88" customFormat="1" x14ac:dyDescent="0.2">
      <c r="A104" s="51" t="s">
        <v>394</v>
      </c>
      <c r="B104" s="52" t="s">
        <v>57</v>
      </c>
      <c r="C104" s="51" t="s">
        <v>425</v>
      </c>
      <c r="D104" s="87"/>
      <c r="E104" s="90">
        <f>VLOOKUP(C104,[1]IP!$B$9:$V$116,21,0)</f>
        <v>1892.4</v>
      </c>
      <c r="F104" s="108"/>
      <c r="G104" s="88" t="e">
        <f>VLOOKUP(C104,#REF!,4,0)</f>
        <v>#REF!</v>
      </c>
      <c r="H104" s="88" t="e">
        <f>VLOOKUP(C104,#REF!,5,0)</f>
        <v>#REF!</v>
      </c>
      <c r="I104" s="88" t="e">
        <f>VLOOKUP(C104,#REF!,6,0)</f>
        <v>#REF!</v>
      </c>
      <c r="J104" s="94"/>
      <c r="K104" s="88" t="e">
        <f t="shared" si="7"/>
        <v>#REF!</v>
      </c>
      <c r="L104" s="88">
        <v>9000</v>
      </c>
      <c r="M104" s="88">
        <f t="shared" si="8"/>
        <v>4500</v>
      </c>
      <c r="N104" s="95"/>
      <c r="O104" s="46">
        <f>VLOOKUP(C104,[1]IP!$B$9:$I$116,8,0)</f>
        <v>0</v>
      </c>
      <c r="P104" s="46" t="e">
        <f t="shared" si="11"/>
        <v>#REF!</v>
      </c>
      <c r="Q104" s="46">
        <f>VLOOKUP(C104,[1]IP!$B$9:$N$116,13,0)</f>
        <v>898.5</v>
      </c>
      <c r="R104" s="46">
        <f>VLOOKUP(C104,[1]IP!$B$9:$O$116,14,0)</f>
        <v>0</v>
      </c>
      <c r="S104" s="46"/>
      <c r="T104" s="46">
        <f>VLOOKUP(C104,[1]IP!$B$9:$P$116,15,0)</f>
        <v>15</v>
      </c>
      <c r="U104" s="46">
        <f>VLOOKUP(C104,[1]IP!$B$9:$Q$116,16,0)</f>
        <v>0</v>
      </c>
      <c r="V104" s="46">
        <f>VLOOKUP(C104,[1]IP!$B$9:$S$116,18,0)</f>
        <v>0</v>
      </c>
      <c r="W104" s="46">
        <f>VLOOKUP(C104,[1]IP!$B$9:$R$116,17,0)</f>
        <v>0</v>
      </c>
      <c r="X104" s="94"/>
      <c r="Y104" s="88" t="e">
        <f t="shared" si="9"/>
        <v>#REF!</v>
      </c>
      <c r="Z104" s="46" t="e">
        <f t="shared" si="10"/>
        <v>#REF!</v>
      </c>
      <c r="AA104" s="46"/>
      <c r="AB104" s="88" t="e">
        <f>VLOOKUP(C104,[2]SINDICATO!$C$7:$Q$141,15,0)</f>
        <v>#N/A</v>
      </c>
    </row>
    <row r="105" spans="1:28" s="88" customFormat="1" x14ac:dyDescent="0.2">
      <c r="A105" s="51" t="s">
        <v>646</v>
      </c>
      <c r="B105" s="52" t="s">
        <v>57</v>
      </c>
      <c r="C105" s="51" t="s">
        <v>426</v>
      </c>
      <c r="D105" s="87"/>
      <c r="E105" s="90">
        <f>VLOOKUP(C105,[1]IP!$B$9:$V$116,21,0)</f>
        <v>1881.6</v>
      </c>
      <c r="F105" s="108"/>
      <c r="G105" s="88" t="e">
        <f>VLOOKUP(C105,#REF!,4,0)</f>
        <v>#REF!</v>
      </c>
      <c r="H105" s="88" t="e">
        <f>VLOOKUP(C105,#REF!,5,0)</f>
        <v>#REF!</v>
      </c>
      <c r="I105" s="88" t="e">
        <f>VLOOKUP(C105,#REF!,6,0)</f>
        <v>#REF!</v>
      </c>
      <c r="J105" s="94"/>
      <c r="K105" s="88" t="e">
        <f t="shared" si="7"/>
        <v>#REF!</v>
      </c>
      <c r="L105" s="88">
        <v>10000</v>
      </c>
      <c r="M105" s="88">
        <f t="shared" si="8"/>
        <v>5000</v>
      </c>
      <c r="N105" s="95"/>
      <c r="O105" s="46">
        <f>VLOOKUP(C105,[1]IP!$B$9:$I$116,8,0)</f>
        <v>0</v>
      </c>
      <c r="P105" s="46" t="e">
        <f t="shared" si="11"/>
        <v>#REF!</v>
      </c>
      <c r="Q105" s="46">
        <f>VLOOKUP(C105,[1]IP!$B$9:$N$116,13,0)</f>
        <v>909.21</v>
      </c>
      <c r="R105" s="46">
        <f>VLOOKUP(C105,[1]IP!$B$9:$O$116,14,0)</f>
        <v>0</v>
      </c>
      <c r="S105" s="46"/>
      <c r="T105" s="46">
        <f>VLOOKUP(C105,[1]IP!$B$9:$P$116,15,0)</f>
        <v>15</v>
      </c>
      <c r="U105" s="46">
        <f>VLOOKUP(C105,[1]IP!$B$9:$Q$116,16,0)</f>
        <v>0</v>
      </c>
      <c r="V105" s="46">
        <f>VLOOKUP(C105,[1]IP!$B$9:$S$116,18,0)</f>
        <v>0</v>
      </c>
      <c r="W105" s="46">
        <f>VLOOKUP(C105,[1]IP!$B$9:$R$116,17,0)</f>
        <v>0</v>
      </c>
      <c r="X105" s="94"/>
      <c r="Y105" s="88" t="e">
        <f t="shared" si="9"/>
        <v>#REF!</v>
      </c>
      <c r="Z105" s="46" t="e">
        <f t="shared" si="10"/>
        <v>#REF!</v>
      </c>
      <c r="AA105" s="46"/>
      <c r="AB105" s="88" t="e">
        <f>VLOOKUP(C105,[2]SINDICATO!$C$7:$Q$141,15,0)</f>
        <v>#N/A</v>
      </c>
    </row>
    <row r="106" spans="1:28" s="88" customFormat="1" x14ac:dyDescent="0.2">
      <c r="A106" s="51" t="s">
        <v>401</v>
      </c>
      <c r="B106" s="52" t="s">
        <v>57</v>
      </c>
      <c r="C106" s="51" t="s">
        <v>463</v>
      </c>
      <c r="D106" s="87"/>
      <c r="E106" s="90">
        <f>VLOOKUP(C106,[1]IP!$B$9:$V$116,21,0)</f>
        <v>2446.6</v>
      </c>
      <c r="F106" s="108"/>
      <c r="G106" s="88" t="e">
        <f>VLOOKUP(C106,#REF!,4,0)</f>
        <v>#REF!</v>
      </c>
      <c r="H106" s="88" t="e">
        <f>VLOOKUP(C106,#REF!,5,0)</f>
        <v>#REF!</v>
      </c>
      <c r="I106" s="88" t="e">
        <f>VLOOKUP(C106,#REF!,6,0)</f>
        <v>#REF!</v>
      </c>
      <c r="J106" s="94"/>
      <c r="K106" s="88" t="e">
        <f t="shared" si="7"/>
        <v>#REF!</v>
      </c>
      <c r="L106" s="88">
        <v>10000</v>
      </c>
      <c r="M106" s="88">
        <f t="shared" si="8"/>
        <v>5000</v>
      </c>
      <c r="N106" s="95"/>
      <c r="O106" s="46">
        <f>VLOOKUP(C106,[1]IP!$B$9:$I$116,8,0)</f>
        <v>0</v>
      </c>
      <c r="P106" s="46" t="e">
        <f t="shared" si="11"/>
        <v>#REF!</v>
      </c>
      <c r="Q106" s="46">
        <f>VLOOKUP(C106,[1]IP!$B$9:$N$116,13,0)</f>
        <v>0</v>
      </c>
      <c r="R106" s="46">
        <f>VLOOKUP(C106,[1]IP!$B$9:$O$116,14,0)</f>
        <v>0</v>
      </c>
      <c r="S106" s="46"/>
      <c r="T106" s="46">
        <f>VLOOKUP(C106,[1]IP!$B$9:$P$116,15,0)</f>
        <v>0</v>
      </c>
      <c r="U106" s="46">
        <f>VLOOKUP(C106,[1]IP!$B$9:$Q$116,16,0)</f>
        <v>0</v>
      </c>
      <c r="V106" s="46">
        <f>VLOOKUP(C106,[1]IP!$B$9:$S$116,18,0)</f>
        <v>0</v>
      </c>
      <c r="W106" s="46">
        <f>VLOOKUP(C106,[1]IP!$B$9:$R$116,17,0)</f>
        <v>0</v>
      </c>
      <c r="X106" s="94"/>
      <c r="Y106" s="88" t="e">
        <f t="shared" si="9"/>
        <v>#REF!</v>
      </c>
      <c r="Z106" s="46" t="e">
        <f t="shared" si="10"/>
        <v>#REF!</v>
      </c>
      <c r="AA106" s="46"/>
      <c r="AB106" s="88" t="e">
        <f>VLOOKUP(C106,[2]SINDICATO!$C$7:$Q$141,15,0)</f>
        <v>#N/A</v>
      </c>
    </row>
    <row r="107" spans="1:28" s="88" customFormat="1" x14ac:dyDescent="0.2">
      <c r="A107" s="51" t="s">
        <v>514</v>
      </c>
      <c r="B107" s="52" t="s">
        <v>57</v>
      </c>
      <c r="C107" s="51" t="s">
        <v>513</v>
      </c>
      <c r="D107" s="87"/>
      <c r="E107" s="90">
        <f>VLOOKUP(C107,[1]IP!$B$9:$V$116,21,0)</f>
        <v>2865.8</v>
      </c>
      <c r="F107" s="108"/>
      <c r="G107" s="88" t="e">
        <f>VLOOKUP(C107,#REF!,4,0)</f>
        <v>#REF!</v>
      </c>
      <c r="H107" s="88" t="e">
        <f>VLOOKUP(C107,#REF!,5,0)</f>
        <v>#REF!</v>
      </c>
      <c r="I107" s="88" t="e">
        <f>VLOOKUP(C107,#REF!,6,0)</f>
        <v>#REF!</v>
      </c>
      <c r="J107" s="94"/>
      <c r="K107" s="88" t="e">
        <f t="shared" si="7"/>
        <v>#REF!</v>
      </c>
      <c r="L107" s="46">
        <v>6300</v>
      </c>
      <c r="M107" s="88">
        <f t="shared" si="8"/>
        <v>3150</v>
      </c>
      <c r="N107" s="95"/>
      <c r="O107" s="46">
        <f>VLOOKUP(C107,[1]IP!$B$9:$I$116,8,0)</f>
        <v>0</v>
      </c>
      <c r="P107" s="46" t="e">
        <f t="shared" si="11"/>
        <v>#REF!</v>
      </c>
      <c r="Q107" s="46">
        <f>VLOOKUP(C107,[1]IP!$B$9:$N$116,13,0)</f>
        <v>0</v>
      </c>
      <c r="R107" s="46">
        <f>VLOOKUP(C107,[1]IP!$B$9:$O$116,14,0)</f>
        <v>0</v>
      </c>
      <c r="S107" s="46"/>
      <c r="T107" s="46">
        <f>VLOOKUP(C107,[1]IP!$B$9:$P$116,15,0)</f>
        <v>0</v>
      </c>
      <c r="U107" s="46">
        <f>VLOOKUP(C107,[1]IP!$B$9:$Q$116,16,0)</f>
        <v>0</v>
      </c>
      <c r="V107" s="46">
        <f>VLOOKUP(C107,[1]IP!$B$9:$S$116,18,0)</f>
        <v>0</v>
      </c>
      <c r="W107" s="46">
        <f>VLOOKUP(C107,[1]IP!$B$9:$R$116,17,0)</f>
        <v>0</v>
      </c>
      <c r="X107" s="94"/>
      <c r="Y107" s="88" t="e">
        <f t="shared" si="9"/>
        <v>#REF!</v>
      </c>
      <c r="Z107" s="46" t="e">
        <f t="shared" si="10"/>
        <v>#REF!</v>
      </c>
      <c r="AA107" s="46"/>
      <c r="AB107" s="88" t="e">
        <f>VLOOKUP(C107,[2]SINDICATO!$C$7:$Q$141,15,0)</f>
        <v>#N/A</v>
      </c>
    </row>
    <row r="108" spans="1:28" s="88" customFormat="1" x14ac:dyDescent="0.2">
      <c r="A108" s="51" t="s">
        <v>43</v>
      </c>
      <c r="B108" s="52" t="s">
        <v>57</v>
      </c>
      <c r="C108" s="51" t="s">
        <v>458</v>
      </c>
      <c r="D108" s="87"/>
      <c r="E108" s="90">
        <f>VLOOKUP(C108,[1]IP!$B$9:$V$116,21,0)</f>
        <v>2446.6</v>
      </c>
      <c r="F108" s="108"/>
      <c r="G108" s="88" t="e">
        <f>VLOOKUP(C108,#REF!,4,0)</f>
        <v>#REF!</v>
      </c>
      <c r="H108" s="88" t="e">
        <f>VLOOKUP(C108,#REF!,5,0)</f>
        <v>#REF!</v>
      </c>
      <c r="I108" s="88" t="e">
        <f>VLOOKUP(C108,#REF!,6,0)</f>
        <v>#REF!</v>
      </c>
      <c r="J108" s="94"/>
      <c r="K108" s="88" t="e">
        <f t="shared" si="7"/>
        <v>#REF!</v>
      </c>
      <c r="L108" s="88">
        <v>12000</v>
      </c>
      <c r="M108" s="88">
        <f t="shared" si="8"/>
        <v>6000</v>
      </c>
      <c r="N108" s="95"/>
      <c r="O108" s="46">
        <f>VLOOKUP(C108,[1]IP!$B$9:$I$116,8,0)</f>
        <v>0</v>
      </c>
      <c r="P108" s="46" t="e">
        <f t="shared" si="11"/>
        <v>#REF!</v>
      </c>
      <c r="Q108" s="46">
        <f>VLOOKUP(C108,[1]IP!$B$9:$N$116,13,0)</f>
        <v>0</v>
      </c>
      <c r="R108" s="46">
        <f>VLOOKUP(C108,[1]IP!$B$9:$O$116,14,0)</f>
        <v>0</v>
      </c>
      <c r="S108" s="46"/>
      <c r="T108" s="46">
        <f>VLOOKUP(C108,[1]IP!$B$9:$P$116,15,0)</f>
        <v>0</v>
      </c>
      <c r="U108" s="46">
        <f>VLOOKUP(C108,[1]IP!$B$9:$Q$116,16,0)</f>
        <v>0</v>
      </c>
      <c r="V108" s="46">
        <f>VLOOKUP(C108,[1]IP!$B$9:$S$116,18,0)</f>
        <v>0</v>
      </c>
      <c r="W108" s="46">
        <f>VLOOKUP(C108,[1]IP!$B$9:$R$116,17,0)</f>
        <v>0</v>
      </c>
      <c r="X108" s="94"/>
      <c r="Y108" s="88" t="e">
        <f t="shared" si="9"/>
        <v>#REF!</v>
      </c>
      <c r="Z108" s="46" t="e">
        <f t="shared" si="10"/>
        <v>#REF!</v>
      </c>
      <c r="AA108" s="46"/>
      <c r="AB108" s="88" t="e">
        <f>VLOOKUP(C108,[2]SINDICATO!$C$7:$Q$141,15,0)</f>
        <v>#N/A</v>
      </c>
    </row>
    <row r="109" spans="1:28" s="88" customFormat="1" x14ac:dyDescent="0.2">
      <c r="A109" s="51" t="s">
        <v>518</v>
      </c>
      <c r="B109" s="52" t="s">
        <v>57</v>
      </c>
      <c r="C109" s="51" t="s">
        <v>519</v>
      </c>
      <c r="D109" s="87"/>
      <c r="E109" s="90">
        <f>VLOOKUP(C109,[1]IP!$B$9:$V$116,21,0)</f>
        <v>2447.1999999999998</v>
      </c>
      <c r="F109" s="108"/>
      <c r="G109" s="88" t="e">
        <f>VLOOKUP(C109,#REF!,4,0)</f>
        <v>#REF!</v>
      </c>
      <c r="H109" s="88" t="e">
        <f>VLOOKUP(C109,#REF!,5,0)</f>
        <v>#REF!</v>
      </c>
      <c r="I109" s="88" t="e">
        <f>VLOOKUP(C109,#REF!,6,0)</f>
        <v>#REF!</v>
      </c>
      <c r="J109" s="94"/>
      <c r="K109" s="88" t="e">
        <f t="shared" si="7"/>
        <v>#REF!</v>
      </c>
      <c r="L109" s="88">
        <v>5000</v>
      </c>
      <c r="M109" s="88">
        <f t="shared" si="8"/>
        <v>2500</v>
      </c>
      <c r="N109" s="95"/>
      <c r="O109" s="46">
        <f>VLOOKUP(C109,[1]IP!$B$9:$I$116,8,0)</f>
        <v>0</v>
      </c>
      <c r="P109" s="46" t="e">
        <f t="shared" si="11"/>
        <v>#REF!</v>
      </c>
      <c r="Q109" s="46">
        <f>VLOOKUP(C109,[1]IP!$B$9:$N$116,13,0)</f>
        <v>0</v>
      </c>
      <c r="R109" s="46">
        <f>VLOOKUP(C109,[1]IP!$B$9:$O$116,14,0)</f>
        <v>0</v>
      </c>
      <c r="S109" s="46"/>
      <c r="T109" s="46">
        <f>VLOOKUP(C109,[1]IP!$B$9:$P$116,15,0)</f>
        <v>0</v>
      </c>
      <c r="U109" s="46">
        <f>VLOOKUP(C109,[1]IP!$B$9:$Q$116,16,0)</f>
        <v>0</v>
      </c>
      <c r="V109" s="46">
        <f>VLOOKUP(C109,[1]IP!$B$9:$S$116,18,0)</f>
        <v>0</v>
      </c>
      <c r="W109" s="46">
        <f>VLOOKUP(C109,[1]IP!$B$9:$R$116,17,0)</f>
        <v>0</v>
      </c>
      <c r="X109" s="94"/>
      <c r="Y109" s="88" t="e">
        <f t="shared" si="9"/>
        <v>#REF!</v>
      </c>
      <c r="Z109" s="46" t="e">
        <f t="shared" si="10"/>
        <v>#REF!</v>
      </c>
      <c r="AA109" s="46"/>
      <c r="AB109" s="88" t="e">
        <f>VLOOKUP(C109,[2]SINDICATO!$C$7:$Q$141,15,0)</f>
        <v>#N/A</v>
      </c>
    </row>
    <row r="110" spans="1:28" s="88" customFormat="1" x14ac:dyDescent="0.2">
      <c r="A110" s="51" t="s">
        <v>541</v>
      </c>
      <c r="B110" s="52" t="s">
        <v>57</v>
      </c>
      <c r="C110" s="51" t="s">
        <v>542</v>
      </c>
      <c r="D110" s="87"/>
      <c r="E110" s="90">
        <f>VLOOKUP(C110,[1]IP!$B$9:$V$116,21,0)</f>
        <v>4406.2</v>
      </c>
      <c r="F110" s="108"/>
      <c r="G110" s="88" t="e">
        <f>VLOOKUP(C110,#REF!,4,0)</f>
        <v>#REF!</v>
      </c>
      <c r="H110" s="88" t="e">
        <f>VLOOKUP(C110,#REF!,5,0)</f>
        <v>#REF!</v>
      </c>
      <c r="I110" s="88" t="e">
        <f>VLOOKUP(C110,#REF!,6,0)</f>
        <v>#REF!</v>
      </c>
      <c r="J110" s="94"/>
      <c r="K110" s="88" t="e">
        <f t="shared" si="7"/>
        <v>#REF!</v>
      </c>
      <c r="L110" s="88">
        <v>20000</v>
      </c>
      <c r="M110" s="88">
        <f t="shared" si="8"/>
        <v>10000</v>
      </c>
      <c r="N110" s="95"/>
      <c r="O110" s="46">
        <f>VLOOKUP(C110,[1]IP!$B$9:$I$116,8,0)</f>
        <v>0</v>
      </c>
      <c r="P110" s="46" t="e">
        <f t="shared" si="11"/>
        <v>#REF!</v>
      </c>
      <c r="Q110" s="46">
        <f>VLOOKUP(C110,[1]IP!$B$9:$N$116,13,0)</f>
        <v>0</v>
      </c>
      <c r="R110" s="46">
        <f>VLOOKUP(C110,[1]IP!$B$9:$O$116,14,0)</f>
        <v>0</v>
      </c>
      <c r="S110" s="46"/>
      <c r="T110" s="46">
        <f>VLOOKUP(C110,[1]IP!$B$9:$P$116,15,0)</f>
        <v>0</v>
      </c>
      <c r="U110" s="46">
        <f>VLOOKUP(C110,[1]IP!$B$9:$Q$116,16,0)</f>
        <v>0</v>
      </c>
      <c r="V110" s="46">
        <f>VLOOKUP(C110,[1]IP!$B$9:$S$116,18,0)</f>
        <v>0</v>
      </c>
      <c r="W110" s="46">
        <f>VLOOKUP(C110,[1]IP!$B$9:$R$116,17,0)</f>
        <v>0</v>
      </c>
      <c r="X110" s="94"/>
      <c r="Y110" s="88" t="e">
        <f t="shared" si="9"/>
        <v>#REF!</v>
      </c>
      <c r="Z110" s="46" t="e">
        <f t="shared" si="10"/>
        <v>#REF!</v>
      </c>
      <c r="AA110" s="46"/>
      <c r="AB110" s="88">
        <f>VLOOKUP(C110,[2]SINDICATO!$C$7:$Q$141,15,0)</f>
        <v>0</v>
      </c>
    </row>
    <row r="111" spans="1:28" s="88" customFormat="1" x14ac:dyDescent="0.2">
      <c r="A111" s="51" t="s">
        <v>543</v>
      </c>
      <c r="B111" s="52" t="s">
        <v>57</v>
      </c>
      <c r="C111" s="51" t="s">
        <v>544</v>
      </c>
      <c r="D111" s="87"/>
      <c r="E111" s="90">
        <f>VLOOKUP(C111,[1]IP!$B$9:$V$116,21,0)</f>
        <v>2014.8</v>
      </c>
      <c r="F111" s="108"/>
      <c r="G111" s="88" t="e">
        <f>VLOOKUP(C111,#REF!,4,0)</f>
        <v>#REF!</v>
      </c>
      <c r="H111" s="88" t="e">
        <f>VLOOKUP(C111,#REF!,5,0)</f>
        <v>#REF!</v>
      </c>
      <c r="I111" s="88" t="e">
        <f>VLOOKUP(C111,#REF!,6,0)</f>
        <v>#REF!</v>
      </c>
      <c r="J111" s="94"/>
      <c r="K111" s="88" t="e">
        <f t="shared" si="7"/>
        <v>#REF!</v>
      </c>
      <c r="L111" s="109">
        <v>5000</v>
      </c>
      <c r="M111" s="88">
        <f t="shared" si="8"/>
        <v>2500</v>
      </c>
      <c r="N111" s="95"/>
      <c r="O111" s="46">
        <f>VLOOKUP(C111,[1]IP!$B$9:$I$116,8,0)</f>
        <v>0</v>
      </c>
      <c r="P111" s="46" t="e">
        <f t="shared" si="11"/>
        <v>#REF!</v>
      </c>
      <c r="Q111" s="46">
        <f>VLOOKUP(C111,[1]IP!$B$9:$N$116,13,0)</f>
        <v>417.76</v>
      </c>
      <c r="R111" s="46">
        <f>VLOOKUP(C111,[1]IP!$B$9:$O$116,14,0)</f>
        <v>0</v>
      </c>
      <c r="S111" s="46"/>
      <c r="T111" s="46">
        <f>VLOOKUP(C111,[1]IP!$B$9:$P$116,15,0)</f>
        <v>15</v>
      </c>
      <c r="U111" s="46">
        <f>VLOOKUP(C111,[1]IP!$B$9:$Q$116,16,0)</f>
        <v>0</v>
      </c>
      <c r="V111" s="46">
        <f>VLOOKUP(C111,[1]IP!$B$9:$S$116,18,0)</f>
        <v>0</v>
      </c>
      <c r="W111" s="46">
        <f>VLOOKUP(C111,[1]IP!$B$9:$R$116,17,0)</f>
        <v>0</v>
      </c>
      <c r="X111" s="94"/>
      <c r="Y111" s="88" t="e">
        <f t="shared" si="9"/>
        <v>#REF!</v>
      </c>
      <c r="Z111" s="46" t="e">
        <f t="shared" si="10"/>
        <v>#REF!</v>
      </c>
      <c r="AA111" s="46"/>
      <c r="AB111" s="88" t="e">
        <f>VLOOKUP(C111,[2]SINDICATO!$C$7:$Q$141,15,0)</f>
        <v>#N/A</v>
      </c>
    </row>
    <row r="112" spans="1:28" s="88" customFormat="1" x14ac:dyDescent="0.2">
      <c r="A112" s="51" t="s">
        <v>545</v>
      </c>
      <c r="B112" s="52" t="s">
        <v>57</v>
      </c>
      <c r="C112" s="51" t="s">
        <v>546</v>
      </c>
      <c r="D112" s="87"/>
      <c r="E112" s="90">
        <f>VLOOKUP(C112,[1]IP!$B$9:$V$116,21,0)</f>
        <v>2865.8</v>
      </c>
      <c r="F112" s="108"/>
      <c r="G112" s="88" t="e">
        <f>VLOOKUP(C112,#REF!,4,0)</f>
        <v>#REF!</v>
      </c>
      <c r="H112" s="88" t="e">
        <f>VLOOKUP(C112,#REF!,5,0)</f>
        <v>#REF!</v>
      </c>
      <c r="I112" s="88" t="e">
        <f>VLOOKUP(C112,#REF!,6,0)</f>
        <v>#REF!</v>
      </c>
      <c r="J112" s="94"/>
      <c r="K112" s="88" t="e">
        <f t="shared" si="7"/>
        <v>#REF!</v>
      </c>
      <c r="M112" s="88">
        <f t="shared" si="8"/>
        <v>0</v>
      </c>
      <c r="N112" s="95"/>
      <c r="O112" s="46">
        <f>VLOOKUP(C112,[1]IP!$B$9:$I$116,8,0)</f>
        <v>0</v>
      </c>
      <c r="P112" s="46" t="e">
        <f t="shared" si="11"/>
        <v>#REF!</v>
      </c>
      <c r="Q112" s="46">
        <f>VLOOKUP(C112,[1]IP!$B$9:$N$116,13,0)</f>
        <v>0</v>
      </c>
      <c r="R112" s="46">
        <f>VLOOKUP(C112,[1]IP!$B$9:$O$116,14,0)</f>
        <v>0</v>
      </c>
      <c r="S112" s="46"/>
      <c r="T112" s="46">
        <f>VLOOKUP(C112,[1]IP!$B$9:$P$116,15,0)</f>
        <v>0</v>
      </c>
      <c r="U112" s="46">
        <f>VLOOKUP(C112,[1]IP!$B$9:$Q$116,16,0)</f>
        <v>0</v>
      </c>
      <c r="V112" s="46">
        <f>VLOOKUP(C112,[1]IP!$B$9:$S$116,18,0)</f>
        <v>0</v>
      </c>
      <c r="W112" s="46">
        <f>VLOOKUP(C112,[1]IP!$B$9:$R$116,17,0)</f>
        <v>0</v>
      </c>
      <c r="X112" s="94"/>
      <c r="Y112" s="88" t="e">
        <f t="shared" si="9"/>
        <v>#REF!</v>
      </c>
      <c r="Z112" s="46">
        <v>0</v>
      </c>
      <c r="AA112" s="46"/>
      <c r="AB112" s="88">
        <f>VLOOKUP(C112,[2]SINDICATO!$C$7:$Q$141,15,0)</f>
        <v>0</v>
      </c>
    </row>
    <row r="113" spans="1:28" s="88" customFormat="1" x14ac:dyDescent="0.2">
      <c r="A113" s="51" t="s">
        <v>547</v>
      </c>
      <c r="B113" s="52" t="s">
        <v>57</v>
      </c>
      <c r="C113" s="51" t="s">
        <v>548</v>
      </c>
      <c r="D113" s="87"/>
      <c r="E113" s="90">
        <f>VLOOKUP(C113,[1]IP!$B$9:$V$116,21,0)</f>
        <v>2283</v>
      </c>
      <c r="F113" s="108"/>
      <c r="G113" s="88" t="e">
        <f>VLOOKUP(C113,#REF!,4,0)</f>
        <v>#REF!</v>
      </c>
      <c r="H113" s="88" t="e">
        <f>VLOOKUP(C113,#REF!,5,0)</f>
        <v>#REF!</v>
      </c>
      <c r="I113" s="88" t="e">
        <f>VLOOKUP(C113,#REF!,6,0)</f>
        <v>#REF!</v>
      </c>
      <c r="J113" s="94"/>
      <c r="K113" s="88" t="e">
        <f t="shared" si="7"/>
        <v>#REF!</v>
      </c>
      <c r="L113" s="88">
        <v>6000</v>
      </c>
      <c r="M113" s="88">
        <f t="shared" si="8"/>
        <v>3000</v>
      </c>
      <c r="N113" s="95"/>
      <c r="O113" s="46">
        <f>VLOOKUP(C113,[1]IP!$B$9:$I$116,8,0)</f>
        <v>0</v>
      </c>
      <c r="P113" s="46" t="e">
        <f t="shared" si="11"/>
        <v>#REF!</v>
      </c>
      <c r="Q113" s="46">
        <f>VLOOKUP(C113,[1]IP!$B$9:$N$116,13,0)</f>
        <v>0</v>
      </c>
      <c r="R113" s="46">
        <f>VLOOKUP(C113,[1]IP!$B$9:$O$116,14,0)</f>
        <v>0</v>
      </c>
      <c r="S113" s="46"/>
      <c r="T113" s="46">
        <f>VLOOKUP(C113,[1]IP!$B$9:$P$116,15,0)</f>
        <v>0</v>
      </c>
      <c r="U113" s="46">
        <f>VLOOKUP(C113,[1]IP!$B$9:$Q$116,16,0)</f>
        <v>581.73</v>
      </c>
      <c r="V113" s="46">
        <f>VLOOKUP(C113,[1]IP!$B$9:$S$116,18,0)</f>
        <v>0</v>
      </c>
      <c r="W113" s="46">
        <f>VLOOKUP(C113,[1]IP!$B$9:$R$116,17,0)</f>
        <v>0</v>
      </c>
      <c r="X113" s="94"/>
      <c r="Y113" s="88" t="e">
        <f t="shared" si="9"/>
        <v>#REF!</v>
      </c>
      <c r="Z113" s="46" t="e">
        <f t="shared" ref="Z113:Z138" si="12">+M113-Y113</f>
        <v>#REF!</v>
      </c>
      <c r="AA113" s="46"/>
      <c r="AB113" s="88" t="e">
        <f>VLOOKUP(C113,[2]SINDICATO!$C$7:$Q$141,15,0)</f>
        <v>#N/A</v>
      </c>
    </row>
    <row r="114" spans="1:28" s="88" customFormat="1" x14ac:dyDescent="0.2">
      <c r="A114" s="51" t="s">
        <v>99</v>
      </c>
      <c r="B114" s="52" t="s">
        <v>57</v>
      </c>
      <c r="C114" s="58" t="s">
        <v>549</v>
      </c>
      <c r="D114" s="87"/>
      <c r="E114" s="90">
        <f>VLOOKUP(C114,[1]IP!$B$9:$V$116,21,0)</f>
        <v>2864.8</v>
      </c>
      <c r="F114" s="108"/>
      <c r="G114" s="88" t="e">
        <f>VLOOKUP(C114,#REF!,4,0)</f>
        <v>#REF!</v>
      </c>
      <c r="H114" s="88" t="e">
        <f>VLOOKUP(C114,#REF!,5,0)</f>
        <v>#REF!</v>
      </c>
      <c r="I114" s="88" t="e">
        <f>VLOOKUP(C114,#REF!,6,0)</f>
        <v>#REF!</v>
      </c>
      <c r="J114" s="94"/>
      <c r="K114" s="88" t="e">
        <f t="shared" si="7"/>
        <v>#REF!</v>
      </c>
      <c r="L114" s="88">
        <v>6900</v>
      </c>
      <c r="M114" s="88">
        <f t="shared" si="8"/>
        <v>3450</v>
      </c>
      <c r="N114" s="95">
        <v>0</v>
      </c>
      <c r="O114" s="46">
        <f>VLOOKUP(C114,[1]IP!$B$9:$I$116,8,0)</f>
        <v>0</v>
      </c>
      <c r="P114" s="46" t="e">
        <f t="shared" si="11"/>
        <v>#REF!</v>
      </c>
      <c r="Q114" s="46">
        <f>VLOOKUP(C114,[1]IP!$B$9:$N$116,13,0)</f>
        <v>0</v>
      </c>
      <c r="R114" s="46">
        <f>VLOOKUP(C114,[1]IP!$B$9:$O$116,14,0)</f>
        <v>0</v>
      </c>
      <c r="S114" s="46"/>
      <c r="T114" s="46">
        <f>VLOOKUP(C114,[1]IP!$B$9:$P$116,15,0)</f>
        <v>0</v>
      </c>
      <c r="U114" s="46">
        <f>VLOOKUP(C114,[1]IP!$B$9:$Q$116,16,0)</f>
        <v>0</v>
      </c>
      <c r="V114" s="46">
        <f>VLOOKUP(C114,[1]IP!$B$9:$S$116,18,0)</f>
        <v>0</v>
      </c>
      <c r="W114" s="46">
        <f>VLOOKUP(C114,[1]IP!$B$9:$R$116,17,0)</f>
        <v>0</v>
      </c>
      <c r="X114" s="94"/>
      <c r="Y114" s="88" t="e">
        <f t="shared" si="9"/>
        <v>#REF!</v>
      </c>
      <c r="Z114" s="46" t="e">
        <f t="shared" si="12"/>
        <v>#REF!</v>
      </c>
      <c r="AA114" s="46"/>
      <c r="AB114" s="88" t="e">
        <f>VLOOKUP(C114,[2]SINDICATO!$C$7:$Q$141,15,0)</f>
        <v>#N/A</v>
      </c>
    </row>
    <row r="115" spans="1:28" s="88" customFormat="1" x14ac:dyDescent="0.2">
      <c r="A115" s="51" t="s">
        <v>550</v>
      </c>
      <c r="B115" s="52" t="s">
        <v>57</v>
      </c>
      <c r="C115" s="51" t="s">
        <v>551</v>
      </c>
      <c r="D115" s="87"/>
      <c r="E115" s="90">
        <f>VLOOKUP(C115,[1]IP!$B$9:$V$116,21,0)</f>
        <v>2515</v>
      </c>
      <c r="F115" s="108"/>
      <c r="G115" s="88" t="e">
        <f>VLOOKUP(C115,#REF!,4,0)</f>
        <v>#REF!</v>
      </c>
      <c r="H115" s="88" t="e">
        <f>VLOOKUP(C115,#REF!,5,0)</f>
        <v>#REF!</v>
      </c>
      <c r="I115" s="88" t="e">
        <f>VLOOKUP(C115,#REF!,6,0)</f>
        <v>#REF!</v>
      </c>
      <c r="J115" s="94"/>
      <c r="K115" s="88" t="e">
        <f t="shared" si="7"/>
        <v>#REF!</v>
      </c>
      <c r="L115" s="72">
        <v>19950</v>
      </c>
      <c r="M115" s="88">
        <f t="shared" si="8"/>
        <v>9975</v>
      </c>
      <c r="N115" s="95"/>
      <c r="O115" s="46">
        <f>VLOOKUP(C115,[1]IP!$B$9:$I$116,8,0)</f>
        <v>0</v>
      </c>
      <c r="P115" s="46" t="e">
        <f t="shared" si="11"/>
        <v>#REF!</v>
      </c>
      <c r="Q115" s="46">
        <f>VLOOKUP(C115,[1]IP!$B$9:$N$116,13,0)</f>
        <v>0</v>
      </c>
      <c r="R115" s="46">
        <f>VLOOKUP(C115,[1]IP!$B$9:$O$116,14,0)</f>
        <v>0</v>
      </c>
      <c r="S115" s="46"/>
      <c r="T115" s="46">
        <f>VLOOKUP(C115,[1]IP!$B$9:$P$116,15,0)</f>
        <v>0</v>
      </c>
      <c r="U115" s="46">
        <f>VLOOKUP(C115,[1]IP!$B$9:$Q$116,16,0)</f>
        <v>0</v>
      </c>
      <c r="V115" s="46">
        <f>VLOOKUP(C115,[1]IP!$B$9:$S$116,18,0)</f>
        <v>0</v>
      </c>
      <c r="W115" s="46">
        <f>VLOOKUP(C115,[1]IP!$B$9:$R$116,17,0)</f>
        <v>616.65</v>
      </c>
      <c r="X115" s="94"/>
      <c r="Y115" s="88" t="e">
        <f t="shared" si="9"/>
        <v>#REF!</v>
      </c>
      <c r="Z115" s="46" t="e">
        <f t="shared" si="12"/>
        <v>#REF!</v>
      </c>
      <c r="AA115" s="46"/>
      <c r="AB115" s="88" t="e">
        <f>VLOOKUP(C115,[2]SINDICATO!$C$7:$Q$141,15,0)</f>
        <v>#N/A</v>
      </c>
    </row>
    <row r="116" spans="1:28" s="88" customFormat="1" x14ac:dyDescent="0.2">
      <c r="A116" s="47" t="s">
        <v>552</v>
      </c>
      <c r="B116" s="52" t="s">
        <v>57</v>
      </c>
      <c r="C116" s="47" t="s">
        <v>553</v>
      </c>
      <c r="D116" s="87"/>
      <c r="E116" s="90">
        <f>VLOOKUP(C116,[1]IP!$B$9:$V$116,21,0)</f>
        <v>3278.6</v>
      </c>
      <c r="F116" s="108"/>
      <c r="G116" s="88" t="e">
        <f>VLOOKUP(C116,#REF!,4,0)</f>
        <v>#REF!</v>
      </c>
      <c r="H116" s="88" t="e">
        <f>VLOOKUP(C116,#REF!,5,0)</f>
        <v>#REF!</v>
      </c>
      <c r="I116" s="88" t="e">
        <f>VLOOKUP(C116,#REF!,6,0)</f>
        <v>#REF!</v>
      </c>
      <c r="J116" s="94"/>
      <c r="K116" s="88" t="e">
        <f t="shared" si="7"/>
        <v>#REF!</v>
      </c>
      <c r="L116" s="72">
        <v>12000</v>
      </c>
      <c r="M116" s="88">
        <f t="shared" si="8"/>
        <v>6000</v>
      </c>
      <c r="N116" s="95"/>
      <c r="O116" s="46">
        <f>VLOOKUP(C116,[1]IP!$B$9:$I$116,8,0)</f>
        <v>0</v>
      </c>
      <c r="P116" s="46" t="e">
        <f t="shared" si="11"/>
        <v>#REF!</v>
      </c>
      <c r="Q116" s="46">
        <f>VLOOKUP(C116,[1]IP!$B$9:$N$116,13,0)</f>
        <v>0</v>
      </c>
      <c r="R116" s="46">
        <f>VLOOKUP(C116,[1]IP!$B$9:$O$116,14,0)</f>
        <v>0</v>
      </c>
      <c r="S116" s="46"/>
      <c r="T116" s="46">
        <f>VLOOKUP(C116,[1]IP!$B$9:$P$116,15,0)</f>
        <v>0</v>
      </c>
      <c r="U116" s="46">
        <f>VLOOKUP(C116,[1]IP!$B$9:$Q$116,16,0)</f>
        <v>0</v>
      </c>
      <c r="V116" s="46">
        <f>VLOOKUP(C116,[1]IP!$B$9:$S$116,18,0)</f>
        <v>0</v>
      </c>
      <c r="W116" s="46">
        <f>VLOOKUP(C116,[1]IP!$B$9:$R$116,17,0)</f>
        <v>0</v>
      </c>
      <c r="X116" s="94"/>
      <c r="Y116" s="88" t="e">
        <f t="shared" si="9"/>
        <v>#REF!</v>
      </c>
      <c r="Z116" s="46" t="e">
        <f t="shared" si="12"/>
        <v>#REF!</v>
      </c>
      <c r="AA116" s="119"/>
      <c r="AB116" s="88">
        <f>VLOOKUP(C116,[2]SINDICATO!$C$7:$Q$141,15,0)</f>
        <v>0</v>
      </c>
    </row>
    <row r="117" spans="1:28" s="88" customFormat="1" x14ac:dyDescent="0.2">
      <c r="A117" s="47" t="s">
        <v>554</v>
      </c>
      <c r="B117" s="52" t="s">
        <v>57</v>
      </c>
      <c r="C117" s="47" t="s">
        <v>555</v>
      </c>
      <c r="D117" s="87"/>
      <c r="E117" s="90">
        <f>VLOOKUP(C117,[1]IP!$B$9:$V$116,21,0)</f>
        <v>2447.6</v>
      </c>
      <c r="F117" s="108"/>
      <c r="G117" s="88" t="e">
        <f>VLOOKUP(C117,#REF!,4,0)</f>
        <v>#REF!</v>
      </c>
      <c r="H117" s="88" t="e">
        <f>VLOOKUP(C117,#REF!,5,0)</f>
        <v>#REF!</v>
      </c>
      <c r="I117" s="88" t="e">
        <f>VLOOKUP(C117,#REF!,6,0)</f>
        <v>#REF!</v>
      </c>
      <c r="J117" s="94"/>
      <c r="K117" s="88" t="e">
        <f t="shared" si="7"/>
        <v>#REF!</v>
      </c>
      <c r="L117" s="88">
        <v>5000</v>
      </c>
      <c r="M117" s="88">
        <f t="shared" si="8"/>
        <v>2500</v>
      </c>
      <c r="N117" s="95"/>
      <c r="O117" s="46">
        <f>VLOOKUP(C117,[1]IP!$B$9:$I$116,8,0)</f>
        <v>0</v>
      </c>
      <c r="P117" s="46" t="e">
        <f t="shared" si="11"/>
        <v>#REF!</v>
      </c>
      <c r="Q117" s="46">
        <f>VLOOKUP(C117,[1]IP!$B$9:$N$116,13,0)</f>
        <v>0</v>
      </c>
      <c r="R117" s="46">
        <f>VLOOKUP(C117,[1]IP!$B$9:$O$116,14,0)</f>
        <v>0</v>
      </c>
      <c r="S117" s="46"/>
      <c r="T117" s="46">
        <f>VLOOKUP(C117,[1]IP!$B$9:$P$116,15,0)</f>
        <v>0</v>
      </c>
      <c r="U117" s="46">
        <f>VLOOKUP(C117,[1]IP!$B$9:$Q$116,16,0)</f>
        <v>0</v>
      </c>
      <c r="V117" s="46">
        <f>VLOOKUP(C117,[1]IP!$B$9:$S$116,18,0)</f>
        <v>0</v>
      </c>
      <c r="W117" s="46">
        <f>VLOOKUP(C117,[1]IP!$B$9:$R$116,17,0)</f>
        <v>0</v>
      </c>
      <c r="X117" s="94"/>
      <c r="Y117" s="88" t="e">
        <f t="shared" si="9"/>
        <v>#REF!</v>
      </c>
      <c r="Z117" s="46" t="e">
        <f t="shared" si="12"/>
        <v>#REF!</v>
      </c>
      <c r="AA117" s="46"/>
      <c r="AB117" s="88" t="e">
        <f>VLOOKUP(C117,[2]SINDICATO!$C$7:$Q$141,15,0)</f>
        <v>#N/A</v>
      </c>
    </row>
    <row r="118" spans="1:28" s="88" customFormat="1" x14ac:dyDescent="0.2">
      <c r="A118" s="47" t="s">
        <v>558</v>
      </c>
      <c r="B118" s="52" t="s">
        <v>57</v>
      </c>
      <c r="C118" s="47" t="s">
        <v>559</v>
      </c>
      <c r="D118" s="87"/>
      <c r="E118" s="90">
        <f>VLOOKUP(C118,[1]IP!$B$9:$V$116,21,0)</f>
        <v>3278.8</v>
      </c>
      <c r="F118" s="108"/>
      <c r="G118" s="88" t="e">
        <f>VLOOKUP(C118,#REF!,4,0)</f>
        <v>#REF!</v>
      </c>
      <c r="H118" s="88" t="e">
        <f>VLOOKUP(C118,#REF!,5,0)</f>
        <v>#REF!</v>
      </c>
      <c r="I118" s="88" t="e">
        <f>VLOOKUP(C118,#REF!,6,0)</f>
        <v>#REF!</v>
      </c>
      <c r="J118" s="94"/>
      <c r="K118" s="88" t="e">
        <f t="shared" si="7"/>
        <v>#REF!</v>
      </c>
      <c r="L118" s="88">
        <v>7000</v>
      </c>
      <c r="M118" s="88">
        <f t="shared" si="8"/>
        <v>3500</v>
      </c>
      <c r="N118" s="95"/>
      <c r="O118" s="46">
        <f>VLOOKUP(C118,[1]IP!$B$9:$I$116,8,0)</f>
        <v>0</v>
      </c>
      <c r="P118" s="46" t="e">
        <f t="shared" si="11"/>
        <v>#REF!</v>
      </c>
      <c r="Q118" s="46">
        <f>VLOOKUP(C118,[1]IP!$B$9:$N$116,13,0)</f>
        <v>0</v>
      </c>
      <c r="R118" s="46">
        <f>VLOOKUP(C118,[1]IP!$B$9:$O$116,14,0)</f>
        <v>0</v>
      </c>
      <c r="S118" s="46"/>
      <c r="T118" s="46">
        <f>VLOOKUP(C118,[1]IP!$B$9:$P$116,15,0)</f>
        <v>0</v>
      </c>
      <c r="U118" s="46">
        <f>VLOOKUP(C118,[1]IP!$B$9:$Q$116,16,0)</f>
        <v>0</v>
      </c>
      <c r="V118" s="46">
        <f>VLOOKUP(C118,[1]IP!$B$9:$S$116,18,0)</f>
        <v>0</v>
      </c>
      <c r="W118" s="46">
        <f>VLOOKUP(C118,[1]IP!$B$9:$R$116,17,0)</f>
        <v>0</v>
      </c>
      <c r="X118" s="94"/>
      <c r="Y118" s="88" t="e">
        <f t="shared" si="9"/>
        <v>#REF!</v>
      </c>
      <c r="Z118" s="46" t="e">
        <f t="shared" si="12"/>
        <v>#REF!</v>
      </c>
      <c r="AA118" s="46"/>
      <c r="AB118" s="88" t="e">
        <f>VLOOKUP(C118,[2]SINDICATO!$C$7:$Q$141,15,0)</f>
        <v>#N/A</v>
      </c>
    </row>
    <row r="119" spans="1:28" s="88" customFormat="1" x14ac:dyDescent="0.2">
      <c r="A119" s="47" t="s">
        <v>560</v>
      </c>
      <c r="B119" s="52" t="s">
        <v>57</v>
      </c>
      <c r="C119" s="47" t="s">
        <v>561</v>
      </c>
      <c r="D119" s="87"/>
      <c r="E119" s="90">
        <f>VLOOKUP(C119,[1]IP!$B$9:$V$116,21,0)</f>
        <v>3234.2</v>
      </c>
      <c r="F119" s="108"/>
      <c r="G119" s="88" t="e">
        <f>VLOOKUP(C119,#REF!,4,0)</f>
        <v>#REF!</v>
      </c>
      <c r="H119" s="88" t="e">
        <f>VLOOKUP(C119,#REF!,5,0)</f>
        <v>#REF!</v>
      </c>
      <c r="I119" s="88" t="e">
        <f>VLOOKUP(C119,#REF!,6,0)</f>
        <v>#REF!</v>
      </c>
      <c r="J119" s="94"/>
      <c r="K119" s="88" t="e">
        <f t="shared" si="7"/>
        <v>#REF!</v>
      </c>
      <c r="L119" s="88">
        <v>6900</v>
      </c>
      <c r="M119" s="88">
        <f t="shared" si="8"/>
        <v>3450</v>
      </c>
      <c r="N119" s="95"/>
      <c r="O119" s="46">
        <f>VLOOKUP(C119,[1]IP!$B$9:$I$116,8,0)</f>
        <v>0</v>
      </c>
      <c r="P119" s="46" t="e">
        <f t="shared" si="11"/>
        <v>#REF!</v>
      </c>
      <c r="Q119" s="46">
        <f>VLOOKUP(C119,[1]IP!$B$9:$N$116,13,0)</f>
        <v>0</v>
      </c>
      <c r="R119" s="46">
        <f>VLOOKUP(C119,[1]IP!$B$9:$O$116,14,0)</f>
        <v>0</v>
      </c>
      <c r="S119" s="46"/>
      <c r="T119" s="46">
        <f>VLOOKUP(C119,[1]IP!$B$9:$P$116,15,0)</f>
        <v>0</v>
      </c>
      <c r="U119" s="46">
        <f>VLOOKUP(C119,[1]IP!$B$9:$Q$116,16,0)</f>
        <v>0</v>
      </c>
      <c r="V119" s="46">
        <f>VLOOKUP(C119,[1]IP!$B$9:$S$116,18,0)</f>
        <v>0</v>
      </c>
      <c r="W119" s="46">
        <f>VLOOKUP(C119,[1]IP!$B$9:$R$116,17,0)</f>
        <v>0</v>
      </c>
      <c r="X119" s="94"/>
      <c r="Y119" s="88" t="e">
        <f t="shared" si="9"/>
        <v>#REF!</v>
      </c>
      <c r="Z119" s="46" t="e">
        <f t="shared" si="12"/>
        <v>#REF!</v>
      </c>
      <c r="AA119" s="46"/>
      <c r="AB119" s="88" t="e">
        <f>VLOOKUP(C119,[2]SINDICATO!$C$7:$Q$141,15,0)</f>
        <v>#N/A</v>
      </c>
    </row>
    <row r="120" spans="1:28" s="88" customFormat="1" x14ac:dyDescent="0.2">
      <c r="A120" s="47" t="s">
        <v>562</v>
      </c>
      <c r="B120" s="52" t="s">
        <v>57</v>
      </c>
      <c r="C120" s="47" t="s">
        <v>563</v>
      </c>
      <c r="D120" s="87"/>
      <c r="E120" s="90">
        <f>VLOOKUP(C120,[1]IP!$B$9:$V$116,21,0)</f>
        <v>1799.4</v>
      </c>
      <c r="F120" s="108"/>
      <c r="G120" s="88" t="e">
        <f>VLOOKUP(C120,#REF!,4,0)</f>
        <v>#REF!</v>
      </c>
      <c r="H120" s="88" t="e">
        <f>VLOOKUP(C120,#REF!,5,0)</f>
        <v>#REF!</v>
      </c>
      <c r="I120" s="88" t="e">
        <f>VLOOKUP(C120,#REF!,6,0)</f>
        <v>#REF!</v>
      </c>
      <c r="J120" s="94"/>
      <c r="K120" s="88" t="e">
        <f t="shared" si="7"/>
        <v>#REF!</v>
      </c>
      <c r="L120" s="88">
        <v>7000</v>
      </c>
      <c r="M120" s="88">
        <f t="shared" si="8"/>
        <v>3500</v>
      </c>
      <c r="N120" s="95"/>
      <c r="O120" s="46">
        <f>VLOOKUP(C120,[1]IP!$B$9:$I$116,8,0)</f>
        <v>0</v>
      </c>
      <c r="P120" s="46" t="e">
        <f t="shared" si="11"/>
        <v>#REF!</v>
      </c>
      <c r="Q120" s="46">
        <f>VLOOKUP(C120,[1]IP!$B$9:$N$116,13,0)</f>
        <v>1463.13</v>
      </c>
      <c r="R120" s="46">
        <f>VLOOKUP(C120,[1]IP!$B$9:$O$116,14,0)</f>
        <v>0</v>
      </c>
      <c r="S120" s="46"/>
      <c r="T120" s="46">
        <f>VLOOKUP(C120,[1]IP!$B$9:$P$116,15,0)</f>
        <v>15</v>
      </c>
      <c r="U120" s="46">
        <f>VLOOKUP(C120,[1]IP!$B$9:$Q$116,16,0)</f>
        <v>0</v>
      </c>
      <c r="V120" s="46">
        <f>VLOOKUP(C120,[1]IP!$B$9:$S$116,18,0)</f>
        <v>0</v>
      </c>
      <c r="W120" s="46">
        <f>VLOOKUP(C120,[1]IP!$B$9:$R$116,17,0)</f>
        <v>0</v>
      </c>
      <c r="X120" s="94"/>
      <c r="Y120" s="88" t="e">
        <f t="shared" si="9"/>
        <v>#REF!</v>
      </c>
      <c r="Z120" s="46" t="e">
        <f t="shared" si="12"/>
        <v>#REF!</v>
      </c>
      <c r="AA120" s="46"/>
      <c r="AB120" s="88" t="e">
        <f>VLOOKUP(C120,[2]SINDICATO!$C$7:$Q$141,15,0)</f>
        <v>#N/A</v>
      </c>
    </row>
    <row r="121" spans="1:28" s="88" customFormat="1" x14ac:dyDescent="0.2">
      <c r="A121" s="47" t="s">
        <v>564</v>
      </c>
      <c r="B121" s="52" t="s">
        <v>57</v>
      </c>
      <c r="C121" s="47" t="s">
        <v>565</v>
      </c>
      <c r="D121" s="87"/>
      <c r="E121" s="90">
        <f>VLOOKUP(C121,[1]IP!$B$9:$V$116,21,0)</f>
        <v>2974.2</v>
      </c>
      <c r="F121" s="108"/>
      <c r="G121" s="88" t="e">
        <f>VLOOKUP(C121,#REF!,4,0)</f>
        <v>#REF!</v>
      </c>
      <c r="H121" s="88" t="e">
        <f>VLOOKUP(C121,#REF!,5,0)</f>
        <v>#REF!</v>
      </c>
      <c r="I121" s="88" t="e">
        <f>VLOOKUP(C121,#REF!,6,0)</f>
        <v>#REF!</v>
      </c>
      <c r="J121" s="94"/>
      <c r="K121" s="88" t="e">
        <f t="shared" si="7"/>
        <v>#REF!</v>
      </c>
      <c r="L121" s="88">
        <v>6300</v>
      </c>
      <c r="M121" s="88">
        <f t="shared" si="8"/>
        <v>3150</v>
      </c>
      <c r="N121" s="95"/>
      <c r="O121" s="46">
        <f>VLOOKUP(C121,[1]IP!$B$9:$I$116,8,0)</f>
        <v>0</v>
      </c>
      <c r="P121" s="46" t="e">
        <f t="shared" si="11"/>
        <v>#REF!</v>
      </c>
      <c r="Q121" s="46">
        <f>VLOOKUP(C121,[1]IP!$B$9:$N$116,13,0)</f>
        <v>0</v>
      </c>
      <c r="R121" s="46">
        <f>VLOOKUP(C121,[1]IP!$B$9:$O$116,14,0)</f>
        <v>0</v>
      </c>
      <c r="S121" s="46"/>
      <c r="T121" s="46">
        <f>VLOOKUP(C121,[1]IP!$B$9:$P$116,15,0)</f>
        <v>0</v>
      </c>
      <c r="U121" s="46">
        <f>VLOOKUP(C121,[1]IP!$B$9:$Q$116,16,0)</f>
        <v>0</v>
      </c>
      <c r="V121" s="46">
        <f>VLOOKUP(C121,[1]IP!$B$9:$S$116,18,0)</f>
        <v>0</v>
      </c>
      <c r="W121" s="46">
        <f>VLOOKUP(C121,[1]IP!$B$9:$R$116,17,0)</f>
        <v>0</v>
      </c>
      <c r="X121" s="94"/>
      <c r="Y121" s="88" t="e">
        <f t="shared" si="9"/>
        <v>#REF!</v>
      </c>
      <c r="Z121" s="46" t="e">
        <f t="shared" si="12"/>
        <v>#REF!</v>
      </c>
      <c r="AA121" s="46"/>
      <c r="AB121" s="88" t="e">
        <f>VLOOKUP(C121,[2]SINDICATO!$C$7:$Q$141,15,0)</f>
        <v>#N/A</v>
      </c>
    </row>
    <row r="122" spans="1:28" s="88" customFormat="1" x14ac:dyDescent="0.2">
      <c r="A122" s="47" t="s">
        <v>566</v>
      </c>
      <c r="B122" s="52" t="s">
        <v>57</v>
      </c>
      <c r="C122" s="47" t="s">
        <v>567</v>
      </c>
      <c r="D122" s="87"/>
      <c r="E122" s="90">
        <f>VLOOKUP(C122,[1]IP!$B$9:$V$116,21,0)</f>
        <v>2647</v>
      </c>
      <c r="F122" s="108"/>
      <c r="G122" s="88" t="e">
        <f>VLOOKUP(C122,#REF!,4,0)</f>
        <v>#REF!</v>
      </c>
      <c r="H122" s="88" t="e">
        <f>VLOOKUP(C122,#REF!,5,0)</f>
        <v>#REF!</v>
      </c>
      <c r="I122" s="88" t="e">
        <f>VLOOKUP(C122,#REF!,6,0)</f>
        <v>#REF!</v>
      </c>
      <c r="J122" s="94"/>
      <c r="K122" s="88" t="e">
        <f t="shared" si="7"/>
        <v>#REF!</v>
      </c>
      <c r="L122" s="88">
        <v>6300</v>
      </c>
      <c r="M122" s="88">
        <f t="shared" si="8"/>
        <v>3150</v>
      </c>
      <c r="N122" s="95"/>
      <c r="O122" s="46">
        <f>VLOOKUP(C122,[1]IP!$B$9:$I$116,8,0)</f>
        <v>0</v>
      </c>
      <c r="P122" s="46" t="e">
        <f t="shared" si="11"/>
        <v>#REF!</v>
      </c>
      <c r="Q122" s="46">
        <f>VLOOKUP(C122,[1]IP!$B$9:$N$116,13,0)</f>
        <v>0</v>
      </c>
      <c r="R122" s="46">
        <f>VLOOKUP(C122,[1]IP!$B$9:$O$116,14,0)</f>
        <v>312.35000000000002</v>
      </c>
      <c r="S122" s="46"/>
      <c r="T122" s="46">
        <f>VLOOKUP(C122,[1]IP!$B$9:$P$116,15,0)</f>
        <v>15</v>
      </c>
      <c r="U122" s="46">
        <f>VLOOKUP(C122,[1]IP!$B$9:$Q$116,16,0)</f>
        <v>0</v>
      </c>
      <c r="V122" s="46">
        <f>VLOOKUP(C122,[1]IP!$B$9:$S$116,18,0)</f>
        <v>0</v>
      </c>
      <c r="W122" s="46">
        <f>VLOOKUP(C122,[1]IP!$B$9:$R$116,17,0)</f>
        <v>0</v>
      </c>
      <c r="X122" s="94"/>
      <c r="Y122" s="88" t="e">
        <f t="shared" si="9"/>
        <v>#REF!</v>
      </c>
      <c r="Z122" s="46" t="e">
        <f t="shared" si="12"/>
        <v>#REF!</v>
      </c>
      <c r="AA122" s="46"/>
      <c r="AB122" s="88" t="e">
        <f>VLOOKUP(C122,[2]SINDICATO!$C$7:$Q$141,15,0)</f>
        <v>#N/A</v>
      </c>
    </row>
    <row r="123" spans="1:28" s="88" customFormat="1" x14ac:dyDescent="0.2">
      <c r="A123" s="51" t="s">
        <v>568</v>
      </c>
      <c r="B123" s="52" t="s">
        <v>57</v>
      </c>
      <c r="C123" s="51" t="s">
        <v>569</v>
      </c>
      <c r="D123" s="87"/>
      <c r="E123" s="90">
        <f>VLOOKUP(C123,[1]IP!$B$9:$V$116,21,0)</f>
        <v>2974.2</v>
      </c>
      <c r="F123" s="108"/>
      <c r="G123" s="88" t="e">
        <f>VLOOKUP(C123,#REF!,4,0)</f>
        <v>#REF!</v>
      </c>
      <c r="H123" s="88" t="e">
        <f>VLOOKUP(C123,#REF!,5,0)</f>
        <v>#REF!</v>
      </c>
      <c r="I123" s="88" t="e">
        <f>VLOOKUP(C123,#REF!,6,0)</f>
        <v>#REF!</v>
      </c>
      <c r="J123" s="94"/>
      <c r="K123" s="88" t="e">
        <f t="shared" si="7"/>
        <v>#REF!</v>
      </c>
      <c r="L123" s="88">
        <v>6300</v>
      </c>
      <c r="M123" s="88">
        <f t="shared" si="8"/>
        <v>3150</v>
      </c>
      <c r="N123" s="95"/>
      <c r="O123" s="46">
        <f>VLOOKUP(C123,[1]IP!$B$9:$I$116,8,0)</f>
        <v>0</v>
      </c>
      <c r="P123" s="46" t="e">
        <f t="shared" si="11"/>
        <v>#REF!</v>
      </c>
      <c r="Q123" s="46">
        <f>VLOOKUP(C123,[1]IP!$B$9:$N$116,13,0)</f>
        <v>0</v>
      </c>
      <c r="R123" s="46">
        <f>VLOOKUP(C123,[1]IP!$B$9:$O$116,14,0)</f>
        <v>0</v>
      </c>
      <c r="S123" s="46"/>
      <c r="T123" s="46">
        <f>VLOOKUP(C123,[1]IP!$B$9:$P$116,15,0)</f>
        <v>0</v>
      </c>
      <c r="U123" s="46">
        <f>VLOOKUP(C123,[1]IP!$B$9:$Q$116,16,0)</f>
        <v>0</v>
      </c>
      <c r="V123" s="46">
        <f>VLOOKUP(C123,[1]IP!$B$9:$S$116,18,0)</f>
        <v>0</v>
      </c>
      <c r="W123" s="46">
        <f>VLOOKUP(C123,[1]IP!$B$9:$R$116,17,0)</f>
        <v>0</v>
      </c>
      <c r="X123" s="94"/>
      <c r="Y123" s="88" t="e">
        <f t="shared" si="9"/>
        <v>#REF!</v>
      </c>
      <c r="Z123" s="46" t="e">
        <f t="shared" si="12"/>
        <v>#REF!</v>
      </c>
      <c r="AA123" s="112"/>
      <c r="AB123" s="88" t="e">
        <f>VLOOKUP(C123,[2]SINDICATO!$C$7:$Q$141,15,0)</f>
        <v>#N/A</v>
      </c>
    </row>
    <row r="124" spans="1:28" s="88" customFormat="1" x14ac:dyDescent="0.2">
      <c r="A124" s="51" t="s">
        <v>570</v>
      </c>
      <c r="B124" s="52" t="s">
        <v>57</v>
      </c>
      <c r="C124" s="51" t="s">
        <v>571</v>
      </c>
      <c r="D124" s="87"/>
      <c r="E124" s="90">
        <f>VLOOKUP(C124,[1]IP!$B$9:$V$116,21,0)</f>
        <v>1997.6</v>
      </c>
      <c r="F124" s="108"/>
      <c r="G124" s="88" t="e">
        <f>VLOOKUP(C124,#REF!,4,0)</f>
        <v>#REF!</v>
      </c>
      <c r="H124" s="88" t="e">
        <f>VLOOKUP(C124,#REF!,5,0)</f>
        <v>#REF!</v>
      </c>
      <c r="I124" s="88" t="e">
        <f>VLOOKUP(C124,#REF!,6,0)</f>
        <v>#REF!</v>
      </c>
      <c r="J124" s="94"/>
      <c r="K124" s="88" t="e">
        <f t="shared" si="7"/>
        <v>#REF!</v>
      </c>
      <c r="L124" s="88">
        <v>6300</v>
      </c>
      <c r="M124" s="88">
        <f t="shared" si="8"/>
        <v>3150</v>
      </c>
      <c r="N124" s="95"/>
      <c r="O124" s="46">
        <f>VLOOKUP(C124,[1]IP!$B$9:$I$116,8,0)</f>
        <v>0</v>
      </c>
      <c r="P124" s="46" t="e">
        <f t="shared" si="11"/>
        <v>#REF!</v>
      </c>
      <c r="Q124" s="46">
        <f>VLOOKUP(C124,[1]IP!$B$9:$N$116,13,0)</f>
        <v>0</v>
      </c>
      <c r="R124" s="46">
        <f>VLOOKUP(C124,[1]IP!$B$9:$O$116,14,0)</f>
        <v>961.79</v>
      </c>
      <c r="S124" s="46"/>
      <c r="T124" s="46">
        <f>VLOOKUP(C124,[1]IP!$B$9:$P$116,15,0)</f>
        <v>15</v>
      </c>
      <c r="U124" s="46">
        <f>VLOOKUP(C124,[1]IP!$B$9:$Q$116,16,0)</f>
        <v>0</v>
      </c>
      <c r="V124" s="46">
        <f>VLOOKUP(C124,[1]IP!$B$9:$S$116,18,0)</f>
        <v>0</v>
      </c>
      <c r="W124" s="46">
        <f>VLOOKUP(C124,[1]IP!$B$9:$R$116,17,0)</f>
        <v>0</v>
      </c>
      <c r="X124" s="94"/>
      <c r="Y124" s="88" t="e">
        <f t="shared" si="9"/>
        <v>#REF!</v>
      </c>
      <c r="Z124" s="46" t="e">
        <f t="shared" si="12"/>
        <v>#REF!</v>
      </c>
      <c r="AA124" s="112"/>
      <c r="AB124" s="88" t="e">
        <f>VLOOKUP(C124,[2]SINDICATO!$C$7:$Q$141,15,0)</f>
        <v>#N/A</v>
      </c>
    </row>
    <row r="125" spans="1:28" s="88" customFormat="1" x14ac:dyDescent="0.2">
      <c r="A125" s="51" t="s">
        <v>574</v>
      </c>
      <c r="B125" s="52" t="s">
        <v>57</v>
      </c>
      <c r="C125" s="51" t="s">
        <v>575</v>
      </c>
      <c r="D125" s="87"/>
      <c r="E125" s="90">
        <f>VLOOKUP(C125,[1]IP!$B$9:$V$116,21,0)</f>
        <v>1245.2</v>
      </c>
      <c r="F125" s="108"/>
      <c r="G125" s="88" t="e">
        <f>VLOOKUP(C125,#REF!,4,0)</f>
        <v>#REF!</v>
      </c>
      <c r="H125" s="88" t="e">
        <f>VLOOKUP(C125,#REF!,5,0)</f>
        <v>#REF!</v>
      </c>
      <c r="I125" s="88" t="e">
        <f>VLOOKUP(C125,#REF!,6,0)</f>
        <v>#REF!</v>
      </c>
      <c r="J125" s="94"/>
      <c r="K125" s="88" t="e">
        <f t="shared" si="7"/>
        <v>#REF!</v>
      </c>
      <c r="L125" s="88">
        <v>6000</v>
      </c>
      <c r="M125" s="88">
        <f t="shared" si="8"/>
        <v>3000</v>
      </c>
      <c r="N125" s="95"/>
      <c r="O125" s="46">
        <f>VLOOKUP(C125,[1]IP!$B$9:$I$116,8,0)</f>
        <v>0</v>
      </c>
      <c r="P125" s="46" t="e">
        <f t="shared" si="11"/>
        <v>#REF!</v>
      </c>
      <c r="Q125" s="46">
        <f>VLOOKUP(C125,[1]IP!$B$9:$N$116,13,0)</f>
        <v>0</v>
      </c>
      <c r="R125" s="46">
        <f>VLOOKUP(C125,[1]IP!$B$9:$O$116,14,0)</f>
        <v>1605.6</v>
      </c>
      <c r="S125" s="46"/>
      <c r="T125" s="46">
        <f>VLOOKUP(C125,[1]IP!$B$9:$P$116,15,0)</f>
        <v>15</v>
      </c>
      <c r="U125" s="46">
        <f>VLOOKUP(C125,[1]IP!$B$9:$Q$116,16,0)</f>
        <v>0</v>
      </c>
      <c r="V125" s="46">
        <f>VLOOKUP(C125,[1]IP!$B$9:$S$116,18,0)</f>
        <v>0</v>
      </c>
      <c r="W125" s="46">
        <f>VLOOKUP(C125,[1]IP!$B$9:$R$116,17,0)</f>
        <v>0</v>
      </c>
      <c r="X125" s="94"/>
      <c r="Y125" s="88" t="e">
        <f t="shared" si="9"/>
        <v>#REF!</v>
      </c>
      <c r="Z125" s="46" t="e">
        <f t="shared" si="12"/>
        <v>#REF!</v>
      </c>
      <c r="AA125" s="112"/>
      <c r="AB125" s="88" t="e">
        <f>VLOOKUP(C125,[2]SINDICATO!$C$7:$Q$141,15,0)</f>
        <v>#N/A</v>
      </c>
    </row>
    <row r="126" spans="1:28" s="88" customFormat="1" x14ac:dyDescent="0.2">
      <c r="A126" s="51" t="s">
        <v>576</v>
      </c>
      <c r="B126" s="52" t="s">
        <v>57</v>
      </c>
      <c r="C126" s="51" t="s">
        <v>577</v>
      </c>
      <c r="D126" s="87"/>
      <c r="E126" s="90">
        <f>VLOOKUP(C126,[1]IP!$B$9:$V$116,21,0)</f>
        <v>2866</v>
      </c>
      <c r="F126" s="108"/>
      <c r="G126" s="88" t="e">
        <f>VLOOKUP(C126,#REF!,4,0)</f>
        <v>#REF!</v>
      </c>
      <c r="H126" s="88" t="e">
        <f>VLOOKUP(C126,#REF!,5,0)</f>
        <v>#REF!</v>
      </c>
      <c r="I126" s="88" t="e">
        <f>VLOOKUP(C126,#REF!,6,0)</f>
        <v>#REF!</v>
      </c>
      <c r="J126" s="94"/>
      <c r="K126" s="88" t="e">
        <f t="shared" si="7"/>
        <v>#REF!</v>
      </c>
      <c r="L126" s="88">
        <v>6000</v>
      </c>
      <c r="M126" s="88">
        <f t="shared" si="8"/>
        <v>3000</v>
      </c>
      <c r="N126" s="95"/>
      <c r="O126" s="46">
        <f>VLOOKUP(C126,[1]IP!$B$9:$I$116,8,0)</f>
        <v>0</v>
      </c>
      <c r="P126" s="46" t="e">
        <f t="shared" si="11"/>
        <v>#REF!</v>
      </c>
      <c r="Q126" s="46">
        <f>VLOOKUP(C126,[1]IP!$B$9:$N$116,13,0)</f>
        <v>0</v>
      </c>
      <c r="R126" s="46">
        <f>VLOOKUP(C126,[1]IP!$B$9:$O$116,14,0)</f>
        <v>0</v>
      </c>
      <c r="S126" s="46"/>
      <c r="T126" s="46">
        <f>VLOOKUP(C126,[1]IP!$B$9:$P$116,15,0)</f>
        <v>0</v>
      </c>
      <c r="U126" s="46">
        <f>VLOOKUP(C126,[1]IP!$B$9:$Q$116,16,0)</f>
        <v>0</v>
      </c>
      <c r="V126" s="46">
        <f>VLOOKUP(C126,[1]IP!$B$9:$S$116,18,0)</f>
        <v>0</v>
      </c>
      <c r="W126" s="46">
        <f>VLOOKUP(C126,[1]IP!$B$9:$R$116,17,0)</f>
        <v>0</v>
      </c>
      <c r="X126" s="94"/>
      <c r="Y126" s="88" t="e">
        <f t="shared" si="9"/>
        <v>#REF!</v>
      </c>
      <c r="Z126" s="46" t="e">
        <f t="shared" si="12"/>
        <v>#REF!</v>
      </c>
      <c r="AA126" s="112"/>
      <c r="AB126" s="88" t="e">
        <f>VLOOKUP(C126,[2]SINDICATO!$C$7:$Q$141,15,0)</f>
        <v>#N/A</v>
      </c>
    </row>
    <row r="127" spans="1:28" s="88" customFormat="1" x14ac:dyDescent="0.2">
      <c r="A127" s="51" t="s">
        <v>578</v>
      </c>
      <c r="B127" s="52" t="s">
        <v>57</v>
      </c>
      <c r="C127" s="51" t="s">
        <v>579</v>
      </c>
      <c r="D127" s="87"/>
      <c r="E127" s="90">
        <f>VLOOKUP(C127,[1]IP!$B$9:$V$116,21,0)</f>
        <v>2865.8</v>
      </c>
      <c r="F127" s="108"/>
      <c r="G127" s="88" t="e">
        <f>VLOOKUP(C127,#REF!,4,0)</f>
        <v>#REF!</v>
      </c>
      <c r="H127" s="88" t="e">
        <f>VLOOKUP(C127,#REF!,5,0)</f>
        <v>#REF!</v>
      </c>
      <c r="I127" s="88" t="e">
        <f>VLOOKUP(C127,#REF!,6,0)</f>
        <v>#REF!</v>
      </c>
      <c r="J127" s="94"/>
      <c r="K127" s="88" t="e">
        <f t="shared" si="7"/>
        <v>#REF!</v>
      </c>
      <c r="L127" s="88">
        <v>6000</v>
      </c>
      <c r="M127" s="88">
        <f t="shared" si="8"/>
        <v>3000</v>
      </c>
      <c r="N127" s="95"/>
      <c r="O127" s="46">
        <f>VLOOKUP(C127,[1]IP!$B$9:$I$116,8,0)</f>
        <v>0</v>
      </c>
      <c r="P127" s="46" t="e">
        <f t="shared" si="11"/>
        <v>#REF!</v>
      </c>
      <c r="Q127" s="46">
        <f>VLOOKUP(C127,[1]IP!$B$9:$N$116,13,0)</f>
        <v>0</v>
      </c>
      <c r="R127" s="46">
        <f>VLOOKUP(C127,[1]IP!$B$9:$O$116,14,0)</f>
        <v>0</v>
      </c>
      <c r="S127" s="46"/>
      <c r="T127" s="46">
        <f>VLOOKUP(C127,[1]IP!$B$9:$P$116,15,0)</f>
        <v>0</v>
      </c>
      <c r="U127" s="46">
        <f>VLOOKUP(C127,[1]IP!$B$9:$Q$116,16,0)</f>
        <v>0</v>
      </c>
      <c r="V127" s="46">
        <f>VLOOKUP(C127,[1]IP!$B$9:$S$116,18,0)</f>
        <v>0</v>
      </c>
      <c r="W127" s="46">
        <f>VLOOKUP(C127,[1]IP!$B$9:$R$116,17,0)</f>
        <v>0</v>
      </c>
      <c r="X127" s="94"/>
      <c r="Y127" s="88" t="e">
        <f t="shared" si="9"/>
        <v>#REF!</v>
      </c>
      <c r="Z127" s="46" t="e">
        <f t="shared" si="12"/>
        <v>#REF!</v>
      </c>
      <c r="AA127" s="112"/>
      <c r="AB127" s="88" t="e">
        <f>VLOOKUP(C127,[2]SINDICATO!$C$7:$Q$141,15,0)</f>
        <v>#N/A</v>
      </c>
    </row>
    <row r="128" spans="1:28" s="88" customFormat="1" x14ac:dyDescent="0.2">
      <c r="A128" s="51" t="s">
        <v>504</v>
      </c>
      <c r="B128" s="52" t="s">
        <v>57</v>
      </c>
      <c r="C128" s="51" t="s">
        <v>421</v>
      </c>
      <c r="D128" s="87"/>
      <c r="E128" s="90">
        <f>VLOOKUP(C128,[1]IP!$B$9:$V$116,21,0)</f>
        <v>2864.8</v>
      </c>
      <c r="F128" s="108"/>
      <c r="G128" s="88" t="e">
        <f>VLOOKUP(C128,#REF!,4,0)</f>
        <v>#REF!</v>
      </c>
      <c r="H128" s="88" t="e">
        <f>VLOOKUP(C128,#REF!,5,0)</f>
        <v>#REF!</v>
      </c>
      <c r="I128" s="88" t="e">
        <f>VLOOKUP(C128,#REF!,6,0)</f>
        <v>#REF!</v>
      </c>
      <c r="J128" s="94"/>
      <c r="K128" s="88" t="e">
        <f t="shared" si="7"/>
        <v>#REF!</v>
      </c>
      <c r="L128" s="88">
        <v>12000</v>
      </c>
      <c r="M128" s="88">
        <f t="shared" si="8"/>
        <v>6000</v>
      </c>
      <c r="N128" s="95"/>
      <c r="O128" s="46">
        <f>VLOOKUP(C128,[1]IP!$B$9:$I$116,8,0)</f>
        <v>0</v>
      </c>
      <c r="P128" s="46" t="e">
        <f t="shared" si="11"/>
        <v>#REF!</v>
      </c>
      <c r="Q128" s="46">
        <f>VLOOKUP(C128,[1]IP!$B$9:$N$116,13,0)</f>
        <v>0</v>
      </c>
      <c r="R128" s="46">
        <f>VLOOKUP(C128,[1]IP!$B$9:$O$116,14,0)</f>
        <v>0</v>
      </c>
      <c r="S128" s="46"/>
      <c r="T128" s="46">
        <f>VLOOKUP(C128,[1]IP!$B$9:$P$116,15,0)</f>
        <v>0</v>
      </c>
      <c r="U128" s="46">
        <f>VLOOKUP(C128,[1]IP!$B$9:$Q$116,16,0)</f>
        <v>0</v>
      </c>
      <c r="V128" s="46">
        <f>VLOOKUP(C128,[1]IP!$B$9:$S$116,18,0)</f>
        <v>0</v>
      </c>
      <c r="W128" s="46">
        <f>VLOOKUP(C128,[1]IP!$B$9:$R$116,17,0)</f>
        <v>0</v>
      </c>
      <c r="X128" s="94"/>
      <c r="Y128" s="88" t="e">
        <f t="shared" si="9"/>
        <v>#REF!</v>
      </c>
      <c r="Z128" s="46" t="e">
        <f t="shared" si="12"/>
        <v>#REF!</v>
      </c>
      <c r="AA128" s="112"/>
      <c r="AB128" s="88" t="e">
        <f>VLOOKUP(C128,[2]SINDICATO!$C$7:$Q$141,15,0)</f>
        <v>#N/A</v>
      </c>
    </row>
    <row r="129" spans="1:249" s="88" customFormat="1" x14ac:dyDescent="0.2">
      <c r="A129" s="51" t="s">
        <v>580</v>
      </c>
      <c r="B129" s="52" t="s">
        <v>57</v>
      </c>
      <c r="C129" s="51" t="s">
        <v>581</v>
      </c>
      <c r="D129" s="87"/>
      <c r="E129" s="90">
        <f>VLOOKUP(C129,[1]IP!$B$9:$V$116,21,0)</f>
        <v>2372</v>
      </c>
      <c r="F129" s="108"/>
      <c r="G129" s="88" t="e">
        <f>VLOOKUP(C129,#REF!,4,0)</f>
        <v>#REF!</v>
      </c>
      <c r="H129" s="88" t="e">
        <f>VLOOKUP(C129,#REF!,5,0)</f>
        <v>#REF!</v>
      </c>
      <c r="I129" s="88" t="e">
        <f>VLOOKUP(C129,#REF!,6,0)</f>
        <v>#REF!</v>
      </c>
      <c r="J129" s="94"/>
      <c r="K129" s="88" t="e">
        <f t="shared" si="7"/>
        <v>#REF!</v>
      </c>
      <c r="L129" s="88">
        <v>12000</v>
      </c>
      <c r="M129" s="88">
        <f t="shared" si="8"/>
        <v>6000</v>
      </c>
      <c r="N129" s="95"/>
      <c r="O129" s="46">
        <f>VLOOKUP(C129,[1]IP!$B$9:$I$116,8,0)</f>
        <v>0</v>
      </c>
      <c r="P129" s="46" t="e">
        <f t="shared" si="11"/>
        <v>#REF!</v>
      </c>
      <c r="Q129" s="46">
        <f>VLOOKUP(C129,[1]IP!$B$9:$N$116,13,0)</f>
        <v>0</v>
      </c>
      <c r="R129" s="46">
        <f>VLOOKUP(C129,[1]IP!$B$9:$O$116,14,0)</f>
        <v>477.81</v>
      </c>
      <c r="S129" s="46"/>
      <c r="T129" s="46">
        <f>VLOOKUP(C129,[1]IP!$B$9:$P$116,15,0)</f>
        <v>15</v>
      </c>
      <c r="U129" s="46">
        <f>VLOOKUP(C129,[1]IP!$B$9:$Q$116,16,0)</f>
        <v>0</v>
      </c>
      <c r="V129" s="46">
        <f>VLOOKUP(C129,[1]IP!$B$9:$S$116,18,0)</f>
        <v>0</v>
      </c>
      <c r="W129" s="46">
        <f>VLOOKUP(C129,[1]IP!$B$9:$R$116,17,0)</f>
        <v>0</v>
      </c>
      <c r="X129" s="94"/>
      <c r="Y129" s="88" t="e">
        <f t="shared" si="9"/>
        <v>#REF!</v>
      </c>
      <c r="Z129" s="46" t="e">
        <f t="shared" si="12"/>
        <v>#REF!</v>
      </c>
      <c r="AA129" s="112"/>
      <c r="AB129" s="88" t="e">
        <f>VLOOKUP(C129,[2]SINDICATO!$C$7:$Q$141,15,0)</f>
        <v>#N/A</v>
      </c>
    </row>
    <row r="130" spans="1:249" s="88" customFormat="1" x14ac:dyDescent="0.2">
      <c r="A130" s="51" t="s">
        <v>584</v>
      </c>
      <c r="B130" s="52" t="s">
        <v>57</v>
      </c>
      <c r="C130" s="51" t="s">
        <v>585</v>
      </c>
      <c r="D130" s="87"/>
      <c r="E130" s="90">
        <f>VLOOKUP(C130,[1]IP!$B$9:$V$116,21,0)</f>
        <v>925.6</v>
      </c>
      <c r="F130" s="108"/>
      <c r="G130" s="88" t="e">
        <f>VLOOKUP(C130,#REF!,4,0)</f>
        <v>#REF!</v>
      </c>
      <c r="H130" s="88" t="e">
        <f>VLOOKUP(C130,#REF!,5,0)</f>
        <v>#REF!</v>
      </c>
      <c r="I130" s="88" t="e">
        <f>VLOOKUP(C130,#REF!,6,0)</f>
        <v>#REF!</v>
      </c>
      <c r="J130" s="94"/>
      <c r="K130" s="88" t="e">
        <f t="shared" si="7"/>
        <v>#REF!</v>
      </c>
      <c r="L130" s="88">
        <v>7000</v>
      </c>
      <c r="M130" s="88">
        <f t="shared" si="8"/>
        <v>3500</v>
      </c>
      <c r="N130" s="95"/>
      <c r="O130" s="46">
        <f>VLOOKUP(C130,[1]IP!$B$9:$I$116,8,0)</f>
        <v>0</v>
      </c>
      <c r="P130" s="46" t="e">
        <f t="shared" si="11"/>
        <v>#REF!</v>
      </c>
      <c r="Q130" s="46">
        <f>VLOOKUP(C130,[1]IP!$B$9:$N$116,13,0)</f>
        <v>0</v>
      </c>
      <c r="R130" s="46">
        <f>VLOOKUP(C130,[1]IP!$B$9:$O$116,14,0)</f>
        <v>854.85</v>
      </c>
      <c r="S130" s="46"/>
      <c r="T130" s="46">
        <f>VLOOKUP(C130,[1]IP!$B$9:$P$116,15,0)</f>
        <v>15</v>
      </c>
      <c r="U130" s="46">
        <f>VLOOKUP(C130,[1]IP!$B$9:$Q$116,16,0)</f>
        <v>0</v>
      </c>
      <c r="V130" s="46">
        <f>VLOOKUP(C130,[1]IP!$B$9:$S$116,18,0)</f>
        <v>0</v>
      </c>
      <c r="W130" s="46">
        <f>VLOOKUP(C130,[1]IP!$B$9:$R$116,17,0)</f>
        <v>0</v>
      </c>
      <c r="X130" s="94"/>
      <c r="Y130" s="88" t="e">
        <f t="shared" si="9"/>
        <v>#REF!</v>
      </c>
      <c r="Z130" s="46" t="e">
        <f t="shared" si="12"/>
        <v>#REF!</v>
      </c>
      <c r="AA130" s="112"/>
      <c r="AB130" s="88" t="e">
        <f>VLOOKUP(C130,[2]SINDICATO!$C$7:$Q$141,15,0)</f>
        <v>#N/A</v>
      </c>
    </row>
    <row r="131" spans="1:249" s="88" customFormat="1" x14ac:dyDescent="0.2">
      <c r="A131" s="51" t="s">
        <v>586</v>
      </c>
      <c r="B131" s="52" t="s">
        <v>57</v>
      </c>
      <c r="C131" s="51" t="s">
        <v>587</v>
      </c>
      <c r="D131" s="87"/>
      <c r="E131" s="90">
        <f>VLOOKUP(C131,[1]IP!$B$9:$V$116,21,0)</f>
        <v>979.4</v>
      </c>
      <c r="F131" s="108"/>
      <c r="G131" s="88" t="e">
        <f>VLOOKUP(C131,#REF!,4,0)</f>
        <v>#REF!</v>
      </c>
      <c r="H131" s="88" t="e">
        <f>VLOOKUP(C131,#REF!,5,0)</f>
        <v>#REF!</v>
      </c>
      <c r="I131" s="88" t="e">
        <f>VLOOKUP(C131,#REF!,6,0)</f>
        <v>#REF!</v>
      </c>
      <c r="J131" s="94"/>
      <c r="K131" s="88" t="e">
        <f t="shared" si="7"/>
        <v>#REF!</v>
      </c>
      <c r="L131" s="88">
        <v>7000</v>
      </c>
      <c r="M131" s="88">
        <f t="shared" si="8"/>
        <v>3500</v>
      </c>
      <c r="N131" s="95"/>
      <c r="O131" s="46">
        <f>VLOOKUP(C131,[1]IP!$B$9:$I$116,8,0)</f>
        <v>0</v>
      </c>
      <c r="P131" s="46" t="e">
        <f t="shared" si="11"/>
        <v>#REF!</v>
      </c>
      <c r="Q131" s="46">
        <f>VLOOKUP(C131,[1]IP!$B$9:$N$116,13,0)</f>
        <v>801.02</v>
      </c>
      <c r="R131" s="46">
        <f>VLOOKUP(C131,[1]IP!$B$9:$O$116,14,0)</f>
        <v>0</v>
      </c>
      <c r="S131" s="46"/>
      <c r="T131" s="46">
        <f>VLOOKUP(C131,[1]IP!$B$9:$P$116,15,0)</f>
        <v>15</v>
      </c>
      <c r="U131" s="46">
        <f>VLOOKUP(C131,[1]IP!$B$9:$Q$116,16,0)</f>
        <v>0</v>
      </c>
      <c r="V131" s="46">
        <f>VLOOKUP(C131,[1]IP!$B$9:$S$116,18,0)</f>
        <v>0</v>
      </c>
      <c r="W131" s="46">
        <f>VLOOKUP(C131,[1]IP!$B$9:$R$116,17,0)</f>
        <v>0</v>
      </c>
      <c r="X131" s="94"/>
      <c r="Y131" s="88" t="e">
        <f t="shared" si="9"/>
        <v>#REF!</v>
      </c>
      <c r="Z131" s="46" t="e">
        <f t="shared" si="12"/>
        <v>#REF!</v>
      </c>
      <c r="AA131" s="112"/>
      <c r="AB131" s="88" t="e">
        <f>VLOOKUP(C131,[2]SINDICATO!$C$7:$Q$141,15,0)</f>
        <v>#N/A</v>
      </c>
    </row>
    <row r="132" spans="1:249" s="88" customFormat="1" x14ac:dyDescent="0.2">
      <c r="A132" s="51" t="s">
        <v>588</v>
      </c>
      <c r="B132" s="52" t="s">
        <v>57</v>
      </c>
      <c r="C132" s="51" t="s">
        <v>589</v>
      </c>
      <c r="D132" s="87"/>
      <c r="E132" s="90">
        <f>VLOOKUP(C132,[1]IP!$B$9:$V$116,21,0)</f>
        <v>2974.4</v>
      </c>
      <c r="F132" s="108"/>
      <c r="G132" s="88" t="e">
        <f>VLOOKUP(C132,#REF!,4,0)</f>
        <v>#REF!</v>
      </c>
      <c r="H132" s="88" t="e">
        <f>VLOOKUP(C132,#REF!,5,0)</f>
        <v>#REF!</v>
      </c>
      <c r="I132" s="88" t="e">
        <f>VLOOKUP(C132,#REF!,6,0)</f>
        <v>#REF!</v>
      </c>
      <c r="J132" s="94"/>
      <c r="K132" s="88" t="e">
        <f t="shared" ref="K132:K138" si="13">+D132+E132+G132+H132+I132</f>
        <v>#REF!</v>
      </c>
      <c r="L132" s="88">
        <v>6300</v>
      </c>
      <c r="M132" s="88">
        <f t="shared" ref="M132:M138" si="14">+L132/2</f>
        <v>3150</v>
      </c>
      <c r="N132" s="95"/>
      <c r="O132" s="46">
        <f>VLOOKUP(C132,[1]IP!$B$9:$I$116,8,0)</f>
        <v>0</v>
      </c>
      <c r="P132" s="46" t="e">
        <f t="shared" si="11"/>
        <v>#REF!</v>
      </c>
      <c r="Q132" s="46">
        <f>VLOOKUP(C132,[1]IP!$B$9:$N$116,13,0)</f>
        <v>0</v>
      </c>
      <c r="R132" s="46">
        <f>VLOOKUP(C132,[1]IP!$B$9:$O$116,14,0)</f>
        <v>0</v>
      </c>
      <c r="S132" s="46"/>
      <c r="T132" s="46">
        <f>VLOOKUP(C132,[1]IP!$B$9:$P$116,15,0)</f>
        <v>0</v>
      </c>
      <c r="U132" s="46">
        <f>VLOOKUP(C132,[1]IP!$B$9:$Q$116,16,0)</f>
        <v>0</v>
      </c>
      <c r="V132" s="46">
        <f>VLOOKUP(C132,[1]IP!$B$9:$S$116,18,0)</f>
        <v>0</v>
      </c>
      <c r="W132" s="46">
        <f>VLOOKUP(C132,[1]IP!$B$9:$R$116,17,0)</f>
        <v>0</v>
      </c>
      <c r="X132" s="94"/>
      <c r="Y132" s="88" t="e">
        <f t="shared" ref="Y132:Y138" si="15">+K132-O132-P132+Q132+R132+S132+T132+U132+V132+W132</f>
        <v>#REF!</v>
      </c>
      <c r="Z132" s="46" t="e">
        <f t="shared" si="12"/>
        <v>#REF!</v>
      </c>
      <c r="AA132" s="112"/>
      <c r="AB132" s="88" t="e">
        <f>VLOOKUP(C132,[2]SINDICATO!$C$7:$Q$141,15,0)</f>
        <v>#N/A</v>
      </c>
    </row>
    <row r="133" spans="1:249" s="88" customFormat="1" x14ac:dyDescent="0.2">
      <c r="A133" s="51" t="s">
        <v>77</v>
      </c>
      <c r="B133" s="52" t="s">
        <v>57</v>
      </c>
      <c r="C133" s="51" t="s">
        <v>590</v>
      </c>
      <c r="D133" s="87"/>
      <c r="E133" s="90">
        <f>VLOOKUP(C133,[1]IP!$B$9:$V$116,21,0)</f>
        <v>2865.8</v>
      </c>
      <c r="F133" s="108"/>
      <c r="G133" s="88" t="e">
        <f>VLOOKUP(C133,#REF!,4,0)</f>
        <v>#REF!</v>
      </c>
      <c r="H133" s="88" t="e">
        <f>VLOOKUP(C133,#REF!,5,0)</f>
        <v>#REF!</v>
      </c>
      <c r="I133" s="88" t="e">
        <f>VLOOKUP(C133,#REF!,6,0)</f>
        <v>#REF!</v>
      </c>
      <c r="J133" s="94"/>
      <c r="K133" s="88" t="e">
        <f t="shared" si="13"/>
        <v>#REF!</v>
      </c>
      <c r="L133" s="88">
        <v>6000</v>
      </c>
      <c r="M133" s="88">
        <f t="shared" si="14"/>
        <v>3000</v>
      </c>
      <c r="N133" s="95"/>
      <c r="O133" s="46">
        <f>VLOOKUP(C133,[1]IP!$B$9:$I$116,8,0)</f>
        <v>0</v>
      </c>
      <c r="P133" s="46" t="e">
        <f t="shared" si="11"/>
        <v>#REF!</v>
      </c>
      <c r="Q133" s="46">
        <f>VLOOKUP(C133,[1]IP!$B$9:$N$116,13,0)</f>
        <v>0</v>
      </c>
      <c r="R133" s="46">
        <f>VLOOKUP(C133,[1]IP!$B$9:$O$116,14,0)</f>
        <v>0</v>
      </c>
      <c r="S133" s="46"/>
      <c r="T133" s="46">
        <f>VLOOKUP(C133,[1]IP!$B$9:$P$116,15,0)</f>
        <v>0</v>
      </c>
      <c r="U133" s="46">
        <f>VLOOKUP(C133,[1]IP!$B$9:$Q$116,16,0)</f>
        <v>0</v>
      </c>
      <c r="V133" s="46">
        <f>VLOOKUP(C133,[1]IP!$B$9:$S$116,18,0)</f>
        <v>0</v>
      </c>
      <c r="W133" s="46">
        <f>VLOOKUP(C133,[1]IP!$B$9:$R$116,17,0)</f>
        <v>0</v>
      </c>
      <c r="X133" s="94"/>
      <c r="Y133" s="88" t="e">
        <f t="shared" si="15"/>
        <v>#REF!</v>
      </c>
      <c r="Z133" s="46" t="e">
        <f t="shared" si="12"/>
        <v>#REF!</v>
      </c>
      <c r="AA133" s="112"/>
      <c r="AB133" s="88" t="e">
        <f>VLOOKUP(C133,[2]SINDICATO!$C$7:$Q$141,15,0)</f>
        <v>#N/A</v>
      </c>
    </row>
    <row r="134" spans="1:249" s="88" customFormat="1" x14ac:dyDescent="0.2">
      <c r="A134" s="51" t="s">
        <v>592</v>
      </c>
      <c r="B134" s="52" t="s">
        <v>57</v>
      </c>
      <c r="C134" s="51" t="s">
        <v>593</v>
      </c>
      <c r="D134" s="87"/>
      <c r="E134" s="90">
        <f>VLOOKUP(C134,[1]IP!$B$9:$V$116,21,0)</f>
        <v>2446.6</v>
      </c>
      <c r="F134" s="108"/>
      <c r="G134" s="88" t="e">
        <f>VLOOKUP(C134,#REF!,4,0)</f>
        <v>#REF!</v>
      </c>
      <c r="H134" s="88" t="e">
        <f>VLOOKUP(C134,#REF!,5,0)</f>
        <v>#REF!</v>
      </c>
      <c r="I134" s="88" t="e">
        <f>VLOOKUP(C134,#REF!,6,0)</f>
        <v>#REF!</v>
      </c>
      <c r="J134" s="94"/>
      <c r="K134" s="88" t="e">
        <f t="shared" si="13"/>
        <v>#REF!</v>
      </c>
      <c r="L134" s="88">
        <v>5000</v>
      </c>
      <c r="M134" s="88">
        <f t="shared" si="14"/>
        <v>2500</v>
      </c>
      <c r="N134" s="95"/>
      <c r="O134" s="46">
        <f>VLOOKUP(C134,[1]IP!$B$9:$I$116,8,0)</f>
        <v>0</v>
      </c>
      <c r="P134" s="46" t="e">
        <f t="shared" si="11"/>
        <v>#REF!</v>
      </c>
      <c r="Q134" s="46">
        <f>VLOOKUP(C134,[1]IP!$B$9:$N$116,13,0)</f>
        <v>0</v>
      </c>
      <c r="R134" s="46">
        <f>VLOOKUP(C134,[1]IP!$B$9:$O$116,14,0)</f>
        <v>0</v>
      </c>
      <c r="S134" s="46"/>
      <c r="T134" s="46">
        <f>VLOOKUP(C134,[1]IP!$B$9:$P$116,15,0)</f>
        <v>0</v>
      </c>
      <c r="U134" s="46">
        <f>VLOOKUP(C134,[1]IP!$B$9:$Q$116,16,0)</f>
        <v>0</v>
      </c>
      <c r="V134" s="46">
        <f>VLOOKUP(C134,[1]IP!$B$9:$S$116,18,0)</f>
        <v>0</v>
      </c>
      <c r="W134" s="46">
        <f>VLOOKUP(C134,[1]IP!$B$9:$R$116,17,0)</f>
        <v>0</v>
      </c>
      <c r="X134" s="94"/>
      <c r="Y134" s="88" t="e">
        <f t="shared" si="15"/>
        <v>#REF!</v>
      </c>
      <c r="Z134" s="46" t="e">
        <f t="shared" si="12"/>
        <v>#REF!</v>
      </c>
      <c r="AA134" s="112"/>
      <c r="AB134" s="88" t="e">
        <f>VLOOKUP(C134,[2]SINDICATO!$C$7:$Q$141,15,0)</f>
        <v>#N/A</v>
      </c>
      <c r="AC134" s="46"/>
    </row>
    <row r="135" spans="1:249" s="88" customFormat="1" x14ac:dyDescent="0.2">
      <c r="A135" s="51" t="s">
        <v>594</v>
      </c>
      <c r="B135" s="52" t="s">
        <v>57</v>
      </c>
      <c r="C135" s="51" t="s">
        <v>595</v>
      </c>
      <c r="D135" s="87"/>
      <c r="E135" s="90">
        <f>VLOOKUP(C135,[1]IP!$B$9:$V$116,21,0)</f>
        <v>2974.2</v>
      </c>
      <c r="F135" s="108"/>
      <c r="G135" s="88" t="e">
        <f>VLOOKUP(C135,#REF!,4,0)</f>
        <v>#REF!</v>
      </c>
      <c r="H135" s="88" t="e">
        <f>VLOOKUP(C135,#REF!,5,0)</f>
        <v>#REF!</v>
      </c>
      <c r="I135" s="88" t="e">
        <f>VLOOKUP(C135,#REF!,6,0)</f>
        <v>#REF!</v>
      </c>
      <c r="J135" s="94"/>
      <c r="K135" s="88" t="e">
        <f t="shared" si="13"/>
        <v>#REF!</v>
      </c>
      <c r="L135" s="88">
        <v>6300</v>
      </c>
      <c r="M135" s="88">
        <f t="shared" si="14"/>
        <v>3150</v>
      </c>
      <c r="N135" s="95"/>
      <c r="O135" s="46">
        <f>VLOOKUP(C135,[1]IP!$B$9:$I$116,8,0)</f>
        <v>0</v>
      </c>
      <c r="P135" s="46" t="e">
        <f t="shared" si="11"/>
        <v>#REF!</v>
      </c>
      <c r="Q135" s="46">
        <f>VLOOKUP(C135,[1]IP!$B$9:$N$116,13,0)</f>
        <v>0</v>
      </c>
      <c r="R135" s="46">
        <f>VLOOKUP(C135,[1]IP!$B$9:$O$116,14,0)</f>
        <v>0</v>
      </c>
      <c r="S135" s="46"/>
      <c r="T135" s="46">
        <f>VLOOKUP(C135,[1]IP!$B$9:$P$116,15,0)</f>
        <v>0</v>
      </c>
      <c r="U135" s="46">
        <f>VLOOKUP(C135,[1]IP!$B$9:$Q$116,16,0)</f>
        <v>0</v>
      </c>
      <c r="V135" s="46">
        <f>VLOOKUP(C135,[1]IP!$B$9:$S$116,18,0)</f>
        <v>0</v>
      </c>
      <c r="W135" s="46">
        <f>VLOOKUP(C135,[1]IP!$B$9:$R$116,17,0)</f>
        <v>0</v>
      </c>
      <c r="X135" s="94"/>
      <c r="Y135" s="88" t="e">
        <f t="shared" si="15"/>
        <v>#REF!</v>
      </c>
      <c r="Z135" s="46" t="e">
        <f t="shared" si="12"/>
        <v>#REF!</v>
      </c>
      <c r="AA135" s="112"/>
      <c r="AB135" s="88" t="e">
        <f>VLOOKUP(C135,[2]SINDICATO!$C$7:$Q$141,15,0)</f>
        <v>#N/A</v>
      </c>
      <c r="AC135" s="46"/>
    </row>
    <row r="136" spans="1:249" s="88" customFormat="1" x14ac:dyDescent="0.2">
      <c r="A136" s="51" t="s">
        <v>596</v>
      </c>
      <c r="B136" s="52" t="s">
        <v>57</v>
      </c>
      <c r="C136" s="51" t="s">
        <v>597</v>
      </c>
      <c r="D136" s="87"/>
      <c r="E136" s="90">
        <f>VLOOKUP(C136,[1]IP!$B$9:$V$116,21,0)</f>
        <v>3277.6</v>
      </c>
      <c r="F136" s="108"/>
      <c r="G136" s="88" t="e">
        <f>VLOOKUP(C136,#REF!,4,0)</f>
        <v>#REF!</v>
      </c>
      <c r="H136" s="88" t="e">
        <f>VLOOKUP(C136,#REF!,5,0)</f>
        <v>#REF!</v>
      </c>
      <c r="I136" s="88" t="e">
        <f>VLOOKUP(C136,#REF!,6,0)</f>
        <v>#REF!</v>
      </c>
      <c r="J136" s="94"/>
      <c r="K136" s="88" t="e">
        <f t="shared" si="13"/>
        <v>#REF!</v>
      </c>
      <c r="L136" s="88">
        <v>7000</v>
      </c>
      <c r="M136" s="88">
        <f t="shared" si="14"/>
        <v>3500</v>
      </c>
      <c r="N136" s="95"/>
      <c r="O136" s="46">
        <f>VLOOKUP(C136,[1]IP!$B$9:$I$116,8,0)</f>
        <v>0</v>
      </c>
      <c r="P136" s="46" t="e">
        <f t="shared" si="11"/>
        <v>#REF!</v>
      </c>
      <c r="Q136" s="46">
        <f>VLOOKUP(C136,[1]IP!$B$9:$N$116,13,0)</f>
        <v>0</v>
      </c>
      <c r="R136" s="46">
        <f>VLOOKUP(C136,[1]IP!$B$9:$O$116,14,0)</f>
        <v>0</v>
      </c>
      <c r="S136" s="46"/>
      <c r="T136" s="46">
        <f>VLOOKUP(C136,[1]IP!$B$9:$P$116,15,0)</f>
        <v>0</v>
      </c>
      <c r="U136" s="46">
        <f>VLOOKUP(C136,[1]IP!$B$9:$Q$116,16,0)</f>
        <v>0</v>
      </c>
      <c r="V136" s="46">
        <f>VLOOKUP(C136,[1]IP!$B$9:$S$116,18,0)</f>
        <v>0</v>
      </c>
      <c r="W136" s="46">
        <f>VLOOKUP(C136,[1]IP!$B$9:$R$116,17,0)</f>
        <v>0</v>
      </c>
      <c r="X136" s="94"/>
      <c r="Y136" s="88" t="e">
        <f t="shared" si="15"/>
        <v>#REF!</v>
      </c>
      <c r="Z136" s="46" t="e">
        <f t="shared" si="12"/>
        <v>#REF!</v>
      </c>
      <c r="AA136" s="112"/>
      <c r="AB136" s="88" t="e">
        <f>VLOOKUP(C136,[2]SINDICATO!$C$7:$Q$141,15,0)</f>
        <v>#N/A</v>
      </c>
      <c r="AC136" s="46"/>
    </row>
    <row r="137" spans="1:249" s="88" customFormat="1" x14ac:dyDescent="0.2">
      <c r="A137" s="51" t="s">
        <v>598</v>
      </c>
      <c r="B137" s="52" t="s">
        <v>57</v>
      </c>
      <c r="C137" s="51" t="s">
        <v>599</v>
      </c>
      <c r="D137" s="87"/>
      <c r="E137" s="90">
        <f>VLOOKUP(C137,[1]IP!$B$9:$V$116,21,0)</f>
        <v>2865.8</v>
      </c>
      <c r="F137" s="108"/>
      <c r="G137" s="88" t="e">
        <f>VLOOKUP(C137,#REF!,4,0)</f>
        <v>#REF!</v>
      </c>
      <c r="H137" s="88" t="e">
        <f>VLOOKUP(C137,#REF!,5,0)</f>
        <v>#REF!</v>
      </c>
      <c r="I137" s="88" t="e">
        <f>VLOOKUP(C137,#REF!,6,0)</f>
        <v>#REF!</v>
      </c>
      <c r="J137" s="94"/>
      <c r="K137" s="88" t="e">
        <f t="shared" si="13"/>
        <v>#REF!</v>
      </c>
      <c r="L137" s="88">
        <v>6000</v>
      </c>
      <c r="M137" s="88">
        <f t="shared" si="14"/>
        <v>3000</v>
      </c>
      <c r="N137" s="95"/>
      <c r="O137" s="46">
        <f>VLOOKUP(C137,[1]IP!$B$9:$I$116,8,0)</f>
        <v>0</v>
      </c>
      <c r="P137" s="46" t="e">
        <f t="shared" si="11"/>
        <v>#REF!</v>
      </c>
      <c r="Q137" s="46">
        <f>VLOOKUP(C137,[1]IP!$B$9:$N$116,13,0)</f>
        <v>0</v>
      </c>
      <c r="R137" s="46">
        <f>VLOOKUP(C137,[1]IP!$B$9:$O$116,14,0)</f>
        <v>0</v>
      </c>
      <c r="S137" s="46"/>
      <c r="T137" s="46">
        <f>VLOOKUP(C137,[1]IP!$B$9:$P$116,15,0)</f>
        <v>0</v>
      </c>
      <c r="U137" s="46">
        <f>VLOOKUP(C137,[1]IP!$B$9:$Q$116,16,0)</f>
        <v>0</v>
      </c>
      <c r="V137" s="46">
        <f>VLOOKUP(C137,[1]IP!$B$9:$S$116,18,0)</f>
        <v>0</v>
      </c>
      <c r="W137" s="46">
        <f>VLOOKUP(C137,[1]IP!$B$9:$R$116,17,0)</f>
        <v>0</v>
      </c>
      <c r="X137" s="94"/>
      <c r="Y137" s="88" t="e">
        <f t="shared" si="15"/>
        <v>#REF!</v>
      </c>
      <c r="Z137" s="46" t="e">
        <f t="shared" si="12"/>
        <v>#REF!</v>
      </c>
      <c r="AA137" s="112"/>
      <c r="AB137" s="88" t="e">
        <f>VLOOKUP(C137,[2]SINDICATO!$C$7:$Q$141,15,0)</f>
        <v>#N/A</v>
      </c>
      <c r="AC137" s="46"/>
    </row>
    <row r="138" spans="1:249" s="88" customFormat="1" x14ac:dyDescent="0.2">
      <c r="A138" s="51" t="s">
        <v>602</v>
      </c>
      <c r="B138" s="52" t="s">
        <v>57</v>
      </c>
      <c r="C138" s="51" t="s">
        <v>603</v>
      </c>
      <c r="D138" s="87"/>
      <c r="E138" s="90">
        <f>VLOOKUP(C138,[1]IP!$B$9:$V$116,21,0)</f>
        <v>1864.8</v>
      </c>
      <c r="F138" s="108"/>
      <c r="G138" s="88" t="e">
        <f>VLOOKUP(C138,#REF!,4,0)</f>
        <v>#REF!</v>
      </c>
      <c r="H138" s="88" t="e">
        <f>VLOOKUP(C138,#REF!,5,0)</f>
        <v>#REF!</v>
      </c>
      <c r="I138" s="88" t="e">
        <f>VLOOKUP(C138,#REF!,6,0)</f>
        <v>#REF!</v>
      </c>
      <c r="J138" s="94"/>
      <c r="K138" s="88" t="e">
        <f t="shared" si="13"/>
        <v>#REF!</v>
      </c>
      <c r="L138" s="88">
        <v>6300</v>
      </c>
      <c r="M138" s="88">
        <f t="shared" si="14"/>
        <v>3150</v>
      </c>
      <c r="N138" s="95"/>
      <c r="O138" s="46">
        <f>VLOOKUP(C138,[1]IP!$B$9:$I$116,8,0)</f>
        <v>0</v>
      </c>
      <c r="P138" s="46" t="e">
        <f t="shared" si="11"/>
        <v>#REF!</v>
      </c>
      <c r="Q138" s="46">
        <f>VLOOKUP(C138,[1]IP!$B$9:$N$116,13,0)</f>
        <v>600</v>
      </c>
      <c r="R138" s="46">
        <f>VLOOKUP(C138,[1]IP!$B$9:$O$116,14,0)</f>
        <v>0</v>
      </c>
      <c r="S138" s="46"/>
      <c r="T138" s="46">
        <f>VLOOKUP(C138,[1]IP!$B$9:$P$116,15,0)</f>
        <v>0</v>
      </c>
      <c r="U138" s="46">
        <f>VLOOKUP(C138,[1]IP!$B$9:$Q$116,16,0)</f>
        <v>0</v>
      </c>
      <c r="V138" s="46">
        <f>VLOOKUP(C138,[1]IP!$B$9:$S$116,18,0)</f>
        <v>0</v>
      </c>
      <c r="W138" s="46">
        <f>VLOOKUP(C138,[1]IP!$B$9:$R$116,17,0)</f>
        <v>0</v>
      </c>
      <c r="X138" s="94"/>
      <c r="Y138" s="88" t="e">
        <f t="shared" si="15"/>
        <v>#REF!</v>
      </c>
      <c r="Z138" s="120" t="e">
        <f t="shared" si="12"/>
        <v>#REF!</v>
      </c>
      <c r="AA138" s="121"/>
      <c r="AB138" s="88" t="e">
        <f>VLOOKUP(C138,[2]SINDICATO!$C$7:$Q$141,15,0)</f>
        <v>#N/A</v>
      </c>
      <c r="AC138" s="120"/>
    </row>
    <row r="139" spans="1:249" s="122" customFormat="1" ht="24.75" customHeight="1" x14ac:dyDescent="0.25">
      <c r="C139" s="122" t="s">
        <v>647</v>
      </c>
      <c r="D139" s="122">
        <f>SUM(D4:D138)</f>
        <v>106768.59999999999</v>
      </c>
      <c r="E139" s="122">
        <f>SUM(E31:E138)</f>
        <v>317739.99999999988</v>
      </c>
      <c r="F139" s="122">
        <f t="shared" ref="F139:J139" si="16">SUM(F31:F137)</f>
        <v>0</v>
      </c>
      <c r="G139" s="122" t="e">
        <f>SUM(G4:G138)</f>
        <v>#REF!</v>
      </c>
      <c r="H139" s="122" t="e">
        <f>SUM(H4:H138)</f>
        <v>#REF!</v>
      </c>
      <c r="I139" s="122" t="e">
        <f>SUM(I4:I138)</f>
        <v>#REF!</v>
      </c>
      <c r="J139" s="122">
        <f t="shared" si="16"/>
        <v>0</v>
      </c>
      <c r="K139" s="122" t="e">
        <f>SUM(K31:K138)</f>
        <v>#REF!</v>
      </c>
      <c r="L139" s="122">
        <f>SUM(L31:L138)</f>
        <v>951726.02</v>
      </c>
      <c r="M139" s="122">
        <f>SUM(M31:M138)</f>
        <v>475863.01</v>
      </c>
      <c r="N139" s="122">
        <f t="shared" ref="N139:V139" si="17">SUM(N31:N137)</f>
        <v>0</v>
      </c>
      <c r="O139" s="122">
        <f>SUM(O4:O138)</f>
        <v>1902.2</v>
      </c>
      <c r="P139" s="122" t="e">
        <f>SUM(P4:P138)</f>
        <v>#REF!</v>
      </c>
      <c r="Q139" s="122">
        <f>SUM(Q31:Q138)</f>
        <v>27750.960000000003</v>
      </c>
      <c r="R139" s="122">
        <f t="shared" si="17"/>
        <v>10375.14</v>
      </c>
      <c r="S139" s="122">
        <f t="shared" si="17"/>
        <v>0</v>
      </c>
      <c r="T139" s="122">
        <f t="shared" si="17"/>
        <v>495</v>
      </c>
      <c r="U139" s="122">
        <f t="shared" si="17"/>
        <v>1781.73</v>
      </c>
      <c r="V139" s="122">
        <f t="shared" si="17"/>
        <v>500</v>
      </c>
      <c r="W139" s="122">
        <f>SUM(W31:W133)</f>
        <v>6700.4</v>
      </c>
      <c r="X139" s="122">
        <f>SUM(X31:X133)</f>
        <v>0</v>
      </c>
      <c r="Y139" s="122" t="e">
        <f>SUM(Y31:Y133)</f>
        <v>#REF!</v>
      </c>
      <c r="Z139" s="122" t="e">
        <f>SUM(Z31:Z133)</f>
        <v>#REF!</v>
      </c>
      <c r="AA139" s="122">
        <f>SUM(AA31:AA133)</f>
        <v>0</v>
      </c>
      <c r="AB139" s="122" t="e">
        <f t="shared" ref="AB139:AE139" si="18">SUM(AB31:AB131)</f>
        <v>#N/A</v>
      </c>
      <c r="AC139" s="122">
        <f t="shared" si="18"/>
        <v>0</v>
      </c>
      <c r="AD139" s="122">
        <f t="shared" si="18"/>
        <v>0</v>
      </c>
      <c r="AE139" s="122">
        <f t="shared" si="18"/>
        <v>0</v>
      </c>
      <c r="AF139" s="122">
        <f>SUM(AF31:AF126)</f>
        <v>0</v>
      </c>
      <c r="AG139" s="122">
        <f>SUM(AG31:AG126)</f>
        <v>0</v>
      </c>
      <c r="AH139" s="122">
        <f>SUM(AH4:AH95)</f>
        <v>0</v>
      </c>
      <c r="AI139" s="122">
        <f>SUM(AI4:AI95)</f>
        <v>0</v>
      </c>
      <c r="AJ139" s="122">
        <f>SUM(AJ4:AJ95)</f>
        <v>0</v>
      </c>
      <c r="AK139" s="122">
        <f>SUM(AK4:AK95)</f>
        <v>0</v>
      </c>
    </row>
    <row r="140" spans="1:249" s="65" customFormat="1" x14ac:dyDescent="0.2">
      <c r="C140" s="78"/>
      <c r="D140" s="65">
        <f>+D139-'RESUMEN PITS'!D105</f>
        <v>106768.59999999999</v>
      </c>
      <c r="E140" s="65" t="e">
        <f>+E139-'RESUMEN PITS'!#REF!</f>
        <v>#REF!</v>
      </c>
      <c r="F140" s="108"/>
      <c r="J140" s="94"/>
      <c r="N140" s="123"/>
      <c r="X140" s="108"/>
      <c r="Z140" s="118"/>
      <c r="AA140" s="118"/>
      <c r="AB140" s="118"/>
      <c r="AC140" s="109"/>
      <c r="AD140" s="109"/>
      <c r="AE140" s="109"/>
      <c r="AF140" s="109"/>
      <c r="AG140" s="109"/>
      <c r="AH140" s="109"/>
      <c r="AI140" s="109"/>
      <c r="AJ140" s="109"/>
      <c r="AK140" s="109"/>
      <c r="AL140" s="109"/>
      <c r="AM140" s="109"/>
      <c r="AN140" s="109"/>
      <c r="AO140" s="109"/>
      <c r="AP140" s="109"/>
      <c r="AQ140" s="109"/>
      <c r="AR140" s="109"/>
      <c r="AS140" s="109"/>
      <c r="AT140" s="109"/>
      <c r="AU140" s="109"/>
      <c r="AV140" s="109"/>
      <c r="AW140" s="109"/>
      <c r="AX140" s="109"/>
      <c r="AY140" s="109"/>
      <c r="AZ140" s="109"/>
      <c r="BA140" s="109"/>
      <c r="BB140" s="109"/>
      <c r="BC140" s="109"/>
      <c r="BD140" s="109"/>
      <c r="BE140" s="109"/>
      <c r="BF140" s="109"/>
      <c r="BG140" s="109"/>
      <c r="BH140" s="109"/>
      <c r="BI140" s="109"/>
      <c r="BJ140" s="109"/>
      <c r="BK140" s="109"/>
      <c r="BL140" s="109"/>
      <c r="BM140" s="109"/>
      <c r="BN140" s="109"/>
      <c r="BO140" s="109"/>
      <c r="BP140" s="109"/>
      <c r="BQ140" s="109"/>
      <c r="BR140" s="109"/>
      <c r="BS140" s="109"/>
      <c r="BT140" s="109"/>
      <c r="BU140" s="109"/>
      <c r="BV140" s="109"/>
      <c r="BW140" s="109"/>
      <c r="BX140" s="109"/>
      <c r="BY140" s="109"/>
      <c r="BZ140" s="109"/>
      <c r="CA140" s="109"/>
      <c r="CB140" s="109"/>
      <c r="CC140" s="109"/>
      <c r="CD140" s="109"/>
      <c r="CE140" s="109"/>
      <c r="CF140" s="109"/>
      <c r="CG140" s="109"/>
      <c r="CH140" s="109"/>
      <c r="CI140" s="109"/>
      <c r="CJ140" s="109"/>
      <c r="CK140" s="109"/>
      <c r="CL140" s="109"/>
      <c r="CM140" s="109"/>
      <c r="CN140" s="109"/>
      <c r="CO140" s="109"/>
      <c r="CP140" s="109"/>
      <c r="CQ140" s="109"/>
      <c r="CR140" s="109"/>
      <c r="CS140" s="109"/>
      <c r="CT140" s="109"/>
      <c r="CU140" s="109"/>
      <c r="CV140" s="109"/>
      <c r="CW140" s="109"/>
      <c r="CX140" s="109"/>
      <c r="CY140" s="109"/>
      <c r="CZ140" s="109"/>
      <c r="DA140" s="109"/>
      <c r="DB140" s="109"/>
      <c r="DC140" s="109"/>
      <c r="DD140" s="109"/>
      <c r="DE140" s="109"/>
      <c r="DF140" s="109"/>
      <c r="DG140" s="109"/>
      <c r="DH140" s="109"/>
      <c r="DI140" s="109"/>
      <c r="DJ140" s="109"/>
      <c r="DK140" s="109"/>
      <c r="DL140" s="109"/>
      <c r="DM140" s="109"/>
      <c r="DN140" s="109"/>
      <c r="DO140" s="109"/>
      <c r="DP140" s="109"/>
      <c r="DQ140" s="109"/>
      <c r="DR140" s="109"/>
      <c r="DS140" s="109"/>
      <c r="DT140" s="109"/>
      <c r="DU140" s="109"/>
      <c r="DV140" s="109"/>
      <c r="DW140" s="109"/>
      <c r="DX140" s="109"/>
      <c r="DY140" s="109"/>
      <c r="DZ140" s="109"/>
      <c r="EA140" s="109"/>
      <c r="EB140" s="109"/>
      <c r="EC140" s="109"/>
      <c r="ED140" s="109"/>
      <c r="EE140" s="109"/>
      <c r="EF140" s="109"/>
      <c r="EG140" s="109"/>
      <c r="EH140" s="109"/>
      <c r="EI140" s="109"/>
      <c r="EJ140" s="109"/>
      <c r="EK140" s="109"/>
      <c r="EL140" s="109"/>
      <c r="EM140" s="109"/>
      <c r="EN140" s="109"/>
      <c r="EO140" s="109"/>
      <c r="EP140" s="109"/>
      <c r="EQ140" s="109"/>
      <c r="ER140" s="109"/>
      <c r="ES140" s="109"/>
      <c r="ET140" s="109"/>
      <c r="EU140" s="109"/>
      <c r="EV140" s="109"/>
      <c r="EW140" s="109"/>
      <c r="EX140" s="109"/>
      <c r="EY140" s="109"/>
      <c r="EZ140" s="109"/>
      <c r="FA140" s="109"/>
      <c r="FB140" s="109"/>
      <c r="FC140" s="109"/>
      <c r="FD140" s="109"/>
      <c r="FE140" s="109"/>
      <c r="FF140" s="109"/>
      <c r="FG140" s="109"/>
      <c r="FH140" s="109"/>
      <c r="FI140" s="109"/>
      <c r="FJ140" s="109"/>
      <c r="FK140" s="109"/>
      <c r="FL140" s="109"/>
      <c r="FM140" s="109"/>
      <c r="FN140" s="109"/>
      <c r="FO140" s="109"/>
      <c r="FP140" s="109"/>
      <c r="FQ140" s="109"/>
      <c r="FR140" s="109"/>
      <c r="FS140" s="109"/>
      <c r="FT140" s="109"/>
      <c r="FU140" s="109"/>
      <c r="FV140" s="109"/>
      <c r="FW140" s="109"/>
      <c r="FX140" s="109"/>
      <c r="FY140" s="109"/>
      <c r="FZ140" s="109"/>
      <c r="GA140" s="109"/>
      <c r="GB140" s="109"/>
      <c r="GC140" s="109"/>
      <c r="GD140" s="109"/>
      <c r="GE140" s="109"/>
      <c r="GF140" s="109"/>
      <c r="GG140" s="109"/>
      <c r="GH140" s="109"/>
      <c r="GI140" s="109"/>
      <c r="GJ140" s="109"/>
      <c r="GK140" s="109"/>
      <c r="GL140" s="109"/>
      <c r="GM140" s="109"/>
      <c r="GN140" s="109"/>
      <c r="GO140" s="109"/>
      <c r="GP140" s="109"/>
      <c r="GQ140" s="109"/>
      <c r="GR140" s="109"/>
      <c r="GS140" s="109"/>
      <c r="GT140" s="109"/>
      <c r="GU140" s="109"/>
      <c r="GV140" s="109"/>
      <c r="GW140" s="109"/>
      <c r="GX140" s="109"/>
      <c r="GY140" s="109"/>
      <c r="GZ140" s="109"/>
      <c r="HA140" s="109"/>
      <c r="HB140" s="109"/>
      <c r="HC140" s="109"/>
      <c r="HD140" s="109"/>
      <c r="HE140" s="109"/>
      <c r="HF140" s="109"/>
      <c r="HG140" s="109"/>
      <c r="HH140" s="109"/>
      <c r="HI140" s="109"/>
      <c r="HJ140" s="109"/>
      <c r="HK140" s="109"/>
      <c r="HL140" s="109"/>
      <c r="HM140" s="109"/>
      <c r="HN140" s="109"/>
      <c r="HO140" s="109"/>
      <c r="HP140" s="109"/>
      <c r="HQ140" s="109"/>
      <c r="HR140" s="109"/>
      <c r="HS140" s="109"/>
      <c r="HT140" s="109"/>
      <c r="HU140" s="109"/>
      <c r="HV140" s="109"/>
      <c r="HW140" s="109"/>
      <c r="HX140" s="109"/>
      <c r="HY140" s="109"/>
      <c r="HZ140" s="109"/>
      <c r="IA140" s="109"/>
      <c r="IB140" s="109"/>
      <c r="IC140" s="109"/>
      <c r="ID140" s="109"/>
      <c r="IE140" s="109"/>
      <c r="IF140" s="109"/>
      <c r="IG140" s="109"/>
      <c r="IH140" s="109"/>
      <c r="II140" s="109"/>
      <c r="IJ140" s="109"/>
      <c r="IK140" s="109"/>
      <c r="IL140" s="109"/>
      <c r="IM140" s="109"/>
      <c r="IN140" s="109"/>
      <c r="IO140" s="109"/>
    </row>
    <row r="141" spans="1:249" s="65" customFormat="1" x14ac:dyDescent="0.2">
      <c r="C141" s="78"/>
      <c r="F141" s="108"/>
      <c r="J141" s="108"/>
      <c r="N141" s="123"/>
      <c r="X141" s="108"/>
      <c r="Z141" s="118"/>
      <c r="AA141" s="118"/>
      <c r="AB141" s="118"/>
      <c r="AC141" s="109"/>
      <c r="AD141" s="109"/>
      <c r="AE141" s="109"/>
      <c r="AF141" s="109"/>
      <c r="AG141" s="109"/>
      <c r="AH141" s="109"/>
      <c r="AI141" s="109"/>
      <c r="AJ141" s="109"/>
      <c r="AK141" s="109"/>
      <c r="AL141" s="109"/>
      <c r="AM141" s="109"/>
      <c r="AN141" s="109"/>
      <c r="AO141" s="109"/>
      <c r="AP141" s="109"/>
      <c r="AQ141" s="109"/>
      <c r="AR141" s="109"/>
      <c r="AS141" s="109"/>
      <c r="AT141" s="109"/>
      <c r="AU141" s="109"/>
      <c r="AV141" s="109"/>
      <c r="AW141" s="109"/>
      <c r="AX141" s="109"/>
      <c r="AY141" s="109"/>
      <c r="AZ141" s="109"/>
      <c r="BA141" s="109"/>
      <c r="BB141" s="109"/>
      <c r="BC141" s="109"/>
      <c r="BD141" s="109"/>
      <c r="BE141" s="109"/>
      <c r="BF141" s="109"/>
      <c r="BG141" s="109"/>
      <c r="BH141" s="109"/>
      <c r="BI141" s="109"/>
      <c r="BJ141" s="109"/>
      <c r="BK141" s="109"/>
      <c r="BL141" s="109"/>
      <c r="BM141" s="109"/>
      <c r="BN141" s="109"/>
      <c r="BO141" s="109"/>
      <c r="BP141" s="109"/>
      <c r="BQ141" s="109"/>
      <c r="BR141" s="109"/>
      <c r="BS141" s="109"/>
      <c r="BT141" s="109"/>
      <c r="BU141" s="109"/>
      <c r="BV141" s="109"/>
      <c r="BW141" s="109"/>
      <c r="BX141" s="109"/>
      <c r="BY141" s="109"/>
      <c r="BZ141" s="109"/>
      <c r="CA141" s="109"/>
      <c r="CB141" s="109"/>
      <c r="CC141" s="109"/>
      <c r="CD141" s="109"/>
      <c r="CE141" s="109"/>
      <c r="CF141" s="109"/>
      <c r="CG141" s="109"/>
      <c r="CH141" s="109"/>
      <c r="CI141" s="109"/>
      <c r="CJ141" s="109"/>
      <c r="CK141" s="109"/>
      <c r="CL141" s="109"/>
      <c r="CM141" s="109"/>
      <c r="CN141" s="109"/>
      <c r="CO141" s="109"/>
      <c r="CP141" s="109"/>
      <c r="CQ141" s="109"/>
      <c r="CR141" s="109"/>
      <c r="CS141" s="109"/>
      <c r="CT141" s="109"/>
      <c r="CU141" s="109"/>
      <c r="CV141" s="109"/>
      <c r="CW141" s="109"/>
      <c r="CX141" s="109"/>
      <c r="CY141" s="109"/>
      <c r="CZ141" s="109"/>
      <c r="DA141" s="109"/>
      <c r="DB141" s="109"/>
      <c r="DC141" s="109"/>
      <c r="DD141" s="109"/>
      <c r="DE141" s="109"/>
      <c r="DF141" s="109"/>
      <c r="DG141" s="109"/>
      <c r="DH141" s="109"/>
      <c r="DI141" s="109"/>
      <c r="DJ141" s="109"/>
      <c r="DK141" s="109"/>
      <c r="DL141" s="109"/>
      <c r="DM141" s="109"/>
      <c r="DN141" s="109"/>
      <c r="DO141" s="109"/>
      <c r="DP141" s="109"/>
      <c r="DQ141" s="109"/>
      <c r="DR141" s="109"/>
      <c r="DS141" s="109"/>
      <c r="DT141" s="109"/>
      <c r="DU141" s="109"/>
      <c r="DV141" s="109"/>
      <c r="DW141" s="109"/>
      <c r="DX141" s="109"/>
      <c r="DY141" s="109"/>
      <c r="DZ141" s="109"/>
      <c r="EA141" s="109"/>
      <c r="EB141" s="109"/>
      <c r="EC141" s="109"/>
      <c r="ED141" s="109"/>
      <c r="EE141" s="109"/>
      <c r="EF141" s="109"/>
      <c r="EG141" s="109"/>
      <c r="EH141" s="109"/>
      <c r="EI141" s="109"/>
      <c r="EJ141" s="109"/>
      <c r="EK141" s="109"/>
      <c r="EL141" s="109"/>
      <c r="EM141" s="109"/>
      <c r="EN141" s="109"/>
      <c r="EO141" s="109"/>
      <c r="EP141" s="109"/>
      <c r="EQ141" s="109"/>
      <c r="ER141" s="109"/>
      <c r="ES141" s="109"/>
      <c r="ET141" s="109"/>
      <c r="EU141" s="109"/>
      <c r="EV141" s="109"/>
      <c r="EW141" s="109"/>
      <c r="EX141" s="109"/>
      <c r="EY141" s="109"/>
      <c r="EZ141" s="109"/>
      <c r="FA141" s="109"/>
      <c r="FB141" s="109"/>
      <c r="FC141" s="109"/>
      <c r="FD141" s="109"/>
      <c r="FE141" s="109"/>
      <c r="FF141" s="109"/>
      <c r="FG141" s="109"/>
      <c r="FH141" s="109"/>
      <c r="FI141" s="109"/>
      <c r="FJ141" s="109"/>
      <c r="FK141" s="109"/>
      <c r="FL141" s="109"/>
      <c r="FM141" s="109"/>
      <c r="FN141" s="109"/>
      <c r="FO141" s="109"/>
      <c r="FP141" s="109"/>
      <c r="FQ141" s="109"/>
      <c r="FR141" s="109"/>
      <c r="FS141" s="109"/>
      <c r="FT141" s="109"/>
      <c r="FU141" s="109"/>
      <c r="FV141" s="109"/>
      <c r="FW141" s="109"/>
      <c r="FX141" s="109"/>
      <c r="FY141" s="109"/>
      <c r="FZ141" s="109"/>
      <c r="GA141" s="109"/>
      <c r="GB141" s="109"/>
      <c r="GC141" s="109"/>
      <c r="GD141" s="109"/>
      <c r="GE141" s="109"/>
      <c r="GF141" s="109"/>
      <c r="GG141" s="109"/>
      <c r="GH141" s="109"/>
      <c r="GI141" s="109"/>
      <c r="GJ141" s="109"/>
      <c r="GK141" s="109"/>
      <c r="GL141" s="109"/>
      <c r="GM141" s="109"/>
      <c r="GN141" s="109"/>
      <c r="GO141" s="109"/>
      <c r="GP141" s="109"/>
      <c r="GQ141" s="109"/>
      <c r="GR141" s="109"/>
      <c r="GS141" s="109"/>
      <c r="GT141" s="109"/>
      <c r="GU141" s="109"/>
      <c r="GV141" s="109"/>
      <c r="GW141" s="109"/>
      <c r="GX141" s="109"/>
      <c r="GY141" s="109"/>
      <c r="GZ141" s="109"/>
      <c r="HA141" s="109"/>
      <c r="HB141" s="109"/>
      <c r="HC141" s="109"/>
      <c r="HD141" s="109"/>
      <c r="HE141" s="109"/>
      <c r="HF141" s="109"/>
      <c r="HG141" s="109"/>
      <c r="HH141" s="109"/>
      <c r="HI141" s="109"/>
      <c r="HJ141" s="109"/>
      <c r="HK141" s="109"/>
      <c r="HL141" s="109"/>
      <c r="HM141" s="109"/>
      <c r="HN141" s="109"/>
      <c r="HO141" s="109"/>
      <c r="HP141" s="109"/>
      <c r="HQ141" s="109"/>
      <c r="HR141" s="109"/>
      <c r="HS141" s="109"/>
      <c r="HT141" s="109"/>
      <c r="HU141" s="109"/>
      <c r="HV141" s="109"/>
      <c r="HW141" s="109"/>
      <c r="HX141" s="109"/>
      <c r="HY141" s="109"/>
      <c r="HZ141" s="109"/>
      <c r="IA141" s="109"/>
      <c r="IB141" s="109"/>
      <c r="IC141" s="109"/>
      <c r="ID141" s="109"/>
      <c r="IE141" s="109"/>
      <c r="IF141" s="109"/>
      <c r="IG141" s="109"/>
      <c r="IH141" s="109"/>
      <c r="II141" s="109"/>
      <c r="IJ141" s="109"/>
      <c r="IK141" s="109"/>
      <c r="IL141" s="109"/>
      <c r="IM141" s="109"/>
      <c r="IN141" s="109"/>
      <c r="IO141" s="109"/>
    </row>
  </sheetData>
  <autoFilter ref="A3:AA141" xr:uid="{00000000-0009-0000-0000-000004000000}"/>
  <mergeCells count="4">
    <mergeCell ref="A2:E2"/>
    <mergeCell ref="G2:I2"/>
    <mergeCell ref="K2:M2"/>
    <mergeCell ref="O2:W2"/>
  </mergeCells>
  <pageMargins left="0.70866141732283472" right="0.70866141732283472" top="0.74803149606299213" bottom="0.74803149606299213" header="0.31496062992125984" footer="0.31496062992125984"/>
  <pageSetup scale="1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IJ105"/>
  <sheetViews>
    <sheetView showGridLines="0" zoomScale="70" zoomScaleNormal="70" workbookViewId="0">
      <pane xSplit="3" ySplit="2" topLeftCell="D42" activePane="bottomRight" state="frozen"/>
      <selection pane="topRight" activeCell="D1" sqref="D1"/>
      <selection pane="bottomLeft" activeCell="A4" sqref="A4"/>
      <selection pane="bottomRight" activeCell="Y32" sqref="Y32"/>
    </sheetView>
  </sheetViews>
  <sheetFormatPr baseColWidth="10" defaultColWidth="11.42578125" defaultRowHeight="12.75" x14ac:dyDescent="0.2"/>
  <cols>
    <col min="1" max="1" width="11.42578125" style="47"/>
    <col min="2" max="2" width="15.5703125" style="47" customWidth="1"/>
    <col min="3" max="3" width="46.28515625" style="81" customWidth="1"/>
    <col min="4" max="4" width="17.7109375" style="47" customWidth="1"/>
    <col min="5" max="5" width="4" style="94" customWidth="1"/>
    <col min="6" max="9" width="16.140625" style="47" customWidth="1"/>
    <col min="10" max="10" width="3.5703125" style="94" customWidth="1"/>
    <col min="11" max="11" width="19.5703125" style="47" customWidth="1"/>
    <col min="12" max="12" width="22.5703125" style="47" customWidth="1"/>
    <col min="13" max="13" width="19.5703125" style="47" customWidth="1"/>
    <col min="14" max="14" width="3.7109375" style="95" customWidth="1"/>
    <col min="15" max="19" width="13.28515625" style="47" customWidth="1"/>
    <col min="20" max="20" width="3.140625" style="95" customWidth="1"/>
    <col min="21" max="21" width="16.7109375" style="47" customWidth="1"/>
    <col min="22" max="22" width="13.85546875" style="46" customWidth="1"/>
    <col min="23" max="23" width="13.85546875" style="96" customWidth="1"/>
    <col min="24" max="24" width="11.42578125" style="88" customWidth="1"/>
    <col min="25" max="25" width="28.5703125" style="88" bestFit="1" customWidth="1"/>
    <col min="26" max="36" width="11.42578125" style="88" customWidth="1"/>
    <col min="37" max="244" width="11.42578125" style="88"/>
    <col min="245" max="16384" width="11.42578125" style="47"/>
  </cols>
  <sheetData>
    <row r="1" spans="1:244" s="92" customFormat="1" x14ac:dyDescent="0.2">
      <c r="A1" s="164"/>
      <c r="B1" s="164"/>
      <c r="C1" s="164"/>
      <c r="D1" s="164"/>
      <c r="E1" s="94"/>
      <c r="F1" s="164" t="s">
        <v>612</v>
      </c>
      <c r="G1" s="164"/>
      <c r="H1" s="164"/>
      <c r="I1" s="164"/>
      <c r="J1" s="94"/>
      <c r="K1" s="164"/>
      <c r="L1" s="164"/>
      <c r="M1" s="164"/>
      <c r="N1" s="95"/>
      <c r="O1" s="164"/>
      <c r="P1" s="164"/>
      <c r="Q1" s="164"/>
      <c r="R1" s="164"/>
      <c r="S1" s="164"/>
      <c r="T1" s="95"/>
      <c r="V1" s="46"/>
      <c r="W1" s="96"/>
      <c r="X1" s="88"/>
      <c r="Y1" s="88"/>
      <c r="Z1" s="88"/>
      <c r="AA1" s="88"/>
      <c r="AB1" s="88"/>
      <c r="AC1" s="88"/>
      <c r="AD1" s="88"/>
      <c r="AE1" s="88"/>
      <c r="AF1" s="88"/>
      <c r="AG1" s="88"/>
      <c r="AH1" s="88"/>
      <c r="AI1" s="88"/>
      <c r="AJ1" s="88"/>
      <c r="AK1" s="88"/>
      <c r="AL1" s="88"/>
      <c r="AM1" s="88"/>
      <c r="AN1" s="88"/>
      <c r="AO1" s="88"/>
      <c r="AP1" s="88"/>
      <c r="AQ1" s="88"/>
      <c r="AR1" s="88"/>
      <c r="AS1" s="88"/>
      <c r="AT1" s="88"/>
      <c r="AU1" s="88"/>
      <c r="AV1" s="88"/>
      <c r="AW1" s="88"/>
      <c r="AX1" s="88"/>
      <c r="AY1" s="88"/>
      <c r="AZ1" s="88"/>
      <c r="BA1" s="88"/>
      <c r="BB1" s="88"/>
      <c r="BC1" s="88"/>
      <c r="BD1" s="88"/>
      <c r="BE1" s="88"/>
      <c r="BF1" s="88"/>
      <c r="BG1" s="88"/>
      <c r="BH1" s="88"/>
      <c r="BI1" s="88"/>
      <c r="BJ1" s="88"/>
      <c r="BK1" s="88"/>
      <c r="BL1" s="88"/>
      <c r="BM1" s="88"/>
      <c r="BN1" s="88"/>
      <c r="BO1" s="88"/>
      <c r="BP1" s="88"/>
      <c r="BQ1" s="88"/>
      <c r="BR1" s="88"/>
      <c r="BS1" s="88"/>
      <c r="BT1" s="88"/>
      <c r="BU1" s="88"/>
      <c r="BV1" s="88"/>
      <c r="BW1" s="88"/>
      <c r="BX1" s="88"/>
      <c r="BY1" s="88"/>
      <c r="BZ1" s="88"/>
      <c r="CA1" s="88"/>
      <c r="CB1" s="88"/>
      <c r="CC1" s="88"/>
      <c r="CD1" s="88"/>
      <c r="CE1" s="88"/>
      <c r="CF1" s="88"/>
      <c r="CG1" s="88"/>
      <c r="CH1" s="88"/>
      <c r="CI1" s="88"/>
      <c r="CJ1" s="88"/>
      <c r="CK1" s="88"/>
      <c r="CL1" s="88"/>
      <c r="CM1" s="88"/>
      <c r="CN1" s="88"/>
      <c r="CO1" s="88"/>
      <c r="CP1" s="88"/>
      <c r="CQ1" s="88"/>
      <c r="CR1" s="88"/>
      <c r="CS1" s="88"/>
      <c r="CT1" s="88"/>
      <c r="CU1" s="88"/>
      <c r="CV1" s="88"/>
      <c r="CW1" s="88"/>
      <c r="CX1" s="88"/>
      <c r="CY1" s="88"/>
      <c r="CZ1" s="88"/>
      <c r="DA1" s="88"/>
      <c r="DB1" s="88"/>
      <c r="DC1" s="88"/>
      <c r="DD1" s="88"/>
      <c r="DE1" s="88"/>
      <c r="DF1" s="88"/>
      <c r="DG1" s="88"/>
      <c r="DH1" s="88"/>
      <c r="DI1" s="88"/>
      <c r="DJ1" s="88"/>
      <c r="DK1" s="88"/>
      <c r="DL1" s="88"/>
      <c r="DM1" s="88"/>
      <c r="DN1" s="88"/>
      <c r="DO1" s="88"/>
      <c r="DP1" s="88"/>
      <c r="DQ1" s="88"/>
      <c r="DR1" s="88"/>
      <c r="DS1" s="88"/>
      <c r="DT1" s="88"/>
      <c r="DU1" s="88"/>
      <c r="DV1" s="88"/>
      <c r="DW1" s="88"/>
      <c r="DX1" s="88"/>
      <c r="DY1" s="88"/>
      <c r="DZ1" s="88"/>
      <c r="EA1" s="88"/>
      <c r="EB1" s="88"/>
      <c r="EC1" s="88"/>
      <c r="ED1" s="88"/>
      <c r="EE1" s="88"/>
      <c r="EF1" s="88"/>
      <c r="EG1" s="88"/>
      <c r="EH1" s="88"/>
      <c r="EI1" s="88"/>
      <c r="EJ1" s="88"/>
      <c r="EK1" s="88"/>
      <c r="EL1" s="88"/>
      <c r="EM1" s="88"/>
      <c r="EN1" s="88"/>
      <c r="EO1" s="88"/>
      <c r="EP1" s="88"/>
      <c r="EQ1" s="88"/>
      <c r="ER1" s="88"/>
      <c r="ES1" s="88"/>
      <c r="ET1" s="88"/>
      <c r="EU1" s="88"/>
      <c r="EV1" s="88"/>
      <c r="EW1" s="88"/>
      <c r="EX1" s="88"/>
      <c r="EY1" s="88"/>
      <c r="EZ1" s="88"/>
      <c r="FA1" s="88"/>
      <c r="FB1" s="88"/>
      <c r="FC1" s="88"/>
      <c r="FD1" s="88"/>
      <c r="FE1" s="88"/>
      <c r="FF1" s="88"/>
      <c r="FG1" s="88"/>
      <c r="FH1" s="88"/>
      <c r="FI1" s="88"/>
      <c r="FJ1" s="88"/>
      <c r="FK1" s="88"/>
      <c r="FL1" s="88"/>
      <c r="FM1" s="88"/>
      <c r="FN1" s="88"/>
      <c r="FO1" s="88"/>
      <c r="FP1" s="88"/>
      <c r="FQ1" s="88"/>
      <c r="FR1" s="88"/>
      <c r="FS1" s="88"/>
      <c r="FT1" s="88"/>
      <c r="FU1" s="88"/>
      <c r="FV1" s="88"/>
      <c r="FW1" s="88"/>
      <c r="FX1" s="88"/>
      <c r="FY1" s="88"/>
      <c r="FZ1" s="88"/>
      <c r="GA1" s="88"/>
      <c r="GB1" s="88"/>
      <c r="GC1" s="88"/>
      <c r="GD1" s="88"/>
      <c r="GE1" s="88"/>
      <c r="GF1" s="88"/>
      <c r="GG1" s="88"/>
      <c r="GH1" s="88"/>
      <c r="GI1" s="88"/>
      <c r="GJ1" s="88"/>
      <c r="GK1" s="88"/>
      <c r="GL1" s="88"/>
      <c r="GM1" s="88"/>
      <c r="GN1" s="88"/>
      <c r="GO1" s="88"/>
      <c r="GP1" s="88"/>
      <c r="GQ1" s="88"/>
      <c r="GR1" s="88"/>
      <c r="GS1" s="88"/>
      <c r="GT1" s="88"/>
      <c r="GU1" s="88"/>
      <c r="GV1" s="88"/>
      <c r="GW1" s="88"/>
      <c r="GX1" s="88"/>
      <c r="GY1" s="88"/>
      <c r="GZ1" s="88"/>
      <c r="HA1" s="88"/>
      <c r="HB1" s="88"/>
      <c r="HC1" s="88"/>
      <c r="HD1" s="88"/>
      <c r="HE1" s="88"/>
      <c r="HF1" s="88"/>
      <c r="HG1" s="88"/>
      <c r="HH1" s="88"/>
      <c r="HI1" s="88"/>
      <c r="HJ1" s="88"/>
      <c r="HK1" s="88"/>
      <c r="HL1" s="88"/>
      <c r="HM1" s="88"/>
      <c r="HN1" s="88"/>
      <c r="HO1" s="88"/>
      <c r="HP1" s="88"/>
      <c r="HQ1" s="88"/>
      <c r="HR1" s="88"/>
      <c r="HS1" s="88"/>
      <c r="HT1" s="88"/>
      <c r="HU1" s="88"/>
      <c r="HV1" s="88"/>
      <c r="HW1" s="88"/>
      <c r="HX1" s="88"/>
      <c r="HY1" s="88"/>
      <c r="HZ1" s="88"/>
      <c r="IA1" s="88"/>
      <c r="IB1" s="88"/>
      <c r="IC1" s="88"/>
      <c r="ID1" s="88"/>
      <c r="IE1" s="88"/>
      <c r="IF1" s="88"/>
      <c r="IG1" s="88"/>
      <c r="IH1" s="88"/>
      <c r="II1" s="88"/>
      <c r="IJ1" s="88"/>
    </row>
    <row r="2" spans="1:244" ht="39" thickBot="1" x14ac:dyDescent="0.25">
      <c r="A2" s="97" t="s">
        <v>604</v>
      </c>
      <c r="B2" s="97" t="s">
        <v>605</v>
      </c>
      <c r="C2" s="97" t="s">
        <v>3</v>
      </c>
      <c r="D2" s="97" t="s">
        <v>615</v>
      </c>
      <c r="E2" s="99"/>
      <c r="F2" s="100" t="s">
        <v>667</v>
      </c>
      <c r="G2" s="100" t="s">
        <v>663</v>
      </c>
      <c r="H2" s="100" t="s">
        <v>619</v>
      </c>
      <c r="I2" s="100" t="s">
        <v>620</v>
      </c>
      <c r="J2" s="99" t="s">
        <v>621</v>
      </c>
      <c r="K2" s="101" t="s">
        <v>121</v>
      </c>
      <c r="L2" s="97" t="s">
        <v>622</v>
      </c>
      <c r="M2" s="102" t="s">
        <v>623</v>
      </c>
      <c r="N2" s="103" t="s">
        <v>624</v>
      </c>
      <c r="O2" s="97" t="s">
        <v>625</v>
      </c>
      <c r="P2" s="97" t="s">
        <v>626</v>
      </c>
      <c r="Q2" s="97" t="s">
        <v>627</v>
      </c>
      <c r="R2" s="97" t="s">
        <v>668</v>
      </c>
      <c r="S2" s="97" t="s">
        <v>630</v>
      </c>
      <c r="T2" s="103" t="s">
        <v>631</v>
      </c>
      <c r="U2" s="104" t="s">
        <v>632</v>
      </c>
      <c r="V2" s="104" t="s">
        <v>633</v>
      </c>
      <c r="W2" s="126" t="s">
        <v>634</v>
      </c>
    </row>
    <row r="3" spans="1:244" s="88" customFormat="1" ht="13.5" thickTop="1" x14ac:dyDescent="0.2">
      <c r="A3" s="87" t="s">
        <v>9</v>
      </c>
      <c r="B3" s="87" t="s">
        <v>660</v>
      </c>
      <c r="C3" s="86" t="s">
        <v>305</v>
      </c>
      <c r="D3" s="87">
        <f>VLOOKUP(C3,'CPD PITS'!$B$6:$V$24,21,0)</f>
        <v>2771</v>
      </c>
      <c r="E3" s="107"/>
      <c r="F3" s="88">
        <f>VLOOKUP(C3,'SIND PITS'!$C$3:$D$102,2,0)</f>
        <v>1479.0000000000005</v>
      </c>
      <c r="G3" s="88">
        <f>VLOOKUP(C3,'SIND PITS'!$C$3:$E$102,3,0)</f>
        <v>288.5</v>
      </c>
      <c r="H3" s="88">
        <f>VLOOKUP(C3,'SIND PITS'!$C$3:$F$102,4,0)</f>
        <v>0</v>
      </c>
      <c r="I3" s="88">
        <f>VLOOKUP(C3,'SIND PITS'!$C$3:$G$102,5,0)</f>
        <v>0</v>
      </c>
      <c r="J3" s="94"/>
      <c r="K3" s="88">
        <f>SUM(D3:I3)</f>
        <v>4538.5</v>
      </c>
      <c r="L3" s="88">
        <v>8500</v>
      </c>
      <c r="M3" s="88">
        <v>4250</v>
      </c>
      <c r="N3" s="95"/>
      <c r="O3" s="88">
        <f>VLOOKUP(C3,'CPD PITS'!$B$6:$I$24,8,0)</f>
        <v>0</v>
      </c>
      <c r="P3" s="88">
        <f>+G3+H3+I3</f>
        <v>288.5</v>
      </c>
      <c r="Q3" s="88">
        <f>VLOOKUP(C3,'CPD PITS'!$B$6:$R$24,17,0)+VLOOKUP('RESUMEN PITS'!C3,'CPD PITS'!$B$6:$Q$24,16,0)</f>
        <v>0</v>
      </c>
      <c r="S3" s="88">
        <f>VLOOKUP(C3,'CPD PITS'!B6:S24,18,0)</f>
        <v>0</v>
      </c>
      <c r="T3" s="95"/>
      <c r="U3" s="88">
        <f>+K3-O3-P3+Q3+R3+S3</f>
        <v>4250</v>
      </c>
      <c r="V3" s="46">
        <f t="shared" ref="V3:V34" si="0">+M3-U3</f>
        <v>0</v>
      </c>
      <c r="W3" s="46"/>
      <c r="X3" s="88" t="s">
        <v>691</v>
      </c>
    </row>
    <row r="4" spans="1:244" s="88" customFormat="1" x14ac:dyDescent="0.2">
      <c r="A4" s="87" t="s">
        <v>11</v>
      </c>
      <c r="B4" s="87" t="s">
        <v>660</v>
      </c>
      <c r="C4" s="86" t="s">
        <v>306</v>
      </c>
      <c r="D4" s="87">
        <f>VLOOKUP(C4,'CPD PITS'!$B$6:$V$24,21,0)</f>
        <v>2908.2</v>
      </c>
      <c r="E4" s="107"/>
      <c r="F4" s="88">
        <f>VLOOKUP(C4,'SIND PITS'!$C$3:$D$102,2,0)</f>
        <v>1591.7999999999997</v>
      </c>
      <c r="G4" s="88">
        <f>VLOOKUP(C4,'SIND PITS'!$C$3:$E$102,3,0)</f>
        <v>375</v>
      </c>
      <c r="H4" s="88">
        <f>VLOOKUP(C4,'SIND PITS'!$C$3:$F$102,4,0)</f>
        <v>0</v>
      </c>
      <c r="I4" s="88">
        <f>VLOOKUP(C4,'SIND PITS'!$C$3:$G$102,5,0)</f>
        <v>0</v>
      </c>
      <c r="J4" s="94"/>
      <c r="K4" s="88">
        <f t="shared" ref="K4:K67" si="1">SUM(D4:I4)</f>
        <v>4875</v>
      </c>
      <c r="L4" s="88">
        <v>9000</v>
      </c>
      <c r="M4" s="88">
        <v>4500</v>
      </c>
      <c r="N4" s="95"/>
      <c r="O4" s="88">
        <f>VLOOKUP(C4,'CPD PITS'!$B$6:$I$24,8,0)</f>
        <v>0</v>
      </c>
      <c r="P4" s="88">
        <f t="shared" ref="P4:P67" si="2">+G4+H4+I4</f>
        <v>375</v>
      </c>
      <c r="Q4" s="88">
        <f>VLOOKUP(C4,'CPD PITS'!$B$6:$R$24,17,0)+VLOOKUP('RESUMEN PITS'!C4,'CPD PITS'!$B$6:$Q$24,16,0)</f>
        <v>0</v>
      </c>
      <c r="S4" s="88">
        <f>VLOOKUP(C4,'CPD PITS'!B7:S25,18,0)</f>
        <v>0</v>
      </c>
      <c r="T4" s="95"/>
      <c r="U4" s="88">
        <f t="shared" ref="U4:U21" si="3">+K4-O4-P4+Q4+R4+S4</f>
        <v>4500</v>
      </c>
      <c r="V4" s="46">
        <f t="shared" si="0"/>
        <v>0</v>
      </c>
      <c r="W4" s="46"/>
      <c r="X4" s="88" t="s">
        <v>692</v>
      </c>
    </row>
    <row r="5" spans="1:244" s="88" customFormat="1" x14ac:dyDescent="0.2">
      <c r="A5" s="87" t="s">
        <v>203</v>
      </c>
      <c r="B5" s="87" t="s">
        <v>660</v>
      </c>
      <c r="C5" s="86" t="s">
        <v>309</v>
      </c>
      <c r="D5" s="87">
        <f>VLOOKUP(C5,'CPD PITS'!$B$6:$V$24,21,0)</f>
        <v>4030.6</v>
      </c>
      <c r="E5" s="107"/>
      <c r="F5" s="88">
        <f>VLOOKUP(C5,'SIND PITS'!$C$3:$D$102,2,0)</f>
        <v>2469.3999999999996</v>
      </c>
      <c r="G5" s="88">
        <f>VLOOKUP(C5,'SIND PITS'!$C$3:$E$102,3,0)</f>
        <v>1000</v>
      </c>
      <c r="H5" s="88">
        <f>VLOOKUP(C5,'SIND PITS'!$C$3:$F$102,4,0)</f>
        <v>0</v>
      </c>
      <c r="I5" s="88">
        <f>VLOOKUP(C5,'SIND PITS'!$C$3:$G$102,5,0)</f>
        <v>0</v>
      </c>
      <c r="J5" s="94"/>
      <c r="K5" s="88">
        <f t="shared" si="1"/>
        <v>7500</v>
      </c>
      <c r="L5" s="88">
        <v>13000</v>
      </c>
      <c r="M5" s="88">
        <v>6500</v>
      </c>
      <c r="N5" s="95"/>
      <c r="O5" s="88">
        <f>VLOOKUP(C5,'CPD PITS'!$B$6:$I$24,8,0)</f>
        <v>0</v>
      </c>
      <c r="P5" s="88">
        <f t="shared" si="2"/>
        <v>1000</v>
      </c>
      <c r="Q5" s="88">
        <f>VLOOKUP(C5,'CPD PITS'!$B$6:$R$24,17,0)+VLOOKUP('RESUMEN PITS'!C5,'CPD PITS'!$B$6:$Q$24,16,0)</f>
        <v>0</v>
      </c>
      <c r="S5" s="88">
        <f>VLOOKUP(C5,'CPD PITS'!B8:S26,18,0)</f>
        <v>0</v>
      </c>
      <c r="T5" s="95"/>
      <c r="U5" s="88">
        <f t="shared" si="3"/>
        <v>6500</v>
      </c>
      <c r="V5" s="46">
        <f t="shared" si="0"/>
        <v>0</v>
      </c>
      <c r="W5" s="46"/>
      <c r="X5" s="88" t="s">
        <v>693</v>
      </c>
    </row>
    <row r="6" spans="1:244" s="88" customFormat="1" x14ac:dyDescent="0.2">
      <c r="A6" s="87" t="s">
        <v>204</v>
      </c>
      <c r="B6" s="87" t="s">
        <v>660</v>
      </c>
      <c r="C6" s="86" t="s">
        <v>310</v>
      </c>
      <c r="D6" s="87">
        <f>VLOOKUP(C6,'CPD PITS'!$B$6:$V$24,21,0)</f>
        <v>5066.8</v>
      </c>
      <c r="E6" s="107"/>
      <c r="F6" s="88">
        <f>VLOOKUP(C6,'SIND PITS'!$C$3:$D$102,2,0)</f>
        <v>4183.2</v>
      </c>
      <c r="G6" s="88">
        <f>VLOOKUP(C6,'SIND PITS'!$C$3:$E$102,3,0)</f>
        <v>750</v>
      </c>
      <c r="H6" s="88">
        <f>VLOOKUP(C6,'SIND PITS'!$C$3:$F$102,4,0)</f>
        <v>0</v>
      </c>
      <c r="I6" s="88">
        <f>VLOOKUP(C6,'SIND PITS'!$C$3:$G$102,5,0)</f>
        <v>0</v>
      </c>
      <c r="J6" s="94"/>
      <c r="K6" s="88">
        <f t="shared" si="1"/>
        <v>10000</v>
      </c>
      <c r="L6" s="88">
        <v>18500</v>
      </c>
      <c r="M6" s="88">
        <v>9250</v>
      </c>
      <c r="N6" s="95"/>
      <c r="O6" s="88">
        <f>VLOOKUP(C6,'CPD PITS'!$B$6:$I$24,8,0)</f>
        <v>0</v>
      </c>
      <c r="P6" s="88">
        <f t="shared" si="2"/>
        <v>750</v>
      </c>
      <c r="Q6" s="88">
        <f>VLOOKUP(C6,'CPD PITS'!$B$6:$R$24,17,0)+VLOOKUP('RESUMEN PITS'!C6,'CPD PITS'!$B$6:$Q$24,16,0)</f>
        <v>0</v>
      </c>
      <c r="S6" s="88">
        <f>VLOOKUP(C6,'CPD PITS'!B9:S27,18,0)</f>
        <v>0</v>
      </c>
      <c r="T6" s="95"/>
      <c r="U6" s="88">
        <f t="shared" si="3"/>
        <v>9250</v>
      </c>
      <c r="V6" s="46">
        <f t="shared" si="0"/>
        <v>0</v>
      </c>
      <c r="W6" s="46"/>
      <c r="X6" s="88" t="s">
        <v>694</v>
      </c>
    </row>
    <row r="7" spans="1:244" s="88" customFormat="1" x14ac:dyDescent="0.2">
      <c r="A7" s="87" t="s">
        <v>15</v>
      </c>
      <c r="B7" s="87" t="s">
        <v>660</v>
      </c>
      <c r="C7" s="86" t="s">
        <v>311</v>
      </c>
      <c r="D7" s="87">
        <f>VLOOKUP(C7,'CPD PITS'!$B$6:$V$24,21,0)</f>
        <v>4892.8</v>
      </c>
      <c r="E7" s="107"/>
      <c r="F7" s="88">
        <f>VLOOKUP(C7,'SIND PITS'!$C$3:$D$102,2,0)</f>
        <v>2607.1999999999998</v>
      </c>
      <c r="G7" s="88">
        <f>VLOOKUP(C7,'SIND PITS'!$C$3:$E$102,3,0)</f>
        <v>281.5</v>
      </c>
      <c r="H7" s="88">
        <f>VLOOKUP(C7,'SIND PITS'!$C$3:$F$102,4,0)</f>
        <v>0</v>
      </c>
      <c r="I7" s="88">
        <f>VLOOKUP(C7,'SIND PITS'!$C$3:$G$102,5,0)</f>
        <v>0</v>
      </c>
      <c r="J7" s="94"/>
      <c r="K7" s="88">
        <f t="shared" si="1"/>
        <v>7781.5</v>
      </c>
      <c r="L7" s="88">
        <v>15000</v>
      </c>
      <c r="M7" s="88">
        <v>7500</v>
      </c>
      <c r="N7" s="95"/>
      <c r="O7" s="88">
        <f>VLOOKUP(C7,'CPD PITS'!$B$6:$I$24,8,0)</f>
        <v>0</v>
      </c>
      <c r="P7" s="88">
        <f t="shared" si="2"/>
        <v>281.5</v>
      </c>
      <c r="Q7" s="88">
        <f>VLOOKUP(C7,'CPD PITS'!$B$6:$R$24,17,0)+VLOOKUP('RESUMEN PITS'!C7,'CPD PITS'!$B$6:$Q$24,16,0)</f>
        <v>0</v>
      </c>
      <c r="S7" s="88">
        <f>VLOOKUP(C7,'CPD PITS'!B10:S28,18,0)</f>
        <v>0</v>
      </c>
      <c r="T7" s="95"/>
      <c r="U7" s="88">
        <f t="shared" si="3"/>
        <v>7500</v>
      </c>
      <c r="V7" s="46">
        <f t="shared" si="0"/>
        <v>0</v>
      </c>
      <c r="W7" s="46"/>
      <c r="X7" s="88" t="s">
        <v>695</v>
      </c>
    </row>
    <row r="8" spans="1:244" s="88" customFormat="1" x14ac:dyDescent="0.2">
      <c r="A8" s="87" t="s">
        <v>17</v>
      </c>
      <c r="B8" s="87" t="s">
        <v>660</v>
      </c>
      <c r="C8" s="86" t="s">
        <v>312</v>
      </c>
      <c r="D8" s="87">
        <f>VLOOKUP(C8,'CPD PITS'!$B$6:$V$24,21,0)</f>
        <v>1818</v>
      </c>
      <c r="E8" s="107"/>
      <c r="F8" s="88">
        <f>VLOOKUP(C8,'SIND PITS'!$C$3:$D$102,2,0)</f>
        <v>1562.71</v>
      </c>
      <c r="G8" s="88">
        <f>VLOOKUP(C8,'SIND PITS'!$C$3:$E$102,3,0)</f>
        <v>501</v>
      </c>
      <c r="H8" s="88">
        <f>VLOOKUP(C8,'SIND PITS'!$C$3:$F$102,4,0)</f>
        <v>0</v>
      </c>
      <c r="I8" s="88">
        <f>VLOOKUP(C8,'SIND PITS'!$C$3:$G$102,5,0)</f>
        <v>0</v>
      </c>
      <c r="J8" s="94"/>
      <c r="K8" s="88">
        <f t="shared" si="1"/>
        <v>3881.71</v>
      </c>
      <c r="L8" s="88">
        <v>10150</v>
      </c>
      <c r="M8" s="88">
        <v>5075</v>
      </c>
      <c r="N8" s="95"/>
      <c r="O8" s="88">
        <f>VLOOKUP(C8,'CPD PITS'!$B$6:$I$24,8,0)</f>
        <v>0</v>
      </c>
      <c r="P8" s="88">
        <f t="shared" si="2"/>
        <v>501</v>
      </c>
      <c r="Q8" s="88">
        <f>VLOOKUP(C8,'CPD PITS'!$B$6:$R$24,17,0)+VLOOKUP('RESUMEN PITS'!C8,'CPD PITS'!$B$6:$Q$24,16,0)</f>
        <v>1574.29</v>
      </c>
      <c r="S8" s="88">
        <f>VLOOKUP(C8,'CPD PITS'!B11:S29,18,0)</f>
        <v>120</v>
      </c>
      <c r="T8" s="95"/>
      <c r="U8" s="88">
        <f t="shared" si="3"/>
        <v>5075</v>
      </c>
      <c r="V8" s="46">
        <f t="shared" si="0"/>
        <v>0</v>
      </c>
      <c r="W8" s="46"/>
      <c r="X8" s="88" t="s">
        <v>696</v>
      </c>
    </row>
    <row r="9" spans="1:244" s="88" customFormat="1" x14ac:dyDescent="0.2">
      <c r="A9" s="87" t="s">
        <v>19</v>
      </c>
      <c r="B9" s="87" t="s">
        <v>660</v>
      </c>
      <c r="C9" s="86" t="s">
        <v>313</v>
      </c>
      <c r="D9" s="87">
        <f>VLOOKUP(C9,'CPD PITS'!$B$6:$V$24,21,0)</f>
        <v>4892.8</v>
      </c>
      <c r="E9" s="107"/>
      <c r="F9" s="88">
        <f>VLOOKUP(C9,'SIND PITS'!$C$3:$D$102,2,0)</f>
        <v>2607.2000000000003</v>
      </c>
      <c r="G9" s="88">
        <f>VLOOKUP(C9,'SIND PITS'!$C$3:$E$102,3,0)</f>
        <v>216.5</v>
      </c>
      <c r="H9" s="88">
        <f>VLOOKUP(C9,'SIND PITS'!$C$3:$F$102,4,0)</f>
        <v>0</v>
      </c>
      <c r="I9" s="88">
        <f>VLOOKUP(C9,'SIND PITS'!$C$3:$G$102,5,0)</f>
        <v>0</v>
      </c>
      <c r="J9" s="94"/>
      <c r="K9" s="88">
        <f t="shared" si="1"/>
        <v>7716.5</v>
      </c>
      <c r="L9" s="88">
        <v>15000</v>
      </c>
      <c r="M9" s="88">
        <v>7500</v>
      </c>
      <c r="N9" s="95"/>
      <c r="O9" s="88">
        <f>VLOOKUP(C9,'CPD PITS'!$B$6:$I$24,8,0)</f>
        <v>0</v>
      </c>
      <c r="P9" s="88">
        <f t="shared" si="2"/>
        <v>216.5</v>
      </c>
      <c r="Q9" s="88">
        <f>VLOOKUP(C9,'CPD PITS'!$B$6:$R$24,17,0)+VLOOKUP('RESUMEN PITS'!C9,'CPD PITS'!$B$6:$Q$24,16,0)</f>
        <v>0</v>
      </c>
      <c r="S9" s="88">
        <f>VLOOKUP(C9,'CPD PITS'!B12:S30,18,0)</f>
        <v>0</v>
      </c>
      <c r="T9" s="95"/>
      <c r="U9" s="88">
        <f t="shared" si="3"/>
        <v>7500</v>
      </c>
      <c r="V9" s="46">
        <f t="shared" si="0"/>
        <v>0</v>
      </c>
      <c r="W9" s="46"/>
      <c r="X9" s="88" t="s">
        <v>697</v>
      </c>
    </row>
    <row r="10" spans="1:244" s="88" customFormat="1" x14ac:dyDescent="0.2">
      <c r="A10" s="87" t="s">
        <v>21</v>
      </c>
      <c r="B10" s="87" t="s">
        <v>660</v>
      </c>
      <c r="C10" s="86" t="s">
        <v>314</v>
      </c>
      <c r="D10" s="87">
        <f>VLOOKUP(C10,'CPD PITS'!$B$6:$V$24,21,0)</f>
        <v>1685.8</v>
      </c>
      <c r="E10" s="107"/>
      <c r="F10" s="88">
        <f>VLOOKUP(C10,'SIND PITS'!$C$3:$D$102,2,0)</f>
        <v>1562.6899999999996</v>
      </c>
      <c r="G10" s="88">
        <f>VLOOKUP(C10,'SIND PITS'!$C$3:$E$102,3,0)</f>
        <v>346</v>
      </c>
      <c r="H10" s="88">
        <f>VLOOKUP(C10,'SIND PITS'!$C$3:$F$102,4,0)</f>
        <v>0</v>
      </c>
      <c r="I10" s="88">
        <f>VLOOKUP(C10,'SIND PITS'!$C$3:$G$102,5,0)</f>
        <v>0</v>
      </c>
      <c r="J10" s="94"/>
      <c r="K10" s="88">
        <f t="shared" si="1"/>
        <v>3594.49</v>
      </c>
      <c r="L10" s="88">
        <v>10150</v>
      </c>
      <c r="M10" s="88">
        <v>5075</v>
      </c>
      <c r="N10" s="95"/>
      <c r="O10" s="88">
        <f>VLOOKUP(C10,'CPD PITS'!$B$6:$I$24,8,0)</f>
        <v>0</v>
      </c>
      <c r="P10" s="88">
        <f t="shared" si="2"/>
        <v>346</v>
      </c>
      <c r="Q10" s="88">
        <f>VLOOKUP(C10,'CPD PITS'!$B$6:$R$24,17,0)+VLOOKUP('RESUMEN PITS'!C10,'CPD PITS'!$B$6:$Q$24,16,0)</f>
        <v>1826.51</v>
      </c>
      <c r="S10" s="88">
        <f>VLOOKUP(C10,'CPD PITS'!B13:S31,18,0)</f>
        <v>0</v>
      </c>
      <c r="T10" s="95"/>
      <c r="U10" s="88">
        <f t="shared" si="3"/>
        <v>5075</v>
      </c>
      <c r="V10" s="46">
        <f t="shared" si="0"/>
        <v>0</v>
      </c>
      <c r="W10" s="46"/>
      <c r="X10" s="88" t="s">
        <v>698</v>
      </c>
    </row>
    <row r="11" spans="1:244" s="88" customFormat="1" x14ac:dyDescent="0.2">
      <c r="A11" s="87" t="s">
        <v>23</v>
      </c>
      <c r="B11" s="87" t="s">
        <v>660</v>
      </c>
      <c r="C11" s="86" t="s">
        <v>315</v>
      </c>
      <c r="D11" s="87">
        <f>VLOOKUP(C11,'CPD PITS'!$B$6:$V$24,21,0)</f>
        <v>3206.6</v>
      </c>
      <c r="E11" s="107"/>
      <c r="F11" s="88">
        <f>VLOOKUP(C11,'SIND PITS'!$C$3:$D$102,2,0)</f>
        <v>1896.8000000000002</v>
      </c>
      <c r="G11" s="88">
        <f>VLOOKUP(C11,'SIND PITS'!$C$3:$E$102,3,0)</f>
        <v>0</v>
      </c>
      <c r="H11" s="88">
        <f>VLOOKUP(C11,'SIND PITS'!$C$3:$F$102,4,0)</f>
        <v>0</v>
      </c>
      <c r="I11" s="88">
        <f>VLOOKUP(C11,'SIND PITS'!$C$3:$G$102,5,0)</f>
        <v>0</v>
      </c>
      <c r="J11" s="94"/>
      <c r="K11" s="88">
        <f t="shared" si="1"/>
        <v>5103.3999999999996</v>
      </c>
      <c r="L11" s="88">
        <v>12000</v>
      </c>
      <c r="M11" s="88">
        <v>6000</v>
      </c>
      <c r="N11" s="95"/>
      <c r="O11" s="88">
        <f>VLOOKUP(C11,'CPD PITS'!$B$6:$I$24,8,0)</f>
        <v>0</v>
      </c>
      <c r="P11" s="88">
        <f t="shared" si="2"/>
        <v>0</v>
      </c>
      <c r="Q11" s="88">
        <f>VLOOKUP(C11,'CPD PITS'!$B$6:$R$24,17,0)+VLOOKUP('RESUMEN PITS'!C11,'CPD PITS'!$B$6:$Q$24,16,0)</f>
        <v>896.6</v>
      </c>
      <c r="S11" s="88">
        <f>VLOOKUP(C11,'CPD PITS'!B14:S32,18,0)</f>
        <v>0</v>
      </c>
      <c r="T11" s="95"/>
      <c r="U11" s="88">
        <f t="shared" si="3"/>
        <v>6000</v>
      </c>
      <c r="V11" s="46">
        <f t="shared" si="0"/>
        <v>0</v>
      </c>
      <c r="W11" s="46"/>
      <c r="X11" s="88" t="s">
        <v>699</v>
      </c>
    </row>
    <row r="12" spans="1:244" s="88" customFormat="1" x14ac:dyDescent="0.2">
      <c r="A12" s="90" t="s">
        <v>25</v>
      </c>
      <c r="B12" s="87" t="s">
        <v>660</v>
      </c>
      <c r="C12" s="89" t="s">
        <v>316</v>
      </c>
      <c r="D12" s="87">
        <f>VLOOKUP(C12,'CPD PITS'!$B$6:$V$24,21,0)</f>
        <v>3068.2</v>
      </c>
      <c r="E12" s="107"/>
      <c r="F12" s="88">
        <f>VLOOKUP(C12,'SIND PITS'!$C$3:$D$102,2,0)</f>
        <v>2757.8</v>
      </c>
      <c r="G12" s="88">
        <f>VLOOKUP(C12,'SIND PITS'!$C$3:$E$102,3,0)</f>
        <v>250</v>
      </c>
      <c r="H12" s="88">
        <f>VLOOKUP(C12,'SIND PITS'!$C$3:$F$102,4,0)</f>
        <v>0</v>
      </c>
      <c r="I12" s="88">
        <f>VLOOKUP(C12,'SIND PITS'!$C$3:$G$102,5,0)</f>
        <v>0</v>
      </c>
      <c r="J12" s="94"/>
      <c r="K12" s="88">
        <f t="shared" si="1"/>
        <v>6076</v>
      </c>
      <c r="L12" s="46">
        <v>15000</v>
      </c>
      <c r="M12" s="46">
        <v>7500</v>
      </c>
      <c r="N12" s="95"/>
      <c r="O12" s="88">
        <f>VLOOKUP(C12,'CPD PITS'!$B$6:$I$24,8,0)</f>
        <v>0</v>
      </c>
      <c r="P12" s="88">
        <f t="shared" si="2"/>
        <v>250</v>
      </c>
      <c r="Q12" s="88">
        <f>VLOOKUP(C12,'CPD PITS'!$B$6:$R$24,17,0)+VLOOKUP('RESUMEN PITS'!C12,'CPD PITS'!$B$6:$Q$24,16,0)</f>
        <v>1674</v>
      </c>
      <c r="S12" s="88">
        <f>VLOOKUP(C12,'CPD PITS'!B15:S33,18,0)</f>
        <v>0</v>
      </c>
      <c r="T12" s="95"/>
      <c r="U12" s="88">
        <f t="shared" si="3"/>
        <v>7500</v>
      </c>
      <c r="V12" s="46">
        <f t="shared" si="0"/>
        <v>0</v>
      </c>
      <c r="W12" s="46"/>
      <c r="X12" s="88" t="s">
        <v>700</v>
      </c>
    </row>
    <row r="13" spans="1:244" s="46" customFormat="1" x14ac:dyDescent="0.2">
      <c r="A13" s="87" t="s">
        <v>27</v>
      </c>
      <c r="B13" s="87" t="s">
        <v>660</v>
      </c>
      <c r="C13" s="86" t="s">
        <v>317</v>
      </c>
      <c r="D13" s="87">
        <f>VLOOKUP(C13,'CPD PITS'!$B$6:$V$24,21,0)</f>
        <v>2690.4</v>
      </c>
      <c r="E13" s="107"/>
      <c r="F13" s="88">
        <f>VLOOKUP(C13,'SIND PITS'!$C$3:$D$102,2,0)</f>
        <v>2108.8499999999995</v>
      </c>
      <c r="G13" s="88">
        <f>VLOOKUP(C13,'SIND PITS'!$C$3:$E$102,3,0)</f>
        <v>0</v>
      </c>
      <c r="H13" s="88">
        <f>VLOOKUP(C13,'SIND PITS'!$C$3:$F$102,4,0)</f>
        <v>0</v>
      </c>
      <c r="I13" s="88">
        <f>VLOOKUP(C13,'SIND PITS'!$C$3:$G$102,5,0)</f>
        <v>0</v>
      </c>
      <c r="J13" s="94"/>
      <c r="K13" s="88">
        <f t="shared" si="1"/>
        <v>4799.25</v>
      </c>
      <c r="L13" s="88">
        <v>13000</v>
      </c>
      <c r="M13" s="88">
        <v>6500</v>
      </c>
      <c r="N13" s="95"/>
      <c r="O13" s="88">
        <f>VLOOKUP(C13,'CPD PITS'!$B$6:$I$24,8,0)</f>
        <v>0</v>
      </c>
      <c r="P13" s="88">
        <f t="shared" si="2"/>
        <v>0</v>
      </c>
      <c r="Q13" s="88">
        <f>VLOOKUP(C13,'CPD PITS'!$B$6:$R$24,17,0)+VLOOKUP('RESUMEN PITS'!C13,'CPD PITS'!$B$6:$Q$24,16,0)</f>
        <v>1432.4</v>
      </c>
      <c r="R13" s="88"/>
      <c r="S13" s="88">
        <f>VLOOKUP(C13,'CPD PITS'!B16:S34,18,0)</f>
        <v>268.35000000000002</v>
      </c>
      <c r="T13" s="95"/>
      <c r="U13" s="88">
        <f t="shared" si="3"/>
        <v>6500</v>
      </c>
      <c r="V13" s="46">
        <f t="shared" si="0"/>
        <v>0</v>
      </c>
      <c r="X13" s="88" t="s">
        <v>701</v>
      </c>
    </row>
    <row r="14" spans="1:244" s="88" customFormat="1" x14ac:dyDescent="0.2">
      <c r="A14" s="87" t="s">
        <v>31</v>
      </c>
      <c r="B14" s="87" t="s">
        <v>660</v>
      </c>
      <c r="C14" s="89" t="s">
        <v>132</v>
      </c>
      <c r="D14" s="87">
        <f>VLOOKUP(C14,'CPD PITS'!$B$6:$V$24,21,0)</f>
        <v>4892.6000000000004</v>
      </c>
      <c r="E14" s="108"/>
      <c r="F14" s="88">
        <f>VLOOKUP(C14,'SIND PITS'!$C$3:$D$102,2,0)</f>
        <v>2607.3999999999996</v>
      </c>
      <c r="G14" s="88">
        <f>VLOOKUP(C14,'SIND PITS'!$C$3:$E$102,3,0)</f>
        <v>468</v>
      </c>
      <c r="H14" s="88">
        <f>VLOOKUP(C14,'SIND PITS'!$C$3:$F$102,4,0)</f>
        <v>0</v>
      </c>
      <c r="I14" s="88">
        <f>VLOOKUP(C14,'SIND PITS'!$C$3:$G$102,5,0)</f>
        <v>0</v>
      </c>
      <c r="J14" s="94"/>
      <c r="K14" s="88">
        <f t="shared" si="1"/>
        <v>7968</v>
      </c>
      <c r="L14" s="88">
        <v>15000</v>
      </c>
      <c r="M14" s="88">
        <v>7500</v>
      </c>
      <c r="N14" s="95"/>
      <c r="O14" s="88">
        <f>VLOOKUP(C14,'CPD PITS'!$B$6:$I$24,8,0)</f>
        <v>0</v>
      </c>
      <c r="P14" s="88">
        <f t="shared" si="2"/>
        <v>468</v>
      </c>
      <c r="Q14" s="88">
        <f>VLOOKUP(C14,'CPD PITS'!$B$6:$R$24,17,0)+VLOOKUP('RESUMEN PITS'!C14,'CPD PITS'!$B$6:$Q$24,16,0)</f>
        <v>0</v>
      </c>
      <c r="S14" s="88">
        <f>VLOOKUP(C14,'CPD PITS'!B17:S35,18,0)</f>
        <v>0</v>
      </c>
      <c r="T14" s="95"/>
      <c r="U14" s="88">
        <f t="shared" si="3"/>
        <v>7500</v>
      </c>
      <c r="V14" s="46">
        <f t="shared" si="0"/>
        <v>0</v>
      </c>
      <c r="W14" s="46"/>
      <c r="X14" s="88" t="s">
        <v>702</v>
      </c>
    </row>
    <row r="15" spans="1:244" s="88" customFormat="1" x14ac:dyDescent="0.2">
      <c r="A15" s="87" t="s">
        <v>35</v>
      </c>
      <c r="B15" s="87" t="s">
        <v>660</v>
      </c>
      <c r="C15" s="86" t="s">
        <v>321</v>
      </c>
      <c r="D15" s="87">
        <f>VLOOKUP(C15,'CPD PITS'!$B$6:$V$24,21,0)</f>
        <v>1342.6</v>
      </c>
      <c r="E15" s="108"/>
      <c r="F15" s="88">
        <f>VLOOKUP(C15,'SIND PITS'!$C$3:$D$102,2,0)</f>
        <v>1487.6999999999998</v>
      </c>
      <c r="G15" s="88">
        <f>VLOOKUP(C15,'SIND PITS'!$C$3:$E$102,3,0)</f>
        <v>83</v>
      </c>
      <c r="H15" s="88">
        <f>VLOOKUP(C15,'SIND PITS'!$C$3:$F$102,4,0)</f>
        <v>0</v>
      </c>
      <c r="I15" s="88">
        <f>VLOOKUP(C15,'SIND PITS'!$C$3:$G$102,5,0)</f>
        <v>0</v>
      </c>
      <c r="J15" s="94"/>
      <c r="K15" s="88">
        <f t="shared" si="1"/>
        <v>2913.2999999999997</v>
      </c>
      <c r="L15" s="88">
        <v>10000</v>
      </c>
      <c r="M15" s="88">
        <v>5000</v>
      </c>
      <c r="N15" s="95"/>
      <c r="O15" s="88">
        <f>VLOOKUP(C15,'CPD PITS'!$B$6:$I$24,8,0)</f>
        <v>0</v>
      </c>
      <c r="P15" s="88">
        <f t="shared" si="2"/>
        <v>83</v>
      </c>
      <c r="Q15" s="88">
        <f>VLOOKUP(C15,'CPD PITS'!$B$6:$R$24,17,0)+VLOOKUP('RESUMEN PITS'!C15,'CPD PITS'!$B$6:$Q$24,16,0)</f>
        <v>2169.6999999999998</v>
      </c>
      <c r="S15" s="88">
        <f>VLOOKUP(C15,'CPD PITS'!B18:S36,18,0)</f>
        <v>0</v>
      </c>
      <c r="T15" s="95"/>
      <c r="U15" s="88">
        <f t="shared" si="3"/>
        <v>5000</v>
      </c>
      <c r="V15" s="46">
        <f t="shared" si="0"/>
        <v>0</v>
      </c>
      <c r="W15" s="46"/>
      <c r="X15" s="88" t="s">
        <v>703</v>
      </c>
    </row>
    <row r="16" spans="1:244" s="88" customFormat="1" x14ac:dyDescent="0.2">
      <c r="A16" s="87" t="s">
        <v>215</v>
      </c>
      <c r="B16" s="87" t="s">
        <v>660</v>
      </c>
      <c r="C16" s="86" t="s">
        <v>322</v>
      </c>
      <c r="D16" s="87">
        <f>VLOOKUP(C16,'CPD PITS'!$B$6:$V$24,21,0)</f>
        <v>17257.400000000001</v>
      </c>
      <c r="E16" s="108"/>
      <c r="F16" s="88">
        <f>VLOOKUP(C16,'SIND PITS'!$C$3:$D$102,2,0)</f>
        <v>12643.25</v>
      </c>
      <c r="G16" s="88">
        <f>VLOOKUP(C16,'SIND PITS'!$C$3:$E$102,3,0)</f>
        <v>0</v>
      </c>
      <c r="H16" s="88">
        <f>VLOOKUP(C16,'SIND PITS'!$C$3:$F$102,4,0)</f>
        <v>0</v>
      </c>
      <c r="I16" s="88">
        <f>VLOOKUP(C16,'SIND PITS'!$C$3:$G$102,5,0)</f>
        <v>281.75</v>
      </c>
      <c r="J16" s="94"/>
      <c r="K16" s="88">
        <f t="shared" si="1"/>
        <v>30182.400000000001</v>
      </c>
      <c r="L16" s="88">
        <v>60000</v>
      </c>
      <c r="M16" s="88">
        <v>30000</v>
      </c>
      <c r="N16" s="95"/>
      <c r="O16" s="88">
        <f>VLOOKUP(C16,'CPD PITS'!$B$6:$I$24,8,0)</f>
        <v>318.25</v>
      </c>
      <c r="P16" s="88">
        <f t="shared" si="2"/>
        <v>281.75</v>
      </c>
      <c r="Q16" s="88">
        <f>VLOOKUP(C16,'CPD PITS'!$B$6:$R$24,17,0)+VLOOKUP('RESUMEN PITS'!C16,'CPD PITS'!$B$6:$Q$24,16,0)</f>
        <v>0</v>
      </c>
      <c r="R16" s="109"/>
      <c r="S16" s="88">
        <f>VLOOKUP(C16,'CPD PITS'!B19:S37,18,0)</f>
        <v>417.6</v>
      </c>
      <c r="T16" s="95"/>
      <c r="U16" s="88">
        <f t="shared" si="3"/>
        <v>30000</v>
      </c>
      <c r="V16" s="46">
        <f t="shared" si="0"/>
        <v>0</v>
      </c>
      <c r="W16" s="46"/>
      <c r="X16" s="88" t="s">
        <v>704</v>
      </c>
    </row>
    <row r="17" spans="1:26" s="88" customFormat="1" x14ac:dyDescent="0.2">
      <c r="A17" s="87" t="s">
        <v>39</v>
      </c>
      <c r="B17" s="87" t="s">
        <v>660</v>
      </c>
      <c r="C17" s="86" t="s">
        <v>324</v>
      </c>
      <c r="D17" s="87">
        <f>VLOOKUP(C17,'CPD PITS'!$B$6:$V$24,21,0)</f>
        <v>3254.8</v>
      </c>
      <c r="E17" s="108"/>
      <c r="F17" s="88">
        <f>VLOOKUP(C17,'SIND PITS'!$C$3:$D$102,2,0)</f>
        <v>1562.7500000000005</v>
      </c>
      <c r="G17" s="88">
        <f>VLOOKUP(C17,'SIND PITS'!$C$3:$E$102,3,0)</f>
        <v>243.5</v>
      </c>
      <c r="H17" s="88">
        <f>VLOOKUP(C17,'SIND PITS'!$C$3:$F$102,4,0)</f>
        <v>0</v>
      </c>
      <c r="I17" s="88">
        <f>VLOOKUP(C17,'SIND PITS'!$C$3:$G$102,5,0)</f>
        <v>45.749999999999986</v>
      </c>
      <c r="J17" s="94"/>
      <c r="K17" s="88">
        <f t="shared" si="1"/>
        <v>5106.8000000000011</v>
      </c>
      <c r="L17" s="88">
        <v>10150</v>
      </c>
      <c r="M17" s="88">
        <v>5075</v>
      </c>
      <c r="N17" s="95"/>
      <c r="O17" s="88">
        <f>VLOOKUP(C17,'CPD PITS'!$B$6:$I$24,8,0)</f>
        <v>55.75</v>
      </c>
      <c r="P17" s="88">
        <f t="shared" si="2"/>
        <v>289.25</v>
      </c>
      <c r="Q17" s="88">
        <f>VLOOKUP(C17,'CPD PITS'!$B$6:$R$24,17,0)+VLOOKUP('RESUMEN PITS'!C17,'CPD PITS'!$B$6:$Q$24,16,0)</f>
        <v>0</v>
      </c>
      <c r="S17" s="88">
        <f>VLOOKUP(C17,'CPD PITS'!B20:S38,18,0)</f>
        <v>313.2</v>
      </c>
      <c r="T17" s="95"/>
      <c r="U17" s="88">
        <f t="shared" si="3"/>
        <v>5075.0000000000009</v>
      </c>
      <c r="V17" s="46">
        <f t="shared" si="0"/>
        <v>0</v>
      </c>
      <c r="W17" s="46"/>
      <c r="X17" s="88" t="s">
        <v>705</v>
      </c>
    </row>
    <row r="18" spans="1:26" s="88" customFormat="1" x14ac:dyDescent="0.2">
      <c r="A18" s="87" t="s">
        <v>41</v>
      </c>
      <c r="B18" s="87" t="s">
        <v>660</v>
      </c>
      <c r="C18" s="86" t="s">
        <v>133</v>
      </c>
      <c r="D18" s="87">
        <f>VLOOKUP(C18,'CPD PITS'!$B$6:$V$24,21,0)</f>
        <v>2005.6</v>
      </c>
      <c r="E18" s="108"/>
      <c r="F18" s="88">
        <f>VLOOKUP(C18,'SIND PITS'!$C$3:$D$102,2,0)</f>
        <v>1612.9</v>
      </c>
      <c r="G18" s="88">
        <f>VLOOKUP(C18,'SIND PITS'!$C$3:$E$102,3,0)</f>
        <v>357</v>
      </c>
      <c r="H18" s="88">
        <f>VLOOKUP(C18,'SIND PITS'!$C$3:$F$102,4,0)</f>
        <v>0</v>
      </c>
      <c r="I18" s="88">
        <f>VLOOKUP(C18,'SIND PITS'!$C$3:$G$102,5,0)</f>
        <v>0</v>
      </c>
      <c r="J18" s="94"/>
      <c r="K18" s="88">
        <f t="shared" si="1"/>
        <v>3975.5</v>
      </c>
      <c r="L18" s="88">
        <v>10250</v>
      </c>
      <c r="M18" s="88">
        <v>5125</v>
      </c>
      <c r="N18" s="95"/>
      <c r="O18" s="88">
        <f>VLOOKUP(C18,'CPD PITS'!$B$6:$I$24,8,0)</f>
        <v>0</v>
      </c>
      <c r="P18" s="88">
        <f t="shared" si="2"/>
        <v>357</v>
      </c>
      <c r="Q18" s="88">
        <f>VLOOKUP(C18,'CPD PITS'!$B$6:$R$24,17,0)+VLOOKUP('RESUMEN PITS'!C18,'CPD PITS'!$B$6:$Q$24,16,0)</f>
        <v>1506.5</v>
      </c>
      <c r="S18" s="88">
        <f>VLOOKUP(C18,'CPD PITS'!B21:S39,18,0)</f>
        <v>0</v>
      </c>
      <c r="T18" s="95"/>
      <c r="U18" s="88">
        <f t="shared" si="3"/>
        <v>5125</v>
      </c>
      <c r="V18" s="46">
        <f t="shared" si="0"/>
        <v>0</v>
      </c>
      <c r="W18" s="46"/>
      <c r="X18" s="88" t="s">
        <v>706</v>
      </c>
    </row>
    <row r="19" spans="1:26" s="88" customFormat="1" x14ac:dyDescent="0.2">
      <c r="A19" s="52" t="s">
        <v>401</v>
      </c>
      <c r="B19" s="87" t="s">
        <v>660</v>
      </c>
      <c r="C19" s="52" t="s">
        <v>359</v>
      </c>
      <c r="D19" s="87">
        <f>VLOOKUP(C19,'CPD PITS'!$B$6:$V$24,21,0)</f>
        <v>3192.4</v>
      </c>
      <c r="E19" s="108"/>
      <c r="F19" s="88">
        <f>VLOOKUP(C19,'SIND PITS'!$C$3:$D$102,2,0)</f>
        <v>16807.599999999999</v>
      </c>
      <c r="G19" s="88">
        <f>VLOOKUP(C19,'SIND PITS'!$C$3:$E$102,3,0)</f>
        <v>0</v>
      </c>
      <c r="H19" s="88">
        <f>VLOOKUP(C19,'SIND PITS'!$C$3:$F$102,4,0)</f>
        <v>0</v>
      </c>
      <c r="I19" s="88">
        <f>VLOOKUP(C19,'SIND PITS'!$C$3:$G$102,5,0)</f>
        <v>0</v>
      </c>
      <c r="J19" s="94"/>
      <c r="K19" s="88">
        <f t="shared" si="1"/>
        <v>20000</v>
      </c>
      <c r="L19" s="46">
        <v>40000</v>
      </c>
      <c r="M19" s="46">
        <v>20000</v>
      </c>
      <c r="N19" s="95"/>
      <c r="O19" s="88">
        <f>VLOOKUP(C19,'CPD PITS'!$B$6:$I$24,8,0)</f>
        <v>0</v>
      </c>
      <c r="P19" s="88">
        <f t="shared" si="2"/>
        <v>0</v>
      </c>
      <c r="Q19" s="88">
        <f>VLOOKUP(C19,'CPD PITS'!$B$6:$R$24,17,0)+VLOOKUP('RESUMEN PITS'!C19,'CPD PITS'!$B$6:$Q$24,16,0)</f>
        <v>0</v>
      </c>
      <c r="S19" s="88">
        <f>VLOOKUP(C19,'CPD PITS'!B22:S41,18,0)</f>
        <v>0</v>
      </c>
      <c r="T19" s="95"/>
      <c r="U19" s="88">
        <f t="shared" si="3"/>
        <v>20000</v>
      </c>
      <c r="V19" s="46">
        <f t="shared" si="0"/>
        <v>0</v>
      </c>
      <c r="W19" s="46"/>
      <c r="X19" s="88" t="s">
        <v>707</v>
      </c>
    </row>
    <row r="20" spans="1:26" s="88" customFormat="1" x14ac:dyDescent="0.2">
      <c r="A20" s="51" t="s">
        <v>404</v>
      </c>
      <c r="B20" s="87" t="s">
        <v>660</v>
      </c>
      <c r="C20" s="51" t="s">
        <v>664</v>
      </c>
      <c r="D20" s="87">
        <f>VLOOKUP(C20,'CPD PITS'!$B$6:$V$24,21,0)</f>
        <v>4030.6</v>
      </c>
      <c r="E20" s="108"/>
      <c r="F20" s="88">
        <f>VLOOKUP(C20,'SIND PITS'!$C$3:$D$102,2,0)</f>
        <v>2469.3999999999996</v>
      </c>
      <c r="G20" s="88">
        <f>VLOOKUP(C20,'SIND PITS'!$C$3:$E$102,3,0)</f>
        <v>1000</v>
      </c>
      <c r="H20" s="88">
        <f>VLOOKUP(C20,'SIND PITS'!$C$3:$F$102,4,0)</f>
        <v>0</v>
      </c>
      <c r="I20" s="88">
        <f>VLOOKUP(C20,'SIND PITS'!$C$3:$G$102,5,0)</f>
        <v>0</v>
      </c>
      <c r="J20" s="94"/>
      <c r="K20" s="88">
        <f t="shared" si="1"/>
        <v>7500</v>
      </c>
      <c r="L20" s="88">
        <v>13000</v>
      </c>
      <c r="M20" s="88">
        <v>6500</v>
      </c>
      <c r="N20" s="95"/>
      <c r="O20" s="88">
        <f>VLOOKUP(C20,'CPD PITS'!$B$6:$I$24,8,0)</f>
        <v>0</v>
      </c>
      <c r="P20" s="88">
        <f t="shared" si="2"/>
        <v>1000</v>
      </c>
      <c r="Q20" s="88">
        <f>VLOOKUP(C20,'CPD PITS'!$B$6:$R$24,17,0)+VLOOKUP('RESUMEN PITS'!C20,'CPD PITS'!$B$6:$Q$24,16,0)</f>
        <v>0</v>
      </c>
      <c r="S20" s="88">
        <f>VLOOKUP(C20,'CPD PITS'!B23:S42,18,0)</f>
        <v>0</v>
      </c>
      <c r="T20" s="95"/>
      <c r="U20" s="88">
        <f t="shared" si="3"/>
        <v>6500</v>
      </c>
      <c r="V20" s="46">
        <f t="shared" si="0"/>
        <v>0</v>
      </c>
      <c r="W20" s="112"/>
      <c r="X20" s="88" t="s">
        <v>708</v>
      </c>
    </row>
    <row r="21" spans="1:26" s="88" customFormat="1" x14ac:dyDescent="0.2">
      <c r="A21" s="51" t="s">
        <v>572</v>
      </c>
      <c r="B21" s="87" t="s">
        <v>660</v>
      </c>
      <c r="C21" s="51" t="s">
        <v>573</v>
      </c>
      <c r="D21" s="87">
        <f>VLOOKUP(C21,'CPD PITS'!$B$6:$V$24,21,0)</f>
        <v>4409.2</v>
      </c>
      <c r="E21" s="108"/>
      <c r="F21" s="88">
        <f>VLOOKUP(C21,'SIND PITS'!$C$3:$D$102,2,0)</f>
        <v>2777.47</v>
      </c>
      <c r="G21" s="88">
        <f>VLOOKUP(C21,'SIND PITS'!$C$3:$E$102,3,0)</f>
        <v>250</v>
      </c>
      <c r="H21" s="88">
        <f>VLOOKUP(C21,'SIND PITS'!$C$3:$F$102,4,0)</f>
        <v>0</v>
      </c>
      <c r="I21" s="88">
        <f>VLOOKUP(C21,'SIND PITS'!$C$3:$G$102,5,0)</f>
        <v>0</v>
      </c>
      <c r="J21" s="94"/>
      <c r="K21" s="88">
        <f t="shared" si="1"/>
        <v>7436.67</v>
      </c>
      <c r="L21" s="88">
        <v>15400</v>
      </c>
      <c r="M21" s="88">
        <v>7700</v>
      </c>
      <c r="N21" s="95"/>
      <c r="O21" s="88">
        <f>VLOOKUP(C21,'CPD PITS'!$B$6:$I$24,8,0)</f>
        <v>0</v>
      </c>
      <c r="P21" s="88">
        <f t="shared" si="2"/>
        <v>250</v>
      </c>
      <c r="Q21" s="88">
        <f>VLOOKUP(C21,'CPD PITS'!$B$6:$R$24,17,0)+VLOOKUP('RESUMEN PITS'!C21,'CPD PITS'!$B$6:$Q$24,16,0)</f>
        <v>0</v>
      </c>
      <c r="S21" s="88">
        <f>VLOOKUP(C21,'CPD PITS'!B24:S43,18,0)</f>
        <v>0</v>
      </c>
      <c r="T21" s="95"/>
      <c r="U21" s="88">
        <f t="shared" si="3"/>
        <v>7186.67</v>
      </c>
      <c r="V21" s="110">
        <f t="shared" si="0"/>
        <v>513.32999999999993</v>
      </c>
      <c r="W21" s="144" t="s">
        <v>685</v>
      </c>
      <c r="X21" s="88" t="s">
        <v>709</v>
      </c>
    </row>
    <row r="22" spans="1:26" s="46" customFormat="1" x14ac:dyDescent="0.2">
      <c r="A22" s="52" t="s">
        <v>67</v>
      </c>
      <c r="B22" s="90" t="s">
        <v>661</v>
      </c>
      <c r="C22" s="52" t="s">
        <v>328</v>
      </c>
      <c r="D22" s="90">
        <f>VLOOKUP(C22,'IP PITS'!$B$6:$V$86,21,0)</f>
        <v>3578.8</v>
      </c>
      <c r="E22" s="113"/>
      <c r="F22" s="88">
        <f>VLOOKUP(C22,'SIND PITS'!$C$3:$D$102,2,0)</f>
        <v>421.19999999999982</v>
      </c>
      <c r="G22" s="88">
        <f>VLOOKUP(C22,'SIND PITS'!$C$3:$E$102,3,0)</f>
        <v>258.5</v>
      </c>
      <c r="H22" s="88">
        <f>VLOOKUP(C22,'SIND PITS'!$C$3:$F$102,4,0)</f>
        <v>0</v>
      </c>
      <c r="I22" s="88">
        <f>VLOOKUP(C22,'SIND PITS'!$C$3:$G$102,5,0)</f>
        <v>0</v>
      </c>
      <c r="J22" s="114"/>
      <c r="K22" s="46">
        <f t="shared" si="1"/>
        <v>4258.5</v>
      </c>
      <c r="L22" s="46">
        <v>8000</v>
      </c>
      <c r="M22" s="46">
        <v>4000</v>
      </c>
      <c r="N22" s="95"/>
      <c r="O22" s="46">
        <f>VLOOKUP(C22,'IP PITS'!$B$6:$I$86,8,0)</f>
        <v>0</v>
      </c>
      <c r="P22" s="88">
        <f t="shared" si="2"/>
        <v>258.5</v>
      </c>
      <c r="Q22" s="46">
        <f>VLOOKUP(C22,'IP PITS'!$B$6:$N$86,13,0)</f>
        <v>0</v>
      </c>
      <c r="R22" s="46">
        <f>VLOOKUP(C22,'IP PITS'!$B$6:$Q$86,16,0)</f>
        <v>0</v>
      </c>
      <c r="S22" s="46">
        <f>VLOOKUP(C22,'IP PITS'!$B$6:$R$86,17,0)</f>
        <v>0</v>
      </c>
      <c r="T22" s="95"/>
      <c r="U22" s="46">
        <f>+K22-O22-P22+Q22+R22+S22</f>
        <v>4000</v>
      </c>
      <c r="V22" s="46">
        <f t="shared" si="0"/>
        <v>0</v>
      </c>
      <c r="X22" s="88" t="s">
        <v>710</v>
      </c>
    </row>
    <row r="23" spans="1:26" s="88" customFormat="1" x14ac:dyDescent="0.2">
      <c r="A23" s="51" t="s">
        <v>361</v>
      </c>
      <c r="B23" s="90" t="s">
        <v>661</v>
      </c>
      <c r="C23" s="58" t="s">
        <v>537</v>
      </c>
      <c r="D23" s="90">
        <f>VLOOKUP(C23,'IP PITS'!$B$6:$V$86,21,0)</f>
        <v>3578.8</v>
      </c>
      <c r="E23" s="108"/>
      <c r="F23" s="88">
        <f>VLOOKUP(C23,'SIND PITS'!$C$3:$D$102,2,0)</f>
        <v>421.19999999999982</v>
      </c>
      <c r="G23" s="88">
        <f>VLOOKUP(C23,'SIND PITS'!$C$3:$E$102,3,0)</f>
        <v>121.5</v>
      </c>
      <c r="H23" s="88">
        <f>VLOOKUP(C23,'SIND PITS'!$C$3:$F$102,4,0)</f>
        <v>0</v>
      </c>
      <c r="I23" s="88">
        <f>VLOOKUP(C23,'SIND PITS'!$C$3:$G$102,5,0)</f>
        <v>0</v>
      </c>
      <c r="J23" s="94"/>
      <c r="K23" s="88">
        <f t="shared" si="1"/>
        <v>4121.5</v>
      </c>
      <c r="L23" s="88">
        <v>8000</v>
      </c>
      <c r="M23" s="88">
        <v>4000</v>
      </c>
      <c r="N23" s="95"/>
      <c r="O23" s="46">
        <f>VLOOKUP(C23,'IP PITS'!$B$6:$I$86,8,0)</f>
        <v>0</v>
      </c>
      <c r="P23" s="88">
        <f t="shared" si="2"/>
        <v>121.5</v>
      </c>
      <c r="Q23" s="46">
        <f>VLOOKUP(C23,'IP PITS'!$B$6:$N$86,13,0)</f>
        <v>0</v>
      </c>
      <c r="R23" s="46">
        <f>VLOOKUP(C23,'IP PITS'!$B$6:$Q$86,16,0)</f>
        <v>0</v>
      </c>
      <c r="S23" s="46">
        <f>VLOOKUP(C23,'IP PITS'!$B$6:$R$86,17,0)</f>
        <v>0</v>
      </c>
      <c r="T23" s="95"/>
      <c r="U23" s="88">
        <f t="shared" ref="U23:U86" si="4">+K23-O23-P23+Q23+R23+S23</f>
        <v>4000</v>
      </c>
      <c r="V23" s="46">
        <f t="shared" si="0"/>
        <v>0</v>
      </c>
      <c r="W23" s="46"/>
      <c r="X23" s="88" t="s">
        <v>711</v>
      </c>
    </row>
    <row r="24" spans="1:26" s="46" customFormat="1" x14ac:dyDescent="0.2">
      <c r="A24" s="58" t="s">
        <v>81</v>
      </c>
      <c r="B24" s="90" t="s">
        <v>661</v>
      </c>
      <c r="C24" s="58" t="s">
        <v>331</v>
      </c>
      <c r="D24" s="90">
        <f>VLOOKUP(C24,'IP PITS'!$B$6:$V$86,21,0)</f>
        <v>2701</v>
      </c>
      <c r="E24" s="108"/>
      <c r="F24" s="88">
        <f>VLOOKUP(C24,'SIND PITS'!$C$3:$D$102,2,0)</f>
        <v>421.40999999999985</v>
      </c>
      <c r="G24" s="88">
        <f>VLOOKUP(C24,'SIND PITS'!$C$3:$E$102,3,0)</f>
        <v>358.5</v>
      </c>
      <c r="H24" s="88">
        <f>VLOOKUP(C24,'SIND PITS'!$C$3:$F$102,4,0)</f>
        <v>0</v>
      </c>
      <c r="I24" s="88">
        <f>VLOOKUP(C24,'SIND PITS'!$C$3:$G$102,5,0)</f>
        <v>0</v>
      </c>
      <c r="J24" s="94"/>
      <c r="K24" s="88">
        <f t="shared" si="1"/>
        <v>3480.91</v>
      </c>
      <c r="L24" s="88">
        <v>8000</v>
      </c>
      <c r="M24" s="88">
        <v>4000</v>
      </c>
      <c r="N24" s="95"/>
      <c r="O24" s="46">
        <f>VLOOKUP(C24,'IP PITS'!$B$6:$I$86,8,0)</f>
        <v>0</v>
      </c>
      <c r="P24" s="88">
        <f t="shared" si="2"/>
        <v>358.5</v>
      </c>
      <c r="Q24" s="46">
        <f>VLOOKUP(C24,'IP PITS'!$B$6:$N$86,13,0)</f>
        <v>877.59</v>
      </c>
      <c r="R24" s="46">
        <f>VLOOKUP(C24,'IP PITS'!$B$6:$Q$86,16,0)</f>
        <v>0</v>
      </c>
      <c r="S24" s="46">
        <f>VLOOKUP(C24,'IP PITS'!$B$6:$R$86,17,0)</f>
        <v>0</v>
      </c>
      <c r="T24" s="95"/>
      <c r="U24" s="88">
        <f t="shared" si="4"/>
        <v>4000</v>
      </c>
      <c r="V24" s="46">
        <f t="shared" si="0"/>
        <v>0</v>
      </c>
      <c r="X24" s="88" t="s">
        <v>712</v>
      </c>
    </row>
    <row r="25" spans="1:26" s="88" customFormat="1" ht="18.75" x14ac:dyDescent="0.3">
      <c r="A25" s="58" t="s">
        <v>85</v>
      </c>
      <c r="B25" s="90" t="s">
        <v>661</v>
      </c>
      <c r="C25" s="58" t="s">
        <v>333</v>
      </c>
      <c r="D25" s="90">
        <f>VLOOKUP(C25,'IP PITS'!$B$6:$V$86,21,0)</f>
        <v>5184.3999999999996</v>
      </c>
      <c r="E25" s="108"/>
      <c r="F25" s="88">
        <f>VLOOKUP(C25,'SIND PITS'!$C$3:$D$102,2,0)</f>
        <v>815.60000000000036</v>
      </c>
      <c r="G25" s="88">
        <f>VLOOKUP(C25,'SIND PITS'!$C$3:$E$102,3,0)</f>
        <v>937.5</v>
      </c>
      <c r="H25" s="88">
        <f>VLOOKUP(C25,'SIND PITS'!$C$3:$F$102,4,0)</f>
        <v>0</v>
      </c>
      <c r="I25" s="88">
        <f>VLOOKUP(C25,'SIND PITS'!$C$3:$G$102,5,0)</f>
        <v>0</v>
      </c>
      <c r="J25" s="94"/>
      <c r="K25" s="88">
        <f t="shared" si="1"/>
        <v>6937.5</v>
      </c>
      <c r="L25" s="88">
        <v>12000</v>
      </c>
      <c r="M25" s="88">
        <v>6000</v>
      </c>
      <c r="N25" s="95"/>
      <c r="O25" s="46">
        <f>VLOOKUP(C25,'IP PITS'!$B$6:$I$86,8,0)</f>
        <v>0</v>
      </c>
      <c r="P25" s="88">
        <f t="shared" si="2"/>
        <v>937.5</v>
      </c>
      <c r="Q25" s="46">
        <f>VLOOKUP(C25,'IP PITS'!$B$6:$N$86,13,0)</f>
        <v>0</v>
      </c>
      <c r="R25" s="46">
        <f>VLOOKUP(C25,'IP PITS'!$B$6:$Q$86,16,0)</f>
        <v>0</v>
      </c>
      <c r="S25" s="46">
        <f>VLOOKUP(C25,'IP PITS'!$B$6:$R$86,17,0)</f>
        <v>0</v>
      </c>
      <c r="T25" s="95"/>
      <c r="U25" s="88">
        <f t="shared" si="4"/>
        <v>6000</v>
      </c>
      <c r="V25" s="46">
        <f t="shared" si="0"/>
        <v>0</v>
      </c>
      <c r="W25" s="46"/>
      <c r="X25" s="88" t="s">
        <v>713</v>
      </c>
      <c r="Y25" s="151" t="s">
        <v>792</v>
      </c>
      <c r="Z25" s="151"/>
    </row>
    <row r="26" spans="1:26" s="88" customFormat="1" x14ac:dyDescent="0.2">
      <c r="A26" s="58" t="s">
        <v>87</v>
      </c>
      <c r="B26" s="90" t="s">
        <v>661</v>
      </c>
      <c r="C26" s="58" t="s">
        <v>538</v>
      </c>
      <c r="D26" s="90">
        <f>VLOOKUP(C26,'IP PITS'!$B$6:$V$86,21,0)</f>
        <v>3578.6</v>
      </c>
      <c r="E26" s="108"/>
      <c r="F26" s="88">
        <f>VLOOKUP(C26,'SIND PITS'!$C$3:$D$102,2,0)</f>
        <v>421.40000000000009</v>
      </c>
      <c r="G26" s="88">
        <f>VLOOKUP(C26,'SIND PITS'!$C$3:$E$102,3,0)</f>
        <v>168.5</v>
      </c>
      <c r="H26" s="88">
        <f>VLOOKUP(C26,'SIND PITS'!$C$3:$F$102,4,0)</f>
        <v>0</v>
      </c>
      <c r="I26" s="88">
        <f>VLOOKUP(C26,'SIND PITS'!$C$3:$G$102,5,0)</f>
        <v>0</v>
      </c>
      <c r="J26" s="94"/>
      <c r="K26" s="88">
        <f t="shared" si="1"/>
        <v>4168.5</v>
      </c>
      <c r="L26" s="88">
        <v>8000</v>
      </c>
      <c r="M26" s="88">
        <v>4000</v>
      </c>
      <c r="N26" s="95"/>
      <c r="O26" s="46">
        <f>VLOOKUP(C26,'IP PITS'!$B$6:$I$86,8,0)</f>
        <v>0</v>
      </c>
      <c r="P26" s="88">
        <f t="shared" si="2"/>
        <v>168.5</v>
      </c>
      <c r="Q26" s="46">
        <f>VLOOKUP(C26,'IP PITS'!$B$6:$N$86,13,0)</f>
        <v>0</v>
      </c>
      <c r="R26" s="46">
        <f>VLOOKUP(C26,'IP PITS'!$B$6:$Q$86,16,0)</f>
        <v>0</v>
      </c>
      <c r="S26" s="46">
        <f>VLOOKUP(C26,'IP PITS'!$B$6:$R$86,17,0)</f>
        <v>0</v>
      </c>
      <c r="T26" s="95"/>
      <c r="U26" s="88">
        <f t="shared" si="4"/>
        <v>4000</v>
      </c>
      <c r="V26" s="46">
        <f t="shared" si="0"/>
        <v>0</v>
      </c>
      <c r="W26" s="46"/>
      <c r="X26" s="88" t="s">
        <v>714</v>
      </c>
    </row>
    <row r="27" spans="1:26" s="88" customFormat="1" x14ac:dyDescent="0.2">
      <c r="A27" s="52" t="s">
        <v>89</v>
      </c>
      <c r="B27" s="90" t="s">
        <v>661</v>
      </c>
      <c r="C27" s="52" t="s">
        <v>334</v>
      </c>
      <c r="D27" s="90">
        <f>VLOOKUP(C27,'IP PITS'!$B$6:$V$86,21,0)</f>
        <v>1560.4</v>
      </c>
      <c r="E27" s="108"/>
      <c r="F27" s="88">
        <f>VLOOKUP(C27,'SIND PITS'!$C$3:$D$102,2,0)</f>
        <v>1140.3699999999999</v>
      </c>
      <c r="G27" s="88">
        <f>VLOOKUP(C27,'SIND PITS'!$C$3:$E$102,3,0)</f>
        <v>0</v>
      </c>
      <c r="H27" s="88">
        <f>VLOOKUP(C27,'SIND PITS'!$C$3:$F$102,4,0)</f>
        <v>0</v>
      </c>
      <c r="I27" s="88">
        <f>VLOOKUP(C27,'SIND PITS'!$C$3:$G$102,5,0)</f>
        <v>20</v>
      </c>
      <c r="J27" s="94"/>
      <c r="K27" s="88">
        <f t="shared" si="1"/>
        <v>2720.77</v>
      </c>
      <c r="L27" s="46">
        <v>8000</v>
      </c>
      <c r="M27" s="46">
        <v>4000</v>
      </c>
      <c r="N27" s="95"/>
      <c r="O27" s="46">
        <f>VLOOKUP(C27,'IP PITS'!$B$6:$I$86,8,0)</f>
        <v>60</v>
      </c>
      <c r="P27" s="88">
        <f t="shared" si="2"/>
        <v>20</v>
      </c>
      <c r="Q27" s="46">
        <f>VLOOKUP(C27,'IP PITS'!$B$6:$N$86,13,0)</f>
        <v>1359.23</v>
      </c>
      <c r="R27" s="46">
        <f>VLOOKUP(C27,'IP PITS'!$B$6:$Q$86,16,0)</f>
        <v>0</v>
      </c>
      <c r="S27" s="46">
        <f>VLOOKUP(C27,'IP PITS'!$B$6:$R$86,17,0)</f>
        <v>0</v>
      </c>
      <c r="T27" s="95"/>
      <c r="U27" s="88">
        <f t="shared" si="4"/>
        <v>4000</v>
      </c>
      <c r="V27" s="46">
        <f t="shared" si="0"/>
        <v>0</v>
      </c>
      <c r="W27" s="46"/>
      <c r="X27" s="88" t="s">
        <v>715</v>
      </c>
    </row>
    <row r="28" spans="1:26" s="88" customFormat="1" x14ac:dyDescent="0.2">
      <c r="A28" s="58" t="s">
        <v>91</v>
      </c>
      <c r="B28" s="90" t="s">
        <v>661</v>
      </c>
      <c r="C28" s="58" t="s">
        <v>335</v>
      </c>
      <c r="D28" s="90">
        <f>VLOOKUP(C28,'IP PITS'!$B$6:$V$86,21,0)</f>
        <v>4397.6000000000004</v>
      </c>
      <c r="E28" s="108"/>
      <c r="F28" s="88">
        <f>VLOOKUP(C28,'SIND PITS'!$C$3:$D$102,2,0)</f>
        <v>602.39999999999964</v>
      </c>
      <c r="G28" s="88">
        <f>VLOOKUP(C28,'SIND PITS'!$C$3:$E$102,3,0)</f>
        <v>121.5</v>
      </c>
      <c r="H28" s="88">
        <f>VLOOKUP(C28,'SIND PITS'!$C$3:$F$102,4,0)</f>
        <v>0</v>
      </c>
      <c r="I28" s="88">
        <f>VLOOKUP(C28,'SIND PITS'!$C$3:$G$102,5,0)</f>
        <v>0</v>
      </c>
      <c r="J28" s="94"/>
      <c r="K28" s="88">
        <f t="shared" si="1"/>
        <v>5121.5</v>
      </c>
      <c r="L28" s="88">
        <v>10000</v>
      </c>
      <c r="M28" s="88">
        <v>5000</v>
      </c>
      <c r="N28" s="95"/>
      <c r="O28" s="46">
        <f>VLOOKUP(C28,'IP PITS'!$B$6:$I$86,8,0)</f>
        <v>0</v>
      </c>
      <c r="P28" s="88">
        <f t="shared" si="2"/>
        <v>121.5</v>
      </c>
      <c r="Q28" s="46">
        <f>VLOOKUP(C28,'IP PITS'!$B$6:$N$86,13,0)</f>
        <v>0</v>
      </c>
      <c r="R28" s="46">
        <f>VLOOKUP(C28,'IP PITS'!$B$6:$Q$86,16,0)</f>
        <v>0</v>
      </c>
      <c r="S28" s="46">
        <f>VLOOKUP(C28,'IP PITS'!$B$6:$R$86,17,0)</f>
        <v>0</v>
      </c>
      <c r="T28" s="95"/>
      <c r="U28" s="88">
        <f t="shared" si="4"/>
        <v>5000</v>
      </c>
      <c r="V28" s="46">
        <f t="shared" si="0"/>
        <v>0</v>
      </c>
      <c r="W28" s="46"/>
      <c r="X28" s="88" t="s">
        <v>716</v>
      </c>
    </row>
    <row r="29" spans="1:26" s="88" customFormat="1" x14ac:dyDescent="0.2">
      <c r="A29" s="58" t="s">
        <v>93</v>
      </c>
      <c r="B29" s="90" t="s">
        <v>661</v>
      </c>
      <c r="C29" s="58" t="s">
        <v>336</v>
      </c>
      <c r="D29" s="90">
        <f>VLOOKUP(C29,'IP PITS'!$B$6:$V$86,21,0)</f>
        <v>3271.6</v>
      </c>
      <c r="E29" s="108"/>
      <c r="F29" s="88">
        <f>VLOOKUP(C29,'SIND PITS'!$C$3:$D$102,2,0)</f>
        <v>228.40000000000009</v>
      </c>
      <c r="G29" s="88">
        <f>VLOOKUP(C29,'SIND PITS'!$C$3:$E$102,3,0)</f>
        <v>253.25</v>
      </c>
      <c r="H29" s="88">
        <f>VLOOKUP(C29,'SIND PITS'!$C$3:$F$102,4,0)</f>
        <v>0</v>
      </c>
      <c r="I29" s="88">
        <f>VLOOKUP(C29,'SIND PITS'!$C$3:$G$102,5,0)</f>
        <v>0</v>
      </c>
      <c r="J29" s="94"/>
      <c r="K29" s="88">
        <f t="shared" si="1"/>
        <v>3753.25</v>
      </c>
      <c r="L29" s="88">
        <v>7000</v>
      </c>
      <c r="M29" s="88">
        <v>3500</v>
      </c>
      <c r="N29" s="95"/>
      <c r="O29" s="46">
        <f>VLOOKUP(C29,'IP PITS'!$B$6:$I$86,8,0)</f>
        <v>0</v>
      </c>
      <c r="P29" s="88">
        <f t="shared" si="2"/>
        <v>253.25</v>
      </c>
      <c r="Q29" s="46">
        <f>VLOOKUP(C29,'IP PITS'!$B$6:$N$86,13,0)</f>
        <v>0</v>
      </c>
      <c r="R29" s="46">
        <f>VLOOKUP(C29,'IP PITS'!$B$6:$Q$86,16,0)</f>
        <v>0</v>
      </c>
      <c r="S29" s="46">
        <f>VLOOKUP(C29,'IP PITS'!$B$6:$R$86,17,0)</f>
        <v>0</v>
      </c>
      <c r="T29" s="95"/>
      <c r="U29" s="88">
        <f t="shared" si="4"/>
        <v>3500</v>
      </c>
      <c r="V29" s="46">
        <f t="shared" si="0"/>
        <v>0</v>
      </c>
      <c r="W29" s="46"/>
      <c r="X29" s="88" t="s">
        <v>717</v>
      </c>
    </row>
    <row r="30" spans="1:26" s="46" customFormat="1" x14ac:dyDescent="0.2">
      <c r="A30" s="52" t="s">
        <v>101</v>
      </c>
      <c r="B30" s="90" t="s">
        <v>661</v>
      </c>
      <c r="C30" s="52" t="s">
        <v>337</v>
      </c>
      <c r="D30" s="90">
        <f>VLOOKUP(C30,'IP PITS'!$B$6:$V$86,21,0)</f>
        <v>2259.8000000000002</v>
      </c>
      <c r="E30" s="113"/>
      <c r="F30" s="88">
        <f>VLOOKUP(C30,'SIND PITS'!$C$3:$D$102,2,0)</f>
        <v>140.19999999999965</v>
      </c>
      <c r="G30" s="88">
        <f>VLOOKUP(C30,'SIND PITS'!$C$3:$E$102,3,0)</f>
        <v>487.5</v>
      </c>
      <c r="H30" s="88">
        <f>VLOOKUP(C30,'SIND PITS'!$C$3:$F$102,4,0)</f>
        <v>0</v>
      </c>
      <c r="I30" s="88">
        <f>VLOOKUP(C30,'SIND PITS'!$C$3:$G$102,5,0)</f>
        <v>0</v>
      </c>
      <c r="J30" s="114"/>
      <c r="K30" s="88">
        <f t="shared" si="1"/>
        <v>2887.5</v>
      </c>
      <c r="L30" s="46">
        <v>6000</v>
      </c>
      <c r="M30" s="46">
        <v>3000</v>
      </c>
      <c r="N30" s="95"/>
      <c r="O30" s="46">
        <f>VLOOKUP(C30,'IP PITS'!$B$6:$I$86,8,0)</f>
        <v>0</v>
      </c>
      <c r="P30" s="88">
        <f t="shared" si="2"/>
        <v>487.5</v>
      </c>
      <c r="Q30" s="46">
        <f>VLOOKUP(C30,'IP PITS'!$B$6:$N$86,13,0)</f>
        <v>0</v>
      </c>
      <c r="R30" s="46">
        <f>VLOOKUP(C30,'IP PITS'!$B$6:$Q$86,16,0)</f>
        <v>600</v>
      </c>
      <c r="S30" s="46">
        <f>VLOOKUP(C30,'IP PITS'!$B$6:$R$86,17,0)</f>
        <v>0</v>
      </c>
      <c r="T30" s="95"/>
      <c r="U30" s="88">
        <f t="shared" si="4"/>
        <v>3000</v>
      </c>
      <c r="V30" s="46">
        <f t="shared" si="0"/>
        <v>0</v>
      </c>
      <c r="W30" s="96"/>
      <c r="X30" s="88" t="s">
        <v>718</v>
      </c>
    </row>
    <row r="31" spans="1:26" s="88" customFormat="1" x14ac:dyDescent="0.2">
      <c r="A31" s="58" t="s">
        <v>219</v>
      </c>
      <c r="B31" s="90" t="s">
        <v>661</v>
      </c>
      <c r="C31" s="58" t="s">
        <v>355</v>
      </c>
      <c r="D31" s="90">
        <f>VLOOKUP(C31,'IP PITS'!$B$6:$V$86,21,0)</f>
        <v>1910</v>
      </c>
      <c r="E31" s="108"/>
      <c r="F31" s="88">
        <f>VLOOKUP(C31,'SIND PITS'!$C$3:$D$102,2,0)</f>
        <v>1423.33</v>
      </c>
      <c r="G31" s="88">
        <f>VLOOKUP(C31,'SIND PITS'!$C$3:$E$102,3,0)</f>
        <v>1250</v>
      </c>
      <c r="H31" s="88">
        <f>VLOOKUP(C31,'SIND PITS'!$C$3:$F$102,4,0)</f>
        <v>0</v>
      </c>
      <c r="I31" s="88">
        <f>VLOOKUP(C31,'SIND PITS'!$C$3:$G$102,5,0)</f>
        <v>0</v>
      </c>
      <c r="J31" s="94"/>
      <c r="K31" s="88">
        <f t="shared" si="1"/>
        <v>4583.33</v>
      </c>
      <c r="L31" s="88">
        <v>10000</v>
      </c>
      <c r="M31" s="88">
        <v>5000</v>
      </c>
      <c r="N31" s="95"/>
      <c r="O31" s="46">
        <f>VLOOKUP(C31,'IP PITS'!$B$6:$I$86,8,0)</f>
        <v>0</v>
      </c>
      <c r="P31" s="88">
        <f t="shared" si="2"/>
        <v>1250</v>
      </c>
      <c r="Q31" s="46">
        <f>VLOOKUP(C31,'IP PITS'!$B$6:$N$86,13,0)</f>
        <v>0</v>
      </c>
      <c r="R31" s="46">
        <f>VLOOKUP(C31,'IP PITS'!$B$6:$Q$86,16,0)</f>
        <v>0</v>
      </c>
      <c r="S31" s="46">
        <f>VLOOKUP(C31,'IP PITS'!$B$6:$R$86,17,0)</f>
        <v>1666.67</v>
      </c>
      <c r="T31" s="95"/>
      <c r="U31" s="88">
        <f t="shared" si="4"/>
        <v>5000</v>
      </c>
      <c r="V31" s="46">
        <f t="shared" si="0"/>
        <v>0</v>
      </c>
      <c r="W31" s="46"/>
      <c r="X31" s="88" t="s">
        <v>719</v>
      </c>
    </row>
    <row r="32" spans="1:26" s="88" customFormat="1" x14ac:dyDescent="0.2">
      <c r="A32" s="51" t="s">
        <v>368</v>
      </c>
      <c r="B32" s="90" t="s">
        <v>661</v>
      </c>
      <c r="C32" s="51" t="s">
        <v>686</v>
      </c>
      <c r="D32" s="90">
        <f>VLOOKUP(C32,'IP PITS'!$B$6:$V$86,21,0)</f>
        <v>2443.4</v>
      </c>
      <c r="E32" s="108"/>
      <c r="F32" s="88">
        <f>VLOOKUP(C32,'SIND PITS'!$C$3:$D$102,2,0)</f>
        <v>56.599999999999909</v>
      </c>
      <c r="G32" s="88">
        <f>VLOOKUP(C32,'SIND PITS'!$C$3:$E$102,3,0)</f>
        <v>395.5</v>
      </c>
      <c r="H32" s="88">
        <f>VLOOKUP(C32,'SIND PITS'!$C$3:$F$102,4,0)</f>
        <v>0</v>
      </c>
      <c r="I32" s="88">
        <f>VLOOKUP(C32,'SIND PITS'!$C$3:$G$102,5,0)</f>
        <v>0</v>
      </c>
      <c r="J32" s="94"/>
      <c r="K32" s="88">
        <f t="shared" si="1"/>
        <v>2895.5</v>
      </c>
      <c r="L32" s="88">
        <v>5000</v>
      </c>
      <c r="M32" s="88">
        <v>2500</v>
      </c>
      <c r="N32" s="95"/>
      <c r="O32" s="46">
        <f>VLOOKUP(C32,'IP PITS'!$B$6:$I$86,8,0)</f>
        <v>0</v>
      </c>
      <c r="P32" s="88">
        <f t="shared" si="2"/>
        <v>395.5</v>
      </c>
      <c r="Q32" s="46">
        <f>VLOOKUP(C32,'IP PITS'!$B$6:$N$86,13,0)</f>
        <v>0</v>
      </c>
      <c r="R32" s="46">
        <f>VLOOKUP(C32,'IP PITS'!$B$6:$Q$86,16,0)</f>
        <v>0</v>
      </c>
      <c r="S32" s="46">
        <f>VLOOKUP(C32,'IP PITS'!$B$6:$R$86,17,0)</f>
        <v>0</v>
      </c>
      <c r="T32" s="95"/>
      <c r="U32" s="88">
        <f t="shared" si="4"/>
        <v>2500</v>
      </c>
      <c r="V32" s="46">
        <f t="shared" si="0"/>
        <v>0</v>
      </c>
      <c r="W32" s="46"/>
      <c r="X32" s="88" t="s">
        <v>720</v>
      </c>
    </row>
    <row r="33" spans="1:24" s="88" customFormat="1" x14ac:dyDescent="0.2">
      <c r="A33" s="51" t="s">
        <v>390</v>
      </c>
      <c r="B33" s="90" t="s">
        <v>661</v>
      </c>
      <c r="C33" s="51" t="s">
        <v>391</v>
      </c>
      <c r="D33" s="90">
        <f>VLOOKUP(C33,'IP PITS'!$B$6:$V$86,21,0)</f>
        <v>3576.8</v>
      </c>
      <c r="E33" s="108"/>
      <c r="F33" s="88">
        <f>VLOOKUP(C33,'SIND PITS'!$C$3:$D$102,2,0)</f>
        <v>423.19999999999976</v>
      </c>
      <c r="G33" s="88">
        <f>VLOOKUP(C33,'SIND PITS'!$C$3:$E$102,3,0)</f>
        <v>349</v>
      </c>
      <c r="H33" s="88">
        <f>VLOOKUP(C33,'SIND PITS'!$C$3:$F$102,4,0)</f>
        <v>0</v>
      </c>
      <c r="I33" s="88">
        <f>VLOOKUP(C33,'SIND PITS'!$C$3:$G$102,5,0)</f>
        <v>0</v>
      </c>
      <c r="J33" s="94"/>
      <c r="K33" s="88">
        <f t="shared" si="1"/>
        <v>4349</v>
      </c>
      <c r="L33" s="88">
        <v>8000</v>
      </c>
      <c r="M33" s="88">
        <v>4000</v>
      </c>
      <c r="N33" s="95"/>
      <c r="O33" s="46">
        <f>VLOOKUP(C33,'IP PITS'!$B$6:$I$86,8,0)</f>
        <v>0</v>
      </c>
      <c r="P33" s="88">
        <f t="shared" si="2"/>
        <v>349</v>
      </c>
      <c r="Q33" s="46">
        <f>VLOOKUP(C33,'IP PITS'!$B$6:$N$86,13,0)</f>
        <v>0</v>
      </c>
      <c r="R33" s="46">
        <f>VLOOKUP(C33,'IP PITS'!$B$6:$Q$86,16,0)</f>
        <v>0</v>
      </c>
      <c r="S33" s="46">
        <f>VLOOKUP(C33,'IP PITS'!$B$6:$R$86,17,0)</f>
        <v>0</v>
      </c>
      <c r="T33" s="95"/>
      <c r="U33" s="88">
        <f t="shared" si="4"/>
        <v>4000</v>
      </c>
      <c r="V33" s="46">
        <f t="shared" si="0"/>
        <v>0</v>
      </c>
      <c r="W33" s="46"/>
      <c r="X33" s="88" t="s">
        <v>721</v>
      </c>
    </row>
    <row r="34" spans="1:24" s="88" customFormat="1" x14ac:dyDescent="0.2">
      <c r="A34" s="51" t="s">
        <v>405</v>
      </c>
      <c r="B34" s="90" t="s">
        <v>661</v>
      </c>
      <c r="C34" s="51" t="s">
        <v>406</v>
      </c>
      <c r="D34" s="90">
        <f>VLOOKUP(C34,'IP PITS'!$B$6:$V$86,21,0)</f>
        <v>3576.8</v>
      </c>
      <c r="E34" s="108"/>
      <c r="F34" s="88">
        <f>VLOOKUP(C34,'SIND PITS'!$C$3:$D$102,2,0)</f>
        <v>423.19999999999982</v>
      </c>
      <c r="G34" s="88">
        <f>VLOOKUP(C34,'SIND PITS'!$C$3:$E$102,3,0)</f>
        <v>280</v>
      </c>
      <c r="H34" s="88">
        <f>VLOOKUP(C34,'SIND PITS'!$C$3:$F$102,4,0)</f>
        <v>0</v>
      </c>
      <c r="I34" s="88">
        <f>VLOOKUP(C34,'SIND PITS'!$C$3:$G$102,5,0)</f>
        <v>0</v>
      </c>
      <c r="J34" s="94"/>
      <c r="K34" s="88">
        <f t="shared" si="1"/>
        <v>4280</v>
      </c>
      <c r="L34" s="88">
        <v>8000</v>
      </c>
      <c r="M34" s="88">
        <v>4000</v>
      </c>
      <c r="N34" s="95"/>
      <c r="O34" s="46">
        <f>VLOOKUP(C34,'IP PITS'!$B$6:$I$86,8,0)</f>
        <v>0</v>
      </c>
      <c r="P34" s="88">
        <f t="shared" si="2"/>
        <v>280</v>
      </c>
      <c r="Q34" s="46">
        <f>VLOOKUP(C34,'IP PITS'!$B$6:$N$86,13,0)</f>
        <v>0</v>
      </c>
      <c r="R34" s="46">
        <f>VLOOKUP(C34,'IP PITS'!$B$6:$Q$86,16,0)</f>
        <v>0</v>
      </c>
      <c r="S34" s="46">
        <f>VLOOKUP(C34,'IP PITS'!$B$6:$R$86,17,0)</f>
        <v>0</v>
      </c>
      <c r="T34" s="95"/>
      <c r="U34" s="88">
        <f t="shared" si="4"/>
        <v>4000</v>
      </c>
      <c r="V34" s="46">
        <f t="shared" si="0"/>
        <v>0</v>
      </c>
      <c r="W34" s="46"/>
      <c r="X34" s="88" t="s">
        <v>722</v>
      </c>
    </row>
    <row r="35" spans="1:24" s="88" customFormat="1" x14ac:dyDescent="0.2">
      <c r="A35" s="51" t="s">
        <v>394</v>
      </c>
      <c r="B35" s="90" t="s">
        <v>661</v>
      </c>
      <c r="C35" s="51" t="s">
        <v>395</v>
      </c>
      <c r="D35" s="90">
        <f>VLOOKUP(C35,'IP PITS'!$B$6:$V$86,21,0)</f>
        <v>1139.4000000000001</v>
      </c>
      <c r="E35" s="108"/>
      <c r="F35" s="88">
        <f>VLOOKUP(C35,'SIND PITS'!$C$3:$D$102,2,0)</f>
        <v>1260.5999999999999</v>
      </c>
      <c r="G35" s="88">
        <f>VLOOKUP(C35,'SIND PITS'!$C$3:$E$102,3,0)</f>
        <v>292.5</v>
      </c>
      <c r="H35" s="88">
        <f>VLOOKUP(C35,'SIND PITS'!$C$3:$F$102,4,0)</f>
        <v>0</v>
      </c>
      <c r="I35" s="88">
        <f>VLOOKUP(C35,'SIND PITS'!$C$3:$G$102,5,0)</f>
        <v>0</v>
      </c>
      <c r="J35" s="94"/>
      <c r="K35" s="88">
        <f t="shared" si="1"/>
        <v>2692.5</v>
      </c>
      <c r="L35" s="88">
        <v>6000</v>
      </c>
      <c r="M35" s="88">
        <v>3000</v>
      </c>
      <c r="N35" s="95"/>
      <c r="O35" s="46">
        <f>VLOOKUP(C35,'IP PITS'!$B$6:$I$86,8,0)</f>
        <v>0</v>
      </c>
      <c r="P35" s="88">
        <f t="shared" si="2"/>
        <v>292.5</v>
      </c>
      <c r="Q35" s="46">
        <f>VLOOKUP(C35,'IP PITS'!$B$6:$N$86,13,0)</f>
        <v>0</v>
      </c>
      <c r="R35" s="46">
        <f>VLOOKUP(C35,'IP PITS'!$B$6:$Q$86,16,0)</f>
        <v>600</v>
      </c>
      <c r="S35" s="46">
        <f>VLOOKUP(C35,'IP PITS'!$B$6:$R$86,17,0)</f>
        <v>0</v>
      </c>
      <c r="T35" s="95"/>
      <c r="U35" s="88">
        <f t="shared" si="4"/>
        <v>3000</v>
      </c>
      <c r="V35" s="46">
        <f t="shared" ref="V35:V66" si="5">+M35-U35</f>
        <v>0</v>
      </c>
      <c r="W35" s="96"/>
      <c r="X35" s="88" t="s">
        <v>723</v>
      </c>
    </row>
    <row r="36" spans="1:24" s="46" customFormat="1" x14ac:dyDescent="0.2">
      <c r="A36" s="51" t="s">
        <v>402</v>
      </c>
      <c r="B36" s="90" t="s">
        <v>661</v>
      </c>
      <c r="C36" s="51" t="s">
        <v>398</v>
      </c>
      <c r="D36" s="90">
        <f>VLOOKUP(C36,'IP PITS'!$B$6:$V$86,21,0)</f>
        <v>5939.6</v>
      </c>
      <c r="E36" s="108"/>
      <c r="F36" s="88">
        <f>VLOOKUP(C36,'SIND PITS'!$C$3:$D$102,2,0)</f>
        <v>1060.3999999999996</v>
      </c>
      <c r="G36" s="88">
        <f>VLOOKUP(C36,'SIND PITS'!$C$3:$E$102,3,0)</f>
        <v>200</v>
      </c>
      <c r="H36" s="88">
        <f>VLOOKUP(C36,'SIND PITS'!$C$3:$F$102,4,0)</f>
        <v>0</v>
      </c>
      <c r="I36" s="88">
        <f>VLOOKUP(C36,'SIND PITS'!$C$3:$G$102,5,0)</f>
        <v>0</v>
      </c>
      <c r="J36" s="94"/>
      <c r="K36" s="88">
        <f t="shared" si="1"/>
        <v>7200</v>
      </c>
      <c r="L36" s="88">
        <v>14000</v>
      </c>
      <c r="M36" s="88">
        <v>7000</v>
      </c>
      <c r="N36" s="95"/>
      <c r="O36" s="46">
        <f>VLOOKUP(C36,'IP PITS'!$B$6:$I$86,8,0)</f>
        <v>0</v>
      </c>
      <c r="P36" s="88">
        <f t="shared" si="2"/>
        <v>200</v>
      </c>
      <c r="Q36" s="46">
        <f>VLOOKUP(C36,'IP PITS'!$B$6:$N$86,13,0)</f>
        <v>0</v>
      </c>
      <c r="R36" s="46">
        <f>VLOOKUP(C36,'IP PITS'!$B$6:$Q$86,16,0)</f>
        <v>0</v>
      </c>
      <c r="S36" s="46">
        <f>VLOOKUP(C36,'IP PITS'!$B$6:$R$86,17,0)</f>
        <v>0</v>
      </c>
      <c r="T36" s="95"/>
      <c r="U36" s="88">
        <f t="shared" si="4"/>
        <v>7000</v>
      </c>
      <c r="V36" s="46">
        <f t="shared" si="5"/>
        <v>0</v>
      </c>
      <c r="X36" s="88" t="s">
        <v>724</v>
      </c>
    </row>
    <row r="37" spans="1:24" s="88" customFormat="1" x14ac:dyDescent="0.2">
      <c r="A37" s="52" t="s">
        <v>404</v>
      </c>
      <c r="B37" s="90" t="s">
        <v>661</v>
      </c>
      <c r="C37" s="52" t="s">
        <v>400</v>
      </c>
      <c r="D37" s="90">
        <f>VLOOKUP(C37,'IP PITS'!$B$6:$V$86,21,0)</f>
        <v>5939.6</v>
      </c>
      <c r="E37" s="108"/>
      <c r="F37" s="88">
        <f>VLOOKUP(C37,'SIND PITS'!$C$3:$D$102,2,0)</f>
        <v>1060.3999999999999</v>
      </c>
      <c r="G37" s="88">
        <f>VLOOKUP(C37,'SIND PITS'!$C$3:$E$102,3,0)</f>
        <v>675</v>
      </c>
      <c r="H37" s="88">
        <f>VLOOKUP(C37,'SIND PITS'!$C$3:$F$102,4,0)</f>
        <v>0</v>
      </c>
      <c r="I37" s="88">
        <f>VLOOKUP(C37,'SIND PITS'!$C$3:$G$102,5,0)</f>
        <v>0</v>
      </c>
      <c r="J37" s="94"/>
      <c r="K37" s="88">
        <f t="shared" si="1"/>
        <v>7675</v>
      </c>
      <c r="L37" s="46">
        <v>14000</v>
      </c>
      <c r="M37" s="46">
        <v>7000</v>
      </c>
      <c r="N37" s="95"/>
      <c r="O37" s="46">
        <f>VLOOKUP(C37,'IP PITS'!$B$6:$I$86,8,0)</f>
        <v>0</v>
      </c>
      <c r="P37" s="88">
        <f t="shared" si="2"/>
        <v>675</v>
      </c>
      <c r="Q37" s="46">
        <f>VLOOKUP(C37,'IP PITS'!$B$6:$N$86,13,0)</f>
        <v>0</v>
      </c>
      <c r="R37" s="46">
        <f>VLOOKUP(C37,'IP PITS'!$B$6:$Q$86,16,0)</f>
        <v>0</v>
      </c>
      <c r="S37" s="46">
        <f>VLOOKUP(C37,'IP PITS'!$B$6:$R$86,17,0)</f>
        <v>0</v>
      </c>
      <c r="T37" s="95"/>
      <c r="U37" s="88">
        <f t="shared" si="4"/>
        <v>7000</v>
      </c>
      <c r="V37" s="46">
        <f t="shared" si="5"/>
        <v>0</v>
      </c>
      <c r="W37" s="46"/>
      <c r="X37" s="88" t="s">
        <v>725</v>
      </c>
    </row>
    <row r="38" spans="1:24" s="88" customFormat="1" x14ac:dyDescent="0.2">
      <c r="A38" s="52" t="s">
        <v>407</v>
      </c>
      <c r="B38" s="90" t="s">
        <v>661</v>
      </c>
      <c r="C38" s="52" t="s">
        <v>408</v>
      </c>
      <c r="D38" s="90">
        <f>VLOOKUP(C38,'IP PITS'!$B$6:$V$86,21,0)</f>
        <v>2919.6</v>
      </c>
      <c r="E38" s="108"/>
      <c r="F38" s="88">
        <f>VLOOKUP(C38,'SIND PITS'!$C$3:$D$102,2,0)</f>
        <v>140.40000000000009</v>
      </c>
      <c r="G38" s="88">
        <f>VLOOKUP(C38,'SIND PITS'!$C$3:$E$102,3,0)</f>
        <v>1500</v>
      </c>
      <c r="H38" s="88">
        <f>VLOOKUP(C38,'SIND PITS'!$C$3:$F$102,4,0)</f>
        <v>0</v>
      </c>
      <c r="I38" s="88">
        <f>VLOOKUP(C38,'SIND PITS'!$C$3:$G$102,5,0)</f>
        <v>0</v>
      </c>
      <c r="J38" s="94"/>
      <c r="K38" s="88">
        <f t="shared" si="1"/>
        <v>4560</v>
      </c>
      <c r="L38" s="46">
        <v>6000</v>
      </c>
      <c r="M38" s="46">
        <v>3000</v>
      </c>
      <c r="N38" s="95"/>
      <c r="O38" s="46">
        <f>VLOOKUP(C38,'IP PITS'!$B$6:$I$86,8,0)</f>
        <v>60</v>
      </c>
      <c r="P38" s="88">
        <f t="shared" si="2"/>
        <v>1500</v>
      </c>
      <c r="Q38" s="46">
        <f>VLOOKUP(C38,'IP PITS'!$B$6:$N$86,13,0)</f>
        <v>0</v>
      </c>
      <c r="R38" s="46">
        <f>VLOOKUP(C38,'IP PITS'!$B$6:$Q$86,16,0)</f>
        <v>0</v>
      </c>
      <c r="S38" s="46">
        <f>VLOOKUP(C38,'IP PITS'!$B$6:$R$86,17,0)</f>
        <v>0</v>
      </c>
      <c r="T38" s="95"/>
      <c r="U38" s="88">
        <f t="shared" si="4"/>
        <v>3000</v>
      </c>
      <c r="V38" s="46">
        <f t="shared" si="5"/>
        <v>0</v>
      </c>
      <c r="W38" s="46"/>
      <c r="X38" s="88" t="s">
        <v>726</v>
      </c>
    </row>
    <row r="39" spans="1:24" s="88" customFormat="1" x14ac:dyDescent="0.2">
      <c r="A39" s="52" t="s">
        <v>409</v>
      </c>
      <c r="B39" s="90" t="s">
        <v>661</v>
      </c>
      <c r="C39" s="52" t="s">
        <v>410</v>
      </c>
      <c r="D39" s="90">
        <f>VLOOKUP(C39,'IP PITS'!$B$6:$V$86,21,0)</f>
        <v>3576.8</v>
      </c>
      <c r="E39" s="108"/>
      <c r="F39" s="88">
        <f>VLOOKUP(C39,'SIND PITS'!$C$3:$D$102,2,0)</f>
        <v>423.19999999999982</v>
      </c>
      <c r="G39" s="88">
        <f>VLOOKUP(C39,'SIND PITS'!$C$3:$E$102,3,0)</f>
        <v>326</v>
      </c>
      <c r="H39" s="88">
        <f>VLOOKUP(C39,'SIND PITS'!$C$3:$F$102,4,0)</f>
        <v>0</v>
      </c>
      <c r="I39" s="88">
        <f>VLOOKUP(C39,'SIND PITS'!$C$3:$G$102,5,0)</f>
        <v>0</v>
      </c>
      <c r="J39" s="94"/>
      <c r="K39" s="88">
        <f t="shared" si="1"/>
        <v>4326</v>
      </c>
      <c r="L39" s="46">
        <v>8000</v>
      </c>
      <c r="M39" s="46">
        <v>4000</v>
      </c>
      <c r="N39" s="95"/>
      <c r="O39" s="46">
        <f>VLOOKUP(C39,'IP PITS'!$B$6:$I$86,8,0)</f>
        <v>0</v>
      </c>
      <c r="P39" s="88">
        <f t="shared" si="2"/>
        <v>326</v>
      </c>
      <c r="Q39" s="46">
        <f>VLOOKUP(C39,'IP PITS'!$B$6:$N$86,13,0)</f>
        <v>0</v>
      </c>
      <c r="R39" s="46">
        <f>VLOOKUP(C39,'IP PITS'!$B$6:$Q$86,16,0)</f>
        <v>0</v>
      </c>
      <c r="S39" s="46">
        <f>VLOOKUP(C39,'IP PITS'!$B$6:$R$86,17,0)</f>
        <v>0</v>
      </c>
      <c r="T39" s="95"/>
      <c r="U39" s="88">
        <f t="shared" si="4"/>
        <v>4000</v>
      </c>
      <c r="V39" s="46">
        <f t="shared" si="5"/>
        <v>0</v>
      </c>
      <c r="W39" s="46"/>
      <c r="X39" s="88" t="s">
        <v>727</v>
      </c>
    </row>
    <row r="40" spans="1:24" s="88" customFormat="1" x14ac:dyDescent="0.2">
      <c r="A40" s="51" t="s">
        <v>427</v>
      </c>
      <c r="B40" s="90" t="s">
        <v>661</v>
      </c>
      <c r="C40" s="51" t="s">
        <v>428</v>
      </c>
      <c r="D40" s="90">
        <f>VLOOKUP(C40,'IP PITS'!$B$6:$V$86,21,0)</f>
        <v>3577</v>
      </c>
      <c r="E40" s="108"/>
      <c r="F40" s="88">
        <f>VLOOKUP(C40,'SIND PITS'!$C$3:$D$102,2,0)</f>
        <v>423</v>
      </c>
      <c r="G40" s="88">
        <f>VLOOKUP(C40,'SIND PITS'!$C$3:$E$102,3,0)</f>
        <v>287</v>
      </c>
      <c r="H40" s="88">
        <f>VLOOKUP(C40,'SIND PITS'!$C$3:$F$102,4,0)</f>
        <v>0</v>
      </c>
      <c r="I40" s="88">
        <f>VLOOKUP(C40,'SIND PITS'!$C$3:$G$102,5,0)</f>
        <v>0</v>
      </c>
      <c r="J40" s="94"/>
      <c r="K40" s="88">
        <f t="shared" si="1"/>
        <v>4287</v>
      </c>
      <c r="L40" s="88">
        <v>8000</v>
      </c>
      <c r="M40" s="88">
        <v>4000</v>
      </c>
      <c r="N40" s="95"/>
      <c r="O40" s="46">
        <f>VLOOKUP(C40,'IP PITS'!$B$6:$I$86,8,0)</f>
        <v>0</v>
      </c>
      <c r="P40" s="88">
        <f t="shared" si="2"/>
        <v>287</v>
      </c>
      <c r="Q40" s="46">
        <f>VLOOKUP(C40,'IP PITS'!$B$6:$N$86,13,0)</f>
        <v>0</v>
      </c>
      <c r="R40" s="46">
        <f>VLOOKUP(C40,'IP PITS'!$B$6:$Q$86,16,0)</f>
        <v>0</v>
      </c>
      <c r="S40" s="46">
        <f>VLOOKUP(C40,'IP PITS'!$B$6:$R$86,17,0)</f>
        <v>0</v>
      </c>
      <c r="T40" s="95"/>
      <c r="U40" s="88">
        <f t="shared" si="4"/>
        <v>4000</v>
      </c>
      <c r="V40" s="46">
        <f t="shared" si="5"/>
        <v>0</v>
      </c>
      <c r="W40" s="46"/>
      <c r="X40" s="88" t="s">
        <v>728</v>
      </c>
    </row>
    <row r="41" spans="1:24" s="88" customFormat="1" x14ac:dyDescent="0.2">
      <c r="A41" s="51" t="s">
        <v>437</v>
      </c>
      <c r="B41" s="90" t="s">
        <v>661</v>
      </c>
      <c r="C41" s="51" t="s">
        <v>438</v>
      </c>
      <c r="D41" s="90">
        <f>VLOOKUP(C41,'IP PITS'!$B$6:$V$86,21,0)</f>
        <v>3344.2</v>
      </c>
      <c r="E41" s="108"/>
      <c r="F41" s="88">
        <f>VLOOKUP(C41,'SIND PITS'!$C$3:$D$102,2,0)</f>
        <v>389.14</v>
      </c>
      <c r="G41" s="88">
        <f>VLOOKUP(C41,'SIND PITS'!$C$3:$E$102,3,0)</f>
        <v>140</v>
      </c>
      <c r="H41" s="88">
        <f>VLOOKUP(C41,'SIND PITS'!$C$3:$F$102,4,0)</f>
        <v>0</v>
      </c>
      <c r="I41" s="88">
        <f>VLOOKUP(C41,'SIND PITS'!$C$3:$G$102,5,0)</f>
        <v>0</v>
      </c>
      <c r="J41" s="94"/>
      <c r="K41" s="88">
        <f t="shared" si="1"/>
        <v>3873.3399999999997</v>
      </c>
      <c r="L41" s="88">
        <v>8000</v>
      </c>
      <c r="M41" s="88">
        <v>4000</v>
      </c>
      <c r="N41" s="95"/>
      <c r="O41" s="46">
        <f>VLOOKUP(C41,'IP PITS'!$B$6:$I$86,8,0)</f>
        <v>0</v>
      </c>
      <c r="P41" s="88">
        <f t="shared" si="2"/>
        <v>140</v>
      </c>
      <c r="Q41" s="46">
        <f>VLOOKUP(C41,'IP PITS'!$B$6:$N$86,13,0)</f>
        <v>0</v>
      </c>
      <c r="R41" s="46">
        <f>VLOOKUP(C41,'IP PITS'!$B$6:$Q$86,16,0)</f>
        <v>0</v>
      </c>
      <c r="S41" s="46">
        <f>VLOOKUP(C41,'IP PITS'!$B$6:$R$86,17,0)</f>
        <v>0</v>
      </c>
      <c r="T41" s="95"/>
      <c r="U41" s="88">
        <f t="shared" si="4"/>
        <v>3733.3399999999997</v>
      </c>
      <c r="V41" s="110">
        <f t="shared" si="5"/>
        <v>266.66000000000031</v>
      </c>
      <c r="W41" s="145" t="s">
        <v>685</v>
      </c>
      <c r="X41" s="88" t="s">
        <v>729</v>
      </c>
    </row>
    <row r="42" spans="1:24" s="46" customFormat="1" x14ac:dyDescent="0.2">
      <c r="A42" s="51" t="s">
        <v>439</v>
      </c>
      <c r="B42" s="90" t="s">
        <v>661</v>
      </c>
      <c r="C42" s="51" t="s">
        <v>440</v>
      </c>
      <c r="D42" s="90">
        <f>VLOOKUP(C42,'IP PITS'!$B$6:$V$86,21,0)</f>
        <v>4397.6000000000004</v>
      </c>
      <c r="E42" s="108"/>
      <c r="F42" s="88">
        <f>VLOOKUP(C42,'SIND PITS'!$C$3:$D$102,2,0)</f>
        <v>602.39999999999952</v>
      </c>
      <c r="G42" s="88">
        <f>VLOOKUP(C42,'SIND PITS'!$C$3:$E$102,3,0)</f>
        <v>121.5</v>
      </c>
      <c r="H42" s="88">
        <f>VLOOKUP(C42,'SIND PITS'!$C$3:$F$102,4,0)</f>
        <v>0</v>
      </c>
      <c r="I42" s="88">
        <f>VLOOKUP(C42,'SIND PITS'!$C$3:$G$102,5,0)</f>
        <v>0</v>
      </c>
      <c r="J42" s="94"/>
      <c r="K42" s="88">
        <f t="shared" si="1"/>
        <v>5121.5</v>
      </c>
      <c r="L42" s="88">
        <v>10000</v>
      </c>
      <c r="M42" s="88">
        <v>5000</v>
      </c>
      <c r="N42" s="95"/>
      <c r="O42" s="46">
        <f>VLOOKUP(C42,'IP PITS'!$B$6:$I$86,8,0)</f>
        <v>0</v>
      </c>
      <c r="P42" s="88">
        <f t="shared" si="2"/>
        <v>121.5</v>
      </c>
      <c r="Q42" s="46">
        <f>VLOOKUP(C42,'IP PITS'!$B$6:$N$86,13,0)</f>
        <v>0</v>
      </c>
      <c r="R42" s="46">
        <f>VLOOKUP(C42,'IP PITS'!$B$6:$Q$86,16,0)</f>
        <v>0</v>
      </c>
      <c r="S42" s="46">
        <f>VLOOKUP(C42,'IP PITS'!$B$6:$R$86,17,0)</f>
        <v>0</v>
      </c>
      <c r="T42" s="95"/>
      <c r="U42" s="88">
        <f t="shared" si="4"/>
        <v>5000</v>
      </c>
      <c r="V42" s="46">
        <f t="shared" si="5"/>
        <v>0</v>
      </c>
      <c r="X42" s="88" t="s">
        <v>730</v>
      </c>
    </row>
    <row r="43" spans="1:24" s="88" customFormat="1" x14ac:dyDescent="0.2">
      <c r="A43" s="51" t="s">
        <v>441</v>
      </c>
      <c r="B43" s="90" t="s">
        <v>661</v>
      </c>
      <c r="C43" s="51" t="s">
        <v>442</v>
      </c>
      <c r="D43" s="90">
        <f>VLOOKUP(C43,'IP PITS'!$B$6:$V$86,21,0)</f>
        <v>3231.6</v>
      </c>
      <c r="E43" s="108"/>
      <c r="F43" s="88">
        <f>VLOOKUP(C43,'SIND PITS'!$C$3:$D$102,2,0)</f>
        <v>423.15000000000009</v>
      </c>
      <c r="G43" s="88">
        <f>VLOOKUP(C43,'SIND PITS'!$C$3:$E$102,3,0)</f>
        <v>183.5</v>
      </c>
      <c r="H43" s="88">
        <f>VLOOKUP(C43,'SIND PITS'!$C$3:$F$102,4,0)</f>
        <v>0</v>
      </c>
      <c r="I43" s="88">
        <f>VLOOKUP(C43,'SIND PITS'!$C$3:$G$102,5,0)</f>
        <v>0</v>
      </c>
      <c r="J43" s="94"/>
      <c r="K43" s="88">
        <f t="shared" si="1"/>
        <v>3838.25</v>
      </c>
      <c r="L43" s="88">
        <v>8000</v>
      </c>
      <c r="M43" s="88">
        <v>4000</v>
      </c>
      <c r="N43" s="95"/>
      <c r="O43" s="46">
        <f>VLOOKUP(C43,'IP PITS'!$B$6:$I$86,8,0)</f>
        <v>0</v>
      </c>
      <c r="P43" s="88">
        <f t="shared" si="2"/>
        <v>183.5</v>
      </c>
      <c r="Q43" s="46">
        <f>VLOOKUP(C43,'IP PITS'!$B$6:$N$86,13,0)</f>
        <v>0</v>
      </c>
      <c r="R43" s="46">
        <f>VLOOKUP(C43,'IP PITS'!$B$6:$Q$86,16,0)</f>
        <v>0</v>
      </c>
      <c r="S43" s="46">
        <f>VLOOKUP(C43,'IP PITS'!$B$6:$R$86,17,0)</f>
        <v>345.25</v>
      </c>
      <c r="T43" s="95"/>
      <c r="U43" s="88">
        <f t="shared" si="4"/>
        <v>4000</v>
      </c>
      <c r="V43" s="46">
        <f t="shared" si="5"/>
        <v>0</v>
      </c>
      <c r="W43" s="46"/>
      <c r="X43" s="88" t="s">
        <v>731</v>
      </c>
    </row>
    <row r="44" spans="1:24" s="88" customFormat="1" x14ac:dyDescent="0.2">
      <c r="A44" s="51" t="s">
        <v>443</v>
      </c>
      <c r="B44" s="90" t="s">
        <v>661</v>
      </c>
      <c r="C44" s="51" t="s">
        <v>444</v>
      </c>
      <c r="D44" s="90">
        <f>VLOOKUP(C44,'IP PITS'!$B$6:$V$86,21,0)</f>
        <v>1825.8</v>
      </c>
      <c r="E44" s="108"/>
      <c r="F44" s="88">
        <f>VLOOKUP(C44,'SIND PITS'!$C$3:$D$102,2,0)</f>
        <v>558.50500000000011</v>
      </c>
      <c r="G44" s="88">
        <f>VLOOKUP(C44,'SIND PITS'!$C$3:$E$102,3,0)</f>
        <v>858.5</v>
      </c>
      <c r="H44" s="88">
        <f>VLOOKUP(C44,'SIND PITS'!$C$3:$F$102,4,0)</f>
        <v>0</v>
      </c>
      <c r="I44" s="88">
        <f>VLOOKUP(C44,'SIND PITS'!$C$3:$G$102,5,0)</f>
        <v>0</v>
      </c>
      <c r="J44" s="94"/>
      <c r="K44" s="88">
        <f t="shared" si="1"/>
        <v>3242.8050000000003</v>
      </c>
      <c r="L44" s="88">
        <v>9550.01</v>
      </c>
      <c r="M44" s="88">
        <v>4775.0050000000001</v>
      </c>
      <c r="N44" s="95"/>
      <c r="O44" s="46">
        <f>VLOOKUP(C44,'IP PITS'!$B$6:$I$86,8,0)</f>
        <v>0</v>
      </c>
      <c r="P44" s="88">
        <f t="shared" si="2"/>
        <v>858.5</v>
      </c>
      <c r="Q44" s="46">
        <f>VLOOKUP(C44,'IP PITS'!$B$6:$N$86,13,0)</f>
        <v>1528.5</v>
      </c>
      <c r="R44" s="46">
        <f>VLOOKUP(C44,'IP PITS'!$B$6:$Q$86,16,0)</f>
        <v>0</v>
      </c>
      <c r="S44" s="46">
        <f>VLOOKUP(C44,'IP PITS'!$B$6:$R$86,17,0)</f>
        <v>862.2</v>
      </c>
      <c r="T44" s="95"/>
      <c r="U44" s="88">
        <f t="shared" si="4"/>
        <v>4775.0050000000001</v>
      </c>
      <c r="V44" s="46">
        <f t="shared" si="5"/>
        <v>0</v>
      </c>
      <c r="W44" s="46"/>
      <c r="X44" s="88" t="s">
        <v>732</v>
      </c>
    </row>
    <row r="45" spans="1:24" s="88" customFormat="1" x14ac:dyDescent="0.2">
      <c r="A45" s="51" t="s">
        <v>445</v>
      </c>
      <c r="B45" s="90" t="s">
        <v>661</v>
      </c>
      <c r="C45" s="51" t="s">
        <v>446</v>
      </c>
      <c r="D45" s="90">
        <f>VLOOKUP(C45,'IP PITS'!$B$6:$V$86,21,0)</f>
        <v>1076.5999999999999</v>
      </c>
      <c r="E45" s="108"/>
      <c r="F45" s="88">
        <f>VLOOKUP(C45,'SIND PITS'!$C$3:$D$102,2,0)</f>
        <v>1827.5149999999999</v>
      </c>
      <c r="G45" s="88">
        <f>VLOOKUP(C45,'SIND PITS'!$C$3:$E$102,3,0)</f>
        <v>150</v>
      </c>
      <c r="H45" s="88">
        <f>VLOOKUP(C45,'SIND PITS'!$C$3:$F$102,4,0)</f>
        <v>0</v>
      </c>
      <c r="I45" s="88">
        <f>VLOOKUP(C45,'SIND PITS'!$C$3:$G$102,5,0)</f>
        <v>0</v>
      </c>
      <c r="J45" s="94"/>
      <c r="K45" s="88">
        <f t="shared" si="1"/>
        <v>3054.1149999999998</v>
      </c>
      <c r="L45" s="88">
        <v>7505.99</v>
      </c>
      <c r="M45" s="88">
        <v>3752.9949999999999</v>
      </c>
      <c r="N45" s="95"/>
      <c r="O45" s="46">
        <f>VLOOKUP(C45,'IP PITS'!$B$6:$I$86,8,0)</f>
        <v>0</v>
      </c>
      <c r="P45" s="88">
        <f t="shared" si="2"/>
        <v>150</v>
      </c>
      <c r="Q45" s="46">
        <f>VLOOKUP(C45,'IP PITS'!$B$6:$N$86,13,0)</f>
        <v>0</v>
      </c>
      <c r="R45" s="46">
        <f>VLOOKUP(C45,'IP PITS'!$B$6:$Q$86,16,0)</f>
        <v>0</v>
      </c>
      <c r="S45" s="46">
        <f>VLOOKUP(C45,'IP PITS'!$B$6:$R$86,17,0)</f>
        <v>848.88</v>
      </c>
      <c r="T45" s="95"/>
      <c r="U45" s="88">
        <f t="shared" si="4"/>
        <v>3752.9949999999999</v>
      </c>
      <c r="V45" s="46">
        <f t="shared" si="5"/>
        <v>0</v>
      </c>
      <c r="W45" s="46"/>
      <c r="X45" s="88" t="s">
        <v>733</v>
      </c>
    </row>
    <row r="46" spans="1:24" s="88" customFormat="1" x14ac:dyDescent="0.2">
      <c r="A46" s="51" t="s">
        <v>447</v>
      </c>
      <c r="B46" s="90" t="s">
        <v>661</v>
      </c>
      <c r="C46" s="51" t="s">
        <v>448</v>
      </c>
      <c r="D46" s="90">
        <f>VLOOKUP(C46,'IP PITS'!$B$6:$V$86,21,0)</f>
        <v>3791.8</v>
      </c>
      <c r="E46" s="108"/>
      <c r="F46" s="88">
        <f>VLOOKUP(C46,'SIND PITS'!$C$3:$D$102,2,0)</f>
        <v>458.20500000000038</v>
      </c>
      <c r="G46" s="88">
        <f>VLOOKUP(C46,'SIND PITS'!$C$3:$E$102,3,0)</f>
        <v>1200</v>
      </c>
      <c r="H46" s="88">
        <f>VLOOKUP(C46,'SIND PITS'!$C$3:$F$102,4,0)</f>
        <v>0</v>
      </c>
      <c r="I46" s="88">
        <f>VLOOKUP(C46,'SIND PITS'!$C$3:$G$102,5,0)</f>
        <v>0</v>
      </c>
      <c r="J46" s="94"/>
      <c r="K46" s="88">
        <f t="shared" si="1"/>
        <v>5450.005000000001</v>
      </c>
      <c r="L46" s="88">
        <v>8500.01</v>
      </c>
      <c r="M46" s="88">
        <v>4250.0050000000001</v>
      </c>
      <c r="N46" s="95"/>
      <c r="O46" s="46">
        <f>VLOOKUP(C46,'IP PITS'!$B$6:$I$86,8,0)</f>
        <v>0</v>
      </c>
      <c r="P46" s="88">
        <f t="shared" si="2"/>
        <v>1200</v>
      </c>
      <c r="Q46" s="46">
        <f>VLOOKUP(C46,'IP PITS'!$B$6:$N$86,13,0)</f>
        <v>0</v>
      </c>
      <c r="R46" s="46">
        <f>VLOOKUP(C46,'IP PITS'!$B$6:$Q$86,16,0)</f>
        <v>0</v>
      </c>
      <c r="S46" s="46">
        <f>VLOOKUP(C46,'IP PITS'!$B$6:$R$86,17,0)</f>
        <v>0</v>
      </c>
      <c r="T46" s="95"/>
      <c r="U46" s="88">
        <f t="shared" si="4"/>
        <v>4250.005000000001</v>
      </c>
      <c r="V46" s="46">
        <f t="shared" si="5"/>
        <v>0</v>
      </c>
      <c r="W46" s="46"/>
      <c r="X46" s="88" t="s">
        <v>734</v>
      </c>
    </row>
    <row r="47" spans="1:24" s="46" customFormat="1" x14ac:dyDescent="0.2">
      <c r="A47" s="51" t="s">
        <v>520</v>
      </c>
      <c r="B47" s="90" t="s">
        <v>661</v>
      </c>
      <c r="C47" s="51" t="s">
        <v>521</v>
      </c>
      <c r="D47" s="90">
        <f>VLOOKUP(C47,'IP PITS'!$B$6:$V$86,21,0)</f>
        <v>3425.8</v>
      </c>
      <c r="E47" s="108"/>
      <c r="F47" s="88">
        <f>VLOOKUP(C47,'SIND PITS'!$C$3:$D$102,2,0)</f>
        <v>387.54</v>
      </c>
      <c r="G47" s="88">
        <f>VLOOKUP(C47,'SIND PITS'!$C$3:$E$102,3,0)</f>
        <v>224.25</v>
      </c>
      <c r="H47" s="88">
        <f>VLOOKUP(C47,'SIND PITS'!$C$3:$F$102,4,0)</f>
        <v>0</v>
      </c>
      <c r="I47" s="88">
        <f>VLOOKUP(C47,'SIND PITS'!$C$3:$G$102,5,0)</f>
        <v>0</v>
      </c>
      <c r="J47" s="94"/>
      <c r="K47" s="88">
        <f t="shared" si="1"/>
        <v>4037.59</v>
      </c>
      <c r="L47" s="88">
        <v>8000</v>
      </c>
      <c r="M47" s="88">
        <v>4000</v>
      </c>
      <c r="N47" s="95"/>
      <c r="O47" s="46">
        <f>VLOOKUP(C47,'IP PITS'!$B$6:$I$86,8,0)</f>
        <v>80</v>
      </c>
      <c r="P47" s="88">
        <f t="shared" si="2"/>
        <v>224.25</v>
      </c>
      <c r="Q47" s="46">
        <f>VLOOKUP(C47,'IP PITS'!$B$6:$N$86,13,0)</f>
        <v>0</v>
      </c>
      <c r="R47" s="46">
        <f>VLOOKUP(C47,'IP PITS'!$B$6:$Q$86,16,0)</f>
        <v>0</v>
      </c>
      <c r="S47" s="46">
        <f>VLOOKUP(C47,'IP PITS'!$B$6:$R$86,17,0)</f>
        <v>0</v>
      </c>
      <c r="T47" s="95"/>
      <c r="U47" s="88">
        <f t="shared" si="4"/>
        <v>3733.34</v>
      </c>
      <c r="V47" s="110">
        <f t="shared" si="5"/>
        <v>266.65999999999985</v>
      </c>
      <c r="W47" s="145" t="s">
        <v>685</v>
      </c>
      <c r="X47" s="88" t="s">
        <v>735</v>
      </c>
    </row>
    <row r="48" spans="1:24" s="88" customFormat="1" x14ac:dyDescent="0.2">
      <c r="A48" s="51" t="s">
        <v>451</v>
      </c>
      <c r="B48" s="90" t="s">
        <v>661</v>
      </c>
      <c r="C48" s="51" t="s">
        <v>452</v>
      </c>
      <c r="D48" s="90">
        <f>VLOOKUP(C48,'IP PITS'!$B$6:$V$86,21,0)</f>
        <v>2876.6</v>
      </c>
      <c r="E48" s="108"/>
      <c r="F48" s="88">
        <f>VLOOKUP(C48,'SIND PITS'!$C$3:$D$102,2,0)</f>
        <v>1050.9050000000002</v>
      </c>
      <c r="G48" s="88">
        <f>VLOOKUP(C48,'SIND PITS'!$C$3:$E$102,3,0)</f>
        <v>306</v>
      </c>
      <c r="H48" s="88">
        <f>VLOOKUP(C48,'SIND PITS'!$C$3:$F$102,4,0)</f>
        <v>0</v>
      </c>
      <c r="I48" s="88">
        <f>VLOOKUP(C48,'SIND PITS'!$C$3:$G$102,5,0)</f>
        <v>0</v>
      </c>
      <c r="J48" s="94"/>
      <c r="K48" s="88">
        <f t="shared" si="1"/>
        <v>4233.5050000000001</v>
      </c>
      <c r="L48" s="88">
        <v>8500.01</v>
      </c>
      <c r="M48" s="88">
        <v>4250.0050000000001</v>
      </c>
      <c r="N48" s="95"/>
      <c r="O48" s="46">
        <f>VLOOKUP(C48,'IP PITS'!$B$6:$I$86,8,0)</f>
        <v>0</v>
      </c>
      <c r="P48" s="88">
        <f t="shared" si="2"/>
        <v>306</v>
      </c>
      <c r="Q48" s="46">
        <f>VLOOKUP(C48,'IP PITS'!$B$6:$N$86,13,0)</f>
        <v>0</v>
      </c>
      <c r="R48" s="46">
        <f>VLOOKUP(C48,'IP PITS'!$B$6:$Q$86,16,0)</f>
        <v>0</v>
      </c>
      <c r="S48" s="46">
        <f>VLOOKUP(C48,'IP PITS'!$B$6:$R$86,17,0)</f>
        <v>322.5</v>
      </c>
      <c r="T48" s="95"/>
      <c r="U48" s="88">
        <f t="shared" si="4"/>
        <v>4250.0050000000001</v>
      </c>
      <c r="V48" s="46">
        <f t="shared" si="5"/>
        <v>0</v>
      </c>
      <c r="W48" s="46"/>
      <c r="X48" s="88" t="s">
        <v>736</v>
      </c>
    </row>
    <row r="49" spans="1:24" s="88" customFormat="1" x14ac:dyDescent="0.2">
      <c r="A49" s="51" t="s">
        <v>455</v>
      </c>
      <c r="B49" s="90" t="s">
        <v>661</v>
      </c>
      <c r="C49" s="51" t="s">
        <v>456</v>
      </c>
      <c r="D49" s="90">
        <f>VLOOKUP(C49,'IP PITS'!$B$6:$V$86,21,0)</f>
        <v>3576.8</v>
      </c>
      <c r="E49" s="108"/>
      <c r="F49" s="88">
        <f>VLOOKUP(C49,'SIND PITS'!$C$3:$D$102,2,0)</f>
        <v>423.19999999999982</v>
      </c>
      <c r="G49" s="88">
        <f>VLOOKUP(C49,'SIND PITS'!$C$3:$E$102,3,0)</f>
        <v>262.5</v>
      </c>
      <c r="H49" s="88">
        <f>VLOOKUP(C49,'SIND PITS'!$C$3:$F$102,4,0)</f>
        <v>0</v>
      </c>
      <c r="I49" s="88">
        <f>VLOOKUP(C49,'SIND PITS'!$C$3:$G$102,5,0)</f>
        <v>0</v>
      </c>
      <c r="J49" s="94"/>
      <c r="K49" s="88">
        <f t="shared" si="1"/>
        <v>4262.5</v>
      </c>
      <c r="L49" s="88">
        <v>8000</v>
      </c>
      <c r="M49" s="88">
        <v>4000</v>
      </c>
      <c r="N49" s="95"/>
      <c r="O49" s="46">
        <f>VLOOKUP(C49,'IP PITS'!$B$6:$I$86,8,0)</f>
        <v>0</v>
      </c>
      <c r="P49" s="88">
        <f t="shared" si="2"/>
        <v>262.5</v>
      </c>
      <c r="Q49" s="46">
        <f>VLOOKUP(C49,'IP PITS'!$B$6:$N$86,13,0)</f>
        <v>0</v>
      </c>
      <c r="R49" s="46">
        <f>VLOOKUP(C49,'IP PITS'!$B$6:$Q$86,16,0)</f>
        <v>0</v>
      </c>
      <c r="S49" s="46">
        <f>VLOOKUP(C49,'IP PITS'!$B$6:$R$86,17,0)</f>
        <v>0</v>
      </c>
      <c r="T49" s="95"/>
      <c r="U49" s="88">
        <f t="shared" si="4"/>
        <v>4000</v>
      </c>
      <c r="V49" s="46">
        <f t="shared" si="5"/>
        <v>0</v>
      </c>
      <c r="W49" s="46"/>
      <c r="X49" s="88" t="s">
        <v>737</v>
      </c>
    </row>
    <row r="50" spans="1:24" s="88" customFormat="1" x14ac:dyDescent="0.2">
      <c r="A50" s="51" t="s">
        <v>459</v>
      </c>
      <c r="B50" s="90" t="s">
        <v>661</v>
      </c>
      <c r="C50" s="51" t="s">
        <v>460</v>
      </c>
      <c r="D50" s="90">
        <f>VLOOKUP(C50,'IP PITS'!$B$6:$V$86,21,0)</f>
        <v>1328.4</v>
      </c>
      <c r="E50" s="108"/>
      <c r="F50" s="88">
        <f>VLOOKUP(C50,'SIND PITS'!$C$3:$D$102,2,0)</f>
        <v>423.25</v>
      </c>
      <c r="G50" s="88">
        <f>VLOOKUP(C50,'SIND PITS'!$C$3:$E$102,3,0)</f>
        <v>471</v>
      </c>
      <c r="H50" s="88">
        <f>VLOOKUP(C50,'SIND PITS'!$C$3:$F$102,4,0)</f>
        <v>0</v>
      </c>
      <c r="I50" s="88">
        <f>VLOOKUP(C50,'SIND PITS'!$C$3:$G$102,5,0)</f>
        <v>0</v>
      </c>
      <c r="J50" s="94"/>
      <c r="K50" s="88">
        <f t="shared" si="1"/>
        <v>2222.65</v>
      </c>
      <c r="L50" s="88">
        <v>8000</v>
      </c>
      <c r="M50" s="88">
        <v>4000</v>
      </c>
      <c r="N50" s="95"/>
      <c r="O50" s="46">
        <f>VLOOKUP(C50,'IP PITS'!$B$6:$I$86,8,0)</f>
        <v>0</v>
      </c>
      <c r="P50" s="88">
        <f t="shared" si="2"/>
        <v>471</v>
      </c>
      <c r="Q50" s="46">
        <f>VLOOKUP(C50,'IP PITS'!$B$6:$N$86,13,0)</f>
        <v>1848.35</v>
      </c>
      <c r="R50" s="46">
        <f>VLOOKUP(C50,'IP PITS'!$B$6:$Q$86,16,0)</f>
        <v>0</v>
      </c>
      <c r="S50" s="46">
        <f>VLOOKUP(C50,'IP PITS'!$B$6:$R$86,17,0)</f>
        <v>400</v>
      </c>
      <c r="T50" s="95"/>
      <c r="U50" s="88">
        <f t="shared" si="4"/>
        <v>4000</v>
      </c>
      <c r="V50" s="46">
        <f t="shared" si="5"/>
        <v>0</v>
      </c>
      <c r="W50" s="46"/>
      <c r="X50" s="88" t="s">
        <v>738</v>
      </c>
    </row>
    <row r="51" spans="1:24" s="46" customFormat="1" x14ac:dyDescent="0.2">
      <c r="A51" s="51" t="s">
        <v>464</v>
      </c>
      <c r="B51" s="90" t="s">
        <v>661</v>
      </c>
      <c r="C51" s="51" t="s">
        <v>465</v>
      </c>
      <c r="D51" s="90">
        <f>VLOOKUP(C51,'IP PITS'!$B$6:$V$86,21,0)</f>
        <v>5939.6</v>
      </c>
      <c r="E51" s="108"/>
      <c r="F51" s="88">
        <f>VLOOKUP(C51,'SIND PITS'!$C$3:$D$102,2,0)</f>
        <v>1060.3999999999992</v>
      </c>
      <c r="G51" s="88">
        <f>VLOOKUP(C51,'SIND PITS'!$C$3:$E$102,3,0)</f>
        <v>303.5</v>
      </c>
      <c r="H51" s="88">
        <f>VLOOKUP(C51,'SIND PITS'!$C$3:$F$102,4,0)</f>
        <v>0</v>
      </c>
      <c r="I51" s="88">
        <f>VLOOKUP(C51,'SIND PITS'!$C$3:$G$102,5,0)</f>
        <v>0</v>
      </c>
      <c r="J51" s="94"/>
      <c r="K51" s="88">
        <f t="shared" si="1"/>
        <v>7303.5</v>
      </c>
      <c r="L51" s="88">
        <v>14000</v>
      </c>
      <c r="M51" s="88">
        <v>7000</v>
      </c>
      <c r="N51" s="95"/>
      <c r="O51" s="46">
        <f>VLOOKUP(C51,'IP PITS'!$B$6:$I$86,8,0)</f>
        <v>0</v>
      </c>
      <c r="P51" s="88">
        <f t="shared" si="2"/>
        <v>303.5</v>
      </c>
      <c r="Q51" s="46">
        <f>VLOOKUP(C51,'IP PITS'!$B$6:$N$86,13,0)</f>
        <v>0</v>
      </c>
      <c r="R51" s="46">
        <f>VLOOKUP(C51,'IP PITS'!$B$6:$Q$86,16,0)</f>
        <v>0</v>
      </c>
      <c r="S51" s="46">
        <f>VLOOKUP(C51,'IP PITS'!$B$6:$R$86,17,0)</f>
        <v>0</v>
      </c>
      <c r="T51" s="95"/>
      <c r="U51" s="88">
        <f t="shared" si="4"/>
        <v>7000</v>
      </c>
      <c r="V51" s="46">
        <f t="shared" si="5"/>
        <v>0</v>
      </c>
      <c r="X51" s="88" t="s">
        <v>739</v>
      </c>
    </row>
    <row r="52" spans="1:24" s="88" customFormat="1" x14ac:dyDescent="0.2">
      <c r="A52" s="51" t="s">
        <v>466</v>
      </c>
      <c r="B52" s="90" t="s">
        <v>661</v>
      </c>
      <c r="C52" s="51" t="s">
        <v>467</v>
      </c>
      <c r="D52" s="90">
        <f>VLOOKUP(C52,'IP PITS'!$B$6:$V$86,21,0)</f>
        <v>2888.4</v>
      </c>
      <c r="E52" s="108"/>
      <c r="F52" s="88">
        <f>VLOOKUP(C52,'SIND PITS'!$C$3:$D$102,2,0)</f>
        <v>423.29999999999973</v>
      </c>
      <c r="G52" s="88">
        <f>VLOOKUP(C52,'SIND PITS'!$C$3:$E$102,3,0)</f>
        <v>463</v>
      </c>
      <c r="H52" s="88">
        <f>VLOOKUP(C52,'SIND PITS'!$C$3:$F$102,4,0)</f>
        <v>0</v>
      </c>
      <c r="I52" s="88">
        <f>VLOOKUP(C52,'SIND PITS'!$C$3:$G$102,5,0)</f>
        <v>0</v>
      </c>
      <c r="J52" s="94"/>
      <c r="K52" s="88">
        <f t="shared" si="1"/>
        <v>3774.7</v>
      </c>
      <c r="L52" s="88">
        <v>8000</v>
      </c>
      <c r="M52" s="88">
        <v>4000</v>
      </c>
      <c r="N52" s="95"/>
      <c r="O52" s="46">
        <f>VLOOKUP(C52,'IP PITS'!$B$6:$I$86,8,0)</f>
        <v>0</v>
      </c>
      <c r="P52" s="88">
        <f t="shared" si="2"/>
        <v>463</v>
      </c>
      <c r="Q52" s="46">
        <f>VLOOKUP(C52,'IP PITS'!$B$6:$N$86,13,0)</f>
        <v>0</v>
      </c>
      <c r="R52" s="46">
        <f>VLOOKUP(C52,'IP PITS'!$B$6:$Q$86,16,0)</f>
        <v>0</v>
      </c>
      <c r="S52" s="46">
        <f>VLOOKUP(C52,'IP PITS'!$B$6:$R$86,17,0)</f>
        <v>688.3</v>
      </c>
      <c r="T52" s="95"/>
      <c r="U52" s="88">
        <f t="shared" si="4"/>
        <v>4000</v>
      </c>
      <c r="V52" s="46">
        <f t="shared" si="5"/>
        <v>0</v>
      </c>
      <c r="W52" s="46"/>
      <c r="X52" s="88" t="s">
        <v>740</v>
      </c>
    </row>
    <row r="53" spans="1:24" s="88" customFormat="1" x14ac:dyDescent="0.2">
      <c r="A53" s="51" t="s">
        <v>469</v>
      </c>
      <c r="B53" s="90" t="s">
        <v>661</v>
      </c>
      <c r="C53" s="51" t="s">
        <v>470</v>
      </c>
      <c r="D53" s="90">
        <f>VLOOKUP(C53,'IP PITS'!$B$6:$V$86,21,0)</f>
        <v>3577</v>
      </c>
      <c r="E53" s="108"/>
      <c r="F53" s="88">
        <f>VLOOKUP(C53,'SIND PITS'!$C$3:$D$102,2,0)</f>
        <v>422.99999999999977</v>
      </c>
      <c r="G53" s="88">
        <f>VLOOKUP(C53,'SIND PITS'!$C$3:$E$102,3,0)</f>
        <v>546</v>
      </c>
      <c r="H53" s="88">
        <f>VLOOKUP(C53,'SIND PITS'!$C$3:$F$102,4,0)</f>
        <v>0</v>
      </c>
      <c r="I53" s="88">
        <f>VLOOKUP(C53,'SIND PITS'!$C$3:$G$102,5,0)</f>
        <v>0</v>
      </c>
      <c r="J53" s="94"/>
      <c r="K53" s="88">
        <f t="shared" si="1"/>
        <v>4546</v>
      </c>
      <c r="L53" s="88">
        <v>8000</v>
      </c>
      <c r="M53" s="88">
        <v>4000</v>
      </c>
      <c r="N53" s="95"/>
      <c r="O53" s="46">
        <f>VLOOKUP(C53,'IP PITS'!$B$6:$I$86,8,0)</f>
        <v>0</v>
      </c>
      <c r="P53" s="88">
        <f t="shared" si="2"/>
        <v>546</v>
      </c>
      <c r="Q53" s="46">
        <f>VLOOKUP(C53,'IP PITS'!$B$6:$N$86,13,0)</f>
        <v>0</v>
      </c>
      <c r="R53" s="46">
        <f>VLOOKUP(C53,'IP PITS'!$B$6:$Q$86,16,0)</f>
        <v>0</v>
      </c>
      <c r="S53" s="46">
        <f>VLOOKUP(C53,'IP PITS'!$B$6:$R$86,17,0)</f>
        <v>0</v>
      </c>
      <c r="T53" s="95"/>
      <c r="U53" s="88">
        <f t="shared" si="4"/>
        <v>4000</v>
      </c>
      <c r="V53" s="46">
        <f t="shared" si="5"/>
        <v>0</v>
      </c>
      <c r="W53" s="46"/>
      <c r="X53" s="88" t="s">
        <v>741</v>
      </c>
    </row>
    <row r="54" spans="1:24" s="88" customFormat="1" x14ac:dyDescent="0.2">
      <c r="A54" s="51" t="s">
        <v>471</v>
      </c>
      <c r="B54" s="90" t="s">
        <v>661</v>
      </c>
      <c r="C54" s="51" t="s">
        <v>687</v>
      </c>
      <c r="D54" s="90">
        <f>VLOOKUP(C54,'IP PITS'!$B$6:$V$86,21,0)</f>
        <v>2859.6</v>
      </c>
      <c r="E54" s="108"/>
      <c r="F54" s="88">
        <f>VLOOKUP(C54,'SIND PITS'!$C$3:$D$102,2,0)</f>
        <v>140.40000000000029</v>
      </c>
      <c r="G54" s="88">
        <f>VLOOKUP(C54,'SIND PITS'!$C$3:$E$102,3,0)</f>
        <v>292.5</v>
      </c>
      <c r="H54" s="88">
        <f>VLOOKUP(C54,'SIND PITS'!$C$3:$F$102,4,0)</f>
        <v>0</v>
      </c>
      <c r="I54" s="88">
        <f>VLOOKUP(C54,'SIND PITS'!$C$3:$G$102,5,0)</f>
        <v>0</v>
      </c>
      <c r="J54" s="94"/>
      <c r="K54" s="88">
        <f t="shared" si="1"/>
        <v>3292.5</v>
      </c>
      <c r="L54" s="88">
        <v>6000</v>
      </c>
      <c r="M54" s="88">
        <v>3000</v>
      </c>
      <c r="N54" s="95"/>
      <c r="O54" s="46">
        <f>VLOOKUP(C54,'IP PITS'!$B$6:$I$86,8,0)</f>
        <v>0</v>
      </c>
      <c r="P54" s="88">
        <f t="shared" si="2"/>
        <v>292.5</v>
      </c>
      <c r="Q54" s="46">
        <f>VLOOKUP(C54,'IP PITS'!$B$6:$N$86,13,0)</f>
        <v>0</v>
      </c>
      <c r="R54" s="46">
        <f>VLOOKUP(C54,'IP PITS'!$B$6:$Q$86,16,0)</f>
        <v>0</v>
      </c>
      <c r="S54" s="46">
        <f>VLOOKUP(C54,'IP PITS'!$B$6:$R$86,17,0)</f>
        <v>0</v>
      </c>
      <c r="T54" s="95"/>
      <c r="U54" s="88">
        <f t="shared" si="4"/>
        <v>3000</v>
      </c>
      <c r="V54" s="46">
        <f t="shared" si="5"/>
        <v>0</v>
      </c>
      <c r="W54" s="46"/>
      <c r="X54" s="88" t="s">
        <v>742</v>
      </c>
    </row>
    <row r="55" spans="1:24" s="88" customFormat="1" x14ac:dyDescent="0.2">
      <c r="A55" s="51" t="s">
        <v>473</v>
      </c>
      <c r="B55" s="90" t="s">
        <v>661</v>
      </c>
      <c r="C55" s="51" t="s">
        <v>688</v>
      </c>
      <c r="D55" s="90">
        <f>VLOOKUP(C55,'IP PITS'!$B$6:$V$86,21,0)</f>
        <v>3576.8</v>
      </c>
      <c r="E55" s="108"/>
      <c r="F55" s="88">
        <f>VLOOKUP(C55,'SIND PITS'!$C$3:$D$102,2,0)</f>
        <v>423.19999999999982</v>
      </c>
      <c r="G55" s="88">
        <f>VLOOKUP(C55,'SIND PITS'!$C$3:$E$102,3,0)</f>
        <v>1250</v>
      </c>
      <c r="H55" s="88">
        <f>VLOOKUP(C55,'SIND PITS'!$C$3:$F$102,4,0)</f>
        <v>0</v>
      </c>
      <c r="I55" s="88">
        <f>VLOOKUP(C55,'SIND PITS'!$C$3:$G$102,5,0)</f>
        <v>0</v>
      </c>
      <c r="J55" s="94"/>
      <c r="K55" s="88">
        <f t="shared" si="1"/>
        <v>5250</v>
      </c>
      <c r="L55" s="88">
        <v>8000</v>
      </c>
      <c r="M55" s="88">
        <v>4000</v>
      </c>
      <c r="N55" s="95"/>
      <c r="O55" s="46">
        <f>VLOOKUP(C55,'IP PITS'!$B$6:$I$86,8,0)</f>
        <v>0</v>
      </c>
      <c r="P55" s="88">
        <f t="shared" si="2"/>
        <v>1250</v>
      </c>
      <c r="Q55" s="46">
        <f>VLOOKUP(C55,'IP PITS'!$B$6:$N$86,13,0)</f>
        <v>0</v>
      </c>
      <c r="R55" s="46">
        <f>VLOOKUP(C55,'IP PITS'!$B$6:$Q$86,16,0)</f>
        <v>0</v>
      </c>
      <c r="S55" s="46">
        <f>VLOOKUP(C55,'IP PITS'!$B$6:$R$86,17,0)</f>
        <v>0</v>
      </c>
      <c r="T55" s="95"/>
      <c r="U55" s="88">
        <f t="shared" si="4"/>
        <v>4000</v>
      </c>
      <c r="V55" s="46">
        <f t="shared" si="5"/>
        <v>0</v>
      </c>
      <c r="W55" s="46"/>
      <c r="X55" s="88" t="s">
        <v>743</v>
      </c>
    </row>
    <row r="56" spans="1:24" s="88" customFormat="1" x14ac:dyDescent="0.2">
      <c r="A56" s="51" t="s">
        <v>475</v>
      </c>
      <c r="B56" s="90" t="s">
        <v>661</v>
      </c>
      <c r="C56" s="51" t="s">
        <v>689</v>
      </c>
      <c r="D56" s="90">
        <f>VLOOKUP(C56,'IP PITS'!$B$6:$V$86,21,0)</f>
        <v>3578.6</v>
      </c>
      <c r="E56" s="108"/>
      <c r="F56" s="88">
        <f>VLOOKUP(C56,'SIND PITS'!$C$3:$D$102,2,0)</f>
        <v>421.40000000000009</v>
      </c>
      <c r="G56" s="88">
        <f>VLOOKUP(C56,'SIND PITS'!$C$3:$E$102,3,0)</f>
        <v>359</v>
      </c>
      <c r="H56" s="88">
        <f>VLOOKUP(C56,'SIND PITS'!$C$3:$F$102,4,0)</f>
        <v>0</v>
      </c>
      <c r="I56" s="88">
        <f>VLOOKUP(C56,'SIND PITS'!$C$3:$G$102,5,0)</f>
        <v>0</v>
      </c>
      <c r="J56" s="94"/>
      <c r="K56" s="88">
        <f t="shared" si="1"/>
        <v>4359</v>
      </c>
      <c r="L56" s="88">
        <v>8000</v>
      </c>
      <c r="M56" s="88">
        <v>4000</v>
      </c>
      <c r="N56" s="95"/>
      <c r="O56" s="46">
        <f>VLOOKUP(C56,'IP PITS'!$B$6:$I$86,8,0)</f>
        <v>0</v>
      </c>
      <c r="P56" s="88">
        <f t="shared" si="2"/>
        <v>359</v>
      </c>
      <c r="Q56" s="46">
        <f>VLOOKUP(C56,'IP PITS'!$B$6:$N$86,13,0)</f>
        <v>0</v>
      </c>
      <c r="R56" s="46">
        <f>VLOOKUP(C56,'IP PITS'!$B$6:$Q$86,16,0)</f>
        <v>0</v>
      </c>
      <c r="S56" s="46">
        <f>VLOOKUP(C56,'IP PITS'!$B$6:$R$86,17,0)</f>
        <v>0</v>
      </c>
      <c r="T56" s="95"/>
      <c r="U56" s="88">
        <f t="shared" si="4"/>
        <v>4000</v>
      </c>
      <c r="V56" s="46">
        <f t="shared" si="5"/>
        <v>0</v>
      </c>
      <c r="W56" s="112"/>
      <c r="X56" s="88" t="s">
        <v>744</v>
      </c>
    </row>
    <row r="57" spans="1:24" s="88" customFormat="1" x14ac:dyDescent="0.2">
      <c r="A57" s="51" t="s">
        <v>477</v>
      </c>
      <c r="B57" s="90" t="s">
        <v>661</v>
      </c>
      <c r="C57" s="51" t="s">
        <v>478</v>
      </c>
      <c r="D57" s="90">
        <f>VLOOKUP(C57,'IP PITS'!$B$6:$V$86,21,0)</f>
        <v>3578.8</v>
      </c>
      <c r="E57" s="108"/>
      <c r="F57" s="88">
        <f>VLOOKUP(C57,'SIND PITS'!$C$3:$D$102,2,0)</f>
        <v>421.19999999999982</v>
      </c>
      <c r="G57" s="88">
        <f>VLOOKUP(C57,'SIND PITS'!$C$3:$E$102,3,0)</f>
        <v>450</v>
      </c>
      <c r="H57" s="88">
        <f>VLOOKUP(C57,'SIND PITS'!$C$3:$F$102,4,0)</f>
        <v>0</v>
      </c>
      <c r="I57" s="88">
        <f>VLOOKUP(C57,'SIND PITS'!$C$3:$G$102,5,0)</f>
        <v>0</v>
      </c>
      <c r="J57" s="94"/>
      <c r="K57" s="88">
        <f t="shared" si="1"/>
        <v>4450</v>
      </c>
      <c r="L57" s="88">
        <v>8000</v>
      </c>
      <c r="M57" s="88">
        <v>4000</v>
      </c>
      <c r="N57" s="95"/>
      <c r="O57" s="46">
        <f>VLOOKUP(C57,'IP PITS'!$B$6:$I$86,8,0)</f>
        <v>0</v>
      </c>
      <c r="P57" s="88">
        <f t="shared" si="2"/>
        <v>450</v>
      </c>
      <c r="Q57" s="46">
        <f>VLOOKUP(C57,'IP PITS'!$B$6:$N$86,13,0)</f>
        <v>0</v>
      </c>
      <c r="R57" s="46">
        <f>VLOOKUP(C57,'IP PITS'!$B$6:$Q$86,16,0)</f>
        <v>0</v>
      </c>
      <c r="S57" s="46">
        <f>VLOOKUP(C57,'IP PITS'!$B$6:$R$86,17,0)</f>
        <v>0</v>
      </c>
      <c r="T57" s="95"/>
      <c r="U57" s="88">
        <f t="shared" si="4"/>
        <v>4000</v>
      </c>
      <c r="V57" s="46">
        <f t="shared" si="5"/>
        <v>0</v>
      </c>
      <c r="W57" s="115"/>
      <c r="X57" s="88" t="s">
        <v>745</v>
      </c>
    </row>
    <row r="58" spans="1:24" s="88" customFormat="1" x14ac:dyDescent="0.2">
      <c r="A58" s="51" t="s">
        <v>482</v>
      </c>
      <c r="B58" s="90" t="s">
        <v>661</v>
      </c>
      <c r="C58" s="51" t="s">
        <v>480</v>
      </c>
      <c r="D58" s="90">
        <f>VLOOKUP(C58,'IP PITS'!$B$6:$V$86,21,0)</f>
        <v>3577</v>
      </c>
      <c r="E58" s="108"/>
      <c r="F58" s="88">
        <f>VLOOKUP(C58,'SIND PITS'!$C$3:$D$102,2,0)</f>
        <v>423</v>
      </c>
      <c r="G58" s="88">
        <f>VLOOKUP(C58,'SIND PITS'!$C$3:$E$102,3,0)</f>
        <v>474</v>
      </c>
      <c r="H58" s="88">
        <f>VLOOKUP(C58,'SIND PITS'!$C$3:$F$102,4,0)</f>
        <v>0</v>
      </c>
      <c r="I58" s="88">
        <f>VLOOKUP(C58,'SIND PITS'!$C$3:$G$102,5,0)</f>
        <v>0</v>
      </c>
      <c r="J58" s="94"/>
      <c r="K58" s="88">
        <f t="shared" si="1"/>
        <v>4474</v>
      </c>
      <c r="L58" s="88">
        <v>8000</v>
      </c>
      <c r="M58" s="88">
        <v>4000</v>
      </c>
      <c r="N58" s="95"/>
      <c r="O58" s="46">
        <f>VLOOKUP(C58,'IP PITS'!$B$6:$I$86,8,0)</f>
        <v>0</v>
      </c>
      <c r="P58" s="88">
        <f t="shared" si="2"/>
        <v>474</v>
      </c>
      <c r="Q58" s="46">
        <f>VLOOKUP(C58,'IP PITS'!$B$6:$N$86,13,0)</f>
        <v>0</v>
      </c>
      <c r="R58" s="46">
        <f>VLOOKUP(C58,'IP PITS'!$B$6:$Q$86,16,0)</f>
        <v>0</v>
      </c>
      <c r="S58" s="46">
        <f>VLOOKUP(C58,'IP PITS'!$B$6:$R$86,17,0)</f>
        <v>0</v>
      </c>
      <c r="T58" s="95"/>
      <c r="U58" s="88">
        <f t="shared" si="4"/>
        <v>4000</v>
      </c>
      <c r="V58" s="46">
        <f t="shared" si="5"/>
        <v>0</v>
      </c>
      <c r="W58" s="112"/>
      <c r="X58" s="88" t="s">
        <v>746</v>
      </c>
    </row>
    <row r="59" spans="1:24" s="88" customFormat="1" x14ac:dyDescent="0.2">
      <c r="A59" s="52" t="s">
        <v>637</v>
      </c>
      <c r="B59" s="90" t="s">
        <v>661</v>
      </c>
      <c r="C59" s="52" t="s">
        <v>379</v>
      </c>
      <c r="D59" s="90">
        <f>VLOOKUP(C59,'IP PITS'!$B$6:$V$86,21,0)</f>
        <v>2234</v>
      </c>
      <c r="E59" s="108"/>
      <c r="F59" s="88">
        <f>VLOOKUP(C59,'SIND PITS'!$C$3:$D$102,2,0)</f>
        <v>2266.0000000000005</v>
      </c>
      <c r="G59" s="88">
        <f>VLOOKUP(C59,'SIND PITS'!$C$3:$E$102,3,0)</f>
        <v>0</v>
      </c>
      <c r="H59" s="88">
        <f>VLOOKUP(C59,'SIND PITS'!$C$3:$F$102,4,0)</f>
        <v>0</v>
      </c>
      <c r="I59" s="88">
        <f>VLOOKUP(C59,'SIND PITS'!$C$3:$G$102,5,0)</f>
        <v>0</v>
      </c>
      <c r="J59" s="94"/>
      <c r="K59" s="88">
        <f t="shared" si="1"/>
        <v>4500</v>
      </c>
      <c r="L59" s="46">
        <v>9000</v>
      </c>
      <c r="M59" s="46">
        <v>4500</v>
      </c>
      <c r="N59" s="95"/>
      <c r="O59" s="46">
        <f>VLOOKUP(C59,'IP PITS'!$B$6:$I$86,8,0)</f>
        <v>0</v>
      </c>
      <c r="P59" s="88">
        <f t="shared" si="2"/>
        <v>0</v>
      </c>
      <c r="Q59" s="46">
        <f>VLOOKUP(C59,'IP PITS'!$B$6:$N$86,13,0)</f>
        <v>0</v>
      </c>
      <c r="R59" s="46">
        <f>VLOOKUP(C59,'IP PITS'!$B$6:$Q$86,16,0)</f>
        <v>0</v>
      </c>
      <c r="S59" s="46">
        <f>VLOOKUP(C59,'IP PITS'!$B$6:$R$86,17,0)</f>
        <v>0</v>
      </c>
      <c r="T59" s="95"/>
      <c r="U59" s="88">
        <f t="shared" si="4"/>
        <v>4500</v>
      </c>
      <c r="V59" s="46">
        <f t="shared" si="5"/>
        <v>0</v>
      </c>
      <c r="W59" s="46"/>
      <c r="X59" s="88" t="s">
        <v>747</v>
      </c>
    </row>
    <row r="60" spans="1:24" s="88" customFormat="1" x14ac:dyDescent="0.2">
      <c r="A60" s="58" t="s">
        <v>638</v>
      </c>
      <c r="B60" s="90" t="s">
        <v>661</v>
      </c>
      <c r="C60" s="58" t="s">
        <v>340</v>
      </c>
      <c r="D60" s="90">
        <f>VLOOKUP(C60,'IP PITS'!$B$6:$V$86,21,0)</f>
        <v>1471</v>
      </c>
      <c r="E60" s="108"/>
      <c r="F60" s="88">
        <f>VLOOKUP(C60,'SIND PITS'!$C$3:$D$102,2,0)</f>
        <v>3029</v>
      </c>
      <c r="G60" s="88">
        <f>VLOOKUP(C60,'SIND PITS'!$C$3:$E$102,3,0)</f>
        <v>450</v>
      </c>
      <c r="H60" s="88">
        <f>VLOOKUP(C60,'SIND PITS'!$C$3:$F$102,4,0)</f>
        <v>0</v>
      </c>
      <c r="I60" s="88">
        <f>VLOOKUP(C60,'SIND PITS'!$C$3:$G$102,5,0)</f>
        <v>0</v>
      </c>
      <c r="J60" s="94"/>
      <c r="K60" s="88">
        <f t="shared" si="1"/>
        <v>4950</v>
      </c>
      <c r="L60" s="88">
        <v>9000</v>
      </c>
      <c r="M60" s="88">
        <v>4500</v>
      </c>
      <c r="N60" s="95"/>
      <c r="O60" s="46">
        <f>VLOOKUP(C60,'IP PITS'!$B$6:$I$86,8,0)</f>
        <v>0</v>
      </c>
      <c r="P60" s="88">
        <f t="shared" si="2"/>
        <v>450</v>
      </c>
      <c r="Q60" s="46">
        <f>VLOOKUP(C60,'IP PITS'!$B$6:$N$86,13,0)</f>
        <v>0</v>
      </c>
      <c r="R60" s="46">
        <f>VLOOKUP(C60,'IP PITS'!$B$6:$Q$86,16,0)</f>
        <v>0</v>
      </c>
      <c r="S60" s="46">
        <f>VLOOKUP(C60,'IP PITS'!$B$6:$R$86,17,0)</f>
        <v>0</v>
      </c>
      <c r="T60" s="95"/>
      <c r="U60" s="88">
        <f t="shared" si="4"/>
        <v>4500</v>
      </c>
      <c r="V60" s="46">
        <f t="shared" si="5"/>
        <v>0</v>
      </c>
      <c r="W60" s="117"/>
      <c r="X60" s="88" t="s">
        <v>748</v>
      </c>
    </row>
    <row r="61" spans="1:24" s="88" customFormat="1" ht="14.25" customHeight="1" x14ac:dyDescent="0.2">
      <c r="A61" s="58" t="s">
        <v>639</v>
      </c>
      <c r="B61" s="90" t="s">
        <v>661</v>
      </c>
      <c r="C61" s="51" t="s">
        <v>345</v>
      </c>
      <c r="D61" s="90">
        <f>VLOOKUP(C61,'IP PITS'!$B$6:$V$86,21,0)</f>
        <v>1075.2</v>
      </c>
      <c r="E61" s="108"/>
      <c r="F61" s="88">
        <f>VLOOKUP(C61,'SIND PITS'!$C$3:$D$102,2,0)</f>
        <v>2890.54</v>
      </c>
      <c r="G61" s="88">
        <f>VLOOKUP(C61,'SIND PITS'!$C$3:$E$102,3,0)</f>
        <v>0</v>
      </c>
      <c r="H61" s="88">
        <f>VLOOKUP(C61,'SIND PITS'!$C$3:$F$102,4,0)</f>
        <v>0</v>
      </c>
      <c r="I61" s="88">
        <f>VLOOKUP(C61,'SIND PITS'!$C$3:$G$102,5,0)</f>
        <v>0</v>
      </c>
      <c r="J61" s="94"/>
      <c r="K61" s="88">
        <f t="shared" si="1"/>
        <v>3965.74</v>
      </c>
      <c r="L61" s="88">
        <v>12000</v>
      </c>
      <c r="M61" s="88">
        <v>6000</v>
      </c>
      <c r="N61" s="95"/>
      <c r="O61" s="46">
        <f>VLOOKUP(C61,'IP PITS'!$B$6:$I$86,8,0)</f>
        <v>0</v>
      </c>
      <c r="P61" s="88">
        <f t="shared" si="2"/>
        <v>0</v>
      </c>
      <c r="Q61" s="46">
        <f>VLOOKUP(C61,'IP PITS'!$B$6:$N$86,13,0)</f>
        <v>2034.26</v>
      </c>
      <c r="R61" s="46">
        <f>VLOOKUP(C61,'IP PITS'!$B$6:$Q$86,16,0)</f>
        <v>0</v>
      </c>
      <c r="S61" s="46">
        <f>VLOOKUP(C61,'IP PITS'!$B$6:$R$86,17,0)</f>
        <v>0</v>
      </c>
      <c r="T61" s="95"/>
      <c r="U61" s="88">
        <f t="shared" si="4"/>
        <v>6000</v>
      </c>
      <c r="V61" s="46">
        <f t="shared" si="5"/>
        <v>0</v>
      </c>
      <c r="W61" s="46"/>
      <c r="X61" s="88" t="s">
        <v>749</v>
      </c>
    </row>
    <row r="62" spans="1:24" s="46" customFormat="1" x14ac:dyDescent="0.2">
      <c r="A62" s="51" t="s">
        <v>641</v>
      </c>
      <c r="B62" s="90" t="s">
        <v>661</v>
      </c>
      <c r="C62" s="51" t="s">
        <v>382</v>
      </c>
      <c r="D62" s="90">
        <f>VLOOKUP(C62,'IP PITS'!$B$6:$V$86,21,0)</f>
        <v>3273</v>
      </c>
      <c r="E62" s="108"/>
      <c r="F62" s="88">
        <f>VLOOKUP(C62,'SIND PITS'!$C$3:$D$102,2,0)</f>
        <v>3727</v>
      </c>
      <c r="G62" s="88">
        <f>VLOOKUP(C62,'SIND PITS'!$C$3:$E$102,3,0)</f>
        <v>166.67</v>
      </c>
      <c r="H62" s="88">
        <f>VLOOKUP(C62,'SIND PITS'!$C$3:$F$102,4,0)</f>
        <v>0</v>
      </c>
      <c r="I62" s="88">
        <f>VLOOKUP(C62,'SIND PITS'!$C$3:$G$102,5,0)</f>
        <v>0</v>
      </c>
      <c r="J62" s="94"/>
      <c r="K62" s="88">
        <f t="shared" si="1"/>
        <v>7166.67</v>
      </c>
      <c r="L62" s="88">
        <v>14000</v>
      </c>
      <c r="M62" s="88">
        <v>7000</v>
      </c>
      <c r="N62" s="95"/>
      <c r="O62" s="46">
        <f>VLOOKUP(C62,'IP PITS'!$B$6:$I$86,8,0)</f>
        <v>0</v>
      </c>
      <c r="P62" s="88">
        <f t="shared" si="2"/>
        <v>166.67</v>
      </c>
      <c r="Q62" s="46">
        <f>VLOOKUP(C62,'IP PITS'!$B$6:$N$86,13,0)</f>
        <v>0</v>
      </c>
      <c r="R62" s="46">
        <f>VLOOKUP(C62,'IP PITS'!$B$6:$Q$86,16,0)</f>
        <v>0</v>
      </c>
      <c r="S62" s="46">
        <f>VLOOKUP(C62,'IP PITS'!$B$6:$R$86,17,0)</f>
        <v>0</v>
      </c>
      <c r="T62" s="95"/>
      <c r="U62" s="88">
        <f t="shared" si="4"/>
        <v>7000</v>
      </c>
      <c r="V62" s="46">
        <f t="shared" si="5"/>
        <v>0</v>
      </c>
      <c r="X62" s="88" t="s">
        <v>750</v>
      </c>
    </row>
    <row r="63" spans="1:24" s="46" customFormat="1" x14ac:dyDescent="0.2">
      <c r="A63" s="51" t="s">
        <v>642</v>
      </c>
      <c r="B63" s="90" t="s">
        <v>661</v>
      </c>
      <c r="C63" s="51" t="s">
        <v>383</v>
      </c>
      <c r="D63" s="90">
        <f>VLOOKUP(C63,'IP PITS'!$B$6:$V$86,21,0)</f>
        <v>2363.4</v>
      </c>
      <c r="E63" s="108"/>
      <c r="F63" s="88">
        <f>VLOOKUP(C63,'SIND PITS'!$C$3:$D$102,2,0)</f>
        <v>3727.0999999999995</v>
      </c>
      <c r="G63" s="88">
        <f>VLOOKUP(C63,'SIND PITS'!$C$3:$E$102,3,0)</f>
        <v>208.5</v>
      </c>
      <c r="H63" s="88">
        <f>VLOOKUP(C63,'SIND PITS'!$C$3:$F$102,4,0)</f>
        <v>0</v>
      </c>
      <c r="I63" s="88">
        <f>VLOOKUP(C63,'SIND PITS'!$C$3:$G$102,5,0)</f>
        <v>0</v>
      </c>
      <c r="J63" s="94"/>
      <c r="K63" s="88">
        <f t="shared" si="1"/>
        <v>6299</v>
      </c>
      <c r="L63" s="88">
        <v>14000</v>
      </c>
      <c r="M63" s="88">
        <v>7000</v>
      </c>
      <c r="N63" s="95"/>
      <c r="O63" s="46">
        <f>VLOOKUP(C63,'IP PITS'!$B$6:$I$86,8,0)</f>
        <v>0</v>
      </c>
      <c r="P63" s="88">
        <f t="shared" si="2"/>
        <v>208.5</v>
      </c>
      <c r="Q63" s="46">
        <f>VLOOKUP(C63,'IP PITS'!$B$6:$N$86,13,0)</f>
        <v>0</v>
      </c>
      <c r="R63" s="46">
        <f>VLOOKUP(C63,'IP PITS'!$B$6:$Q$86,16,0)</f>
        <v>0</v>
      </c>
      <c r="S63" s="46">
        <f>VLOOKUP(C63,'IP PITS'!$B$6:$R$86,17,0)</f>
        <v>909.5</v>
      </c>
      <c r="T63" s="95"/>
      <c r="U63" s="88">
        <f t="shared" si="4"/>
        <v>7000</v>
      </c>
      <c r="V63" s="46">
        <f t="shared" si="5"/>
        <v>0</v>
      </c>
      <c r="X63" s="88" t="s">
        <v>751</v>
      </c>
    </row>
    <row r="64" spans="1:24" s="46" customFormat="1" x14ac:dyDescent="0.2">
      <c r="A64" s="51" t="s">
        <v>643</v>
      </c>
      <c r="B64" s="90" t="s">
        <v>661</v>
      </c>
      <c r="C64" s="51" t="s">
        <v>414</v>
      </c>
      <c r="D64" s="90">
        <f>VLOOKUP(C64,'IP PITS'!$B$6:$V$86,21,0)</f>
        <v>1969.8</v>
      </c>
      <c r="E64" s="108"/>
      <c r="F64" s="88">
        <f>VLOOKUP(C64,'SIND PITS'!$C$3:$D$102,2,0)</f>
        <v>3347.5</v>
      </c>
      <c r="G64" s="88">
        <f>VLOOKUP(C64,'SIND PITS'!$C$3:$E$102,3,0)</f>
        <v>244</v>
      </c>
      <c r="H64" s="88">
        <f>VLOOKUP(C64,'SIND PITS'!$C$3:$F$102,4,0)</f>
        <v>0</v>
      </c>
      <c r="I64" s="88">
        <f>VLOOKUP(C64,'SIND PITS'!$C$3:$G$102,5,0)</f>
        <v>0</v>
      </c>
      <c r="J64" s="94"/>
      <c r="K64" s="88">
        <f t="shared" si="1"/>
        <v>5561.3</v>
      </c>
      <c r="L64" s="88">
        <v>15000</v>
      </c>
      <c r="M64" s="88">
        <v>7500</v>
      </c>
      <c r="N64" s="95"/>
      <c r="O64" s="46">
        <f>VLOOKUP(C64,'IP PITS'!$B$6:$I$86,8,0)</f>
        <v>0</v>
      </c>
      <c r="P64" s="88">
        <f t="shared" si="2"/>
        <v>244</v>
      </c>
      <c r="Q64" s="46">
        <f>VLOOKUP(C64,'IP PITS'!$B$6:$N$86,13,0)</f>
        <v>1881.2</v>
      </c>
      <c r="R64" s="46">
        <f>VLOOKUP(C64,'IP PITS'!$B$6:$Q$86,16,0)</f>
        <v>0</v>
      </c>
      <c r="S64" s="46">
        <f>VLOOKUP(C64,'IP PITS'!$B$6:$R$86,17,0)</f>
        <v>301.5</v>
      </c>
      <c r="T64" s="95"/>
      <c r="U64" s="88">
        <f t="shared" si="4"/>
        <v>7500</v>
      </c>
      <c r="V64" s="46">
        <f t="shared" si="5"/>
        <v>0</v>
      </c>
      <c r="X64" s="88" t="s">
        <v>752</v>
      </c>
    </row>
    <row r="65" spans="1:24" s="46" customFormat="1" x14ac:dyDescent="0.2">
      <c r="A65" s="51" t="s">
        <v>378</v>
      </c>
      <c r="B65" s="90" t="s">
        <v>661</v>
      </c>
      <c r="C65" s="51" t="s">
        <v>415</v>
      </c>
      <c r="D65" s="90">
        <f>VLOOKUP(C65,'IP PITS'!$B$6:$V$86,21,0)</f>
        <v>1579.2</v>
      </c>
      <c r="E65" s="108"/>
      <c r="F65" s="88">
        <f>VLOOKUP(C65,'SIND PITS'!$C$3:$D$102,2,0)</f>
        <v>4347.4399999999996</v>
      </c>
      <c r="G65" s="88">
        <f>VLOOKUP(C65,'SIND PITS'!$C$3:$E$102,3,0)</f>
        <v>484.38</v>
      </c>
      <c r="H65" s="88">
        <f>VLOOKUP(C65,'SIND PITS'!$C$3:$F$102,4,0)</f>
        <v>0</v>
      </c>
      <c r="I65" s="88">
        <f>VLOOKUP(C65,'SIND PITS'!$C$3:$G$102,5,0)</f>
        <v>0</v>
      </c>
      <c r="J65" s="94"/>
      <c r="K65" s="88">
        <f t="shared" si="1"/>
        <v>6411.0199999999995</v>
      </c>
      <c r="L65" s="88">
        <v>17000</v>
      </c>
      <c r="M65" s="88">
        <v>8500</v>
      </c>
      <c r="N65" s="95"/>
      <c r="O65" s="46">
        <f>VLOOKUP(C65,'IP PITS'!$B$6:$I$86,8,0)</f>
        <v>0</v>
      </c>
      <c r="P65" s="88">
        <f t="shared" si="2"/>
        <v>484.38</v>
      </c>
      <c r="Q65" s="46">
        <f>VLOOKUP(C65,'IP PITS'!$B$6:$N$86,13,0)</f>
        <v>2177.54</v>
      </c>
      <c r="R65" s="46">
        <f>VLOOKUP(C65,'IP PITS'!$B$6:$Q$86,16,0)</f>
        <v>0</v>
      </c>
      <c r="S65" s="46">
        <f>VLOOKUP(C65,'IP PITS'!$B$6:$R$86,17,0)</f>
        <v>395.82</v>
      </c>
      <c r="T65" s="95"/>
      <c r="U65" s="88">
        <f t="shared" si="4"/>
        <v>8500</v>
      </c>
      <c r="V65" s="46">
        <f t="shared" si="5"/>
        <v>0</v>
      </c>
      <c r="X65" s="88" t="s">
        <v>753</v>
      </c>
    </row>
    <row r="66" spans="1:24" s="46" customFormat="1" x14ac:dyDescent="0.2">
      <c r="A66" s="51" t="s">
        <v>385</v>
      </c>
      <c r="B66" s="90" t="s">
        <v>661</v>
      </c>
      <c r="C66" s="51" t="s">
        <v>416</v>
      </c>
      <c r="D66" s="90">
        <f>VLOOKUP(C66,'IP PITS'!$B$6:$V$86,21,0)</f>
        <v>3326.6</v>
      </c>
      <c r="E66" s="108"/>
      <c r="F66" s="88">
        <f>VLOOKUP(C66,'SIND PITS'!$C$3:$D$102,2,0)</f>
        <v>1923.4</v>
      </c>
      <c r="G66" s="88">
        <f>VLOOKUP(C66,'SIND PITS'!$C$3:$E$102,3,0)</f>
        <v>1421.88</v>
      </c>
      <c r="H66" s="88">
        <f>VLOOKUP(C66,'SIND PITS'!$C$3:$F$102,4,0)</f>
        <v>0</v>
      </c>
      <c r="I66" s="88">
        <f>VLOOKUP(C66,'SIND PITS'!$C$3:$G$102,5,0)</f>
        <v>0</v>
      </c>
      <c r="J66" s="94"/>
      <c r="K66" s="88">
        <f t="shared" si="1"/>
        <v>6671.88</v>
      </c>
      <c r="L66" s="72">
        <v>10500</v>
      </c>
      <c r="M66" s="88">
        <v>5250</v>
      </c>
      <c r="N66" s="95"/>
      <c r="O66" s="46">
        <f>VLOOKUP(C66,'IP PITS'!$B$6:$I$86,8,0)</f>
        <v>0</v>
      </c>
      <c r="P66" s="88">
        <f t="shared" si="2"/>
        <v>1421.88</v>
      </c>
      <c r="Q66" s="46">
        <f>VLOOKUP(C66,'IP PITS'!$B$6:$N$86,13,0)</f>
        <v>0</v>
      </c>
      <c r="R66" s="46">
        <f>VLOOKUP(C66,'IP PITS'!$B$6:$Q$86,16,0)</f>
        <v>0</v>
      </c>
      <c r="S66" s="46">
        <f>VLOOKUP(C66,'IP PITS'!$B$6:$R$86,17,0)</f>
        <v>0</v>
      </c>
      <c r="T66" s="95"/>
      <c r="U66" s="88">
        <f t="shared" si="4"/>
        <v>5250</v>
      </c>
      <c r="V66" s="46">
        <f t="shared" si="5"/>
        <v>0</v>
      </c>
      <c r="X66" s="88" t="s">
        <v>754</v>
      </c>
    </row>
    <row r="67" spans="1:24" s="46" customFormat="1" x14ac:dyDescent="0.2">
      <c r="A67" s="51" t="s">
        <v>390</v>
      </c>
      <c r="B67" s="90" t="s">
        <v>661</v>
      </c>
      <c r="C67" s="51" t="s">
        <v>418</v>
      </c>
      <c r="D67" s="90">
        <f>VLOOKUP(C67,'IP PITS'!$B$6:$V$86,21,0)</f>
        <v>1814.2</v>
      </c>
      <c r="E67" s="108"/>
      <c r="F67" s="88">
        <f>VLOOKUP(C67,'SIND PITS'!$C$3:$D$102,2,0)</f>
        <v>2673.37</v>
      </c>
      <c r="G67" s="88">
        <f>VLOOKUP(C67,'SIND PITS'!$C$3:$E$102,3,0)</f>
        <v>0</v>
      </c>
      <c r="H67" s="88">
        <f>VLOOKUP(C67,'SIND PITS'!$C$3:$F$102,4,0)</f>
        <v>0</v>
      </c>
      <c r="I67" s="88">
        <f>VLOOKUP(C67,'SIND PITS'!$C$3:$G$102,5,0)</f>
        <v>0</v>
      </c>
      <c r="J67" s="94"/>
      <c r="K67" s="88">
        <f t="shared" si="1"/>
        <v>4487.57</v>
      </c>
      <c r="L67" s="88">
        <v>12000</v>
      </c>
      <c r="M67" s="88">
        <v>6000</v>
      </c>
      <c r="N67" s="95"/>
      <c r="O67" s="46">
        <f>VLOOKUP(C67,'IP PITS'!$B$6:$I$86,8,0)</f>
        <v>0</v>
      </c>
      <c r="P67" s="88">
        <f t="shared" si="2"/>
        <v>0</v>
      </c>
      <c r="Q67" s="46">
        <f>VLOOKUP(C67,'IP PITS'!$B$6:$N$86,13,0)</f>
        <v>1202.43</v>
      </c>
      <c r="R67" s="46">
        <f>VLOOKUP(C67,'IP PITS'!$B$6:$Q$86,16,0)</f>
        <v>0</v>
      </c>
      <c r="S67" s="46">
        <f>VLOOKUP(C67,'IP PITS'!$B$6:$R$86,17,0)</f>
        <v>310</v>
      </c>
      <c r="T67" s="95"/>
      <c r="U67" s="88">
        <f t="shared" si="4"/>
        <v>6000</v>
      </c>
      <c r="V67" s="46">
        <f t="shared" ref="V67:V97" si="6">+M67-U67</f>
        <v>0</v>
      </c>
      <c r="X67" s="88" t="s">
        <v>755</v>
      </c>
    </row>
    <row r="68" spans="1:24" s="46" customFormat="1" x14ac:dyDescent="0.2">
      <c r="A68" s="51" t="s">
        <v>41</v>
      </c>
      <c r="B68" s="90" t="s">
        <v>661</v>
      </c>
      <c r="C68" s="51" t="s">
        <v>419</v>
      </c>
      <c r="D68" s="90">
        <f>VLOOKUP(C68,'IP PITS'!$B$6:$V$86,21,0)</f>
        <v>2141</v>
      </c>
      <c r="E68" s="108"/>
      <c r="F68" s="88">
        <f>VLOOKUP(C68,'SIND PITS'!$C$3:$D$102,2,0)</f>
        <v>2796</v>
      </c>
      <c r="G68" s="88">
        <f>VLOOKUP(C68,'SIND PITS'!$C$3:$E$102,3,0)</f>
        <v>417</v>
      </c>
      <c r="H68" s="88">
        <f>VLOOKUP(C68,'SIND PITS'!$C$3:$F$102,4,0)</f>
        <v>0</v>
      </c>
      <c r="I68" s="88">
        <f>VLOOKUP(C68,'SIND PITS'!$C$3:$G$102,5,0)</f>
        <v>0</v>
      </c>
      <c r="J68" s="94"/>
      <c r="K68" s="88">
        <f t="shared" ref="K68:K102" si="7">SUM(D68:I68)</f>
        <v>5354</v>
      </c>
      <c r="L68" s="88">
        <v>10000</v>
      </c>
      <c r="M68" s="88">
        <v>5000</v>
      </c>
      <c r="N68" s="95"/>
      <c r="O68" s="46">
        <f>VLOOKUP(C68,'IP PITS'!$B$6:$I$86,8,0)</f>
        <v>0</v>
      </c>
      <c r="P68" s="88">
        <f t="shared" ref="P68:P102" si="8">+G68+H68+I68</f>
        <v>417</v>
      </c>
      <c r="Q68" s="46">
        <f>VLOOKUP(C68,'IP PITS'!$B$6:$N$86,13,0)</f>
        <v>0</v>
      </c>
      <c r="R68" s="46">
        <f>VLOOKUP(C68,'IP PITS'!$B$6:$Q$86,16,0)</f>
        <v>0</v>
      </c>
      <c r="S68" s="46">
        <f>VLOOKUP(C68,'IP PITS'!$B$6:$R$86,17,0)</f>
        <v>63</v>
      </c>
      <c r="T68" s="95"/>
      <c r="U68" s="88">
        <f t="shared" si="4"/>
        <v>5000</v>
      </c>
      <c r="V68" s="46">
        <f t="shared" si="6"/>
        <v>0</v>
      </c>
      <c r="X68" s="88" t="s">
        <v>756</v>
      </c>
    </row>
    <row r="69" spans="1:24" s="46" customFormat="1" x14ac:dyDescent="0.2">
      <c r="A69" s="51" t="s">
        <v>644</v>
      </c>
      <c r="B69" s="90" t="s">
        <v>661</v>
      </c>
      <c r="C69" s="51" t="s">
        <v>420</v>
      </c>
      <c r="D69" s="90">
        <f>VLOOKUP(C69,'IP PITS'!$B$6:$V$86,21,0)</f>
        <v>3326.6</v>
      </c>
      <c r="E69" s="108"/>
      <c r="F69" s="88">
        <f>VLOOKUP(C69,'SIND PITS'!$C$3:$D$102,2,0)</f>
        <v>2673.3999999999996</v>
      </c>
      <c r="G69" s="88">
        <f>VLOOKUP(C69,'SIND PITS'!$C$3:$E$102,3,0)</f>
        <v>1054.5</v>
      </c>
      <c r="H69" s="88">
        <f>VLOOKUP(C69,'SIND PITS'!$C$3:$F$102,4,0)</f>
        <v>0</v>
      </c>
      <c r="I69" s="88">
        <f>VLOOKUP(C69,'SIND PITS'!$C$3:$G$102,5,0)</f>
        <v>0</v>
      </c>
      <c r="J69" s="94"/>
      <c r="K69" s="88">
        <f t="shared" si="7"/>
        <v>7054.5</v>
      </c>
      <c r="L69" s="88">
        <v>12000</v>
      </c>
      <c r="M69" s="88">
        <v>6000</v>
      </c>
      <c r="N69" s="95"/>
      <c r="O69" s="46">
        <f>VLOOKUP(C69,'IP PITS'!$B$6:$I$86,8,0)</f>
        <v>0</v>
      </c>
      <c r="P69" s="88">
        <f t="shared" si="8"/>
        <v>1054.5</v>
      </c>
      <c r="Q69" s="46">
        <f>VLOOKUP(C69,'IP PITS'!$B$6:$N$86,13,0)</f>
        <v>0</v>
      </c>
      <c r="R69" s="46">
        <f>VLOOKUP(C69,'IP PITS'!$B$6:$Q$86,16,0)</f>
        <v>0</v>
      </c>
      <c r="S69" s="46">
        <f>VLOOKUP(C69,'IP PITS'!$B$6:$R$86,17,0)</f>
        <v>0</v>
      </c>
      <c r="T69" s="95"/>
      <c r="U69" s="88">
        <f t="shared" si="4"/>
        <v>6000</v>
      </c>
      <c r="V69" s="46">
        <f t="shared" si="6"/>
        <v>0</v>
      </c>
      <c r="W69" s="118"/>
      <c r="X69" s="88" t="s">
        <v>757</v>
      </c>
    </row>
    <row r="70" spans="1:24" s="46" customFormat="1" x14ac:dyDescent="0.2">
      <c r="A70" s="51" t="s">
        <v>405</v>
      </c>
      <c r="B70" s="90" t="s">
        <v>661</v>
      </c>
      <c r="C70" s="51" t="s">
        <v>422</v>
      </c>
      <c r="D70" s="90">
        <f>VLOOKUP(C70,'IP PITS'!$B$6:$V$86,21,0)</f>
        <v>2082.8000000000002</v>
      </c>
      <c r="E70" s="108"/>
      <c r="F70" s="88">
        <f>VLOOKUP(C70,'SIND PITS'!$C$3:$D$102,2,0)</f>
        <v>1673.44</v>
      </c>
      <c r="G70" s="88">
        <f>VLOOKUP(C70,'SIND PITS'!$C$3:$E$102,3,0)</f>
        <v>226.5</v>
      </c>
      <c r="H70" s="88">
        <f>VLOOKUP(C70,'SIND PITS'!$C$3:$F$102,4,0)</f>
        <v>0</v>
      </c>
      <c r="I70" s="88">
        <f>VLOOKUP(C70,'SIND PITS'!$C$3:$G$102,5,0)</f>
        <v>0</v>
      </c>
      <c r="J70" s="94"/>
      <c r="K70" s="88">
        <f t="shared" si="7"/>
        <v>3982.7400000000002</v>
      </c>
      <c r="L70" s="88">
        <v>10000</v>
      </c>
      <c r="M70" s="88">
        <v>5000</v>
      </c>
      <c r="N70" s="95"/>
      <c r="O70" s="46">
        <f>VLOOKUP(C70,'IP PITS'!$B$6:$I$86,8,0)</f>
        <v>0</v>
      </c>
      <c r="P70" s="88">
        <f t="shared" si="8"/>
        <v>226.5</v>
      </c>
      <c r="Q70" s="46">
        <f>VLOOKUP(C70,'IP PITS'!$B$6:$N$86,13,0)</f>
        <v>692.93</v>
      </c>
      <c r="R70" s="46">
        <f>VLOOKUP(C70,'IP PITS'!$B$6:$Q$86,16,0)</f>
        <v>0</v>
      </c>
      <c r="S70" s="46">
        <f>VLOOKUP(C70,'IP PITS'!$B$6:$R$86,17,0)</f>
        <v>550.83000000000004</v>
      </c>
      <c r="T70" s="95"/>
      <c r="U70" s="88">
        <f t="shared" si="4"/>
        <v>5000</v>
      </c>
      <c r="V70" s="46">
        <f t="shared" si="6"/>
        <v>0</v>
      </c>
      <c r="X70" s="88" t="s">
        <v>758</v>
      </c>
    </row>
    <row r="71" spans="1:24" s="46" customFormat="1" x14ac:dyDescent="0.2">
      <c r="A71" s="51" t="s">
        <v>645</v>
      </c>
      <c r="B71" s="90" t="s">
        <v>661</v>
      </c>
      <c r="C71" s="51" t="s">
        <v>424</v>
      </c>
      <c r="D71" s="90">
        <f>VLOOKUP(C71,'IP PITS'!$B$6:$V$86,21,0)</f>
        <v>2443.4</v>
      </c>
      <c r="E71" s="108"/>
      <c r="F71" s="88">
        <f>VLOOKUP(C71,'SIND PITS'!$C$3:$D$102,2,0)</f>
        <v>2556.6</v>
      </c>
      <c r="G71" s="88">
        <f>VLOOKUP(C71,'SIND PITS'!$C$3:$E$102,3,0)</f>
        <v>250</v>
      </c>
      <c r="H71" s="88">
        <f>VLOOKUP(C71,'SIND PITS'!$C$3:$F$102,4,0)</f>
        <v>0</v>
      </c>
      <c r="I71" s="88">
        <f>VLOOKUP(C71,'SIND PITS'!$C$3:$G$102,5,0)</f>
        <v>0</v>
      </c>
      <c r="J71" s="94"/>
      <c r="K71" s="88">
        <f t="shared" si="7"/>
        <v>5250</v>
      </c>
      <c r="L71" s="88">
        <v>10000</v>
      </c>
      <c r="M71" s="88">
        <v>5000</v>
      </c>
      <c r="N71" s="95"/>
      <c r="O71" s="46">
        <f>VLOOKUP(C71,'IP PITS'!$B$6:$I$86,8,0)</f>
        <v>0</v>
      </c>
      <c r="P71" s="88">
        <f t="shared" si="8"/>
        <v>250</v>
      </c>
      <c r="Q71" s="46">
        <f>VLOOKUP(C71,'IP PITS'!$B$6:$N$86,13,0)</f>
        <v>0</v>
      </c>
      <c r="R71" s="46">
        <f>VLOOKUP(C71,'IP PITS'!$B$6:$Q$86,16,0)</f>
        <v>0</v>
      </c>
      <c r="S71" s="46">
        <f>VLOOKUP(C71,'IP PITS'!$B$6:$R$86,17,0)</f>
        <v>0</v>
      </c>
      <c r="T71" s="95"/>
      <c r="U71" s="88">
        <f t="shared" si="4"/>
        <v>5000</v>
      </c>
      <c r="V71" s="46">
        <f t="shared" si="6"/>
        <v>0</v>
      </c>
      <c r="X71" s="88" t="s">
        <v>759</v>
      </c>
    </row>
    <row r="72" spans="1:24" s="46" customFormat="1" x14ac:dyDescent="0.2">
      <c r="A72" s="51" t="s">
        <v>394</v>
      </c>
      <c r="B72" s="90" t="s">
        <v>661</v>
      </c>
      <c r="C72" s="51" t="s">
        <v>425</v>
      </c>
      <c r="D72" s="90">
        <f>VLOOKUP(C72,'IP PITS'!$B$6:$V$86,21,0)</f>
        <v>1902.4</v>
      </c>
      <c r="E72" s="108"/>
      <c r="F72" s="88">
        <f>VLOOKUP(C72,'SIND PITS'!$C$3:$D$102,2,0)</f>
        <v>1699.0999999999995</v>
      </c>
      <c r="G72" s="88">
        <f>VLOOKUP(C72,'SIND PITS'!$C$3:$E$102,3,0)</f>
        <v>382</v>
      </c>
      <c r="H72" s="88">
        <f>VLOOKUP(C72,'SIND PITS'!$C$3:$F$102,4,0)</f>
        <v>0</v>
      </c>
      <c r="I72" s="88">
        <f>VLOOKUP(C72,'SIND PITS'!$C$3:$G$102,5,0)</f>
        <v>0</v>
      </c>
      <c r="J72" s="94"/>
      <c r="K72" s="88">
        <f t="shared" si="7"/>
        <v>3983.4999999999995</v>
      </c>
      <c r="L72" s="88">
        <v>9000</v>
      </c>
      <c r="M72" s="88">
        <v>4500</v>
      </c>
      <c r="N72" s="95"/>
      <c r="O72" s="46">
        <f>VLOOKUP(C72,'IP PITS'!$B$6:$I$86,8,0)</f>
        <v>0</v>
      </c>
      <c r="P72" s="88">
        <f t="shared" si="8"/>
        <v>382</v>
      </c>
      <c r="Q72" s="46">
        <f>VLOOKUP(C72,'IP PITS'!$B$6:$N$86,13,0)</f>
        <v>898.5</v>
      </c>
      <c r="R72" s="46">
        <f>VLOOKUP(C72,'IP PITS'!$B$6:$Q$86,16,0)</f>
        <v>0</v>
      </c>
      <c r="S72" s="46">
        <f>VLOOKUP(C72,'IP PITS'!$B$6:$R$86,17,0)</f>
        <v>0</v>
      </c>
      <c r="T72" s="95"/>
      <c r="U72" s="88">
        <f t="shared" si="4"/>
        <v>4500</v>
      </c>
      <c r="V72" s="46">
        <f t="shared" si="6"/>
        <v>0</v>
      </c>
      <c r="X72" s="88" t="s">
        <v>760</v>
      </c>
    </row>
    <row r="73" spans="1:24" s="46" customFormat="1" x14ac:dyDescent="0.2">
      <c r="A73" s="51" t="s">
        <v>646</v>
      </c>
      <c r="B73" s="90" t="s">
        <v>661</v>
      </c>
      <c r="C73" s="51" t="s">
        <v>426</v>
      </c>
      <c r="D73" s="90">
        <f>VLOOKUP(C73,'IP PITS'!$B$6:$V$86,21,0)</f>
        <v>1891.6</v>
      </c>
      <c r="E73" s="108"/>
      <c r="F73" s="88">
        <f>VLOOKUP(C73,'SIND PITS'!$C$3:$D$102,2,0)</f>
        <v>2199.1900000000005</v>
      </c>
      <c r="G73" s="88">
        <f>VLOOKUP(C73,'SIND PITS'!$C$3:$E$102,3,0)</f>
        <v>84</v>
      </c>
      <c r="H73" s="88">
        <f>VLOOKUP(C73,'SIND PITS'!$C$3:$F$102,4,0)</f>
        <v>0</v>
      </c>
      <c r="I73" s="88">
        <f>VLOOKUP(C73,'SIND PITS'!$C$3:$G$102,5,0)</f>
        <v>0</v>
      </c>
      <c r="J73" s="94"/>
      <c r="K73" s="88">
        <f t="shared" si="7"/>
        <v>4174.7900000000009</v>
      </c>
      <c r="L73" s="88">
        <v>10000</v>
      </c>
      <c r="M73" s="88">
        <v>5000</v>
      </c>
      <c r="N73" s="95"/>
      <c r="O73" s="46">
        <f>VLOOKUP(C73,'IP PITS'!$B$6:$I$86,8,0)</f>
        <v>0</v>
      </c>
      <c r="P73" s="88">
        <f t="shared" si="8"/>
        <v>84</v>
      </c>
      <c r="Q73" s="46">
        <f>VLOOKUP(C73,'IP PITS'!$B$6:$N$86,13,0)</f>
        <v>909.21</v>
      </c>
      <c r="R73" s="46">
        <f>VLOOKUP(C73,'IP PITS'!$B$6:$Q$86,16,0)</f>
        <v>0</v>
      </c>
      <c r="S73" s="46">
        <f>VLOOKUP(C73,'IP PITS'!$B$6:$R$86,17,0)</f>
        <v>0</v>
      </c>
      <c r="T73" s="95"/>
      <c r="U73" s="88">
        <f t="shared" si="4"/>
        <v>5000.0000000000009</v>
      </c>
      <c r="V73" s="46">
        <f t="shared" si="6"/>
        <v>0</v>
      </c>
      <c r="X73" s="88" t="s">
        <v>761</v>
      </c>
    </row>
    <row r="74" spans="1:24" s="46" customFormat="1" x14ac:dyDescent="0.2">
      <c r="A74" s="51" t="s">
        <v>401</v>
      </c>
      <c r="B74" s="90" t="s">
        <v>661</v>
      </c>
      <c r="C74" s="51" t="s">
        <v>676</v>
      </c>
      <c r="D74" s="90">
        <f>VLOOKUP(C74,'IP PITS'!$B$6:$V$86,21,0)</f>
        <v>2442.4</v>
      </c>
      <c r="E74" s="108"/>
      <c r="F74" s="88">
        <f>VLOOKUP(C74,'SIND PITS'!$C$3:$D$102,2,0)</f>
        <v>2557.6</v>
      </c>
      <c r="G74" s="88">
        <f>VLOOKUP(C74,'SIND PITS'!$C$3:$E$102,3,0)</f>
        <v>200</v>
      </c>
      <c r="H74" s="88">
        <f>VLOOKUP(C74,'SIND PITS'!$C$3:$F$102,4,0)</f>
        <v>0</v>
      </c>
      <c r="I74" s="88">
        <f>VLOOKUP(C74,'SIND PITS'!$C$3:$G$102,5,0)</f>
        <v>0</v>
      </c>
      <c r="J74" s="94"/>
      <c r="K74" s="88">
        <f t="shared" si="7"/>
        <v>5200</v>
      </c>
      <c r="L74" s="88">
        <v>10000</v>
      </c>
      <c r="M74" s="88">
        <v>5000</v>
      </c>
      <c r="N74" s="95"/>
      <c r="O74" s="46">
        <f>VLOOKUP(C74,'IP PITS'!$B$6:$I$86,8,0)</f>
        <v>0</v>
      </c>
      <c r="P74" s="88">
        <f t="shared" si="8"/>
        <v>200</v>
      </c>
      <c r="Q74" s="46">
        <f>VLOOKUP(C74,'IP PITS'!$B$6:$N$86,13,0)</f>
        <v>0</v>
      </c>
      <c r="R74" s="46">
        <f>VLOOKUP(C74,'IP PITS'!$B$6:$Q$86,16,0)</f>
        <v>0</v>
      </c>
      <c r="S74" s="46">
        <f>VLOOKUP(C74,'IP PITS'!$B$6:$R$86,17,0)</f>
        <v>0</v>
      </c>
      <c r="T74" s="95"/>
      <c r="U74" s="88">
        <f t="shared" si="4"/>
        <v>5000</v>
      </c>
      <c r="V74" s="46">
        <f t="shared" si="6"/>
        <v>0</v>
      </c>
      <c r="X74" s="88" t="s">
        <v>762</v>
      </c>
    </row>
    <row r="75" spans="1:24" s="46" customFormat="1" x14ac:dyDescent="0.2">
      <c r="A75" s="51" t="s">
        <v>514</v>
      </c>
      <c r="B75" s="90" t="s">
        <v>661</v>
      </c>
      <c r="C75" s="52" t="s">
        <v>677</v>
      </c>
      <c r="D75" s="90">
        <f>VLOOKUP(C75,'IP PITS'!$B$6:$V$86,21,0)</f>
        <v>1827</v>
      </c>
      <c r="E75" s="108"/>
      <c r="F75" s="88">
        <f>VLOOKUP(C75,'SIND PITS'!$C$3:$D$102,2,0)</f>
        <v>289.2</v>
      </c>
      <c r="G75" s="88">
        <f>VLOOKUP(C75,'SIND PITS'!$C$3:$E$102,3,0)</f>
        <v>811</v>
      </c>
      <c r="H75" s="88">
        <f>VLOOKUP(C75,'SIND PITS'!$C$3:$F$102,4,0)</f>
        <v>0</v>
      </c>
      <c r="I75" s="88">
        <f>VLOOKUP(C75,'SIND PITS'!$C$3:$G$102,5,0)</f>
        <v>0</v>
      </c>
      <c r="J75" s="94"/>
      <c r="K75" s="88">
        <f t="shared" si="7"/>
        <v>2927.2</v>
      </c>
      <c r="L75" s="46">
        <v>6300</v>
      </c>
      <c r="M75" s="88">
        <v>3150</v>
      </c>
      <c r="N75" s="95"/>
      <c r="O75" s="46">
        <f>VLOOKUP(C75,'IP PITS'!$B$6:$I$86,8,0)</f>
        <v>0</v>
      </c>
      <c r="P75" s="88">
        <f t="shared" si="8"/>
        <v>811</v>
      </c>
      <c r="Q75" s="46">
        <f>VLOOKUP(C75,'IP PITS'!$B$6:$N$86,13,0)</f>
        <v>0</v>
      </c>
      <c r="R75" s="46">
        <f>VLOOKUP(C75,'IP PITS'!$B$6:$Q$86,16,0)</f>
        <v>0</v>
      </c>
      <c r="S75" s="46">
        <f>VLOOKUP(C75,'IP PITS'!$B$6:$R$86,17,0)</f>
        <v>1033.8</v>
      </c>
      <c r="T75" s="95"/>
      <c r="U75" s="88">
        <f t="shared" si="4"/>
        <v>3150</v>
      </c>
      <c r="V75" s="46">
        <f t="shared" si="6"/>
        <v>0</v>
      </c>
      <c r="X75" s="88" t="s">
        <v>763</v>
      </c>
    </row>
    <row r="76" spans="1:24" s="46" customFormat="1" x14ac:dyDescent="0.2">
      <c r="A76" s="51" t="s">
        <v>43</v>
      </c>
      <c r="B76" s="90" t="s">
        <v>661</v>
      </c>
      <c r="C76" s="52" t="s">
        <v>678</v>
      </c>
      <c r="D76" s="90">
        <f>VLOOKUP(C76,'IP PITS'!$B$6:$V$86,21,0)</f>
        <v>2442.6</v>
      </c>
      <c r="E76" s="108"/>
      <c r="F76" s="88">
        <f>VLOOKUP(C76,'SIND PITS'!$C$3:$D$102,2,0)</f>
        <v>3557.3999999999996</v>
      </c>
      <c r="G76" s="88">
        <f>VLOOKUP(C76,'SIND PITS'!$C$3:$E$102,3,0)</f>
        <v>552</v>
      </c>
      <c r="H76" s="88">
        <f>VLOOKUP(C76,'SIND PITS'!$C$3:$F$102,4,0)</f>
        <v>0</v>
      </c>
      <c r="I76" s="88">
        <f>VLOOKUP(C76,'SIND PITS'!$C$3:$G$102,5,0)</f>
        <v>0</v>
      </c>
      <c r="J76" s="94"/>
      <c r="K76" s="88">
        <f t="shared" si="7"/>
        <v>6552</v>
      </c>
      <c r="L76" s="88">
        <v>12000</v>
      </c>
      <c r="M76" s="88">
        <v>6000</v>
      </c>
      <c r="N76" s="95"/>
      <c r="O76" s="46">
        <f>VLOOKUP(C76,'IP PITS'!$B$6:$I$86,8,0)</f>
        <v>0</v>
      </c>
      <c r="P76" s="88">
        <f t="shared" si="8"/>
        <v>552</v>
      </c>
      <c r="Q76" s="46">
        <f>VLOOKUP(C76,'IP PITS'!$B$6:$N$86,13,0)</f>
        <v>0</v>
      </c>
      <c r="R76" s="46">
        <f>VLOOKUP(C76,'IP PITS'!$B$6:$Q$86,16,0)</f>
        <v>0</v>
      </c>
      <c r="S76" s="46">
        <f>VLOOKUP(C76,'IP PITS'!$B$6:$R$86,17,0)</f>
        <v>0</v>
      </c>
      <c r="T76" s="95"/>
      <c r="U76" s="88">
        <f t="shared" si="4"/>
        <v>6000</v>
      </c>
      <c r="V76" s="46">
        <f t="shared" si="6"/>
        <v>0</v>
      </c>
      <c r="X76" s="88" t="s">
        <v>764</v>
      </c>
    </row>
    <row r="77" spans="1:24" s="46" customFormat="1" x14ac:dyDescent="0.2">
      <c r="A77" s="51" t="s">
        <v>518</v>
      </c>
      <c r="B77" s="90" t="s">
        <v>661</v>
      </c>
      <c r="C77" s="51" t="s">
        <v>690</v>
      </c>
      <c r="D77" s="90">
        <f>VLOOKUP(C77,'IP PITS'!$B$6:$V$86,21,0)</f>
        <v>2442.8000000000002</v>
      </c>
      <c r="E77" s="108"/>
      <c r="F77" s="88">
        <f>VLOOKUP(C77,'SIND PITS'!$C$3:$D$102,2,0)</f>
        <v>57.199999999999818</v>
      </c>
      <c r="G77" s="88">
        <f>VLOOKUP(C77,'SIND PITS'!$C$3:$E$102,3,0)</f>
        <v>305.5</v>
      </c>
      <c r="H77" s="88">
        <f>VLOOKUP(C77,'SIND PITS'!$C$3:$F$102,4,0)</f>
        <v>0</v>
      </c>
      <c r="I77" s="88">
        <f>VLOOKUP(C77,'SIND PITS'!$C$3:$G$102,5,0)</f>
        <v>0</v>
      </c>
      <c r="J77" s="94"/>
      <c r="K77" s="88">
        <f t="shared" si="7"/>
        <v>2805.5</v>
      </c>
      <c r="L77" s="88">
        <v>5000</v>
      </c>
      <c r="M77" s="88">
        <v>2500</v>
      </c>
      <c r="N77" s="95"/>
      <c r="O77" s="46">
        <f>VLOOKUP(C77,'IP PITS'!$B$6:$I$86,8,0)</f>
        <v>0</v>
      </c>
      <c r="P77" s="88">
        <f t="shared" si="8"/>
        <v>305.5</v>
      </c>
      <c r="Q77" s="46">
        <f>VLOOKUP(C77,'IP PITS'!$B$6:$N$86,13,0)</f>
        <v>0</v>
      </c>
      <c r="R77" s="46">
        <f>VLOOKUP(C77,'IP PITS'!$B$6:$Q$86,16,0)</f>
        <v>0</v>
      </c>
      <c r="S77" s="46">
        <f>VLOOKUP(C77,'IP PITS'!$B$6:$R$86,17,0)</f>
        <v>0</v>
      </c>
      <c r="T77" s="95"/>
      <c r="U77" s="88">
        <f t="shared" si="4"/>
        <v>2500</v>
      </c>
      <c r="V77" s="46">
        <f t="shared" si="6"/>
        <v>0</v>
      </c>
      <c r="X77" s="88" t="s">
        <v>765</v>
      </c>
    </row>
    <row r="78" spans="1:24" s="46" customFormat="1" x14ac:dyDescent="0.2">
      <c r="A78" s="51" t="s">
        <v>543</v>
      </c>
      <c r="B78" s="90" t="s">
        <v>661</v>
      </c>
      <c r="C78" s="51" t="s">
        <v>544</v>
      </c>
      <c r="D78" s="90">
        <f>VLOOKUP(C78,'IP PITS'!$B$6:$V$86,21,0)</f>
        <v>2025.6</v>
      </c>
      <c r="E78" s="108"/>
      <c r="F78" s="88">
        <f>VLOOKUP(C78,'SIND PITS'!$C$3:$D$102,2,0)</f>
        <v>56.639999999999873</v>
      </c>
      <c r="G78" s="88">
        <f>VLOOKUP(C78,'SIND PITS'!$C$3:$E$102,3,0)</f>
        <v>338.5</v>
      </c>
      <c r="H78" s="88">
        <f>VLOOKUP(C78,'SIND PITS'!$C$3:$F$102,4,0)</f>
        <v>0</v>
      </c>
      <c r="I78" s="88">
        <f>VLOOKUP(C78,'SIND PITS'!$C$3:$G$102,5,0)</f>
        <v>0</v>
      </c>
      <c r="J78" s="94"/>
      <c r="K78" s="88">
        <f t="shared" si="7"/>
        <v>2420.7399999999998</v>
      </c>
      <c r="L78" s="109">
        <v>5000</v>
      </c>
      <c r="M78" s="88">
        <v>2500</v>
      </c>
      <c r="N78" s="95"/>
      <c r="O78" s="46">
        <f>VLOOKUP(C78,'IP PITS'!$B$6:$I$86,8,0)</f>
        <v>0</v>
      </c>
      <c r="P78" s="88">
        <f t="shared" si="8"/>
        <v>338.5</v>
      </c>
      <c r="Q78" s="46">
        <f>VLOOKUP(C78,'IP PITS'!$B$6:$N$86,13,0)</f>
        <v>417.76</v>
      </c>
      <c r="R78" s="46">
        <f>VLOOKUP(C78,'IP PITS'!$B$6:$Q$86,16,0)</f>
        <v>0</v>
      </c>
      <c r="S78" s="46">
        <f>VLOOKUP(C78,'IP PITS'!$B$6:$R$86,17,0)</f>
        <v>0</v>
      </c>
      <c r="T78" s="95"/>
      <c r="U78" s="88">
        <f t="shared" si="4"/>
        <v>2500</v>
      </c>
      <c r="V78" s="46">
        <f t="shared" si="6"/>
        <v>0</v>
      </c>
      <c r="X78" s="88" t="s">
        <v>766</v>
      </c>
    </row>
    <row r="79" spans="1:24" s="46" customFormat="1" x14ac:dyDescent="0.2">
      <c r="A79" s="51" t="s">
        <v>547</v>
      </c>
      <c r="B79" s="90" t="s">
        <v>661</v>
      </c>
      <c r="C79" s="52" t="s">
        <v>679</v>
      </c>
      <c r="D79" s="90">
        <f>VLOOKUP(C79,'IP PITS'!$B$6:$V$86,21,0)</f>
        <v>2278</v>
      </c>
      <c r="E79" s="108"/>
      <c r="F79" s="88">
        <f>VLOOKUP(C79,'SIND PITS'!$C$3:$D$102,2,0)</f>
        <v>140.27000000000001</v>
      </c>
      <c r="G79" s="88">
        <f>VLOOKUP(C79,'SIND PITS'!$C$3:$E$102,3,0)</f>
        <v>337.5</v>
      </c>
      <c r="H79" s="88">
        <f>VLOOKUP(C79,'SIND PITS'!$C$3:$F$102,4,0)</f>
        <v>0</v>
      </c>
      <c r="I79" s="88">
        <f>VLOOKUP(C79,'SIND PITS'!$C$3:$G$102,5,0)</f>
        <v>0</v>
      </c>
      <c r="J79" s="94"/>
      <c r="K79" s="88">
        <f t="shared" si="7"/>
        <v>2755.77</v>
      </c>
      <c r="L79" s="88">
        <v>6000</v>
      </c>
      <c r="M79" s="88">
        <v>3000</v>
      </c>
      <c r="N79" s="95"/>
      <c r="O79" s="46">
        <f>VLOOKUP(C79,'IP PITS'!$B$6:$I$86,8,0)</f>
        <v>0</v>
      </c>
      <c r="P79" s="88">
        <f t="shared" si="8"/>
        <v>337.5</v>
      </c>
      <c r="Q79" s="46">
        <f>VLOOKUP(C79,'IP PITS'!$B$6:$N$86,13,0)</f>
        <v>0</v>
      </c>
      <c r="R79" s="46">
        <f>VLOOKUP(C79,'IP PITS'!$B$6:$Q$86,16,0)</f>
        <v>581.73</v>
      </c>
      <c r="S79" s="46">
        <f>VLOOKUP(C79,'IP PITS'!$B$6:$R$86,17,0)</f>
        <v>0</v>
      </c>
      <c r="T79" s="95"/>
      <c r="U79" s="88">
        <f t="shared" si="4"/>
        <v>3000</v>
      </c>
      <c r="V79" s="46">
        <f t="shared" si="6"/>
        <v>0</v>
      </c>
      <c r="X79" s="88" t="s">
        <v>767</v>
      </c>
    </row>
    <row r="80" spans="1:24" s="46" customFormat="1" x14ac:dyDescent="0.2">
      <c r="A80" s="51" t="s">
        <v>99</v>
      </c>
      <c r="B80" s="90" t="s">
        <v>661</v>
      </c>
      <c r="C80" s="58" t="s">
        <v>549</v>
      </c>
      <c r="D80" s="90">
        <f>VLOOKUP(C80,'IP PITS'!$B$6:$V$86,21,0)</f>
        <v>2859.6</v>
      </c>
      <c r="E80" s="108"/>
      <c r="F80" s="88">
        <f>VLOOKUP(C80,'SIND PITS'!$C$3:$D$102,2,0)</f>
        <v>590.40000000000009</v>
      </c>
      <c r="G80" s="88">
        <f>VLOOKUP(C80,'SIND PITS'!$C$3:$E$102,3,0)</f>
        <v>0</v>
      </c>
      <c r="H80" s="88">
        <f>VLOOKUP(C80,'SIND PITS'!$C$3:$F$102,4,0)</f>
        <v>0</v>
      </c>
      <c r="I80" s="88">
        <f>VLOOKUP(C80,'SIND PITS'!$C$3:$G$102,5,0)</f>
        <v>0</v>
      </c>
      <c r="J80" s="94"/>
      <c r="K80" s="88">
        <f t="shared" si="7"/>
        <v>3450</v>
      </c>
      <c r="L80" s="88">
        <v>6900</v>
      </c>
      <c r="M80" s="88">
        <v>3450</v>
      </c>
      <c r="N80" s="95">
        <v>0</v>
      </c>
      <c r="O80" s="46">
        <f>VLOOKUP(C80,'IP PITS'!$B$6:$I$86,8,0)</f>
        <v>0</v>
      </c>
      <c r="P80" s="88">
        <f t="shared" si="8"/>
        <v>0</v>
      </c>
      <c r="Q80" s="46">
        <f>VLOOKUP(C80,'IP PITS'!$B$6:$N$86,13,0)</f>
        <v>0</v>
      </c>
      <c r="R80" s="46">
        <f>VLOOKUP(C80,'IP PITS'!$B$6:$Q$86,16,0)</f>
        <v>0</v>
      </c>
      <c r="S80" s="46">
        <f>VLOOKUP(C80,'IP PITS'!$B$6:$R$86,17,0)</f>
        <v>0</v>
      </c>
      <c r="T80" s="95"/>
      <c r="U80" s="88">
        <f t="shared" si="4"/>
        <v>3450</v>
      </c>
      <c r="V80" s="46">
        <f t="shared" si="6"/>
        <v>0</v>
      </c>
      <c r="X80" s="88" t="s">
        <v>768</v>
      </c>
    </row>
    <row r="81" spans="1:24" s="46" customFormat="1" x14ac:dyDescent="0.2">
      <c r="A81" s="51" t="s">
        <v>550</v>
      </c>
      <c r="B81" s="90" t="s">
        <v>661</v>
      </c>
      <c r="C81" s="52" t="s">
        <v>319</v>
      </c>
      <c r="D81" s="90">
        <f>VLOOKUP(C81,'IP PITS'!$B$6:$V$86,21,0)</f>
        <v>3447.8</v>
      </c>
      <c r="E81" s="108"/>
      <c r="F81" s="88">
        <f>VLOOKUP(C81,'SIND PITS'!$C$3:$D$102,2,0)</f>
        <v>6527.1999999999989</v>
      </c>
      <c r="G81" s="88">
        <f>VLOOKUP(C81,'SIND PITS'!$C$3:$E$102,3,0)</f>
        <v>2102.5</v>
      </c>
      <c r="H81" s="88">
        <f>VLOOKUP(C81,'SIND PITS'!$C$3:$F$102,4,0)</f>
        <v>0</v>
      </c>
      <c r="I81" s="88">
        <f>VLOOKUP(C81,'SIND PITS'!$C$3:$G$102,5,0)</f>
        <v>0</v>
      </c>
      <c r="J81" s="94"/>
      <c r="K81" s="88">
        <f t="shared" si="7"/>
        <v>12077.5</v>
      </c>
      <c r="L81" s="72">
        <v>19950</v>
      </c>
      <c r="M81" s="88">
        <v>9975</v>
      </c>
      <c r="N81" s="95"/>
      <c r="O81" s="46">
        <f>VLOOKUP(C81,'IP PITS'!$B$6:$I$86,8,0)</f>
        <v>0</v>
      </c>
      <c r="P81" s="88">
        <f t="shared" si="8"/>
        <v>2102.5</v>
      </c>
      <c r="Q81" s="46">
        <f>VLOOKUP(C81,'IP PITS'!$B$6:$N$86,13,0)</f>
        <v>0</v>
      </c>
      <c r="R81" s="46">
        <f>VLOOKUP(C81,'IP PITS'!$B$6:$Q$86,16,0)</f>
        <v>0</v>
      </c>
      <c r="S81" s="46">
        <f>VLOOKUP(C81,'IP PITS'!$B$6:$R$86,17,0)</f>
        <v>0</v>
      </c>
      <c r="T81" s="95"/>
      <c r="U81" s="88">
        <f t="shared" si="4"/>
        <v>9975</v>
      </c>
      <c r="V81" s="46">
        <f t="shared" si="6"/>
        <v>0</v>
      </c>
      <c r="X81" s="88" t="s">
        <v>769</v>
      </c>
    </row>
    <row r="82" spans="1:24" s="46" customFormat="1" x14ac:dyDescent="0.2">
      <c r="A82" s="47" t="s">
        <v>554</v>
      </c>
      <c r="B82" s="90" t="s">
        <v>661</v>
      </c>
      <c r="C82" s="47" t="s">
        <v>555</v>
      </c>
      <c r="D82" s="90">
        <f>VLOOKUP(C82,'IP PITS'!$B$6:$V$86,21,0)</f>
        <v>2443.6</v>
      </c>
      <c r="E82" s="108"/>
      <c r="F82" s="88">
        <f>VLOOKUP(C82,'SIND PITS'!$C$3:$D$102,2,0)</f>
        <v>56.400000000000091</v>
      </c>
      <c r="G82" s="88">
        <f>VLOOKUP(C82,'SIND PITS'!$C$3:$E$102,3,0)</f>
        <v>186.5</v>
      </c>
      <c r="H82" s="88">
        <f>VLOOKUP(C82,'SIND PITS'!$C$3:$F$102,4,0)</f>
        <v>0</v>
      </c>
      <c r="I82" s="88">
        <f>VLOOKUP(C82,'SIND PITS'!$C$3:$G$102,5,0)</f>
        <v>0</v>
      </c>
      <c r="J82" s="94"/>
      <c r="K82" s="88">
        <f t="shared" si="7"/>
        <v>2686.5</v>
      </c>
      <c r="L82" s="88">
        <v>5000</v>
      </c>
      <c r="M82" s="88">
        <v>2500</v>
      </c>
      <c r="N82" s="95"/>
      <c r="O82" s="46">
        <f>VLOOKUP(C82,'IP PITS'!$B$6:$I$86,8,0)</f>
        <v>0</v>
      </c>
      <c r="P82" s="88">
        <f t="shared" si="8"/>
        <v>186.5</v>
      </c>
      <c r="Q82" s="46">
        <f>VLOOKUP(C82,'IP PITS'!$B$6:$N$86,13,0)</f>
        <v>0</v>
      </c>
      <c r="R82" s="46">
        <f>VLOOKUP(C82,'IP PITS'!$B$6:$Q$86,16,0)</f>
        <v>0</v>
      </c>
      <c r="S82" s="46">
        <f>VLOOKUP(C82,'IP PITS'!$B$6:$R$86,17,0)</f>
        <v>0</v>
      </c>
      <c r="T82" s="95"/>
      <c r="U82" s="88">
        <f t="shared" si="4"/>
        <v>2500</v>
      </c>
      <c r="V82" s="46">
        <f t="shared" si="6"/>
        <v>0</v>
      </c>
      <c r="X82" s="88" t="s">
        <v>770</v>
      </c>
    </row>
    <row r="83" spans="1:24" s="46" customFormat="1" x14ac:dyDescent="0.2">
      <c r="A83" s="47" t="s">
        <v>558</v>
      </c>
      <c r="B83" s="90" t="s">
        <v>661</v>
      </c>
      <c r="C83" s="47" t="s">
        <v>559</v>
      </c>
      <c r="D83" s="90">
        <f>VLOOKUP(C83,'IP PITS'!$B$6:$V$86,21,0)</f>
        <v>3272.8</v>
      </c>
      <c r="E83" s="108"/>
      <c r="F83" s="88">
        <f>VLOOKUP(C83,'SIND PITS'!$C$3:$D$102,2,0)</f>
        <v>227.19999999999982</v>
      </c>
      <c r="G83" s="88">
        <f>VLOOKUP(C83,'SIND PITS'!$C$3:$E$102,3,0)</f>
        <v>0</v>
      </c>
      <c r="H83" s="88">
        <f>VLOOKUP(C83,'SIND PITS'!$C$3:$F$102,4,0)</f>
        <v>0</v>
      </c>
      <c r="I83" s="88">
        <f>VLOOKUP(C83,'SIND PITS'!$C$3:$G$102,5,0)</f>
        <v>0</v>
      </c>
      <c r="J83" s="94"/>
      <c r="K83" s="88">
        <f t="shared" si="7"/>
        <v>3500</v>
      </c>
      <c r="L83" s="88">
        <v>7000</v>
      </c>
      <c r="M83" s="88">
        <v>3500</v>
      </c>
      <c r="N83" s="95"/>
      <c r="O83" s="46">
        <f>VLOOKUP(C83,'IP PITS'!$B$6:$I$86,8,0)</f>
        <v>0</v>
      </c>
      <c r="P83" s="88">
        <f t="shared" si="8"/>
        <v>0</v>
      </c>
      <c r="Q83" s="46">
        <f>VLOOKUP(C83,'IP PITS'!$B$6:$N$86,13,0)</f>
        <v>0</v>
      </c>
      <c r="R83" s="46">
        <f>VLOOKUP(C83,'IP PITS'!$B$6:$Q$86,16,0)</f>
        <v>0</v>
      </c>
      <c r="S83" s="46">
        <f>VLOOKUP(C83,'IP PITS'!$B$6:$R$86,17,0)</f>
        <v>0</v>
      </c>
      <c r="T83" s="95"/>
      <c r="U83" s="88">
        <f t="shared" si="4"/>
        <v>3500</v>
      </c>
      <c r="V83" s="46">
        <f t="shared" si="6"/>
        <v>0</v>
      </c>
      <c r="X83" s="88" t="s">
        <v>771</v>
      </c>
    </row>
    <row r="84" spans="1:24" s="46" customFormat="1" x14ac:dyDescent="0.2">
      <c r="A84" s="47" t="s">
        <v>560</v>
      </c>
      <c r="B84" s="90" t="s">
        <v>661</v>
      </c>
      <c r="C84" s="47" t="s">
        <v>561</v>
      </c>
      <c r="D84" s="90">
        <f>VLOOKUP(C84,'IP PITS'!$B$6:$V$86,21,0)</f>
        <v>3228.4</v>
      </c>
      <c r="E84" s="108"/>
      <c r="F84" s="88">
        <f>VLOOKUP(C84,'SIND PITS'!$C$3:$D$102,2,0)</f>
        <v>221.59999999999991</v>
      </c>
      <c r="G84" s="88">
        <f>VLOOKUP(C84,'SIND PITS'!$C$3:$E$102,3,0)</f>
        <v>0</v>
      </c>
      <c r="H84" s="88">
        <f>VLOOKUP(C84,'SIND PITS'!$C$3:$F$102,4,0)</f>
        <v>0</v>
      </c>
      <c r="I84" s="88">
        <f>VLOOKUP(C84,'SIND PITS'!$C$3:$G$102,5,0)</f>
        <v>0</v>
      </c>
      <c r="J84" s="94"/>
      <c r="K84" s="88">
        <f t="shared" si="7"/>
        <v>3450</v>
      </c>
      <c r="L84" s="88">
        <v>6900</v>
      </c>
      <c r="M84" s="88">
        <v>3450</v>
      </c>
      <c r="N84" s="95"/>
      <c r="O84" s="46">
        <f>VLOOKUP(C84,'IP PITS'!$B$6:$I$86,8,0)</f>
        <v>0</v>
      </c>
      <c r="P84" s="88">
        <f t="shared" si="8"/>
        <v>0</v>
      </c>
      <c r="Q84" s="46">
        <f>VLOOKUP(C84,'IP PITS'!$B$6:$N$86,13,0)</f>
        <v>0</v>
      </c>
      <c r="R84" s="46">
        <f>VLOOKUP(C84,'IP PITS'!$B$6:$Q$86,16,0)</f>
        <v>0</v>
      </c>
      <c r="S84" s="46">
        <f>VLOOKUP(C84,'IP PITS'!$B$6:$R$86,17,0)</f>
        <v>0</v>
      </c>
      <c r="T84" s="95"/>
      <c r="U84" s="88">
        <f t="shared" si="4"/>
        <v>3450</v>
      </c>
      <c r="V84" s="46">
        <f t="shared" si="6"/>
        <v>0</v>
      </c>
      <c r="X84" s="88" t="s">
        <v>772</v>
      </c>
    </row>
    <row r="85" spans="1:24" s="46" customFormat="1" x14ac:dyDescent="0.2">
      <c r="A85" s="47" t="s">
        <v>562</v>
      </c>
      <c r="B85" s="90" t="s">
        <v>661</v>
      </c>
      <c r="C85" s="47" t="s">
        <v>563</v>
      </c>
      <c r="D85" s="90">
        <f>VLOOKUP(C85,'IP PITS'!$B$6:$V$86,21,0)</f>
        <v>1808.4</v>
      </c>
      <c r="E85" s="108"/>
      <c r="F85" s="88">
        <f>VLOOKUP(C85,'SIND PITS'!$C$3:$D$102,2,0)</f>
        <v>228.4699999999998</v>
      </c>
      <c r="G85" s="88">
        <f>VLOOKUP(C85,'SIND PITS'!$C$3:$E$102,3,0)</f>
        <v>300</v>
      </c>
      <c r="H85" s="88">
        <f>VLOOKUP(C85,'SIND PITS'!$C$3:$F$102,4,0)</f>
        <v>0</v>
      </c>
      <c r="I85" s="88">
        <f>VLOOKUP(C85,'SIND PITS'!$C$3:$G$102,5,0)</f>
        <v>0</v>
      </c>
      <c r="J85" s="94"/>
      <c r="K85" s="88">
        <f t="shared" si="7"/>
        <v>2336.87</v>
      </c>
      <c r="L85" s="88">
        <v>7000</v>
      </c>
      <c r="M85" s="88">
        <v>3500</v>
      </c>
      <c r="N85" s="95"/>
      <c r="O85" s="46">
        <f>VLOOKUP(C85,'IP PITS'!$B$6:$I$86,8,0)</f>
        <v>0</v>
      </c>
      <c r="P85" s="88">
        <f t="shared" si="8"/>
        <v>300</v>
      </c>
      <c r="Q85" s="46">
        <f>VLOOKUP(C85,'IP PITS'!$B$6:$N$86,13,0)</f>
        <v>1463.13</v>
      </c>
      <c r="R85" s="46">
        <f>VLOOKUP(C85,'IP PITS'!$B$6:$Q$86,16,0)</f>
        <v>0</v>
      </c>
      <c r="S85" s="46">
        <f>VLOOKUP(C85,'IP PITS'!$B$6:$R$86,17,0)</f>
        <v>0</v>
      </c>
      <c r="T85" s="95"/>
      <c r="U85" s="88">
        <f t="shared" si="4"/>
        <v>3500</v>
      </c>
      <c r="V85" s="46">
        <f t="shared" si="6"/>
        <v>0</v>
      </c>
      <c r="X85" s="88" t="s">
        <v>773</v>
      </c>
    </row>
    <row r="86" spans="1:24" s="46" customFormat="1" x14ac:dyDescent="0.2">
      <c r="A86" s="47" t="s">
        <v>564</v>
      </c>
      <c r="B86" s="90" t="s">
        <v>661</v>
      </c>
      <c r="C86" s="47" t="s">
        <v>565</v>
      </c>
      <c r="D86" s="90">
        <f>VLOOKUP(C86,'IP PITS'!$B$6:$V$86,21,0)</f>
        <v>2969.2</v>
      </c>
      <c r="E86" s="108"/>
      <c r="F86" s="88">
        <f>VLOOKUP(C86,'SIND PITS'!$C$3:$D$102,2,0)</f>
        <v>180.80000000000018</v>
      </c>
      <c r="G86" s="88">
        <f>VLOOKUP(C86,'SIND PITS'!$C$3:$E$102,3,0)</f>
        <v>843.75</v>
      </c>
      <c r="H86" s="88">
        <f>VLOOKUP(C86,'SIND PITS'!$C$3:$F$102,4,0)</f>
        <v>0</v>
      </c>
      <c r="I86" s="88">
        <f>VLOOKUP(C86,'SIND PITS'!$C$3:$G$102,5,0)</f>
        <v>0</v>
      </c>
      <c r="J86" s="94"/>
      <c r="K86" s="88">
        <f t="shared" si="7"/>
        <v>3993.75</v>
      </c>
      <c r="L86" s="88">
        <v>6300</v>
      </c>
      <c r="M86" s="88">
        <v>3150</v>
      </c>
      <c r="N86" s="95"/>
      <c r="O86" s="46">
        <f>VLOOKUP(C86,'IP PITS'!$B$6:$I$86,8,0)</f>
        <v>0</v>
      </c>
      <c r="P86" s="88">
        <f t="shared" si="8"/>
        <v>843.75</v>
      </c>
      <c r="Q86" s="46">
        <f>VLOOKUP(C86,'IP PITS'!$B$6:$N$86,13,0)</f>
        <v>0</v>
      </c>
      <c r="R86" s="46">
        <f>VLOOKUP(C86,'IP PITS'!$B$6:$Q$86,16,0)</f>
        <v>0</v>
      </c>
      <c r="S86" s="46">
        <f>VLOOKUP(C86,'IP PITS'!$B$6:$R$86,17,0)</f>
        <v>0</v>
      </c>
      <c r="T86" s="95"/>
      <c r="U86" s="88">
        <f t="shared" si="4"/>
        <v>3150</v>
      </c>
      <c r="V86" s="46">
        <f t="shared" si="6"/>
        <v>0</v>
      </c>
      <c r="X86" s="88" t="s">
        <v>774</v>
      </c>
    </row>
    <row r="87" spans="1:24" s="46" customFormat="1" x14ac:dyDescent="0.2">
      <c r="A87" s="47" t="s">
        <v>566</v>
      </c>
      <c r="B87" s="90" t="s">
        <v>661</v>
      </c>
      <c r="C87" s="47" t="s">
        <v>567</v>
      </c>
      <c r="D87" s="90">
        <f>VLOOKUP(C87,'IP PITS'!$B$6:$V$86,21,0)</f>
        <v>2656.8</v>
      </c>
      <c r="E87" s="108"/>
      <c r="F87" s="88">
        <f>VLOOKUP(C87,'SIND PITS'!$C$3:$D$102,2,0)</f>
        <v>493.19999999999982</v>
      </c>
      <c r="G87" s="88">
        <f>VLOOKUP(C87,'SIND PITS'!$C$3:$E$102,3,0)</f>
        <v>0</v>
      </c>
      <c r="H87" s="88">
        <f>VLOOKUP(C87,'SIND PITS'!$C$3:$F$102,4,0)</f>
        <v>0</v>
      </c>
      <c r="I87" s="88">
        <f>VLOOKUP(C87,'SIND PITS'!$C$3:$G$102,5,0)</f>
        <v>0</v>
      </c>
      <c r="J87" s="94"/>
      <c r="K87" s="88">
        <f t="shared" si="7"/>
        <v>3150</v>
      </c>
      <c r="L87" s="88">
        <v>6300</v>
      </c>
      <c r="M87" s="88">
        <v>3150</v>
      </c>
      <c r="N87" s="95"/>
      <c r="O87" s="46">
        <f>VLOOKUP(C87,'IP PITS'!$B$6:$I$86,8,0)</f>
        <v>0</v>
      </c>
      <c r="P87" s="88">
        <f t="shared" si="8"/>
        <v>0</v>
      </c>
      <c r="Q87" s="46">
        <f>VLOOKUP(C87,'IP PITS'!$B$6:$N$86,13,0)</f>
        <v>0</v>
      </c>
      <c r="R87" s="46">
        <f>VLOOKUP(C87,'IP PITS'!$B$6:$Q$86,16,0)</f>
        <v>0</v>
      </c>
      <c r="S87" s="46">
        <f>VLOOKUP(C87,'IP PITS'!$B$6:$R$86,17,0)</f>
        <v>0</v>
      </c>
      <c r="T87" s="95"/>
      <c r="U87" s="88">
        <f t="shared" ref="U87:U102" si="9">+K87-O87-P87+Q87+R87+S87</f>
        <v>3150</v>
      </c>
      <c r="V87" s="46">
        <f t="shared" si="6"/>
        <v>0</v>
      </c>
      <c r="X87" s="88" t="s">
        <v>775</v>
      </c>
    </row>
    <row r="88" spans="1:24" s="46" customFormat="1" x14ac:dyDescent="0.2">
      <c r="A88" s="51" t="s">
        <v>568</v>
      </c>
      <c r="B88" s="90" t="s">
        <v>661</v>
      </c>
      <c r="C88" s="51" t="s">
        <v>569</v>
      </c>
      <c r="D88" s="90">
        <f>VLOOKUP(C88,'IP PITS'!$B$6:$V$86,21,0)</f>
        <v>2969.2</v>
      </c>
      <c r="E88" s="108"/>
      <c r="F88" s="88">
        <f>VLOOKUP(C88,'SIND PITS'!$C$3:$D$102,2,0)</f>
        <v>180.80000000000018</v>
      </c>
      <c r="G88" s="88">
        <f>VLOOKUP(C88,'SIND PITS'!$C$3:$E$102,3,0)</f>
        <v>618.75</v>
      </c>
      <c r="H88" s="88">
        <f>VLOOKUP(C88,'SIND PITS'!$C$3:$F$102,4,0)</f>
        <v>0</v>
      </c>
      <c r="I88" s="88">
        <f>VLOOKUP(C88,'SIND PITS'!$C$3:$G$102,5,0)</f>
        <v>0</v>
      </c>
      <c r="J88" s="94"/>
      <c r="K88" s="88">
        <f t="shared" si="7"/>
        <v>3768.75</v>
      </c>
      <c r="L88" s="88">
        <v>6300</v>
      </c>
      <c r="M88" s="88">
        <v>3150</v>
      </c>
      <c r="N88" s="95"/>
      <c r="O88" s="46">
        <f>VLOOKUP(C88,'IP PITS'!$B$6:$I$86,8,0)</f>
        <v>0</v>
      </c>
      <c r="P88" s="88">
        <f t="shared" si="8"/>
        <v>618.75</v>
      </c>
      <c r="Q88" s="46">
        <f>VLOOKUP(C88,'IP PITS'!$B$6:$N$86,13,0)</f>
        <v>0</v>
      </c>
      <c r="R88" s="46">
        <f>VLOOKUP(C88,'IP PITS'!$B$6:$Q$86,16,0)</f>
        <v>0</v>
      </c>
      <c r="S88" s="46">
        <f>VLOOKUP(C88,'IP PITS'!$B$6:$R$86,17,0)</f>
        <v>0</v>
      </c>
      <c r="T88" s="95"/>
      <c r="U88" s="88">
        <f t="shared" si="9"/>
        <v>3150</v>
      </c>
      <c r="V88" s="46">
        <f t="shared" si="6"/>
        <v>0</v>
      </c>
      <c r="W88" s="112"/>
      <c r="X88" s="88" t="s">
        <v>776</v>
      </c>
    </row>
    <row r="89" spans="1:24" s="46" customFormat="1" x14ac:dyDescent="0.2">
      <c r="A89" s="51" t="s">
        <v>570</v>
      </c>
      <c r="B89" s="90" t="s">
        <v>661</v>
      </c>
      <c r="C89" s="51" t="s">
        <v>571</v>
      </c>
      <c r="D89" s="90">
        <f>VLOOKUP(C89,'IP PITS'!$B$6:$V$86,21,0)</f>
        <v>2007.2</v>
      </c>
      <c r="E89" s="108"/>
      <c r="F89" s="88">
        <f>VLOOKUP(C89,'SIND PITS'!$C$3:$D$102,2,0)</f>
        <v>1142.7999999999997</v>
      </c>
      <c r="G89" s="88">
        <f>VLOOKUP(C89,'SIND PITS'!$C$3:$E$102,3,0)</f>
        <v>480</v>
      </c>
      <c r="H89" s="88">
        <f>VLOOKUP(C89,'SIND PITS'!$C$3:$F$102,4,0)</f>
        <v>0</v>
      </c>
      <c r="I89" s="88">
        <f>VLOOKUP(C89,'SIND PITS'!$C$3:$G$102,5,0)</f>
        <v>0</v>
      </c>
      <c r="J89" s="94"/>
      <c r="K89" s="88">
        <f t="shared" si="7"/>
        <v>3630</v>
      </c>
      <c r="L89" s="88">
        <v>6300</v>
      </c>
      <c r="M89" s="88">
        <v>3150</v>
      </c>
      <c r="N89" s="95"/>
      <c r="O89" s="46">
        <f>VLOOKUP(C89,'IP PITS'!$B$6:$I$86,8,0)</f>
        <v>0</v>
      </c>
      <c r="P89" s="88">
        <f t="shared" si="8"/>
        <v>480</v>
      </c>
      <c r="Q89" s="46">
        <f>VLOOKUP(C89,'IP PITS'!$B$6:$N$86,13,0)</f>
        <v>0</v>
      </c>
      <c r="R89" s="46">
        <f>VLOOKUP(C89,'IP PITS'!$B$6:$Q$86,16,0)</f>
        <v>0</v>
      </c>
      <c r="S89" s="46">
        <f>VLOOKUP(C89,'IP PITS'!$B$6:$R$86,17,0)</f>
        <v>0</v>
      </c>
      <c r="T89" s="95"/>
      <c r="U89" s="88">
        <f t="shared" si="9"/>
        <v>3150</v>
      </c>
      <c r="V89" s="46">
        <f t="shared" si="6"/>
        <v>0</v>
      </c>
      <c r="W89" s="112"/>
      <c r="X89" s="88" t="s">
        <v>777</v>
      </c>
    </row>
    <row r="90" spans="1:24" s="88" customFormat="1" x14ac:dyDescent="0.2">
      <c r="A90" s="51" t="s">
        <v>574</v>
      </c>
      <c r="B90" s="90" t="s">
        <v>661</v>
      </c>
      <c r="C90" s="51" t="s">
        <v>575</v>
      </c>
      <c r="D90" s="90">
        <f>VLOOKUP(C90,'IP PITS'!$B$6:$V$86,21,0)</f>
        <v>1255.4000000000001</v>
      </c>
      <c r="E90" s="108"/>
      <c r="F90" s="88">
        <f>VLOOKUP(C90,'SIND PITS'!$C$3:$D$102,2,0)</f>
        <v>1744.6</v>
      </c>
      <c r="G90" s="88">
        <f>VLOOKUP(C90,'SIND PITS'!$C$3:$E$102,3,0)</f>
        <v>400</v>
      </c>
      <c r="H90" s="88">
        <f>VLOOKUP(C90,'SIND PITS'!$C$3:$F$102,4,0)</f>
        <v>0</v>
      </c>
      <c r="I90" s="88">
        <f>VLOOKUP(C90,'SIND PITS'!$C$3:$G$102,5,0)</f>
        <v>0</v>
      </c>
      <c r="J90" s="94"/>
      <c r="K90" s="88">
        <f t="shared" si="7"/>
        <v>3400</v>
      </c>
      <c r="L90" s="88">
        <v>6000</v>
      </c>
      <c r="M90" s="88">
        <v>3000</v>
      </c>
      <c r="N90" s="95"/>
      <c r="O90" s="46">
        <f>VLOOKUP(C90,'IP PITS'!$B$6:$I$86,8,0)</f>
        <v>0</v>
      </c>
      <c r="P90" s="88">
        <f t="shared" si="8"/>
        <v>400</v>
      </c>
      <c r="Q90" s="46">
        <f>VLOOKUP(C90,'IP PITS'!$B$6:$N$86,13,0)</f>
        <v>0</v>
      </c>
      <c r="R90" s="46">
        <f>VLOOKUP(C90,'IP PITS'!$B$6:$Q$86,16,0)</f>
        <v>0</v>
      </c>
      <c r="S90" s="46">
        <f>VLOOKUP(C90,'IP PITS'!$B$6:$R$86,17,0)</f>
        <v>0</v>
      </c>
      <c r="T90" s="95"/>
      <c r="U90" s="88">
        <f t="shared" si="9"/>
        <v>3000</v>
      </c>
      <c r="V90" s="46">
        <f t="shared" si="6"/>
        <v>0</v>
      </c>
      <c r="W90" s="112"/>
      <c r="X90" s="88" t="s">
        <v>778</v>
      </c>
    </row>
    <row r="91" spans="1:24" s="88" customFormat="1" x14ac:dyDescent="0.2">
      <c r="A91" s="51" t="s">
        <v>578</v>
      </c>
      <c r="B91" s="90" t="s">
        <v>661</v>
      </c>
      <c r="C91" s="51" t="s">
        <v>579</v>
      </c>
      <c r="D91" s="90">
        <f>VLOOKUP(C91,'IP PITS'!$B$6:$V$86,21,0)</f>
        <v>2860.8</v>
      </c>
      <c r="E91" s="108"/>
      <c r="F91" s="88">
        <f>VLOOKUP(C91,'SIND PITS'!$C$3:$D$102,2,0)</f>
        <v>139.19999999999965</v>
      </c>
      <c r="G91" s="88">
        <f>VLOOKUP(C91,'SIND PITS'!$C$3:$E$102,3,0)</f>
        <v>292.5</v>
      </c>
      <c r="H91" s="88">
        <f>VLOOKUP(C91,'SIND PITS'!$C$3:$F$102,4,0)</f>
        <v>0</v>
      </c>
      <c r="I91" s="88">
        <f>VLOOKUP(C91,'SIND PITS'!$C$3:$G$102,5,0)</f>
        <v>0</v>
      </c>
      <c r="J91" s="94"/>
      <c r="K91" s="88">
        <f t="shared" si="7"/>
        <v>3292.5</v>
      </c>
      <c r="L91" s="88">
        <v>6000</v>
      </c>
      <c r="M91" s="88">
        <v>3000</v>
      </c>
      <c r="N91" s="95"/>
      <c r="O91" s="46">
        <f>VLOOKUP(C91,'IP PITS'!$B$6:$I$86,8,0)</f>
        <v>0</v>
      </c>
      <c r="P91" s="88">
        <f t="shared" si="8"/>
        <v>292.5</v>
      </c>
      <c r="Q91" s="46">
        <f>VLOOKUP(C91,'IP PITS'!$B$6:$N$86,13,0)</f>
        <v>0</v>
      </c>
      <c r="R91" s="46">
        <f>VLOOKUP(C91,'IP PITS'!$B$6:$Q$86,16,0)</f>
        <v>0</v>
      </c>
      <c r="S91" s="46">
        <f>VLOOKUP(C91,'IP PITS'!$B$6:$R$86,17,0)</f>
        <v>0</v>
      </c>
      <c r="T91" s="95"/>
      <c r="U91" s="88">
        <f t="shared" si="9"/>
        <v>3000</v>
      </c>
      <c r="V91" s="46">
        <f t="shared" si="6"/>
        <v>0</v>
      </c>
      <c r="W91" s="112"/>
      <c r="X91" s="88" t="s">
        <v>779</v>
      </c>
    </row>
    <row r="92" spans="1:24" s="88" customFormat="1" x14ac:dyDescent="0.2">
      <c r="A92" s="51" t="s">
        <v>504</v>
      </c>
      <c r="B92" s="90" t="s">
        <v>661</v>
      </c>
      <c r="C92" s="51" t="s">
        <v>421</v>
      </c>
      <c r="D92" s="90">
        <f>VLOOKUP(C92,'IP PITS'!$B$6:$V$86,21,0)</f>
        <v>2859.8</v>
      </c>
      <c r="E92" s="108"/>
      <c r="F92" s="88">
        <f>VLOOKUP(C92,'SIND PITS'!$C$3:$D$102,2,0)</f>
        <v>3140.2</v>
      </c>
      <c r="G92" s="88">
        <f>VLOOKUP(C92,'SIND PITS'!$C$3:$E$102,3,0)</f>
        <v>399.5</v>
      </c>
      <c r="H92" s="88">
        <f>VLOOKUP(C92,'SIND PITS'!$C$3:$F$102,4,0)</f>
        <v>0</v>
      </c>
      <c r="I92" s="88">
        <f>VLOOKUP(C92,'SIND PITS'!$C$3:$G$102,5,0)</f>
        <v>0</v>
      </c>
      <c r="J92" s="94"/>
      <c r="K92" s="88">
        <f t="shared" si="7"/>
        <v>6399.5</v>
      </c>
      <c r="L92" s="88">
        <v>12000</v>
      </c>
      <c r="M92" s="88">
        <v>6000</v>
      </c>
      <c r="N92" s="95"/>
      <c r="O92" s="46">
        <f>VLOOKUP(C92,'IP PITS'!$B$6:$I$86,8,0)</f>
        <v>0</v>
      </c>
      <c r="P92" s="88">
        <f t="shared" si="8"/>
        <v>399.5</v>
      </c>
      <c r="Q92" s="46">
        <f>VLOOKUP(C92,'IP PITS'!$B$6:$N$86,13,0)</f>
        <v>0</v>
      </c>
      <c r="R92" s="46">
        <f>VLOOKUP(C92,'IP PITS'!$B$6:$Q$86,16,0)</f>
        <v>0</v>
      </c>
      <c r="S92" s="46">
        <f>VLOOKUP(C92,'IP PITS'!$B$6:$R$86,17,0)</f>
        <v>0</v>
      </c>
      <c r="T92" s="95"/>
      <c r="U92" s="88">
        <f t="shared" si="9"/>
        <v>6000</v>
      </c>
      <c r="V92" s="46">
        <f t="shared" si="6"/>
        <v>0</v>
      </c>
      <c r="W92" s="112"/>
      <c r="X92" s="88" t="s">
        <v>780</v>
      </c>
    </row>
    <row r="93" spans="1:24" s="88" customFormat="1" x14ac:dyDescent="0.2">
      <c r="A93" s="51" t="s">
        <v>580</v>
      </c>
      <c r="B93" s="90" t="s">
        <v>661</v>
      </c>
      <c r="C93" s="51" t="s">
        <v>581</v>
      </c>
      <c r="D93" s="90">
        <f>VLOOKUP(C93,'IP PITS'!$B$6:$V$86,21,0)</f>
        <v>2381.8000000000002</v>
      </c>
      <c r="E93" s="108"/>
      <c r="F93" s="88">
        <f>VLOOKUP(C93,'SIND PITS'!$C$3:$D$102,2,0)</f>
        <v>3618.2</v>
      </c>
      <c r="G93" s="88">
        <f>VLOOKUP(C93,'SIND PITS'!$C$3:$E$102,3,0)</f>
        <v>1750</v>
      </c>
      <c r="H93" s="88">
        <f>VLOOKUP(C93,'SIND PITS'!$C$3:$F$102,4,0)</f>
        <v>0</v>
      </c>
      <c r="I93" s="88">
        <f>VLOOKUP(C93,'SIND PITS'!$C$3:$G$102,5,0)</f>
        <v>0</v>
      </c>
      <c r="J93" s="94"/>
      <c r="K93" s="88">
        <f t="shared" si="7"/>
        <v>7750</v>
      </c>
      <c r="L93" s="88">
        <v>12000</v>
      </c>
      <c r="M93" s="88">
        <v>6000</v>
      </c>
      <c r="N93" s="95"/>
      <c r="O93" s="46">
        <f>VLOOKUP(C93,'IP PITS'!$B$6:$I$86,8,0)</f>
        <v>0</v>
      </c>
      <c r="P93" s="88">
        <f t="shared" si="8"/>
        <v>1750</v>
      </c>
      <c r="Q93" s="46">
        <f>VLOOKUP(C93,'IP PITS'!$B$6:$N$86,13,0)</f>
        <v>0</v>
      </c>
      <c r="R93" s="46">
        <f>VLOOKUP(C93,'IP PITS'!$B$6:$Q$86,16,0)</f>
        <v>0</v>
      </c>
      <c r="S93" s="46">
        <f>VLOOKUP(C93,'IP PITS'!$B$6:$R$86,17,0)</f>
        <v>0</v>
      </c>
      <c r="T93" s="95"/>
      <c r="U93" s="88">
        <f t="shared" si="9"/>
        <v>6000</v>
      </c>
      <c r="V93" s="46">
        <f t="shared" si="6"/>
        <v>0</v>
      </c>
      <c r="W93" s="112"/>
      <c r="X93" s="88" t="s">
        <v>781</v>
      </c>
    </row>
    <row r="94" spans="1:24" s="88" customFormat="1" x14ac:dyDescent="0.2">
      <c r="A94" s="51" t="s">
        <v>584</v>
      </c>
      <c r="B94" s="90" t="s">
        <v>661</v>
      </c>
      <c r="C94" s="51" t="s">
        <v>585</v>
      </c>
      <c r="D94" s="90">
        <f>VLOOKUP(C94,'IP PITS'!$B$6:$V$86,21,0)</f>
        <v>937.8</v>
      </c>
      <c r="E94" s="108"/>
      <c r="F94" s="88">
        <f>VLOOKUP(C94,'SIND PITS'!$C$3:$D$102,2,0)</f>
        <v>2562.1999999999998</v>
      </c>
      <c r="G94" s="88">
        <f>VLOOKUP(C94,'SIND PITS'!$C$3:$E$102,3,0)</f>
        <v>0</v>
      </c>
      <c r="H94" s="88">
        <f>VLOOKUP(C94,'SIND PITS'!$C$3:$F$102,4,0)</f>
        <v>0</v>
      </c>
      <c r="I94" s="88">
        <f>VLOOKUP(C94,'SIND PITS'!$C$3:$G$102,5,0)</f>
        <v>0</v>
      </c>
      <c r="J94" s="94"/>
      <c r="K94" s="88">
        <f t="shared" si="7"/>
        <v>3500</v>
      </c>
      <c r="L94" s="88">
        <v>7000</v>
      </c>
      <c r="M94" s="88">
        <v>3500</v>
      </c>
      <c r="N94" s="95"/>
      <c r="O94" s="46">
        <f>VLOOKUP(C94,'IP PITS'!$B$6:$I$86,8,0)</f>
        <v>0</v>
      </c>
      <c r="P94" s="88">
        <f t="shared" si="8"/>
        <v>0</v>
      </c>
      <c r="Q94" s="46">
        <f>VLOOKUP(C94,'IP PITS'!$B$6:$N$86,13,0)</f>
        <v>0</v>
      </c>
      <c r="R94" s="46">
        <f>VLOOKUP(C94,'IP PITS'!$B$6:$Q$86,16,0)</f>
        <v>0</v>
      </c>
      <c r="S94" s="46">
        <f>VLOOKUP(C94,'IP PITS'!$B$6:$R$86,17,0)</f>
        <v>0</v>
      </c>
      <c r="T94" s="95"/>
      <c r="U94" s="88">
        <f t="shared" si="9"/>
        <v>3500</v>
      </c>
      <c r="V94" s="46">
        <f t="shared" si="6"/>
        <v>0</v>
      </c>
      <c r="W94" s="112"/>
      <c r="X94" s="88" t="s">
        <v>782</v>
      </c>
    </row>
    <row r="95" spans="1:24" s="88" customFormat="1" x14ac:dyDescent="0.2">
      <c r="A95" s="51" t="s">
        <v>586</v>
      </c>
      <c r="B95" s="90" t="s">
        <v>661</v>
      </c>
      <c r="C95" s="51" t="s">
        <v>587</v>
      </c>
      <c r="D95" s="90">
        <f>VLOOKUP(C95,'IP PITS'!$B$6:$V$86,21,0)</f>
        <v>991.6</v>
      </c>
      <c r="E95" s="108"/>
      <c r="F95" s="88">
        <f>VLOOKUP(C95,'SIND PITS'!$C$3:$D$102,2,0)</f>
        <v>1707.3799999999999</v>
      </c>
      <c r="G95" s="88">
        <f>VLOOKUP(C95,'SIND PITS'!$C$3:$E$102,3,0)</f>
        <v>675</v>
      </c>
      <c r="H95" s="88">
        <f>VLOOKUP(C95,'SIND PITS'!$C$3:$F$102,4,0)</f>
        <v>0</v>
      </c>
      <c r="I95" s="88">
        <f>VLOOKUP(C95,'SIND PITS'!$C$3:$G$102,5,0)</f>
        <v>0</v>
      </c>
      <c r="J95" s="94"/>
      <c r="K95" s="88">
        <f t="shared" si="7"/>
        <v>3373.98</v>
      </c>
      <c r="L95" s="88">
        <v>7000</v>
      </c>
      <c r="M95" s="88">
        <v>3500</v>
      </c>
      <c r="N95" s="95"/>
      <c r="O95" s="46">
        <f>VLOOKUP(C95,'IP PITS'!$B$6:$I$86,8,0)</f>
        <v>0</v>
      </c>
      <c r="P95" s="88">
        <f t="shared" si="8"/>
        <v>675</v>
      </c>
      <c r="Q95" s="46">
        <f>VLOOKUP(C95,'IP PITS'!$B$6:$N$86,13,0)</f>
        <v>801.02</v>
      </c>
      <c r="R95" s="46">
        <f>VLOOKUP(C95,'IP PITS'!$B$6:$Q$86,16,0)</f>
        <v>0</v>
      </c>
      <c r="S95" s="46">
        <f>VLOOKUP(C95,'IP PITS'!$B$6:$R$86,17,0)</f>
        <v>0</v>
      </c>
      <c r="T95" s="95"/>
      <c r="U95" s="88">
        <f t="shared" si="9"/>
        <v>3500</v>
      </c>
      <c r="V95" s="46">
        <f t="shared" si="6"/>
        <v>0</v>
      </c>
      <c r="W95" s="112"/>
      <c r="X95" s="88" t="s">
        <v>783</v>
      </c>
    </row>
    <row r="96" spans="1:24" s="88" customFormat="1" x14ac:dyDescent="0.2">
      <c r="A96" s="51" t="s">
        <v>588</v>
      </c>
      <c r="B96" s="90" t="s">
        <v>661</v>
      </c>
      <c r="C96" s="51" t="s">
        <v>589</v>
      </c>
      <c r="D96" s="90">
        <f>VLOOKUP(C96,'IP PITS'!$B$6:$V$86,21,0)</f>
        <v>2622.8</v>
      </c>
      <c r="E96" s="108"/>
      <c r="F96" s="88">
        <f>VLOOKUP(C96,'SIND PITS'!$C$3:$D$102,2,0)</f>
        <v>107.2</v>
      </c>
      <c r="G96" s="88">
        <f>VLOOKUP(C96,'SIND PITS'!$C$3:$E$102,3,0)</f>
        <v>0</v>
      </c>
      <c r="H96" s="88">
        <f>VLOOKUP(C96,'SIND PITS'!$C$3:$F$102,4,0)</f>
        <v>0</v>
      </c>
      <c r="I96" s="88">
        <f>VLOOKUP(C96,'SIND PITS'!$C$3:$G$102,5,0)</f>
        <v>0</v>
      </c>
      <c r="J96" s="94"/>
      <c r="K96" s="88">
        <f t="shared" si="7"/>
        <v>2730</v>
      </c>
      <c r="L96" s="88">
        <v>6300</v>
      </c>
      <c r="M96" s="88">
        <v>3150</v>
      </c>
      <c r="N96" s="95"/>
      <c r="O96" s="46">
        <f>VLOOKUP(C96,'IP PITS'!$B$6:$I$86,8,0)</f>
        <v>0</v>
      </c>
      <c r="P96" s="88">
        <f t="shared" si="8"/>
        <v>0</v>
      </c>
      <c r="Q96" s="46">
        <f>VLOOKUP(C96,'IP PITS'!$B$6:$N$86,13,0)</f>
        <v>0</v>
      </c>
      <c r="R96" s="46">
        <f>VLOOKUP(C96,'IP PITS'!$B$6:$Q$86,16,0)</f>
        <v>0</v>
      </c>
      <c r="S96" s="46">
        <f>VLOOKUP(C96,'IP PITS'!$B$6:$R$86,17,0)</f>
        <v>0</v>
      </c>
      <c r="T96" s="95"/>
      <c r="U96" s="88">
        <f t="shared" si="9"/>
        <v>2730</v>
      </c>
      <c r="V96" s="110">
        <f t="shared" si="6"/>
        <v>420</v>
      </c>
      <c r="W96" s="144" t="s">
        <v>684</v>
      </c>
      <c r="X96" s="88" t="s">
        <v>784</v>
      </c>
    </row>
    <row r="97" spans="1:244" s="88" customFormat="1" x14ac:dyDescent="0.2">
      <c r="A97" s="51" t="s">
        <v>77</v>
      </c>
      <c r="B97" s="90" t="s">
        <v>661</v>
      </c>
      <c r="C97" s="51" t="s">
        <v>590</v>
      </c>
      <c r="D97" s="90">
        <f>VLOOKUP(C97,'IP PITS'!$B$6:$V$86,21,0)</f>
        <v>2861</v>
      </c>
      <c r="E97" s="108"/>
      <c r="F97" s="88">
        <f>VLOOKUP(C97,'SIND PITS'!$C$3:$D$102,2,0)</f>
        <v>139</v>
      </c>
      <c r="G97" s="88">
        <f>VLOOKUP(C97,'SIND PITS'!$C$3:$E$102,3,0)</f>
        <v>378</v>
      </c>
      <c r="H97" s="88">
        <f>VLOOKUP(C97,'SIND PITS'!$C$3:$F$102,4,0)</f>
        <v>0</v>
      </c>
      <c r="I97" s="88">
        <f>VLOOKUP(C97,'SIND PITS'!$C$3:$G$102,5,0)</f>
        <v>0</v>
      </c>
      <c r="J97" s="94"/>
      <c r="K97" s="88">
        <f t="shared" si="7"/>
        <v>3378</v>
      </c>
      <c r="L97" s="88">
        <v>6000</v>
      </c>
      <c r="M97" s="88">
        <v>3000</v>
      </c>
      <c r="N97" s="95"/>
      <c r="O97" s="46">
        <f>VLOOKUP(C97,'IP PITS'!$B$6:$I$86,8,0)</f>
        <v>0</v>
      </c>
      <c r="P97" s="88">
        <f t="shared" si="8"/>
        <v>378</v>
      </c>
      <c r="Q97" s="46">
        <f>VLOOKUP(C97,'IP PITS'!$B$6:$N$86,13,0)</f>
        <v>0</v>
      </c>
      <c r="R97" s="46">
        <f>VLOOKUP(C97,'IP PITS'!$B$6:$Q$86,16,0)</f>
        <v>0</v>
      </c>
      <c r="S97" s="46">
        <f>VLOOKUP(C97,'IP PITS'!$B$6:$R$86,17,0)</f>
        <v>0</v>
      </c>
      <c r="T97" s="95"/>
      <c r="U97" s="88">
        <f t="shared" si="9"/>
        <v>3000</v>
      </c>
      <c r="V97" s="46">
        <f t="shared" si="6"/>
        <v>0</v>
      </c>
      <c r="W97" s="112"/>
      <c r="X97" s="88" t="s">
        <v>785</v>
      </c>
    </row>
    <row r="98" spans="1:244" s="88" customFormat="1" x14ac:dyDescent="0.2">
      <c r="A98" s="51" t="s">
        <v>594</v>
      </c>
      <c r="B98" s="90" t="s">
        <v>661</v>
      </c>
      <c r="C98" s="51" t="s">
        <v>595</v>
      </c>
      <c r="D98" s="90">
        <f>VLOOKUP(C98,'IP PITS'!$B$6:$V$86,21,0)</f>
        <v>2969.2</v>
      </c>
      <c r="E98" s="108"/>
      <c r="F98" s="88">
        <f>VLOOKUP(C98,'SIND PITS'!$C$3:$D$102,2,0)</f>
        <v>180.80000000000018</v>
      </c>
      <c r="G98" s="88">
        <f>VLOOKUP(C98,'SIND PITS'!$C$3:$E$102,3,0)</f>
        <v>0</v>
      </c>
      <c r="H98" s="88">
        <f>VLOOKUP(C98,'SIND PITS'!$C$3:$F$102,4,0)</f>
        <v>0</v>
      </c>
      <c r="I98" s="88">
        <f>VLOOKUP(C98,'SIND PITS'!$C$3:$G$102,5,0)</f>
        <v>0</v>
      </c>
      <c r="J98" s="94"/>
      <c r="K98" s="88">
        <f t="shared" si="7"/>
        <v>3150</v>
      </c>
      <c r="L98" s="88">
        <v>6300</v>
      </c>
      <c r="M98" s="88">
        <v>3150</v>
      </c>
      <c r="N98" s="95"/>
      <c r="O98" s="46">
        <f>VLOOKUP(C98,'IP PITS'!$B$6:$I$86,8,0)</f>
        <v>0</v>
      </c>
      <c r="P98" s="88">
        <f t="shared" si="8"/>
        <v>0</v>
      </c>
      <c r="Q98" s="46">
        <f>VLOOKUP(C98,'IP PITS'!$B$6:$N$86,13,0)</f>
        <v>0</v>
      </c>
      <c r="R98" s="46">
        <f>VLOOKUP(C98,'IP PITS'!$B$6:$Q$86,16,0)</f>
        <v>0</v>
      </c>
      <c r="S98" s="46">
        <f>VLOOKUP(C98,'IP PITS'!$B$6:$R$86,17,0)</f>
        <v>0</v>
      </c>
      <c r="T98" s="95"/>
      <c r="U98" s="88">
        <f t="shared" si="9"/>
        <v>3150</v>
      </c>
      <c r="V98" s="46">
        <f t="shared" ref="V98:V102" si="10">+M98-U98</f>
        <v>0</v>
      </c>
      <c r="W98" s="112"/>
      <c r="X98" s="88" t="s">
        <v>786</v>
      </c>
    </row>
    <row r="99" spans="1:244" s="88" customFormat="1" x14ac:dyDescent="0.2">
      <c r="A99" s="51" t="s">
        <v>596</v>
      </c>
      <c r="B99" s="90" t="s">
        <v>661</v>
      </c>
      <c r="C99" s="51" t="s">
        <v>597</v>
      </c>
      <c r="D99" s="90">
        <f>VLOOKUP(C99,'IP PITS'!$B$6:$V$86,21,0)</f>
        <v>3271.4</v>
      </c>
      <c r="E99" s="108"/>
      <c r="F99" s="88">
        <f>VLOOKUP(C99,'SIND PITS'!$C$3:$D$102,2,0)</f>
        <v>228.59999999999991</v>
      </c>
      <c r="G99" s="88">
        <f>VLOOKUP(C99,'SIND PITS'!$C$3:$E$102,3,0)</f>
        <v>0</v>
      </c>
      <c r="H99" s="88">
        <f>VLOOKUP(C99,'SIND PITS'!$C$3:$F$102,4,0)</f>
        <v>0</v>
      </c>
      <c r="I99" s="88">
        <f>VLOOKUP(C99,'SIND PITS'!$C$3:$G$102,5,0)</f>
        <v>0</v>
      </c>
      <c r="J99" s="94"/>
      <c r="K99" s="88">
        <f t="shared" si="7"/>
        <v>3500</v>
      </c>
      <c r="L99" s="88">
        <v>7000</v>
      </c>
      <c r="M99" s="88">
        <v>3500</v>
      </c>
      <c r="N99" s="95"/>
      <c r="O99" s="46">
        <f>VLOOKUP(C99,'IP PITS'!$B$6:$I$86,8,0)</f>
        <v>0</v>
      </c>
      <c r="P99" s="88">
        <f t="shared" si="8"/>
        <v>0</v>
      </c>
      <c r="Q99" s="46">
        <f>VLOOKUP(C99,'IP PITS'!$B$6:$N$86,13,0)</f>
        <v>0</v>
      </c>
      <c r="R99" s="46">
        <f>VLOOKUP(C99,'IP PITS'!$B$6:$Q$86,16,0)</f>
        <v>0</v>
      </c>
      <c r="S99" s="46">
        <f>VLOOKUP(C99,'IP PITS'!$B$6:$R$86,17,0)</f>
        <v>0</v>
      </c>
      <c r="T99" s="95"/>
      <c r="U99" s="88">
        <f t="shared" si="9"/>
        <v>3500</v>
      </c>
      <c r="V99" s="46">
        <f t="shared" si="10"/>
        <v>0</v>
      </c>
      <c r="W99" s="112"/>
      <c r="X99" s="88" t="s">
        <v>787</v>
      </c>
    </row>
    <row r="100" spans="1:244" s="88" customFormat="1" x14ac:dyDescent="0.2">
      <c r="A100" s="51" t="s">
        <v>602</v>
      </c>
      <c r="B100" s="90" t="s">
        <v>661</v>
      </c>
      <c r="C100" s="51" t="s">
        <v>603</v>
      </c>
      <c r="D100" s="90">
        <f>VLOOKUP(C100,'IP PITS'!$B$6:$V$86,21,0)</f>
        <v>1810.8</v>
      </c>
      <c r="E100" s="108"/>
      <c r="F100" s="88">
        <f>VLOOKUP(C100,'SIND PITS'!$C$3:$D$102,2,0)</f>
        <v>194.5199999999997</v>
      </c>
      <c r="G100" s="88">
        <f>VLOOKUP(C100,'SIND PITS'!$C$3:$E$102,3,0)</f>
        <v>0</v>
      </c>
      <c r="H100" s="88">
        <f>VLOOKUP(C100,'SIND PITS'!$C$3:$F$102,4,0)</f>
        <v>0</v>
      </c>
      <c r="I100" s="88">
        <f>VLOOKUP(C100,'SIND PITS'!$C$3:$G$102,5,0)</f>
        <v>0</v>
      </c>
      <c r="J100" s="94"/>
      <c r="K100" s="88">
        <f t="shared" si="7"/>
        <v>2005.3199999999997</v>
      </c>
      <c r="L100" s="88">
        <v>6300</v>
      </c>
      <c r="M100" s="88">
        <v>3150</v>
      </c>
      <c r="N100" s="95"/>
      <c r="O100" s="46">
        <f>VLOOKUP(C100,'IP PITS'!$B$6:$I$86,8,0)</f>
        <v>0</v>
      </c>
      <c r="P100" s="88">
        <f t="shared" si="8"/>
        <v>0</v>
      </c>
      <c r="Q100" s="46">
        <f>VLOOKUP(C100,'IP PITS'!$B$6:$N$86,13,0)</f>
        <v>1144.68</v>
      </c>
      <c r="R100" s="46">
        <f>VLOOKUP(C100,'IP PITS'!$B$6:$Q$86,16,0)</f>
        <v>0</v>
      </c>
      <c r="S100" s="46">
        <f>VLOOKUP(C100,'IP PITS'!$B$6:$R$86,17,0)</f>
        <v>0</v>
      </c>
      <c r="T100" s="95"/>
      <c r="U100" s="88">
        <f t="shared" si="9"/>
        <v>3150</v>
      </c>
      <c r="V100" s="46">
        <f t="shared" si="10"/>
        <v>0</v>
      </c>
      <c r="W100" s="112"/>
      <c r="X100" s="88" t="s">
        <v>788</v>
      </c>
    </row>
    <row r="101" spans="1:244" s="88" customFormat="1" x14ac:dyDescent="0.2">
      <c r="A101" s="51" t="s">
        <v>665</v>
      </c>
      <c r="B101" s="90" t="s">
        <v>661</v>
      </c>
      <c r="C101" s="51" t="s">
        <v>669</v>
      </c>
      <c r="D101" s="90">
        <f>VLOOKUP(C101,'IP PITS'!$B$6:$V$86,21,0)</f>
        <v>2859.8</v>
      </c>
      <c r="E101" s="108"/>
      <c r="F101" s="88">
        <f>VLOOKUP(C101,'SIND PITS'!$C$3:$D$102,2,0)</f>
        <v>920.2</v>
      </c>
      <c r="G101" s="88">
        <f>VLOOKUP(C101,'SIND PITS'!$C$3:$E$102,3,0)</f>
        <v>0</v>
      </c>
      <c r="H101" s="88">
        <f>VLOOKUP(C101,'SIND PITS'!$C$3:$F$102,4,0)</f>
        <v>0</v>
      </c>
      <c r="I101" s="88">
        <f>VLOOKUP(C101,'SIND PITS'!$C$3:$G$102,5,0)</f>
        <v>0</v>
      </c>
      <c r="J101" s="94"/>
      <c r="K101" s="88">
        <f t="shared" si="7"/>
        <v>3780</v>
      </c>
      <c r="L101" s="88">
        <v>6000</v>
      </c>
      <c r="M101" s="88">
        <v>3150</v>
      </c>
      <c r="N101" s="95"/>
      <c r="O101" s="46"/>
      <c r="P101" s="88">
        <f t="shared" si="8"/>
        <v>0</v>
      </c>
      <c r="Q101" s="46">
        <f>VLOOKUP(C101,'IP PITS'!$B$6:$N$86,13,0)</f>
        <v>0</v>
      </c>
      <c r="R101" s="46">
        <f>VLOOKUP(C101,'IP PITS'!$B$6:$Q$86,16,0)</f>
        <v>0</v>
      </c>
      <c r="S101" s="46">
        <f>VLOOKUP(C101,'IP PITS'!$B$6:$R$86,17,0)</f>
        <v>0</v>
      </c>
      <c r="T101" s="95"/>
      <c r="U101" s="88">
        <f t="shared" si="9"/>
        <v>3780</v>
      </c>
      <c r="V101" s="110">
        <f t="shared" si="10"/>
        <v>-630</v>
      </c>
      <c r="W101" s="144">
        <v>43537</v>
      </c>
      <c r="X101" s="88" t="s">
        <v>789</v>
      </c>
    </row>
    <row r="102" spans="1:244" s="88" customFormat="1" x14ac:dyDescent="0.2">
      <c r="A102" s="51" t="s">
        <v>666</v>
      </c>
      <c r="B102" s="90" t="s">
        <v>661</v>
      </c>
      <c r="C102" s="51" t="s">
        <v>670</v>
      </c>
      <c r="D102" s="90">
        <f>VLOOKUP(C102,'IP PITS'!$B$6:$V$86,21,0)</f>
        <v>1178.2</v>
      </c>
      <c r="E102" s="108"/>
      <c r="F102" s="88">
        <f>VLOOKUP(C102,'SIND PITS'!$C$3:$D$102,2,0)</f>
        <v>181</v>
      </c>
      <c r="G102" s="88">
        <f>VLOOKUP(C102,'SIND PITS'!$C$3:$E$102,3,0)</f>
        <v>0</v>
      </c>
      <c r="H102" s="88">
        <f>VLOOKUP(C102,'SIND PITS'!$C$3:$F$102,4,0)</f>
        <v>0</v>
      </c>
      <c r="I102" s="88">
        <f>VLOOKUP(C102,'SIND PITS'!$C$3:$G$102,5,0)</f>
        <v>0</v>
      </c>
      <c r="J102" s="94"/>
      <c r="K102" s="88">
        <f t="shared" si="7"/>
        <v>1359.2</v>
      </c>
      <c r="L102" s="88">
        <v>6000</v>
      </c>
      <c r="M102" s="88">
        <v>3150</v>
      </c>
      <c r="N102" s="95"/>
      <c r="O102" s="46"/>
      <c r="P102" s="88">
        <f t="shared" si="8"/>
        <v>0</v>
      </c>
      <c r="Q102" s="46">
        <f>VLOOKUP(C102,'IP PITS'!$B$6:$N$86,13,0)</f>
        <v>524.15</v>
      </c>
      <c r="R102" s="46">
        <f>VLOOKUP(C102,'IP PITS'!$B$6:$Q$86,16,0)</f>
        <v>636.6</v>
      </c>
      <c r="S102" s="46">
        <f>VLOOKUP(C102,'IP PITS'!$B$6:$R$86,17,0)</f>
        <v>0</v>
      </c>
      <c r="T102" s="95"/>
      <c r="U102" s="88">
        <f t="shared" si="9"/>
        <v>2519.9499999999998</v>
      </c>
      <c r="V102" s="110">
        <f t="shared" si="10"/>
        <v>630.05000000000018</v>
      </c>
      <c r="W102" s="144">
        <v>43543</v>
      </c>
      <c r="X102" s="88" t="s">
        <v>790</v>
      </c>
    </row>
    <row r="103" spans="1:244" s="122" customFormat="1" ht="24.75" customHeight="1" x14ac:dyDescent="0.25">
      <c r="C103" s="122" t="s">
        <v>675</v>
      </c>
      <c r="D103" s="122">
        <f>SUM(D3:D100)</f>
        <v>299415.39999999997</v>
      </c>
      <c r="F103" s="122">
        <f>SUM(F3:F100)</f>
        <v>160179.5</v>
      </c>
      <c r="H103" s="122">
        <f>SUM(H3:H100)</f>
        <v>0</v>
      </c>
      <c r="I103" s="122">
        <f>SUM(I3:I100)</f>
        <v>347.5</v>
      </c>
      <c r="J103" s="122">
        <f>SUM(J3:J100)</f>
        <v>0</v>
      </c>
      <c r="K103" s="122">
        <f>SUM(K3:K100)</f>
        <v>499029.83</v>
      </c>
      <c r="L103" s="122">
        <f>SUM(L3:L102)</f>
        <v>1016806.02</v>
      </c>
      <c r="M103" s="122">
        <f t="shared" ref="M103:W103" si="11">SUM(M3:M100)</f>
        <v>502403.01</v>
      </c>
      <c r="N103" s="142">
        <f t="shared" si="11"/>
        <v>0</v>
      </c>
      <c r="O103" s="122">
        <f t="shared" si="11"/>
        <v>574</v>
      </c>
      <c r="P103" s="122">
        <f t="shared" si="11"/>
        <v>39434.93</v>
      </c>
      <c r="Q103" s="122">
        <f t="shared" si="11"/>
        <v>30316.329999999998</v>
      </c>
      <c r="R103" s="122">
        <f t="shared" si="11"/>
        <v>1781.73</v>
      </c>
      <c r="S103" s="122">
        <f t="shared" si="11"/>
        <v>9817.4</v>
      </c>
      <c r="T103" s="142">
        <f t="shared" si="11"/>
        <v>0</v>
      </c>
      <c r="U103" s="122">
        <f t="shared" si="11"/>
        <v>500936.36000000004</v>
      </c>
      <c r="V103" s="122">
        <f t="shared" si="11"/>
        <v>1466.65</v>
      </c>
      <c r="W103" s="122">
        <f t="shared" si="11"/>
        <v>0</v>
      </c>
      <c r="X103" s="122">
        <f>SUM(X30:X100)</f>
        <v>0</v>
      </c>
      <c r="Y103" s="122">
        <f>SUM(Y30:Y100)</f>
        <v>0</v>
      </c>
      <c r="Z103" s="122">
        <f>SUM(Z30:Z100)</f>
        <v>0</v>
      </c>
      <c r="AA103" s="122">
        <f>SUM(AA30:AA100)</f>
        <v>0</v>
      </c>
      <c r="AB103" s="122">
        <f>SUM(AB30:AB100)</f>
        <v>0</v>
      </c>
      <c r="AC103" s="122">
        <f>SUM(AC3:AC93)</f>
        <v>0</v>
      </c>
      <c r="AD103" s="122">
        <f>SUM(AD3:AD93)</f>
        <v>0</v>
      </c>
      <c r="AE103" s="122">
        <f>SUM(AE3:AE93)</f>
        <v>0</v>
      </c>
      <c r="AF103" s="122">
        <f>SUM(AF3:AF93)</f>
        <v>0</v>
      </c>
    </row>
    <row r="104" spans="1:244" s="65" customFormat="1" x14ac:dyDescent="0.2">
      <c r="C104" s="80"/>
      <c r="E104" s="108"/>
      <c r="J104" s="94"/>
      <c r="N104" s="123"/>
      <c r="T104" s="123"/>
      <c r="V104" s="118"/>
      <c r="W104" s="118"/>
      <c r="X104" s="109"/>
      <c r="Y104" s="109"/>
      <c r="Z104" s="109"/>
      <c r="AA104" s="109"/>
      <c r="AB104" s="109"/>
      <c r="AC104" s="109"/>
      <c r="AD104" s="109"/>
      <c r="AE104" s="109"/>
      <c r="AF104" s="109"/>
      <c r="AG104" s="109"/>
      <c r="AH104" s="109"/>
      <c r="AI104" s="109"/>
      <c r="AJ104" s="109"/>
      <c r="AK104" s="109"/>
      <c r="AL104" s="109"/>
      <c r="AM104" s="109"/>
      <c r="AN104" s="109"/>
      <c r="AO104" s="109"/>
      <c r="AP104" s="109"/>
      <c r="AQ104" s="109"/>
      <c r="AR104" s="109"/>
      <c r="AS104" s="109"/>
      <c r="AT104" s="109"/>
      <c r="AU104" s="109"/>
      <c r="AV104" s="109"/>
      <c r="AW104" s="109"/>
      <c r="AX104" s="109"/>
      <c r="AY104" s="109"/>
      <c r="AZ104" s="109"/>
      <c r="BA104" s="109"/>
      <c r="BB104" s="109"/>
      <c r="BC104" s="109"/>
      <c r="BD104" s="109"/>
      <c r="BE104" s="109"/>
      <c r="BF104" s="109"/>
      <c r="BG104" s="109"/>
      <c r="BH104" s="109"/>
      <c r="BI104" s="109"/>
      <c r="BJ104" s="109"/>
      <c r="BK104" s="109"/>
      <c r="BL104" s="109"/>
      <c r="BM104" s="109"/>
      <c r="BN104" s="109"/>
      <c r="BO104" s="109"/>
      <c r="BP104" s="109"/>
      <c r="BQ104" s="109"/>
      <c r="BR104" s="109"/>
      <c r="BS104" s="109"/>
      <c r="BT104" s="109"/>
      <c r="BU104" s="109"/>
      <c r="BV104" s="109"/>
      <c r="BW104" s="109"/>
      <c r="BX104" s="109"/>
      <c r="BY104" s="109"/>
      <c r="BZ104" s="109"/>
      <c r="CA104" s="109"/>
      <c r="CB104" s="109"/>
      <c r="CC104" s="109"/>
      <c r="CD104" s="109"/>
      <c r="CE104" s="109"/>
      <c r="CF104" s="109"/>
      <c r="CG104" s="109"/>
      <c r="CH104" s="109"/>
      <c r="CI104" s="109"/>
      <c r="CJ104" s="109"/>
      <c r="CK104" s="109"/>
      <c r="CL104" s="109"/>
      <c r="CM104" s="109"/>
      <c r="CN104" s="109"/>
      <c r="CO104" s="109"/>
      <c r="CP104" s="109"/>
      <c r="CQ104" s="109"/>
      <c r="CR104" s="109"/>
      <c r="CS104" s="109"/>
      <c r="CT104" s="109"/>
      <c r="CU104" s="109"/>
      <c r="CV104" s="109"/>
      <c r="CW104" s="109"/>
      <c r="CX104" s="109"/>
      <c r="CY104" s="109"/>
      <c r="CZ104" s="109"/>
      <c r="DA104" s="109"/>
      <c r="DB104" s="109"/>
      <c r="DC104" s="109"/>
      <c r="DD104" s="109"/>
      <c r="DE104" s="109"/>
      <c r="DF104" s="109"/>
      <c r="DG104" s="109"/>
      <c r="DH104" s="109"/>
      <c r="DI104" s="109"/>
      <c r="DJ104" s="109"/>
      <c r="DK104" s="109"/>
      <c r="DL104" s="109"/>
      <c r="DM104" s="109"/>
      <c r="DN104" s="109"/>
      <c r="DO104" s="109"/>
      <c r="DP104" s="109"/>
      <c r="DQ104" s="109"/>
      <c r="DR104" s="109"/>
      <c r="DS104" s="109"/>
      <c r="DT104" s="109"/>
      <c r="DU104" s="109"/>
      <c r="DV104" s="109"/>
      <c r="DW104" s="109"/>
      <c r="DX104" s="109"/>
      <c r="DY104" s="109"/>
      <c r="DZ104" s="109"/>
      <c r="EA104" s="109"/>
      <c r="EB104" s="109"/>
      <c r="EC104" s="109"/>
      <c r="ED104" s="109"/>
      <c r="EE104" s="109"/>
      <c r="EF104" s="109"/>
      <c r="EG104" s="109"/>
      <c r="EH104" s="109"/>
      <c r="EI104" s="109"/>
      <c r="EJ104" s="109"/>
      <c r="EK104" s="109"/>
      <c r="EL104" s="109"/>
      <c r="EM104" s="109"/>
      <c r="EN104" s="109"/>
      <c r="EO104" s="109"/>
      <c r="EP104" s="109"/>
      <c r="EQ104" s="109"/>
      <c r="ER104" s="109"/>
      <c r="ES104" s="109"/>
      <c r="ET104" s="109"/>
      <c r="EU104" s="109"/>
      <c r="EV104" s="109"/>
      <c r="EW104" s="109"/>
      <c r="EX104" s="109"/>
      <c r="EY104" s="109"/>
      <c r="EZ104" s="109"/>
      <c r="FA104" s="109"/>
      <c r="FB104" s="109"/>
      <c r="FC104" s="109"/>
      <c r="FD104" s="109"/>
      <c r="FE104" s="109"/>
      <c r="FF104" s="109"/>
      <c r="FG104" s="109"/>
      <c r="FH104" s="109"/>
      <c r="FI104" s="109"/>
      <c r="FJ104" s="109"/>
      <c r="FK104" s="109"/>
      <c r="FL104" s="109"/>
      <c r="FM104" s="109"/>
      <c r="FN104" s="109"/>
      <c r="FO104" s="109"/>
      <c r="FP104" s="109"/>
      <c r="FQ104" s="109"/>
      <c r="FR104" s="109"/>
      <c r="FS104" s="109"/>
      <c r="FT104" s="109"/>
      <c r="FU104" s="109"/>
      <c r="FV104" s="109"/>
      <c r="FW104" s="109"/>
      <c r="FX104" s="109"/>
      <c r="FY104" s="109"/>
      <c r="FZ104" s="109"/>
      <c r="GA104" s="109"/>
      <c r="GB104" s="109"/>
      <c r="GC104" s="109"/>
      <c r="GD104" s="109"/>
      <c r="GE104" s="109"/>
      <c r="GF104" s="109"/>
      <c r="GG104" s="109"/>
      <c r="GH104" s="109"/>
      <c r="GI104" s="109"/>
      <c r="GJ104" s="109"/>
      <c r="GK104" s="109"/>
      <c r="GL104" s="109"/>
      <c r="GM104" s="109"/>
      <c r="GN104" s="109"/>
      <c r="GO104" s="109"/>
      <c r="GP104" s="109"/>
      <c r="GQ104" s="109"/>
      <c r="GR104" s="109"/>
      <c r="GS104" s="109"/>
      <c r="GT104" s="109"/>
      <c r="GU104" s="109"/>
      <c r="GV104" s="109"/>
      <c r="GW104" s="109"/>
      <c r="GX104" s="109"/>
      <c r="GY104" s="109"/>
      <c r="GZ104" s="109"/>
      <c r="HA104" s="109"/>
      <c r="HB104" s="109"/>
      <c r="HC104" s="109"/>
      <c r="HD104" s="109"/>
      <c r="HE104" s="109"/>
      <c r="HF104" s="109"/>
      <c r="HG104" s="109"/>
      <c r="HH104" s="109"/>
      <c r="HI104" s="109"/>
      <c r="HJ104" s="109"/>
      <c r="HK104" s="109"/>
      <c r="HL104" s="109"/>
      <c r="HM104" s="109"/>
      <c r="HN104" s="109"/>
      <c r="HO104" s="109"/>
      <c r="HP104" s="109"/>
      <c r="HQ104" s="109"/>
      <c r="HR104" s="109"/>
      <c r="HS104" s="109"/>
      <c r="HT104" s="109"/>
      <c r="HU104" s="109"/>
      <c r="HV104" s="109"/>
      <c r="HW104" s="109"/>
      <c r="HX104" s="109"/>
      <c r="HY104" s="109"/>
      <c r="HZ104" s="109"/>
      <c r="IA104" s="109"/>
      <c r="IB104" s="109"/>
      <c r="IC104" s="109"/>
      <c r="ID104" s="109"/>
      <c r="IE104" s="109"/>
      <c r="IF104" s="109"/>
      <c r="IG104" s="109"/>
      <c r="IH104" s="109"/>
      <c r="II104" s="109"/>
      <c r="IJ104" s="109"/>
    </row>
    <row r="105" spans="1:244" s="65" customFormat="1" x14ac:dyDescent="0.2">
      <c r="C105" s="80"/>
      <c r="E105" s="108"/>
      <c r="J105" s="108"/>
      <c r="N105" s="123"/>
      <c r="T105" s="123"/>
      <c r="V105" s="118"/>
      <c r="W105" s="118"/>
      <c r="X105" s="109"/>
      <c r="Y105" s="109"/>
      <c r="Z105" s="109"/>
      <c r="AA105" s="109"/>
      <c r="AB105" s="109"/>
      <c r="AC105" s="109"/>
      <c r="AD105" s="109"/>
      <c r="AE105" s="109"/>
      <c r="AF105" s="109"/>
      <c r="AG105" s="109"/>
      <c r="AH105" s="109"/>
      <c r="AI105" s="109"/>
      <c r="AJ105" s="109"/>
      <c r="AK105" s="109"/>
      <c r="AL105" s="109"/>
      <c r="AM105" s="109"/>
      <c r="AN105" s="109"/>
      <c r="AO105" s="109"/>
      <c r="AP105" s="109"/>
      <c r="AQ105" s="109"/>
      <c r="AR105" s="109"/>
      <c r="AS105" s="109"/>
      <c r="AT105" s="109"/>
      <c r="AU105" s="109"/>
      <c r="AV105" s="109"/>
      <c r="AW105" s="109"/>
      <c r="AX105" s="109"/>
      <c r="AY105" s="109"/>
      <c r="AZ105" s="109"/>
      <c r="BA105" s="109"/>
      <c r="BB105" s="109"/>
      <c r="BC105" s="109"/>
      <c r="BD105" s="109"/>
      <c r="BE105" s="109"/>
      <c r="BF105" s="109"/>
      <c r="BG105" s="109"/>
      <c r="BH105" s="109"/>
      <c r="BI105" s="109"/>
      <c r="BJ105" s="109"/>
      <c r="BK105" s="109"/>
      <c r="BL105" s="109"/>
      <c r="BM105" s="109"/>
      <c r="BN105" s="109"/>
      <c r="BO105" s="109"/>
      <c r="BP105" s="109"/>
      <c r="BQ105" s="109"/>
      <c r="BR105" s="109"/>
      <c r="BS105" s="109"/>
      <c r="BT105" s="109"/>
      <c r="BU105" s="109"/>
      <c r="BV105" s="109"/>
      <c r="BW105" s="109"/>
      <c r="BX105" s="109"/>
      <c r="BY105" s="109"/>
      <c r="BZ105" s="109"/>
      <c r="CA105" s="109"/>
      <c r="CB105" s="109"/>
      <c r="CC105" s="109"/>
      <c r="CD105" s="109"/>
      <c r="CE105" s="109"/>
      <c r="CF105" s="109"/>
      <c r="CG105" s="109"/>
      <c r="CH105" s="109"/>
      <c r="CI105" s="109"/>
      <c r="CJ105" s="109"/>
      <c r="CK105" s="109"/>
      <c r="CL105" s="109"/>
      <c r="CM105" s="109"/>
      <c r="CN105" s="109"/>
      <c r="CO105" s="109"/>
      <c r="CP105" s="109"/>
      <c r="CQ105" s="109"/>
      <c r="CR105" s="109"/>
      <c r="CS105" s="109"/>
      <c r="CT105" s="109"/>
      <c r="CU105" s="109"/>
      <c r="CV105" s="109"/>
      <c r="CW105" s="109"/>
      <c r="CX105" s="109"/>
      <c r="CY105" s="109"/>
      <c r="CZ105" s="109"/>
      <c r="DA105" s="109"/>
      <c r="DB105" s="109"/>
      <c r="DC105" s="109"/>
      <c r="DD105" s="109"/>
      <c r="DE105" s="109"/>
      <c r="DF105" s="109"/>
      <c r="DG105" s="109"/>
      <c r="DH105" s="109"/>
      <c r="DI105" s="109"/>
      <c r="DJ105" s="109"/>
      <c r="DK105" s="109"/>
      <c r="DL105" s="109"/>
      <c r="DM105" s="109"/>
      <c r="DN105" s="109"/>
      <c r="DO105" s="109"/>
      <c r="DP105" s="109"/>
      <c r="DQ105" s="109"/>
      <c r="DR105" s="109"/>
      <c r="DS105" s="109"/>
      <c r="DT105" s="109"/>
      <c r="DU105" s="109"/>
      <c r="DV105" s="109"/>
      <c r="DW105" s="109"/>
      <c r="DX105" s="109"/>
      <c r="DY105" s="109"/>
      <c r="DZ105" s="109"/>
      <c r="EA105" s="109"/>
      <c r="EB105" s="109"/>
      <c r="EC105" s="109"/>
      <c r="ED105" s="109"/>
      <c r="EE105" s="109"/>
      <c r="EF105" s="109"/>
      <c r="EG105" s="109"/>
      <c r="EH105" s="109"/>
      <c r="EI105" s="109"/>
      <c r="EJ105" s="109"/>
      <c r="EK105" s="109"/>
      <c r="EL105" s="109"/>
      <c r="EM105" s="109"/>
      <c r="EN105" s="109"/>
      <c r="EO105" s="109"/>
      <c r="EP105" s="109"/>
      <c r="EQ105" s="109"/>
      <c r="ER105" s="109"/>
      <c r="ES105" s="109"/>
      <c r="ET105" s="109"/>
      <c r="EU105" s="109"/>
      <c r="EV105" s="109"/>
      <c r="EW105" s="109"/>
      <c r="EX105" s="109"/>
      <c r="EY105" s="109"/>
      <c r="EZ105" s="109"/>
      <c r="FA105" s="109"/>
      <c r="FB105" s="109"/>
      <c r="FC105" s="109"/>
      <c r="FD105" s="109"/>
      <c r="FE105" s="109"/>
      <c r="FF105" s="109"/>
      <c r="FG105" s="109"/>
      <c r="FH105" s="109"/>
      <c r="FI105" s="109"/>
      <c r="FJ105" s="109"/>
      <c r="FK105" s="109"/>
      <c r="FL105" s="109"/>
      <c r="FM105" s="109"/>
      <c r="FN105" s="109"/>
      <c r="FO105" s="109"/>
      <c r="FP105" s="109"/>
      <c r="FQ105" s="109"/>
      <c r="FR105" s="109"/>
      <c r="FS105" s="109"/>
      <c r="FT105" s="109"/>
      <c r="FU105" s="109"/>
      <c r="FV105" s="109"/>
      <c r="FW105" s="109"/>
      <c r="FX105" s="109"/>
      <c r="FY105" s="109"/>
      <c r="FZ105" s="109"/>
      <c r="GA105" s="109"/>
      <c r="GB105" s="109"/>
      <c r="GC105" s="109"/>
      <c r="GD105" s="109"/>
      <c r="GE105" s="109"/>
      <c r="GF105" s="109"/>
      <c r="GG105" s="109"/>
      <c r="GH105" s="109"/>
      <c r="GI105" s="109"/>
      <c r="GJ105" s="109"/>
      <c r="GK105" s="109"/>
      <c r="GL105" s="109"/>
      <c r="GM105" s="109"/>
      <c r="GN105" s="109"/>
      <c r="GO105" s="109"/>
      <c r="GP105" s="109"/>
      <c r="GQ105" s="109"/>
      <c r="GR105" s="109"/>
      <c r="GS105" s="109"/>
      <c r="GT105" s="109"/>
      <c r="GU105" s="109"/>
      <c r="GV105" s="109"/>
      <c r="GW105" s="109"/>
      <c r="GX105" s="109"/>
      <c r="GY105" s="109"/>
      <c r="GZ105" s="109"/>
      <c r="HA105" s="109"/>
      <c r="HB105" s="109"/>
      <c r="HC105" s="109"/>
      <c r="HD105" s="109"/>
      <c r="HE105" s="109"/>
      <c r="HF105" s="109"/>
      <c r="HG105" s="109"/>
      <c r="HH105" s="109"/>
      <c r="HI105" s="109"/>
      <c r="HJ105" s="109"/>
      <c r="HK105" s="109"/>
      <c r="HL105" s="109"/>
      <c r="HM105" s="109"/>
      <c r="HN105" s="109"/>
      <c r="HO105" s="109"/>
      <c r="HP105" s="109"/>
      <c r="HQ105" s="109"/>
      <c r="HR105" s="109"/>
      <c r="HS105" s="109"/>
      <c r="HT105" s="109"/>
      <c r="HU105" s="109"/>
      <c r="HV105" s="109"/>
      <c r="HW105" s="109"/>
      <c r="HX105" s="109"/>
      <c r="HY105" s="109"/>
      <c r="HZ105" s="109"/>
      <c r="IA105" s="109"/>
      <c r="IB105" s="109"/>
      <c r="IC105" s="109"/>
      <c r="ID105" s="109"/>
      <c r="IE105" s="109"/>
      <c r="IF105" s="109"/>
      <c r="IG105" s="109"/>
      <c r="IH105" s="109"/>
      <c r="II105" s="109"/>
      <c r="IJ105" s="109"/>
    </row>
  </sheetData>
  <autoFilter ref="A2:W105" xr:uid="{00000000-0009-0000-0000-000005000000}"/>
  <mergeCells count="4">
    <mergeCell ref="A1:D1"/>
    <mergeCell ref="F1:I1"/>
    <mergeCell ref="K1:M1"/>
    <mergeCell ref="O1:S1"/>
  </mergeCells>
  <pageMargins left="0.70866141732283472" right="0.70866141732283472" top="0.74803149606299213" bottom="0.74803149606299213" header="0.31496062992125984" footer="0.31496062992125984"/>
  <pageSetup scale="1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D8:I19"/>
  <sheetViews>
    <sheetView showGridLines="0" topLeftCell="A4" zoomScale="90" zoomScaleNormal="90" workbookViewId="0">
      <selection activeCell="G37" sqref="G37"/>
    </sheetView>
  </sheetViews>
  <sheetFormatPr baseColWidth="10" defaultRowHeight="15.75" x14ac:dyDescent="0.25"/>
  <cols>
    <col min="1" max="3" width="11.42578125" style="127"/>
    <col min="4" max="4" width="19.5703125" style="127" bestFit="1" customWidth="1"/>
    <col min="5" max="5" width="16.28515625" style="127" customWidth="1"/>
    <col min="6" max="7" width="11.42578125" style="127"/>
    <col min="8" max="8" width="18.7109375" style="127" customWidth="1"/>
    <col min="9" max="9" width="23.28515625" style="127" customWidth="1"/>
    <col min="10" max="16384" width="11.42578125" style="127"/>
  </cols>
  <sheetData>
    <row r="8" spans="4:9" ht="28.5" customHeight="1" x14ac:dyDescent="0.25">
      <c r="D8" s="165" t="s">
        <v>656</v>
      </c>
      <c r="E8" s="165"/>
      <c r="H8" s="166" t="s">
        <v>791</v>
      </c>
      <c r="I8" s="166"/>
    </row>
    <row r="9" spans="4:9" x14ac:dyDescent="0.25">
      <c r="D9" s="128" t="s">
        <v>649</v>
      </c>
      <c r="E9" s="129">
        <f>+'CPD PITS'!M40</f>
        <v>171268.45427199994</v>
      </c>
      <c r="F9" s="129"/>
      <c r="G9" s="129"/>
      <c r="H9" s="128" t="s">
        <v>649</v>
      </c>
      <c r="I9" s="129">
        <f>+'CPD PITS'!M50</f>
        <v>6396.3315448472249</v>
      </c>
    </row>
    <row r="10" spans="4:9" x14ac:dyDescent="0.25">
      <c r="D10" s="128" t="s">
        <v>650</v>
      </c>
      <c r="E10" s="129">
        <f>+'IP PITS'!J103</f>
        <v>450773.59949600004</v>
      </c>
      <c r="F10" s="129"/>
      <c r="G10" s="129"/>
      <c r="H10" s="128" t="s">
        <v>650</v>
      </c>
      <c r="I10" s="129">
        <f>+'IP PITS'!J113</f>
        <v>19104.564847469053</v>
      </c>
    </row>
    <row r="11" spans="4:9" x14ac:dyDescent="0.25">
      <c r="D11" s="128" t="s">
        <v>651</v>
      </c>
      <c r="E11" s="129">
        <f>+'SIND PITS'!H113</f>
        <v>237486.733416</v>
      </c>
      <c r="F11" s="129"/>
      <c r="G11" s="129"/>
      <c r="H11" s="128"/>
      <c r="I11" s="130"/>
    </row>
    <row r="12" spans="4:9" x14ac:dyDescent="0.25">
      <c r="D12" s="129"/>
      <c r="E12" s="132">
        <f>+E9+E10+E11</f>
        <v>859528.78718400002</v>
      </c>
      <c r="F12" s="129"/>
      <c r="G12" s="129"/>
      <c r="H12" s="129"/>
      <c r="I12" s="132">
        <f>+I9+I10+I11</f>
        <v>25500.896392316277</v>
      </c>
    </row>
    <row r="13" spans="4:9" x14ac:dyDescent="0.25">
      <c r="F13" s="129"/>
      <c r="G13" s="129"/>
    </row>
    <row r="14" spans="4:9" x14ac:dyDescent="0.25">
      <c r="D14" s="165" t="s">
        <v>657</v>
      </c>
      <c r="E14" s="165"/>
      <c r="F14" s="129"/>
      <c r="G14" s="129"/>
      <c r="H14" s="165" t="s">
        <v>657</v>
      </c>
      <c r="I14" s="165"/>
    </row>
    <row r="15" spans="4:9" x14ac:dyDescent="0.25">
      <c r="D15" s="128" t="s">
        <v>652</v>
      </c>
      <c r="E15" s="129">
        <f>+E12*4%</f>
        <v>34381.151487360003</v>
      </c>
      <c r="F15" s="129"/>
      <c r="G15" s="129"/>
      <c r="H15" s="128" t="s">
        <v>652</v>
      </c>
      <c r="I15" s="129">
        <f>+I12*4%</f>
        <v>1020.0358556926511</v>
      </c>
    </row>
    <row r="16" spans="4:9" x14ac:dyDescent="0.25">
      <c r="D16" s="128" t="s">
        <v>653</v>
      </c>
      <c r="E16" s="129">
        <f>+E12*12%</f>
        <v>103143.45446208</v>
      </c>
      <c r="F16" s="129"/>
      <c r="G16" s="129"/>
      <c r="H16" s="128" t="s">
        <v>653</v>
      </c>
      <c r="I16" s="129">
        <f>+I12*12%</f>
        <v>3060.1075670779533</v>
      </c>
    </row>
    <row r="17" spans="4:9" x14ac:dyDescent="0.25">
      <c r="D17" s="128" t="s">
        <v>654</v>
      </c>
      <c r="E17" s="129">
        <f>+E12*11%</f>
        <v>94548.166590239998</v>
      </c>
      <c r="H17" s="128" t="s">
        <v>654</v>
      </c>
      <c r="I17" s="129">
        <f>+I12*11%</f>
        <v>2805.0986031547905</v>
      </c>
    </row>
    <row r="18" spans="4:9" x14ac:dyDescent="0.25">
      <c r="D18" s="128" t="s">
        <v>655</v>
      </c>
      <c r="E18" s="129">
        <f>+E12*73%</f>
        <v>627456.01464432001</v>
      </c>
      <c r="H18" s="128" t="s">
        <v>655</v>
      </c>
      <c r="I18" s="129">
        <f>+I12*73%</f>
        <v>18615.654366390881</v>
      </c>
    </row>
    <row r="19" spans="4:9" x14ac:dyDescent="0.25">
      <c r="E19" s="131">
        <f>SUM(E15:E18)</f>
        <v>859528.78718400002</v>
      </c>
      <c r="I19" s="131">
        <f>SUM(I15:I18)</f>
        <v>25500.896392316277</v>
      </c>
    </row>
  </sheetData>
  <mergeCells count="4">
    <mergeCell ref="D8:E8"/>
    <mergeCell ref="D14:E14"/>
    <mergeCell ref="H8:I8"/>
    <mergeCell ref="H14:I14"/>
  </mergeCells>
  <pageMargins left="0.7" right="0.7" top="0.75" bottom="0.75" header="0.3" footer="0.3"/>
  <pageSetup orientation="portrait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6"/>
  <dimension ref="A5:G56"/>
  <sheetViews>
    <sheetView workbookViewId="0">
      <selection activeCell="C28" sqref="C28"/>
    </sheetView>
  </sheetViews>
  <sheetFormatPr baseColWidth="10" defaultColWidth="11.42578125" defaultRowHeight="15" x14ac:dyDescent="0.25"/>
  <cols>
    <col min="1" max="1" width="18.42578125" style="3" customWidth="1"/>
    <col min="2" max="2" width="29.140625" style="3" customWidth="1"/>
    <col min="3" max="3" width="57" style="3" customWidth="1"/>
    <col min="4" max="5" width="27.5703125" style="3" customWidth="1"/>
    <col min="6" max="6" width="23.85546875" style="3" customWidth="1"/>
    <col min="7" max="7" width="20.5703125" style="3" customWidth="1"/>
    <col min="8" max="16384" width="11.42578125" style="3"/>
  </cols>
  <sheetData>
    <row r="5" spans="1:7" ht="39.75" customHeight="1" thickBot="1" x14ac:dyDescent="0.3">
      <c r="A5" s="1" t="s">
        <v>1</v>
      </c>
      <c r="B5" s="1" t="s">
        <v>2</v>
      </c>
      <c r="C5" s="1" t="s">
        <v>3</v>
      </c>
      <c r="D5" s="1" t="s">
        <v>118</v>
      </c>
      <c r="E5" s="1" t="s">
        <v>119</v>
      </c>
      <c r="F5" s="1" t="s">
        <v>120</v>
      </c>
      <c r="G5" s="1" t="s">
        <v>121</v>
      </c>
    </row>
    <row r="6" spans="1:7" ht="15" customHeight="1" thickTop="1" x14ac:dyDescent="0.25">
      <c r="A6" s="4"/>
      <c r="B6" s="4"/>
      <c r="C6" s="2" t="s">
        <v>122</v>
      </c>
      <c r="D6" s="2">
        <v>2847.47</v>
      </c>
      <c r="E6" s="2"/>
      <c r="F6" s="2">
        <v>152.53</v>
      </c>
      <c r="G6" s="2">
        <f>+F6+D6+E6</f>
        <v>3000</v>
      </c>
    </row>
    <row r="7" spans="1:7" x14ac:dyDescent="0.25">
      <c r="A7" s="2" t="s">
        <v>59</v>
      </c>
      <c r="B7" s="2" t="s">
        <v>57</v>
      </c>
      <c r="C7" s="2" t="s">
        <v>60</v>
      </c>
      <c r="D7" s="2">
        <v>3215.903308547945</v>
      </c>
      <c r="E7" s="2">
        <v>0</v>
      </c>
      <c r="F7" s="2">
        <v>234.1</v>
      </c>
      <c r="G7" s="2">
        <f>+F7+D7+E7</f>
        <v>3450.0033085479449</v>
      </c>
    </row>
    <row r="8" spans="1:7" x14ac:dyDescent="0.25">
      <c r="A8" s="2" t="s">
        <v>17</v>
      </c>
      <c r="B8" s="2" t="s">
        <v>5</v>
      </c>
      <c r="C8" s="2" t="s">
        <v>18</v>
      </c>
      <c r="D8" s="2">
        <v>2105.5100000000002</v>
      </c>
      <c r="E8" s="2">
        <v>1394.18</v>
      </c>
      <c r="F8" s="2">
        <v>1000.31</v>
      </c>
      <c r="G8" s="2">
        <f>+F8+D8+E8</f>
        <v>4500</v>
      </c>
    </row>
    <row r="9" spans="1:7" x14ac:dyDescent="0.25">
      <c r="A9" s="2" t="s">
        <v>27</v>
      </c>
      <c r="B9" s="2" t="s">
        <v>5</v>
      </c>
      <c r="C9" s="2" t="s">
        <v>28</v>
      </c>
      <c r="D9" s="2">
        <v>3109.74</v>
      </c>
      <c r="E9" s="2">
        <v>1268.6500000000001</v>
      </c>
      <c r="F9" s="2">
        <v>1121.5999999999999</v>
      </c>
      <c r="G9" s="2">
        <f t="shared" ref="G9:G54" si="0">+F9+D9+E9</f>
        <v>5499.99</v>
      </c>
    </row>
    <row r="10" spans="1:7" x14ac:dyDescent="0.25">
      <c r="A10" s="2" t="s">
        <v>21</v>
      </c>
      <c r="B10" s="2" t="s">
        <v>5</v>
      </c>
      <c r="C10" s="2" t="s">
        <v>22</v>
      </c>
      <c r="D10" s="2">
        <v>1882.39</v>
      </c>
      <c r="E10" s="2">
        <v>1617.3</v>
      </c>
      <c r="F10" s="2">
        <v>1000.31</v>
      </c>
      <c r="G10" s="2">
        <f t="shared" si="0"/>
        <v>4500</v>
      </c>
    </row>
    <row r="11" spans="1:7" x14ac:dyDescent="0.25">
      <c r="A11" s="2" t="s">
        <v>41</v>
      </c>
      <c r="B11" s="2" t="s">
        <v>5</v>
      </c>
      <c r="C11" s="2" t="s">
        <v>42</v>
      </c>
      <c r="D11" s="2">
        <v>2165.48</v>
      </c>
      <c r="E11" s="2">
        <v>1334.21</v>
      </c>
      <c r="F11" s="2">
        <v>725.31</v>
      </c>
      <c r="G11" s="2">
        <f t="shared" si="0"/>
        <v>4225</v>
      </c>
    </row>
    <row r="12" spans="1:7" x14ac:dyDescent="0.25">
      <c r="A12" s="2" t="s">
        <v>23</v>
      </c>
      <c r="B12" s="2" t="s">
        <v>5</v>
      </c>
      <c r="C12" s="2" t="s">
        <v>24</v>
      </c>
      <c r="D12" s="2">
        <v>3156.22</v>
      </c>
      <c r="E12" s="2">
        <v>934.91</v>
      </c>
      <c r="F12" s="2">
        <v>907.87</v>
      </c>
      <c r="G12" s="2">
        <f t="shared" si="0"/>
        <v>4999</v>
      </c>
    </row>
    <row r="13" spans="1:7" x14ac:dyDescent="0.25">
      <c r="A13" s="2" t="s">
        <v>73</v>
      </c>
      <c r="B13" s="2" t="s">
        <v>57</v>
      </c>
      <c r="C13" s="2" t="s">
        <v>74</v>
      </c>
      <c r="D13" s="2">
        <v>3947.3665304931505</v>
      </c>
      <c r="E13" s="2">
        <v>0</v>
      </c>
      <c r="F13" s="2">
        <v>552.72</v>
      </c>
      <c r="G13" s="2">
        <f t="shared" si="0"/>
        <v>4500.0865304931503</v>
      </c>
    </row>
    <row r="14" spans="1:7" x14ac:dyDescent="0.25">
      <c r="A14" s="2" t="s">
        <v>107</v>
      </c>
      <c r="B14" s="2" t="s">
        <v>57</v>
      </c>
      <c r="C14" s="2" t="s">
        <v>108</v>
      </c>
      <c r="D14" s="2">
        <v>2143.6576129506129</v>
      </c>
      <c r="E14" s="2">
        <v>1403.1213651315788</v>
      </c>
      <c r="F14" s="2">
        <v>453.22102191780868</v>
      </c>
      <c r="G14" s="2">
        <f t="shared" si="0"/>
        <v>4000.0000000000005</v>
      </c>
    </row>
    <row r="15" spans="1:7" x14ac:dyDescent="0.25">
      <c r="A15" s="2" t="s">
        <v>77</v>
      </c>
      <c r="B15" s="2" t="s">
        <v>57</v>
      </c>
      <c r="C15" s="2" t="s">
        <v>78</v>
      </c>
      <c r="D15" s="2">
        <v>2847.1469578630135</v>
      </c>
      <c r="E15" s="2">
        <v>0</v>
      </c>
      <c r="F15" s="2">
        <v>152.9</v>
      </c>
      <c r="G15" s="2">
        <f t="shared" si="0"/>
        <v>3000.0469578630136</v>
      </c>
    </row>
    <row r="16" spans="1:7" x14ac:dyDescent="0.25">
      <c r="A16" s="2" t="s">
        <v>39</v>
      </c>
      <c r="B16" s="2" t="s">
        <v>5</v>
      </c>
      <c r="C16" s="2" t="s">
        <v>40</v>
      </c>
      <c r="D16" s="2">
        <v>3499.69</v>
      </c>
      <c r="E16" s="2"/>
      <c r="F16" s="2">
        <v>1000.31</v>
      </c>
      <c r="G16" s="2">
        <f t="shared" si="0"/>
        <v>4500</v>
      </c>
    </row>
    <row r="17" spans="1:7" x14ac:dyDescent="0.25">
      <c r="A17" s="2" t="s">
        <v>33</v>
      </c>
      <c r="B17" s="2" t="s">
        <v>5</v>
      </c>
      <c r="C17" s="2" t="s">
        <v>34</v>
      </c>
      <c r="D17" s="2">
        <v>1791.88</v>
      </c>
      <c r="E17" s="2">
        <v>1707.81</v>
      </c>
      <c r="F17" s="2">
        <v>1000.31</v>
      </c>
      <c r="G17" s="2">
        <f t="shared" si="0"/>
        <v>4500</v>
      </c>
    </row>
    <row r="18" spans="1:7" x14ac:dyDescent="0.25">
      <c r="A18" s="2" t="s">
        <v>83</v>
      </c>
      <c r="B18" s="2" t="s">
        <v>57</v>
      </c>
      <c r="C18" s="2" t="s">
        <v>84</v>
      </c>
      <c r="D18" s="2">
        <v>3946.5112222739726</v>
      </c>
      <c r="E18" s="2">
        <v>0</v>
      </c>
      <c r="F18" s="2">
        <v>553.57000000000005</v>
      </c>
      <c r="G18" s="2">
        <f t="shared" si="0"/>
        <v>4500.0812222739723</v>
      </c>
    </row>
    <row r="19" spans="1:7" x14ac:dyDescent="0.25">
      <c r="A19" s="2" t="s">
        <v>65</v>
      </c>
      <c r="B19" s="2" t="s">
        <v>57</v>
      </c>
      <c r="C19" s="2" t="s">
        <v>66</v>
      </c>
      <c r="D19" s="2">
        <v>3947.2809996712331</v>
      </c>
      <c r="E19" s="2">
        <v>0</v>
      </c>
      <c r="F19" s="2">
        <v>552.72</v>
      </c>
      <c r="G19" s="2">
        <f t="shared" si="0"/>
        <v>4500.0009996712333</v>
      </c>
    </row>
    <row r="20" spans="1:7" x14ac:dyDescent="0.25">
      <c r="A20" s="2" t="s">
        <v>7</v>
      </c>
      <c r="B20" s="2" t="s">
        <v>5</v>
      </c>
      <c r="C20" s="2" t="s">
        <v>8</v>
      </c>
      <c r="D20" s="2">
        <v>2932.8376972050487</v>
      </c>
      <c r="E20" s="2">
        <v>0</v>
      </c>
      <c r="F20" s="2">
        <v>1567.16</v>
      </c>
      <c r="G20" s="2">
        <f t="shared" si="0"/>
        <v>4499.997697205049</v>
      </c>
    </row>
    <row r="21" spans="1:7" x14ac:dyDescent="0.25">
      <c r="A21" s="2" t="s">
        <v>19</v>
      </c>
      <c r="B21" s="2" t="s">
        <v>5</v>
      </c>
      <c r="C21" s="2" t="s">
        <v>20</v>
      </c>
      <c r="D21" s="2">
        <v>4857.84</v>
      </c>
      <c r="E21" s="2"/>
      <c r="F21" s="2">
        <v>1392.16</v>
      </c>
      <c r="G21" s="2">
        <f t="shared" si="0"/>
        <v>6250</v>
      </c>
    </row>
    <row r="22" spans="1:7" x14ac:dyDescent="0.25">
      <c r="A22" s="2" t="s">
        <v>63</v>
      </c>
      <c r="B22" s="2" t="s">
        <v>57</v>
      </c>
      <c r="C22" s="2" t="s">
        <v>64</v>
      </c>
      <c r="D22" s="2">
        <v>3546.8093890410964</v>
      </c>
      <c r="E22" s="2">
        <v>0</v>
      </c>
      <c r="F22" s="2">
        <v>453.19</v>
      </c>
      <c r="G22" s="2">
        <f t="shared" si="0"/>
        <v>3999.9993890410965</v>
      </c>
    </row>
    <row r="23" spans="1:7" x14ac:dyDescent="0.25">
      <c r="A23" s="2" t="s">
        <v>69</v>
      </c>
      <c r="B23" s="2" t="s">
        <v>57</v>
      </c>
      <c r="C23" s="2" t="s">
        <v>70</v>
      </c>
      <c r="D23" s="2">
        <v>6823.3498032260286</v>
      </c>
      <c r="E23" s="2">
        <v>0</v>
      </c>
      <c r="F23" s="2">
        <v>1451.81</v>
      </c>
      <c r="G23" s="2">
        <f t="shared" si="0"/>
        <v>8275.1598032260281</v>
      </c>
    </row>
    <row r="24" spans="1:7" x14ac:dyDescent="0.25">
      <c r="A24" s="2" t="s">
        <v>85</v>
      </c>
      <c r="B24" s="2" t="s">
        <v>57</v>
      </c>
      <c r="C24" s="2" t="s">
        <v>86</v>
      </c>
      <c r="D24" s="2">
        <v>3747.3421633424659</v>
      </c>
      <c r="F24" s="2">
        <v>2252.66</v>
      </c>
      <c r="G24" s="2">
        <f t="shared" si="0"/>
        <v>6000.0021633424658</v>
      </c>
    </row>
    <row r="25" spans="1:7" x14ac:dyDescent="0.25">
      <c r="A25" s="2" t="s">
        <v>9</v>
      </c>
      <c r="B25" s="2" t="s">
        <v>5</v>
      </c>
      <c r="C25" s="2" t="s">
        <v>10</v>
      </c>
      <c r="D25" s="2">
        <v>2770.6069535821916</v>
      </c>
      <c r="E25" s="2">
        <v>0</v>
      </c>
      <c r="F25" s="2">
        <v>1479.43</v>
      </c>
      <c r="G25" s="2">
        <f t="shared" si="0"/>
        <v>4250.0369535821919</v>
      </c>
    </row>
    <row r="26" spans="1:7" x14ac:dyDescent="0.25">
      <c r="A26" s="2" t="s">
        <v>31</v>
      </c>
      <c r="B26" s="2" t="s">
        <v>5</v>
      </c>
      <c r="C26" s="2" t="s">
        <v>32</v>
      </c>
      <c r="D26" s="2">
        <v>4857.84</v>
      </c>
      <c r="E26" s="2"/>
      <c r="F26" s="2">
        <v>1392.16</v>
      </c>
      <c r="G26" s="2">
        <f t="shared" si="0"/>
        <v>6250</v>
      </c>
    </row>
    <row r="27" spans="1:7" x14ac:dyDescent="0.25">
      <c r="A27" s="2" t="s">
        <v>71</v>
      </c>
      <c r="B27" s="2" t="s">
        <v>57</v>
      </c>
      <c r="C27" s="2" t="s">
        <v>72</v>
      </c>
      <c r="D27" s="2">
        <v>3946.5112222739726</v>
      </c>
      <c r="E27" s="2">
        <v>0</v>
      </c>
      <c r="F27" s="2">
        <v>553.57000000000005</v>
      </c>
      <c r="G27" s="2">
        <f t="shared" si="0"/>
        <v>4500.0812222739723</v>
      </c>
    </row>
    <row r="28" spans="1:7" x14ac:dyDescent="0.25">
      <c r="A28" s="2" t="s">
        <v>99</v>
      </c>
      <c r="B28" s="2" t="s">
        <v>57</v>
      </c>
      <c r="C28" s="2" t="s">
        <v>100</v>
      </c>
      <c r="D28" s="2">
        <v>2847.5373688219179</v>
      </c>
      <c r="E28" s="2">
        <v>0</v>
      </c>
      <c r="F28" s="2">
        <v>152.46</v>
      </c>
      <c r="G28" s="2">
        <f t="shared" si="0"/>
        <v>2999.9973688219179</v>
      </c>
    </row>
    <row r="29" spans="1:7" x14ac:dyDescent="0.25">
      <c r="A29" s="2" t="s">
        <v>29</v>
      </c>
      <c r="B29" s="2" t="s">
        <v>5</v>
      </c>
      <c r="C29" s="2" t="s">
        <v>30</v>
      </c>
      <c r="D29" s="2">
        <v>5720.15</v>
      </c>
      <c r="E29" s="2"/>
      <c r="F29" s="2">
        <v>3054.85</v>
      </c>
      <c r="G29" s="2">
        <f t="shared" si="0"/>
        <v>8775</v>
      </c>
    </row>
    <row r="30" spans="1:7" x14ac:dyDescent="0.25">
      <c r="A30" s="2" t="s">
        <v>87</v>
      </c>
      <c r="B30" s="2" t="s">
        <v>57</v>
      </c>
      <c r="C30" s="2" t="s">
        <v>88</v>
      </c>
      <c r="D30" s="2">
        <v>3546.5813068493148</v>
      </c>
      <c r="E30" s="2"/>
      <c r="F30" s="2">
        <v>453.42</v>
      </c>
      <c r="G30" s="2">
        <f t="shared" si="0"/>
        <v>4000.0013068493149</v>
      </c>
    </row>
    <row r="31" spans="1:7" x14ac:dyDescent="0.25">
      <c r="A31" s="2" t="s">
        <v>25</v>
      </c>
      <c r="B31" s="2" t="s">
        <v>5</v>
      </c>
      <c r="C31" s="2" t="s">
        <v>26</v>
      </c>
      <c r="D31" s="2">
        <v>4469.1400000000003</v>
      </c>
      <c r="E31" s="2"/>
      <c r="F31" s="2">
        <v>530.86</v>
      </c>
      <c r="G31" s="2">
        <f t="shared" si="0"/>
        <v>5000</v>
      </c>
    </row>
    <row r="32" spans="1:7" x14ac:dyDescent="0.25">
      <c r="A32" s="2" t="s">
        <v>115</v>
      </c>
      <c r="B32" s="2" t="s">
        <v>57</v>
      </c>
      <c r="C32" s="2" t="s">
        <v>116</v>
      </c>
      <c r="D32" s="2">
        <v>2612.241922161139</v>
      </c>
      <c r="E32" s="2">
        <v>934.53705592105268</v>
      </c>
      <c r="F32" s="2">
        <v>453.22102191780868</v>
      </c>
      <c r="G32" s="2">
        <f t="shared" si="0"/>
        <v>4000.0000000000005</v>
      </c>
    </row>
    <row r="33" spans="1:7" x14ac:dyDescent="0.25">
      <c r="A33" s="2"/>
      <c r="B33" s="2"/>
      <c r="C33" s="2" t="s">
        <v>123</v>
      </c>
      <c r="D33" s="2">
        <v>3546.7789780821922</v>
      </c>
      <c r="F33" s="2">
        <v>453.22</v>
      </c>
      <c r="G33" s="2">
        <f t="shared" si="0"/>
        <v>3999.9989780821925</v>
      </c>
    </row>
    <row r="34" spans="1:7" x14ac:dyDescent="0.25">
      <c r="A34" s="2" t="s">
        <v>37</v>
      </c>
      <c r="B34" s="2" t="s">
        <v>5</v>
      </c>
      <c r="C34" s="2" t="s">
        <v>38</v>
      </c>
      <c r="D34" s="2">
        <v>4357.49</v>
      </c>
      <c r="E34" s="2">
        <v>354.58</v>
      </c>
      <c r="F34" s="2">
        <v>1537.93</v>
      </c>
      <c r="G34" s="2">
        <f t="shared" si="0"/>
        <v>6250</v>
      </c>
    </row>
    <row r="35" spans="1:7" x14ac:dyDescent="0.25">
      <c r="A35" s="2" t="s">
        <v>95</v>
      </c>
      <c r="B35" s="2" t="s">
        <v>57</v>
      </c>
      <c r="C35" s="2" t="s">
        <v>96</v>
      </c>
      <c r="D35" s="2">
        <v>1475.8895890093727</v>
      </c>
      <c r="E35" s="2">
        <v>1371.5794578947368</v>
      </c>
      <c r="F35" s="2">
        <v>152.53</v>
      </c>
      <c r="G35" s="2">
        <f t="shared" si="0"/>
        <v>2999.9990469041095</v>
      </c>
    </row>
    <row r="36" spans="1:7" x14ac:dyDescent="0.25">
      <c r="A36" s="2" t="s">
        <v>75</v>
      </c>
      <c r="B36" s="2" t="s">
        <v>57</v>
      </c>
      <c r="C36" s="2" t="s">
        <v>76</v>
      </c>
      <c r="D36" s="2">
        <v>3546.1251424657539</v>
      </c>
      <c r="E36" s="2">
        <v>0</v>
      </c>
      <c r="F36" s="2">
        <v>453.95</v>
      </c>
      <c r="G36" s="2">
        <f t="shared" si="0"/>
        <v>4000.0751424657537</v>
      </c>
    </row>
    <row r="37" spans="1:7" x14ac:dyDescent="0.25">
      <c r="A37" s="2" t="s">
        <v>15</v>
      </c>
      <c r="B37" s="2" t="s">
        <v>5</v>
      </c>
      <c r="C37" s="2" t="s">
        <v>16</v>
      </c>
      <c r="D37" s="2">
        <v>4857.84</v>
      </c>
      <c r="E37" s="2"/>
      <c r="F37" s="2">
        <v>1392.16</v>
      </c>
      <c r="G37" s="2">
        <f t="shared" si="0"/>
        <v>6250</v>
      </c>
    </row>
    <row r="38" spans="1:7" x14ac:dyDescent="0.25">
      <c r="A38" s="2" t="s">
        <v>43</v>
      </c>
      <c r="B38" s="2" t="s">
        <v>5</v>
      </c>
      <c r="C38" s="2" t="s">
        <v>44</v>
      </c>
      <c r="D38" s="2">
        <v>5433.67</v>
      </c>
      <c r="E38" s="2"/>
      <c r="F38" s="2">
        <v>2566.33</v>
      </c>
      <c r="G38" s="2">
        <f t="shared" si="0"/>
        <v>8000</v>
      </c>
    </row>
    <row r="39" spans="1:7" x14ac:dyDescent="0.25">
      <c r="A39" s="2" t="s">
        <v>81</v>
      </c>
      <c r="B39" s="2" t="s">
        <v>57</v>
      </c>
      <c r="C39" s="2" t="s">
        <v>82</v>
      </c>
      <c r="D39" s="2">
        <v>3546.1251424657539</v>
      </c>
      <c r="E39" s="2">
        <v>0</v>
      </c>
      <c r="F39" s="2">
        <v>453.95</v>
      </c>
      <c r="G39" s="2">
        <f t="shared" si="0"/>
        <v>4000.0751424657537</v>
      </c>
    </row>
    <row r="40" spans="1:7" x14ac:dyDescent="0.25">
      <c r="A40" s="2" t="s">
        <v>91</v>
      </c>
      <c r="B40" s="2" t="s">
        <v>57</v>
      </c>
      <c r="C40" s="2" t="s">
        <v>92</v>
      </c>
      <c r="D40" s="2"/>
      <c r="E40" s="2"/>
      <c r="F40" s="2"/>
      <c r="G40" s="2">
        <f t="shared" si="0"/>
        <v>0</v>
      </c>
    </row>
    <row r="41" spans="1:7" x14ac:dyDescent="0.25">
      <c r="A41" s="2" t="s">
        <v>79</v>
      </c>
      <c r="B41" s="2" t="s">
        <v>57</v>
      </c>
      <c r="C41" s="2" t="s">
        <v>80</v>
      </c>
      <c r="D41" s="2">
        <v>2278.9976136849314</v>
      </c>
      <c r="E41" s="2">
        <v>0</v>
      </c>
      <c r="F41" s="2">
        <v>31.04</v>
      </c>
      <c r="G41" s="2">
        <f t="shared" si="0"/>
        <v>2310.0376136849313</v>
      </c>
    </row>
    <row r="42" spans="1:7" x14ac:dyDescent="0.25">
      <c r="A42" s="2" t="s">
        <v>35</v>
      </c>
      <c r="B42" s="2" t="s">
        <v>5</v>
      </c>
      <c r="C42" s="2" t="s">
        <v>36</v>
      </c>
      <c r="D42" s="2">
        <v>1578.82</v>
      </c>
      <c r="E42" s="2">
        <v>1920.87</v>
      </c>
      <c r="F42" s="2">
        <v>1000.31</v>
      </c>
      <c r="G42" s="2">
        <f t="shared" si="0"/>
        <v>4500</v>
      </c>
    </row>
    <row r="43" spans="1:7" x14ac:dyDescent="0.25">
      <c r="A43" s="2" t="s">
        <v>11</v>
      </c>
      <c r="B43" s="2" t="s">
        <v>5</v>
      </c>
      <c r="C43" s="2" t="s">
        <v>12</v>
      </c>
      <c r="D43" s="2">
        <v>2902.3600571780821</v>
      </c>
      <c r="E43" s="2">
        <v>0</v>
      </c>
      <c r="F43" s="2">
        <v>1597.64</v>
      </c>
      <c r="G43" s="2">
        <f t="shared" si="0"/>
        <v>4500.000057178082</v>
      </c>
    </row>
    <row r="44" spans="1:7" x14ac:dyDescent="0.25">
      <c r="A44" s="2" t="s">
        <v>111</v>
      </c>
      <c r="B44" s="2" t="s">
        <v>57</v>
      </c>
      <c r="C44" s="2" t="s">
        <v>112</v>
      </c>
      <c r="D44" s="2"/>
      <c r="E44" s="2">
        <v>1414.95</v>
      </c>
      <c r="F44" s="2">
        <v>453.22102191780778</v>
      </c>
      <c r="G44" s="2">
        <f t="shared" si="0"/>
        <v>1868.1710219178078</v>
      </c>
    </row>
    <row r="45" spans="1:7" x14ac:dyDescent="0.25">
      <c r="A45" s="2" t="s">
        <v>93</v>
      </c>
      <c r="B45" s="2" t="s">
        <v>57</v>
      </c>
      <c r="C45" s="2" t="s">
        <v>94</v>
      </c>
      <c r="D45" s="2"/>
      <c r="E45" s="2"/>
      <c r="F45" s="2"/>
      <c r="G45" s="2">
        <f t="shared" si="0"/>
        <v>0</v>
      </c>
    </row>
    <row r="46" spans="1:7" x14ac:dyDescent="0.25">
      <c r="A46" s="2" t="s">
        <v>113</v>
      </c>
      <c r="B46" s="2" t="s">
        <v>57</v>
      </c>
      <c r="C46" s="2" t="s">
        <v>114</v>
      </c>
      <c r="D46" s="2">
        <v>3039.1080734769284</v>
      </c>
      <c r="E46" s="2">
        <v>507.67090460526316</v>
      </c>
      <c r="F46" s="2">
        <v>453.22102191780868</v>
      </c>
      <c r="G46" s="2">
        <f t="shared" si="0"/>
        <v>4000.0000000000005</v>
      </c>
    </row>
    <row r="47" spans="1:7" x14ac:dyDescent="0.25">
      <c r="A47" s="2" t="s">
        <v>61</v>
      </c>
      <c r="B47" s="2" t="s">
        <v>57</v>
      </c>
      <c r="C47" s="2" t="s">
        <v>62</v>
      </c>
      <c r="D47" s="2">
        <v>2847.4885674520542</v>
      </c>
      <c r="E47" s="2">
        <v>0</v>
      </c>
      <c r="F47" s="2">
        <v>152.51</v>
      </c>
      <c r="G47" s="2">
        <f t="shared" si="0"/>
        <v>2999.998567452054</v>
      </c>
    </row>
    <row r="48" spans="1:7" x14ac:dyDescent="0.25">
      <c r="A48" s="2" t="s">
        <v>4</v>
      </c>
      <c r="B48" s="2" t="s">
        <v>5</v>
      </c>
      <c r="C48" s="2" t="s">
        <v>6</v>
      </c>
      <c r="D48" s="2">
        <v>3274.429274783749</v>
      </c>
      <c r="E48" s="2">
        <v>0</v>
      </c>
      <c r="F48" s="2">
        <v>1725.57</v>
      </c>
      <c r="G48" s="2">
        <f t="shared" si="0"/>
        <v>4999.9992747837487</v>
      </c>
    </row>
    <row r="49" spans="1:7" x14ac:dyDescent="0.25">
      <c r="A49" s="2" t="s">
        <v>109</v>
      </c>
      <c r="B49" s="2" t="s">
        <v>57</v>
      </c>
      <c r="C49" s="2" t="s">
        <v>110</v>
      </c>
      <c r="D49" s="2">
        <v>5392.9098316146356</v>
      </c>
      <c r="E49" s="2">
        <v>845.1410032894737</v>
      </c>
      <c r="F49" s="2">
        <v>1261.9491650958907</v>
      </c>
      <c r="G49" s="2">
        <f t="shared" si="0"/>
        <v>7500</v>
      </c>
    </row>
    <row r="50" spans="1:7" x14ac:dyDescent="0.25">
      <c r="A50" s="2" t="s">
        <v>13</v>
      </c>
      <c r="B50" s="2" t="s">
        <v>5</v>
      </c>
      <c r="C50" s="2" t="s">
        <v>14</v>
      </c>
      <c r="D50" s="2">
        <v>3179.5199886849314</v>
      </c>
      <c r="E50" s="2">
        <v>0</v>
      </c>
      <c r="F50" s="2">
        <v>1820.48</v>
      </c>
      <c r="G50" s="2">
        <f t="shared" si="0"/>
        <v>4999.9999886849309</v>
      </c>
    </row>
    <row r="51" spans="1:7" x14ac:dyDescent="0.25">
      <c r="A51" s="2" t="s">
        <v>67</v>
      </c>
      <c r="B51" s="2" t="s">
        <v>57</v>
      </c>
      <c r="C51" s="2" t="s">
        <v>68</v>
      </c>
      <c r="D51" s="2">
        <v>3546.2771972602745</v>
      </c>
      <c r="E51" s="2">
        <v>0</v>
      </c>
      <c r="F51" s="2">
        <v>453.8</v>
      </c>
      <c r="G51" s="2">
        <f t="shared" si="0"/>
        <v>4000.0771972602747</v>
      </c>
    </row>
    <row r="52" spans="1:7" x14ac:dyDescent="0.25">
      <c r="A52" s="2" t="s">
        <v>56</v>
      </c>
      <c r="B52" s="2" t="s">
        <v>57</v>
      </c>
      <c r="C52" s="2" t="s">
        <v>58</v>
      </c>
      <c r="D52" s="2">
        <v>3258.9921784109583</v>
      </c>
      <c r="E52" s="2">
        <v>0</v>
      </c>
      <c r="F52" s="2">
        <v>241.01</v>
      </c>
      <c r="G52" s="2">
        <f t="shared" si="0"/>
        <v>3500.0021784109585</v>
      </c>
    </row>
    <row r="53" spans="1:7" x14ac:dyDescent="0.25">
      <c r="A53" s="2" t="s">
        <v>97</v>
      </c>
      <c r="B53" s="2" t="s">
        <v>57</v>
      </c>
      <c r="C53" s="2" t="s">
        <v>98</v>
      </c>
      <c r="D53" s="2">
        <v>3546.7789780821922</v>
      </c>
      <c r="E53" s="2"/>
      <c r="F53" s="2">
        <v>453.22</v>
      </c>
      <c r="G53" s="2">
        <f t="shared" si="0"/>
        <v>3999.9989780821925</v>
      </c>
    </row>
    <row r="54" spans="1:7" x14ac:dyDescent="0.25">
      <c r="A54" s="2" t="s">
        <v>89</v>
      </c>
      <c r="B54" s="2" t="s">
        <v>57</v>
      </c>
      <c r="C54" s="2" t="s">
        <v>90</v>
      </c>
      <c r="D54" s="2"/>
      <c r="E54" s="2"/>
      <c r="F54" s="2"/>
      <c r="G54" s="2">
        <f t="shared" si="0"/>
        <v>0</v>
      </c>
    </row>
    <row r="56" spans="1:7" x14ac:dyDescent="0.25">
      <c r="D56" s="5">
        <f>SUM(D7:D55)</f>
        <v>152047.16507095491</v>
      </c>
      <c r="E56" s="5">
        <f>SUM(E7:E55)</f>
        <v>17009.509786842107</v>
      </c>
      <c r="F56" s="5">
        <f>SUM(F7:F55)</f>
        <v>41096.243252767134</v>
      </c>
      <c r="G56" s="5">
        <f>SUM(G7:G55)</f>
        <v>210152.91811056412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oja7"/>
  <dimension ref="A1:E135"/>
  <sheetViews>
    <sheetView topLeftCell="A32" workbookViewId="0">
      <selection activeCell="B51" sqref="B51"/>
    </sheetView>
  </sheetViews>
  <sheetFormatPr baseColWidth="10" defaultColWidth="11.42578125" defaultRowHeight="15" x14ac:dyDescent="0.25"/>
  <cols>
    <col min="1" max="1" width="46.5703125" style="6" customWidth="1"/>
    <col min="2" max="2" width="14.42578125" style="9" customWidth="1"/>
    <col min="3" max="3" width="11.42578125" style="9"/>
    <col min="4" max="16384" width="11.42578125" style="6"/>
  </cols>
  <sheetData>
    <row r="1" spans="1:5" x14ac:dyDescent="0.25">
      <c r="A1" s="10" t="s">
        <v>125</v>
      </c>
      <c r="B1" s="10"/>
      <c r="C1" s="10"/>
    </row>
    <row r="2" spans="1:5" x14ac:dyDescent="0.25">
      <c r="A2" s="7" t="s">
        <v>126</v>
      </c>
      <c r="B2" s="8"/>
      <c r="C2" s="8"/>
    </row>
    <row r="3" spans="1:5" x14ac:dyDescent="0.25">
      <c r="A3" s="13" t="s">
        <v>8</v>
      </c>
      <c r="B3" s="9">
        <v>9000</v>
      </c>
    </row>
    <row r="4" spans="1:5" x14ac:dyDescent="0.25">
      <c r="A4" s="13" t="s">
        <v>6</v>
      </c>
      <c r="B4" s="9">
        <v>10000</v>
      </c>
    </row>
    <row r="5" spans="1:5" x14ac:dyDescent="0.25">
      <c r="A5" s="13" t="s">
        <v>10</v>
      </c>
      <c r="B5" s="9">
        <v>8500</v>
      </c>
    </row>
    <row r="6" spans="1:5" x14ac:dyDescent="0.25">
      <c r="A6" s="13" t="s">
        <v>12</v>
      </c>
      <c r="B6" s="9">
        <v>9000</v>
      </c>
    </row>
    <row r="7" spans="1:5" x14ac:dyDescent="0.25">
      <c r="A7" s="13" t="s">
        <v>127</v>
      </c>
      <c r="B7" s="9">
        <v>11150</v>
      </c>
    </row>
    <row r="8" spans="1:5" x14ac:dyDescent="0.25">
      <c r="A8" s="13" t="s">
        <v>30</v>
      </c>
      <c r="B8" s="9">
        <v>22000</v>
      </c>
    </row>
    <row r="9" spans="1:5" x14ac:dyDescent="0.25">
      <c r="A9" s="13" t="s">
        <v>134</v>
      </c>
      <c r="B9" s="9">
        <v>22000</v>
      </c>
    </row>
    <row r="10" spans="1:5" x14ac:dyDescent="0.25">
      <c r="A10" s="13" t="s">
        <v>133</v>
      </c>
      <c r="B10" s="9">
        <v>10250</v>
      </c>
    </row>
    <row r="11" spans="1:5" x14ac:dyDescent="0.25">
      <c r="A11" s="13" t="s">
        <v>18</v>
      </c>
      <c r="B11" s="9">
        <v>10150</v>
      </c>
      <c r="E11" s="18"/>
    </row>
    <row r="12" spans="1:5" x14ac:dyDescent="0.25">
      <c r="A12" s="13" t="s">
        <v>16</v>
      </c>
      <c r="B12" s="9">
        <v>15000</v>
      </c>
    </row>
    <row r="13" spans="1:5" x14ac:dyDescent="0.25">
      <c r="A13" s="13" t="s">
        <v>22</v>
      </c>
      <c r="B13" s="9">
        <v>10150</v>
      </c>
      <c r="C13" s="9">
        <f>+B13/30</f>
        <v>338.33333333333331</v>
      </c>
      <c r="D13" s="9">
        <f>+C13*2</f>
        <v>676.66666666666663</v>
      </c>
      <c r="E13" s="6">
        <f>+D13*0.3</f>
        <v>202.99999999999997</v>
      </c>
    </row>
    <row r="14" spans="1:5" x14ac:dyDescent="0.25">
      <c r="A14" s="13" t="s">
        <v>24</v>
      </c>
      <c r="B14" s="9">
        <v>12000</v>
      </c>
    </row>
    <row r="15" spans="1:5" x14ac:dyDescent="0.25">
      <c r="A15" s="13" t="s">
        <v>158</v>
      </c>
      <c r="B15" s="9">
        <v>15000</v>
      </c>
    </row>
    <row r="16" spans="1:5" x14ac:dyDescent="0.25">
      <c r="A16" s="13" t="s">
        <v>28</v>
      </c>
      <c r="B16" s="9">
        <v>13000</v>
      </c>
    </row>
    <row r="17" spans="1:5" x14ac:dyDescent="0.25">
      <c r="A17" s="13" t="s">
        <v>34</v>
      </c>
      <c r="B17" s="9">
        <v>9000</v>
      </c>
    </row>
    <row r="18" spans="1:5" x14ac:dyDescent="0.25">
      <c r="A18" s="13" t="s">
        <v>132</v>
      </c>
      <c r="B18" s="9">
        <v>15000</v>
      </c>
    </row>
    <row r="19" spans="1:5" x14ac:dyDescent="0.25">
      <c r="A19" s="13" t="s">
        <v>38</v>
      </c>
      <c r="B19" s="9">
        <v>10000</v>
      </c>
    </row>
    <row r="20" spans="1:5" x14ac:dyDescent="0.25">
      <c r="A20" s="13" t="s">
        <v>26</v>
      </c>
      <c r="B20" s="9">
        <v>14500</v>
      </c>
      <c r="E20" s="18"/>
    </row>
    <row r="21" spans="1:5" x14ac:dyDescent="0.25">
      <c r="A21" s="13" t="s">
        <v>36</v>
      </c>
      <c r="B21" s="9">
        <v>10000</v>
      </c>
    </row>
    <row r="22" spans="1:5" ht="15.75" customHeight="1" x14ac:dyDescent="0.25">
      <c r="A22" s="13" t="s">
        <v>40</v>
      </c>
      <c r="B22" s="9">
        <v>10150</v>
      </c>
    </row>
    <row r="23" spans="1:5" x14ac:dyDescent="0.25">
      <c r="A23" s="13" t="s">
        <v>58</v>
      </c>
      <c r="B23" s="9">
        <v>7000</v>
      </c>
    </row>
    <row r="24" spans="1:5" x14ac:dyDescent="0.25">
      <c r="A24" s="13" t="s">
        <v>60</v>
      </c>
      <c r="B24" s="9">
        <v>6900</v>
      </c>
    </row>
    <row r="25" spans="1:5" x14ac:dyDescent="0.25">
      <c r="A25" s="13" t="s">
        <v>62</v>
      </c>
      <c r="B25" s="9">
        <v>6000</v>
      </c>
    </row>
    <row r="26" spans="1:5" x14ac:dyDescent="0.25">
      <c r="A26" s="13" t="s">
        <v>64</v>
      </c>
      <c r="B26" s="9">
        <v>8000</v>
      </c>
    </row>
    <row r="27" spans="1:5" x14ac:dyDescent="0.25">
      <c r="A27" s="13" t="s">
        <v>66</v>
      </c>
      <c r="B27" s="9">
        <v>9000</v>
      </c>
    </row>
    <row r="28" spans="1:5" x14ac:dyDescent="0.25">
      <c r="A28" s="13" t="s">
        <v>94</v>
      </c>
      <c r="B28" s="9">
        <v>7000</v>
      </c>
    </row>
    <row r="29" spans="1:5" x14ac:dyDescent="0.25">
      <c r="A29" s="13" t="s">
        <v>92</v>
      </c>
      <c r="B29" s="9">
        <v>10000</v>
      </c>
    </row>
    <row r="30" spans="1:5" x14ac:dyDescent="0.25">
      <c r="A30" s="13" t="s">
        <v>90</v>
      </c>
      <c r="B30" s="9">
        <v>6000</v>
      </c>
    </row>
    <row r="31" spans="1:5" x14ac:dyDescent="0.25">
      <c r="A31" s="13" t="s">
        <v>74</v>
      </c>
      <c r="B31" s="19">
        <v>11000</v>
      </c>
    </row>
    <row r="32" spans="1:5" x14ac:dyDescent="0.25">
      <c r="A32" s="13" t="s">
        <v>78</v>
      </c>
      <c r="B32" s="9">
        <v>6000</v>
      </c>
    </row>
    <row r="33" spans="1:2" x14ac:dyDescent="0.25">
      <c r="A33" s="13" t="s">
        <v>76</v>
      </c>
      <c r="B33" s="9">
        <v>8000</v>
      </c>
    </row>
    <row r="34" spans="1:2" x14ac:dyDescent="0.25">
      <c r="A34" s="13" t="s">
        <v>68</v>
      </c>
      <c r="B34" s="9">
        <v>8000</v>
      </c>
    </row>
    <row r="35" spans="1:2" x14ac:dyDescent="0.25">
      <c r="A35" s="13" t="s">
        <v>88</v>
      </c>
      <c r="B35" s="9">
        <v>8000</v>
      </c>
    </row>
    <row r="36" spans="1:2" x14ac:dyDescent="0.25">
      <c r="A36" s="13" t="s">
        <v>82</v>
      </c>
      <c r="B36" s="9">
        <v>8000</v>
      </c>
    </row>
    <row r="37" spans="1:2" x14ac:dyDescent="0.25">
      <c r="A37" s="11" t="s">
        <v>358</v>
      </c>
      <c r="B37" s="9">
        <v>9000</v>
      </c>
    </row>
    <row r="38" spans="1:2" x14ac:dyDescent="0.25">
      <c r="A38" s="13" t="s">
        <v>80</v>
      </c>
      <c r="B38" s="9">
        <v>4620</v>
      </c>
    </row>
    <row r="39" spans="1:2" x14ac:dyDescent="0.25">
      <c r="A39" s="13" t="s">
        <v>70</v>
      </c>
      <c r="B39" s="9">
        <v>16550</v>
      </c>
    </row>
    <row r="40" spans="1:2" x14ac:dyDescent="0.25">
      <c r="A40" s="13" t="s">
        <v>84</v>
      </c>
      <c r="B40" s="9">
        <v>9000</v>
      </c>
    </row>
    <row r="41" spans="1:2" x14ac:dyDescent="0.25">
      <c r="A41" s="13" t="s">
        <v>86</v>
      </c>
      <c r="B41" s="9">
        <v>12000</v>
      </c>
    </row>
    <row r="42" spans="1:2" x14ac:dyDescent="0.25">
      <c r="A42" s="13" t="s">
        <v>96</v>
      </c>
      <c r="B42" s="9">
        <v>6000</v>
      </c>
    </row>
    <row r="43" spans="1:2" x14ac:dyDescent="0.25">
      <c r="A43" s="13" t="s">
        <v>169</v>
      </c>
      <c r="B43" s="9">
        <v>8000</v>
      </c>
    </row>
    <row r="44" spans="1:2" x14ac:dyDescent="0.25">
      <c r="A44" s="13" t="s">
        <v>102</v>
      </c>
      <c r="B44" s="9">
        <v>6000</v>
      </c>
    </row>
    <row r="45" spans="1:2" x14ac:dyDescent="0.25">
      <c r="A45" s="13" t="s">
        <v>100</v>
      </c>
      <c r="B45" s="9">
        <v>6000</v>
      </c>
    </row>
    <row r="46" spans="1:2" x14ac:dyDescent="0.25">
      <c r="A46" s="13" t="s">
        <v>114</v>
      </c>
      <c r="B46" s="9">
        <v>8500</v>
      </c>
    </row>
    <row r="47" spans="1:2" x14ac:dyDescent="0.25">
      <c r="A47" s="13" t="s">
        <v>116</v>
      </c>
      <c r="B47" s="9">
        <v>8500</v>
      </c>
    </row>
    <row r="48" spans="1:2" x14ac:dyDescent="0.25">
      <c r="A48" s="13" t="s">
        <v>110</v>
      </c>
      <c r="B48" s="9">
        <v>15000</v>
      </c>
    </row>
    <row r="49" spans="1:2" x14ac:dyDescent="0.25">
      <c r="A49" s="13" t="s">
        <v>108</v>
      </c>
      <c r="B49" s="9">
        <v>9050</v>
      </c>
    </row>
    <row r="50" spans="1:2" x14ac:dyDescent="0.25">
      <c r="A50" s="13" t="s">
        <v>112</v>
      </c>
      <c r="B50" s="9">
        <v>8000</v>
      </c>
    </row>
    <row r="51" spans="1:2" x14ac:dyDescent="0.25">
      <c r="A51" s="13" t="s">
        <v>104</v>
      </c>
      <c r="B51" s="9">
        <v>8000</v>
      </c>
    </row>
    <row r="52" spans="1:2" x14ac:dyDescent="0.25">
      <c r="A52" s="13" t="s">
        <v>106</v>
      </c>
      <c r="B52" s="9">
        <v>6900</v>
      </c>
    </row>
    <row r="53" spans="1:2" x14ac:dyDescent="0.25">
      <c r="A53" s="13" t="s">
        <v>128</v>
      </c>
      <c r="B53" s="9">
        <v>10000</v>
      </c>
    </row>
    <row r="54" spans="1:2" x14ac:dyDescent="0.25">
      <c r="A54" s="13" t="s">
        <v>129</v>
      </c>
      <c r="B54" s="9">
        <v>9000</v>
      </c>
    </row>
    <row r="55" spans="1:2" x14ac:dyDescent="0.25">
      <c r="A55" s="13" t="s">
        <v>130</v>
      </c>
      <c r="B55" s="9">
        <v>9000</v>
      </c>
    </row>
    <row r="56" spans="1:2" x14ac:dyDescent="0.25">
      <c r="A56" s="13" t="s">
        <v>131</v>
      </c>
      <c r="B56" s="9">
        <v>17000</v>
      </c>
    </row>
    <row r="57" spans="1:2" x14ac:dyDescent="0.25">
      <c r="A57" s="13" t="s">
        <v>159</v>
      </c>
      <c r="B57" s="9">
        <v>12000</v>
      </c>
    </row>
    <row r="58" spans="1:2" x14ac:dyDescent="0.25">
      <c r="A58" s="13" t="s">
        <v>171</v>
      </c>
      <c r="B58" s="9">
        <v>8000</v>
      </c>
    </row>
    <row r="59" spans="1:2" x14ac:dyDescent="0.25">
      <c r="A59" s="13" t="s">
        <v>200</v>
      </c>
      <c r="B59" s="9">
        <v>2521.1999999999998</v>
      </c>
    </row>
    <row r="60" spans="1:2" x14ac:dyDescent="0.25">
      <c r="A60" s="13" t="s">
        <v>172</v>
      </c>
      <c r="B60" s="9">
        <v>7900</v>
      </c>
    </row>
    <row r="61" spans="1:2" x14ac:dyDescent="0.25">
      <c r="A61" s="13" t="s">
        <v>173</v>
      </c>
      <c r="B61" s="9">
        <v>18500</v>
      </c>
    </row>
    <row r="62" spans="1:2" x14ac:dyDescent="0.25">
      <c r="A62" s="13" t="s">
        <v>308</v>
      </c>
      <c r="B62" s="9">
        <v>40000</v>
      </c>
    </row>
    <row r="63" spans="1:2" x14ac:dyDescent="0.25">
      <c r="A63" s="11" t="s">
        <v>359</v>
      </c>
      <c r="B63" s="9">
        <v>10000</v>
      </c>
    </row>
    <row r="64" spans="1:2" x14ac:dyDescent="0.25">
      <c r="A64" s="11" t="s">
        <v>352</v>
      </c>
      <c r="B64" s="9">
        <v>10000</v>
      </c>
    </row>
    <row r="65" spans="1:2" x14ac:dyDescent="0.25">
      <c r="A65" s="13" t="s">
        <v>174</v>
      </c>
      <c r="B65" s="9">
        <v>9800</v>
      </c>
    </row>
    <row r="66" spans="1:2" x14ac:dyDescent="0.25">
      <c r="A66" s="13" t="s">
        <v>175</v>
      </c>
      <c r="B66" s="9">
        <v>17000</v>
      </c>
    </row>
    <row r="67" spans="1:2" x14ac:dyDescent="0.25">
      <c r="A67" s="13" t="s">
        <v>176</v>
      </c>
      <c r="B67" s="9">
        <v>13000</v>
      </c>
    </row>
    <row r="68" spans="1:2" x14ac:dyDescent="0.25">
      <c r="A68" s="13" t="s">
        <v>177</v>
      </c>
      <c r="B68" s="9">
        <v>10000</v>
      </c>
    </row>
    <row r="69" spans="1:2" x14ac:dyDescent="0.25">
      <c r="A69" s="13" t="s">
        <v>178</v>
      </c>
      <c r="B69" s="9">
        <v>6900</v>
      </c>
    </row>
    <row r="70" spans="1:2" x14ac:dyDescent="0.25">
      <c r="A70" s="13" t="s">
        <v>179</v>
      </c>
      <c r="B70" s="9">
        <v>8500</v>
      </c>
    </row>
    <row r="71" spans="1:2" x14ac:dyDescent="0.25">
      <c r="A71" s="13" t="s">
        <v>180</v>
      </c>
      <c r="B71" s="9">
        <v>12000</v>
      </c>
    </row>
    <row r="72" spans="1:2" x14ac:dyDescent="0.25">
      <c r="A72" s="13" t="s">
        <v>181</v>
      </c>
      <c r="B72" s="9">
        <v>9500</v>
      </c>
    </row>
    <row r="73" spans="1:2" x14ac:dyDescent="0.25">
      <c r="A73" s="13" t="s">
        <v>182</v>
      </c>
      <c r="B73" s="9">
        <v>10000</v>
      </c>
    </row>
    <row r="74" spans="1:2" x14ac:dyDescent="0.25">
      <c r="A74" s="13" t="s">
        <v>183</v>
      </c>
      <c r="B74" s="9">
        <v>16000</v>
      </c>
    </row>
    <row r="75" spans="1:2" x14ac:dyDescent="0.25">
      <c r="A75" s="13" t="s">
        <v>184</v>
      </c>
      <c r="B75" s="9">
        <v>12000</v>
      </c>
    </row>
    <row r="76" spans="1:2" x14ac:dyDescent="0.25">
      <c r="A76" s="13" t="s">
        <v>185</v>
      </c>
      <c r="B76" s="9">
        <v>9800</v>
      </c>
    </row>
    <row r="77" spans="1:2" x14ac:dyDescent="0.25">
      <c r="A77" s="13" t="s">
        <v>186</v>
      </c>
      <c r="B77" s="9">
        <v>43000</v>
      </c>
    </row>
    <row r="78" spans="1:2" x14ac:dyDescent="0.25">
      <c r="A78" s="13" t="s">
        <v>187</v>
      </c>
      <c r="B78" s="9">
        <v>10000</v>
      </c>
    </row>
    <row r="79" spans="1:2" x14ac:dyDescent="0.25">
      <c r="A79" s="13" t="s">
        <v>188</v>
      </c>
      <c r="B79" s="9">
        <v>10000</v>
      </c>
    </row>
    <row r="80" spans="1:2" x14ac:dyDescent="0.25">
      <c r="A80" s="13" t="s">
        <v>189</v>
      </c>
      <c r="B80" s="9">
        <v>2521.1999999999998</v>
      </c>
    </row>
    <row r="81" spans="1:5" x14ac:dyDescent="0.25">
      <c r="A81" s="13" t="s">
        <v>190</v>
      </c>
      <c r="B81" s="9">
        <v>53500</v>
      </c>
    </row>
    <row r="82" spans="1:5" x14ac:dyDescent="0.25">
      <c r="A82" s="13" t="s">
        <v>191</v>
      </c>
      <c r="B82" s="9">
        <v>7500</v>
      </c>
    </row>
    <row r="83" spans="1:5" x14ac:dyDescent="0.25">
      <c r="A83" s="13" t="s">
        <v>192</v>
      </c>
      <c r="B83" s="9">
        <v>11500</v>
      </c>
    </row>
    <row r="84" spans="1:5" x14ac:dyDescent="0.25">
      <c r="A84" s="13" t="s">
        <v>193</v>
      </c>
      <c r="B84" s="9">
        <v>11000</v>
      </c>
    </row>
    <row r="85" spans="1:5" x14ac:dyDescent="0.25">
      <c r="A85" s="13" t="s">
        <v>194</v>
      </c>
      <c r="B85" s="9">
        <v>12000</v>
      </c>
      <c r="C85" s="9">
        <f>+B85/15</f>
        <v>800</v>
      </c>
      <c r="D85" s="6">
        <f>+C85*5</f>
        <v>4000</v>
      </c>
      <c r="E85" s="6">
        <f>+D85*0.3</f>
        <v>1200</v>
      </c>
    </row>
    <row r="86" spans="1:5" x14ac:dyDescent="0.25">
      <c r="A86" s="13" t="s">
        <v>310</v>
      </c>
      <c r="B86" s="9">
        <v>18500</v>
      </c>
    </row>
    <row r="87" spans="1:5" x14ac:dyDescent="0.25">
      <c r="A87" s="12" t="s">
        <v>301</v>
      </c>
      <c r="B87" s="9">
        <v>18000</v>
      </c>
    </row>
    <row r="88" spans="1:5" x14ac:dyDescent="0.25">
      <c r="A88" s="12" t="s">
        <v>304</v>
      </c>
      <c r="B88" s="9">
        <v>22000</v>
      </c>
    </row>
    <row r="89" spans="1:5" x14ac:dyDescent="0.25">
      <c r="A89" s="12" t="s">
        <v>360</v>
      </c>
      <c r="B89" s="9">
        <v>2610.48</v>
      </c>
    </row>
    <row r="90" spans="1:5" x14ac:dyDescent="0.25">
      <c r="A90" s="12" t="s">
        <v>370</v>
      </c>
      <c r="B90" s="9">
        <v>10000</v>
      </c>
    </row>
    <row r="91" spans="1:5" x14ac:dyDescent="0.25">
      <c r="A91" s="15" t="s">
        <v>369</v>
      </c>
      <c r="B91" s="9">
        <v>5000</v>
      </c>
    </row>
    <row r="92" spans="1:5" x14ac:dyDescent="0.25">
      <c r="A92" s="17" t="s">
        <v>372</v>
      </c>
    </row>
    <row r="93" spans="1:5" x14ac:dyDescent="0.25">
      <c r="A93" s="17" t="s">
        <v>373</v>
      </c>
    </row>
    <row r="94" spans="1:5" x14ac:dyDescent="0.25">
      <c r="A94" s="17" t="s">
        <v>374</v>
      </c>
    </row>
    <row r="95" spans="1:5" x14ac:dyDescent="0.25">
      <c r="A95" s="17" t="s">
        <v>375</v>
      </c>
    </row>
    <row r="96" spans="1:5" x14ac:dyDescent="0.25">
      <c r="A96" s="17" t="s">
        <v>376</v>
      </c>
      <c r="B96" s="19"/>
    </row>
    <row r="97" spans="1:2" x14ac:dyDescent="0.25">
      <c r="A97" s="17" t="s">
        <v>377</v>
      </c>
      <c r="B97" s="9">
        <v>8800</v>
      </c>
    </row>
    <row r="98" spans="1:2" x14ac:dyDescent="0.25">
      <c r="A98" s="12"/>
    </row>
    <row r="99" spans="1:2" x14ac:dyDescent="0.25">
      <c r="A99" s="12"/>
    </row>
    <row r="100" spans="1:2" x14ac:dyDescent="0.25">
      <c r="A100" s="12"/>
    </row>
    <row r="101" spans="1:2" x14ac:dyDescent="0.25">
      <c r="A101" s="12"/>
    </row>
    <row r="102" spans="1:2" x14ac:dyDescent="0.25">
      <c r="A102" s="12"/>
    </row>
    <row r="103" spans="1:2" x14ac:dyDescent="0.25">
      <c r="A103" s="12"/>
    </row>
    <row r="104" spans="1:2" x14ac:dyDescent="0.25">
      <c r="A104" s="12"/>
    </row>
    <row r="105" spans="1:2" x14ac:dyDescent="0.25">
      <c r="A105" s="12"/>
    </row>
    <row r="106" spans="1:2" x14ac:dyDescent="0.25">
      <c r="A106" s="12"/>
    </row>
    <row r="107" spans="1:2" x14ac:dyDescent="0.25">
      <c r="A107" s="12"/>
    </row>
    <row r="108" spans="1:2" x14ac:dyDescent="0.25">
      <c r="A108" s="12"/>
    </row>
    <row r="109" spans="1:2" x14ac:dyDescent="0.25">
      <c r="A109" s="12"/>
    </row>
    <row r="110" spans="1:2" x14ac:dyDescent="0.25">
      <c r="A110" s="12"/>
    </row>
    <row r="111" spans="1:2" x14ac:dyDescent="0.25">
      <c r="A111" s="12"/>
    </row>
    <row r="112" spans="1:2" x14ac:dyDescent="0.25">
      <c r="A112" s="12"/>
    </row>
    <row r="113" spans="1:1" x14ac:dyDescent="0.25">
      <c r="A113" s="12"/>
    </row>
    <row r="114" spans="1:1" x14ac:dyDescent="0.25">
      <c r="A114" s="12"/>
    </row>
    <row r="115" spans="1:1" x14ac:dyDescent="0.25">
      <c r="A115" s="12"/>
    </row>
    <row r="116" spans="1:1" x14ac:dyDescent="0.25">
      <c r="A116" s="12"/>
    </row>
    <row r="117" spans="1:1" x14ac:dyDescent="0.25">
      <c r="A117" s="12"/>
    </row>
    <row r="118" spans="1:1" x14ac:dyDescent="0.25">
      <c r="A118" s="12"/>
    </row>
    <row r="119" spans="1:1" x14ac:dyDescent="0.25">
      <c r="A119" s="12"/>
    </row>
    <row r="120" spans="1:1" x14ac:dyDescent="0.25">
      <c r="A120" s="12"/>
    </row>
    <row r="121" spans="1:1" x14ac:dyDescent="0.25">
      <c r="A121" s="12"/>
    </row>
    <row r="122" spans="1:1" x14ac:dyDescent="0.25">
      <c r="A122" s="12"/>
    </row>
    <row r="123" spans="1:1" x14ac:dyDescent="0.25">
      <c r="A123" s="12"/>
    </row>
    <row r="124" spans="1:1" x14ac:dyDescent="0.25">
      <c r="A124" s="12"/>
    </row>
    <row r="125" spans="1:1" x14ac:dyDescent="0.25">
      <c r="A125" s="12"/>
    </row>
    <row r="126" spans="1:1" x14ac:dyDescent="0.25">
      <c r="A126" s="12"/>
    </row>
    <row r="127" spans="1:1" x14ac:dyDescent="0.25">
      <c r="A127" s="12"/>
    </row>
    <row r="128" spans="1:1" x14ac:dyDescent="0.25">
      <c r="A128" s="12"/>
    </row>
    <row r="129" spans="1:1" x14ac:dyDescent="0.25">
      <c r="A129" s="12"/>
    </row>
    <row r="130" spans="1:1" x14ac:dyDescent="0.25">
      <c r="A130" s="12"/>
    </row>
    <row r="131" spans="1:1" x14ac:dyDescent="0.25">
      <c r="A131" s="12"/>
    </row>
    <row r="132" spans="1:1" x14ac:dyDescent="0.25">
      <c r="A132" s="12"/>
    </row>
    <row r="133" spans="1:1" x14ac:dyDescent="0.25">
      <c r="A133" s="12"/>
    </row>
    <row r="134" spans="1:1" x14ac:dyDescent="0.25">
      <c r="A134" s="12"/>
    </row>
    <row r="135" spans="1:1" x14ac:dyDescent="0.25">
      <c r="A135" s="12"/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Hoja8"/>
  <dimension ref="A1:B85"/>
  <sheetViews>
    <sheetView topLeftCell="A12" workbookViewId="0">
      <selection activeCell="B31" sqref="B31"/>
    </sheetView>
  </sheetViews>
  <sheetFormatPr baseColWidth="10" defaultRowHeight="15" x14ac:dyDescent="0.25"/>
  <cols>
    <col min="1" max="1" width="40.28515625" bestFit="1" customWidth="1"/>
  </cols>
  <sheetData>
    <row r="1" spans="1:2" x14ac:dyDescent="0.25">
      <c r="A1" s="13" t="s">
        <v>222</v>
      </c>
      <c r="B1">
        <v>9000</v>
      </c>
    </row>
    <row r="2" spans="1:2" x14ac:dyDescent="0.25">
      <c r="A2" s="13" t="s">
        <v>295</v>
      </c>
      <c r="B2">
        <v>10000</v>
      </c>
    </row>
    <row r="3" spans="1:2" x14ac:dyDescent="0.25">
      <c r="A3" s="13" t="s">
        <v>253</v>
      </c>
      <c r="B3">
        <v>8500</v>
      </c>
    </row>
    <row r="4" spans="1:2" x14ac:dyDescent="0.25">
      <c r="A4" s="13" t="s">
        <v>276</v>
      </c>
      <c r="B4">
        <v>9000</v>
      </c>
    </row>
    <row r="5" spans="1:2" x14ac:dyDescent="0.25">
      <c r="A5" s="13" t="s">
        <v>296</v>
      </c>
      <c r="B5">
        <v>10000</v>
      </c>
    </row>
    <row r="6" spans="1:2" x14ac:dyDescent="0.25">
      <c r="A6" s="13" t="s">
        <v>258</v>
      </c>
      <c r="B6">
        <v>19500</v>
      </c>
    </row>
    <row r="7" spans="1:2" x14ac:dyDescent="0.25">
      <c r="A7" s="13" t="s">
        <v>197</v>
      </c>
      <c r="B7">
        <v>18500</v>
      </c>
    </row>
    <row r="8" spans="1:2" x14ac:dyDescent="0.25">
      <c r="A8" s="13" t="s">
        <v>196</v>
      </c>
      <c r="B8">
        <v>10250</v>
      </c>
    </row>
    <row r="9" spans="1:2" x14ac:dyDescent="0.25">
      <c r="A9" s="13" t="s">
        <v>228</v>
      </c>
      <c r="B9">
        <v>10150</v>
      </c>
    </row>
    <row r="10" spans="1:2" x14ac:dyDescent="0.25">
      <c r="A10" s="13" t="s">
        <v>268</v>
      </c>
      <c r="B10">
        <v>15000</v>
      </c>
    </row>
    <row r="11" spans="1:2" x14ac:dyDescent="0.25">
      <c r="A11" s="13" t="s">
        <v>232</v>
      </c>
      <c r="B11">
        <v>10150</v>
      </c>
    </row>
    <row r="12" spans="1:2" x14ac:dyDescent="0.25">
      <c r="A12" s="13" t="s">
        <v>235</v>
      </c>
      <c r="B12">
        <v>12000</v>
      </c>
    </row>
    <row r="13" spans="1:2" x14ac:dyDescent="0.25">
      <c r="A13" s="13" t="s">
        <v>294</v>
      </c>
      <c r="B13">
        <v>15000</v>
      </c>
    </row>
    <row r="14" spans="1:2" x14ac:dyDescent="0.25">
      <c r="A14" s="13" t="s">
        <v>229</v>
      </c>
      <c r="B14">
        <v>13000</v>
      </c>
    </row>
    <row r="15" spans="1:2" x14ac:dyDescent="0.25">
      <c r="A15" s="13" t="s">
        <v>241</v>
      </c>
      <c r="B15">
        <v>9000</v>
      </c>
    </row>
    <row r="16" spans="1:2" x14ac:dyDescent="0.25">
      <c r="A16" s="13" t="s">
        <v>195</v>
      </c>
      <c r="B16">
        <v>15000</v>
      </c>
    </row>
    <row r="17" spans="1:2" x14ac:dyDescent="0.25">
      <c r="A17" s="13" t="s">
        <v>263</v>
      </c>
      <c r="B17">
        <v>10000</v>
      </c>
    </row>
    <row r="18" spans="1:2" x14ac:dyDescent="0.25">
      <c r="A18" s="13" t="s">
        <v>260</v>
      </c>
      <c r="B18">
        <v>14500</v>
      </c>
    </row>
    <row r="19" spans="1:2" x14ac:dyDescent="0.25">
      <c r="A19" s="13" t="s">
        <v>275</v>
      </c>
      <c r="B19">
        <v>9000</v>
      </c>
    </row>
    <row r="20" spans="1:2" x14ac:dyDescent="0.25">
      <c r="A20" s="13" t="s">
        <v>240</v>
      </c>
      <c r="B20">
        <v>10150</v>
      </c>
    </row>
    <row r="21" spans="1:2" x14ac:dyDescent="0.25">
      <c r="A21" s="13" t="s">
        <v>291</v>
      </c>
      <c r="B21">
        <v>7000</v>
      </c>
    </row>
    <row r="22" spans="1:2" x14ac:dyDescent="0.25">
      <c r="A22" s="13" t="s">
        <v>227</v>
      </c>
      <c r="B22">
        <v>6900</v>
      </c>
    </row>
    <row r="23" spans="1:2" x14ac:dyDescent="0.25">
      <c r="A23" s="13" t="s">
        <v>285</v>
      </c>
      <c r="B23">
        <v>6000</v>
      </c>
    </row>
    <row r="24" spans="1:2" x14ac:dyDescent="0.25">
      <c r="A24" s="13" t="s">
        <v>247</v>
      </c>
      <c r="B24">
        <v>8000</v>
      </c>
    </row>
    <row r="25" spans="1:2" x14ac:dyDescent="0.25">
      <c r="A25" s="13" t="s">
        <v>246</v>
      </c>
      <c r="B25">
        <v>9000</v>
      </c>
    </row>
    <row r="26" spans="1:2" x14ac:dyDescent="0.25">
      <c r="A26" s="13" t="s">
        <v>278</v>
      </c>
      <c r="B26">
        <v>7000</v>
      </c>
    </row>
    <row r="27" spans="1:2" x14ac:dyDescent="0.25">
      <c r="A27" s="13" t="s">
        <v>270</v>
      </c>
      <c r="B27">
        <v>10000</v>
      </c>
    </row>
    <row r="28" spans="1:2" x14ac:dyDescent="0.25">
      <c r="A28" s="13" t="s">
        <v>293</v>
      </c>
      <c r="B28">
        <v>6000</v>
      </c>
    </row>
    <row r="29" spans="1:2" x14ac:dyDescent="0.25">
      <c r="A29" s="13" t="s">
        <v>236</v>
      </c>
      <c r="B29">
        <v>9000</v>
      </c>
    </row>
    <row r="30" spans="1:2" x14ac:dyDescent="0.25">
      <c r="A30" s="13" t="s">
        <v>239</v>
      </c>
      <c r="B30">
        <v>6000</v>
      </c>
    </row>
    <row r="31" spans="1:2" x14ac:dyDescent="0.25">
      <c r="A31" s="13" t="s">
        <v>266</v>
      </c>
      <c r="B31">
        <v>8000</v>
      </c>
    </row>
    <row r="32" spans="1:2" x14ac:dyDescent="0.25">
      <c r="A32" s="13" t="s">
        <v>290</v>
      </c>
      <c r="B32">
        <v>8000</v>
      </c>
    </row>
    <row r="33" spans="1:2" x14ac:dyDescent="0.25">
      <c r="A33" s="13" t="s">
        <v>259</v>
      </c>
      <c r="B33">
        <v>8000</v>
      </c>
    </row>
    <row r="34" spans="1:2" x14ac:dyDescent="0.25">
      <c r="A34" s="13" t="s">
        <v>269</v>
      </c>
      <c r="B34">
        <v>8000</v>
      </c>
    </row>
    <row r="35" spans="1:2" x14ac:dyDescent="0.25">
      <c r="A35" s="13" t="s">
        <v>198</v>
      </c>
      <c r="B35">
        <v>9000</v>
      </c>
    </row>
    <row r="36" spans="1:2" x14ac:dyDescent="0.25">
      <c r="A36" s="13" t="s">
        <v>272</v>
      </c>
      <c r="B36">
        <v>4620</v>
      </c>
    </row>
    <row r="37" spans="1:2" x14ac:dyDescent="0.25">
      <c r="A37" s="13" t="s">
        <v>248</v>
      </c>
      <c r="B37">
        <v>16550</v>
      </c>
    </row>
    <row r="38" spans="1:2" x14ac:dyDescent="0.25">
      <c r="A38" s="13" t="s">
        <v>245</v>
      </c>
      <c r="B38">
        <v>9000</v>
      </c>
    </row>
    <row r="39" spans="1:2" x14ac:dyDescent="0.25">
      <c r="A39" s="13" t="s">
        <v>250</v>
      </c>
      <c r="B39">
        <v>12000</v>
      </c>
    </row>
    <row r="40" spans="1:2" x14ac:dyDescent="0.25">
      <c r="A40" s="13" t="s">
        <v>297</v>
      </c>
      <c r="B40">
        <v>6000</v>
      </c>
    </row>
    <row r="41" spans="1:2" x14ac:dyDescent="0.25">
      <c r="A41" s="13" t="s">
        <v>199</v>
      </c>
      <c r="B41">
        <v>8000</v>
      </c>
    </row>
    <row r="42" spans="1:2" x14ac:dyDescent="0.25">
      <c r="A42" s="13" t="s">
        <v>226</v>
      </c>
      <c r="B42">
        <v>6000</v>
      </c>
    </row>
    <row r="43" spans="1:2" x14ac:dyDescent="0.25">
      <c r="A43" s="13" t="s">
        <v>255</v>
      </c>
      <c r="B43">
        <v>6000</v>
      </c>
    </row>
    <row r="44" spans="1:2" x14ac:dyDescent="0.25">
      <c r="A44" s="13" t="s">
        <v>281</v>
      </c>
      <c r="B44">
        <v>8000</v>
      </c>
    </row>
    <row r="45" spans="1:2" x14ac:dyDescent="0.25">
      <c r="A45" s="13" t="s">
        <v>261</v>
      </c>
      <c r="B45">
        <v>8000</v>
      </c>
    </row>
    <row r="46" spans="1:2" x14ac:dyDescent="0.25">
      <c r="A46" s="13" t="s">
        <v>287</v>
      </c>
      <c r="B46">
        <v>15000</v>
      </c>
    </row>
    <row r="47" spans="1:2" x14ac:dyDescent="0.25">
      <c r="A47" s="13" t="s">
        <v>237</v>
      </c>
      <c r="B47">
        <v>9050</v>
      </c>
    </row>
    <row r="48" spans="1:2" x14ac:dyDescent="0.25">
      <c r="A48" s="13" t="s">
        <v>277</v>
      </c>
      <c r="B48">
        <v>8000</v>
      </c>
    </row>
    <row r="49" spans="1:2" x14ac:dyDescent="0.25">
      <c r="A49" s="13" t="s">
        <v>262</v>
      </c>
      <c r="B49">
        <v>8000</v>
      </c>
    </row>
    <row r="50" spans="1:2" x14ac:dyDescent="0.25">
      <c r="A50" s="13" t="s">
        <v>238</v>
      </c>
      <c r="B50">
        <v>6900</v>
      </c>
    </row>
    <row r="51" spans="1:2" x14ac:dyDescent="0.25">
      <c r="A51" s="13" t="s">
        <v>286</v>
      </c>
      <c r="B51">
        <v>10000</v>
      </c>
    </row>
    <row r="52" spans="1:2" x14ac:dyDescent="0.25">
      <c r="A52" s="13" t="s">
        <v>233</v>
      </c>
      <c r="B52">
        <v>9000</v>
      </c>
    </row>
    <row r="53" spans="1:2" x14ac:dyDescent="0.25">
      <c r="A53" s="13" t="s">
        <v>265</v>
      </c>
      <c r="B53">
        <v>9000</v>
      </c>
    </row>
    <row r="54" spans="1:2" x14ac:dyDescent="0.25">
      <c r="A54" s="13" t="s">
        <v>271</v>
      </c>
      <c r="B54">
        <v>17000</v>
      </c>
    </row>
    <row r="55" spans="1:2" x14ac:dyDescent="0.25">
      <c r="A55" s="13" t="s">
        <v>251</v>
      </c>
      <c r="B55">
        <v>12000</v>
      </c>
    </row>
    <row r="56" spans="1:2" x14ac:dyDescent="0.25">
      <c r="A56" s="13" t="s">
        <v>223</v>
      </c>
      <c r="B56">
        <v>8000</v>
      </c>
    </row>
    <row r="57" spans="1:2" x14ac:dyDescent="0.25">
      <c r="A57" s="13" t="s">
        <v>298</v>
      </c>
      <c r="B57">
        <v>2521.1999999999998</v>
      </c>
    </row>
    <row r="58" spans="1:2" x14ac:dyDescent="0.25">
      <c r="A58" s="13" t="s">
        <v>224</v>
      </c>
      <c r="B58">
        <v>6900</v>
      </c>
    </row>
    <row r="59" spans="1:2" x14ac:dyDescent="0.25">
      <c r="A59" s="13" t="s">
        <v>225</v>
      </c>
      <c r="B59">
        <v>17000</v>
      </c>
    </row>
    <row r="60" spans="1:2" x14ac:dyDescent="0.25">
      <c r="A60" s="13" t="s">
        <v>230</v>
      </c>
      <c r="B60">
        <v>25000</v>
      </c>
    </row>
    <row r="61" spans="1:2" x14ac:dyDescent="0.25">
      <c r="A61" s="13" t="s">
        <v>299</v>
      </c>
      <c r="B61">
        <v>10000</v>
      </c>
    </row>
    <row r="62" spans="1:2" x14ac:dyDescent="0.25">
      <c r="A62" s="13" t="s">
        <v>231</v>
      </c>
      <c r="B62">
        <v>8000</v>
      </c>
    </row>
    <row r="63" spans="1:2" x14ac:dyDescent="0.25">
      <c r="A63" s="13" t="s">
        <v>234</v>
      </c>
      <c r="B63">
        <v>8450</v>
      </c>
    </row>
    <row r="64" spans="1:2" x14ac:dyDescent="0.25">
      <c r="A64" s="13" t="s">
        <v>242</v>
      </c>
      <c r="B64">
        <v>15000</v>
      </c>
    </row>
    <row r="65" spans="1:2" x14ac:dyDescent="0.25">
      <c r="A65" s="13" t="s">
        <v>243</v>
      </c>
      <c r="B65">
        <v>11000</v>
      </c>
    </row>
    <row r="66" spans="1:2" x14ac:dyDescent="0.25">
      <c r="A66" s="13" t="s">
        <v>244</v>
      </c>
      <c r="B66">
        <v>8000</v>
      </c>
    </row>
    <row r="67" spans="1:2" x14ac:dyDescent="0.25">
      <c r="A67" s="13" t="s">
        <v>249</v>
      </c>
      <c r="B67">
        <v>6900</v>
      </c>
    </row>
    <row r="68" spans="1:2" x14ac:dyDescent="0.25">
      <c r="A68" s="13" t="s">
        <v>252</v>
      </c>
      <c r="B68">
        <v>8000</v>
      </c>
    </row>
    <row r="69" spans="1:2" x14ac:dyDescent="0.25">
      <c r="A69" s="13" t="s">
        <v>254</v>
      </c>
      <c r="B69">
        <v>9000</v>
      </c>
    </row>
    <row r="70" spans="1:2" x14ac:dyDescent="0.25">
      <c r="A70" s="13" t="s">
        <v>256</v>
      </c>
      <c r="B70">
        <v>8000</v>
      </c>
    </row>
    <row r="71" spans="1:2" x14ac:dyDescent="0.25">
      <c r="A71" s="13" t="s">
        <v>257</v>
      </c>
      <c r="B71">
        <v>8000</v>
      </c>
    </row>
    <row r="72" spans="1:2" x14ac:dyDescent="0.25">
      <c r="A72" s="13" t="s">
        <v>264</v>
      </c>
      <c r="B72">
        <v>16000</v>
      </c>
    </row>
    <row r="73" spans="1:2" x14ac:dyDescent="0.25">
      <c r="A73" s="13" t="s">
        <v>267</v>
      </c>
      <c r="B73">
        <v>12000</v>
      </c>
    </row>
    <row r="74" spans="1:2" x14ac:dyDescent="0.25">
      <c r="A74" s="13" t="s">
        <v>273</v>
      </c>
      <c r="B74">
        <v>8450</v>
      </c>
    </row>
    <row r="75" spans="1:2" x14ac:dyDescent="0.25">
      <c r="A75" s="13" t="s">
        <v>274</v>
      </c>
      <c r="B75">
        <v>43000</v>
      </c>
    </row>
    <row r="76" spans="1:2" x14ac:dyDescent="0.25">
      <c r="A76" s="13" t="s">
        <v>279</v>
      </c>
      <c r="B76">
        <v>10000</v>
      </c>
    </row>
    <row r="77" spans="1:2" x14ac:dyDescent="0.25">
      <c r="A77" s="13" t="s">
        <v>280</v>
      </c>
      <c r="B77">
        <v>8000</v>
      </c>
    </row>
    <row r="78" spans="1:2" x14ac:dyDescent="0.25">
      <c r="A78" s="13" t="s">
        <v>300</v>
      </c>
      <c r="B78">
        <v>2521.1999999999998</v>
      </c>
    </row>
    <row r="79" spans="1:2" x14ac:dyDescent="0.25">
      <c r="A79" s="13" t="s">
        <v>282</v>
      </c>
      <c r="B79">
        <v>53500</v>
      </c>
    </row>
    <row r="80" spans="1:2" x14ac:dyDescent="0.25">
      <c r="A80" s="13" t="s">
        <v>283</v>
      </c>
      <c r="B80">
        <v>6900</v>
      </c>
    </row>
    <row r="81" spans="1:2" x14ac:dyDescent="0.25">
      <c r="A81" s="13" t="s">
        <v>284</v>
      </c>
      <c r="B81">
        <v>8000</v>
      </c>
    </row>
    <row r="82" spans="1:2" x14ac:dyDescent="0.25">
      <c r="A82" s="13" t="s">
        <v>288</v>
      </c>
      <c r="B82">
        <v>10000</v>
      </c>
    </row>
    <row r="83" spans="1:2" x14ac:dyDescent="0.25">
      <c r="A83" s="13" t="s">
        <v>289</v>
      </c>
      <c r="B83">
        <v>12000</v>
      </c>
    </row>
    <row r="84" spans="1:2" x14ac:dyDescent="0.25">
      <c r="A84" s="13" t="s">
        <v>292</v>
      </c>
      <c r="B84">
        <v>17000</v>
      </c>
    </row>
    <row r="85" spans="1:2" x14ac:dyDescent="0.25">
      <c r="A85" s="13" t="s">
        <v>302</v>
      </c>
      <c r="B85">
        <v>18000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FACTURACION SINDICATO</vt:lpstr>
      <vt:lpstr>CPD PITS</vt:lpstr>
      <vt:lpstr>IP PITS</vt:lpstr>
      <vt:lpstr>SIND PITS</vt:lpstr>
      <vt:lpstr>RESUMEN</vt:lpstr>
      <vt:lpstr>RESUMEN PITS</vt:lpstr>
      <vt:lpstr>FACTURACION</vt:lpstr>
      <vt:lpstr>NETOS</vt:lpstr>
      <vt:lpstr>ABC</vt:lpstr>
      <vt:lpstr>Hoja4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HG-5-V2</dc:creator>
  <cp:lastModifiedBy>Alfonso Aguilar Aguirre</cp:lastModifiedBy>
  <cp:lastPrinted>2018-01-25T19:35:42Z</cp:lastPrinted>
  <dcterms:created xsi:type="dcterms:W3CDTF">2017-04-26T15:20:15Z</dcterms:created>
  <dcterms:modified xsi:type="dcterms:W3CDTF">2019-08-28T16:49:56Z</dcterms:modified>
</cp:coreProperties>
</file>