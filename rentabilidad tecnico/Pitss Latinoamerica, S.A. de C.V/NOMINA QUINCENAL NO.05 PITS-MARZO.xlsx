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CDD86904-F77C-402F-99F7-8D74FDEA6B14}" xr6:coauthVersionLast="41" xr6:coauthVersionMax="41" xr10:uidLastSave="{00000000-0000-0000-0000-000000000000}"/>
  <bookViews>
    <workbookView minimized="1" xWindow="4620" yWindow="4110" windowWidth="15375" windowHeight="7875" firstSheet="1" activeTab="2" xr2:uid="{00000000-000D-0000-FFFF-FFFF00000000}"/>
  </bookViews>
  <sheets>
    <sheet name="FACTURACION SINDICATO" sheetId="15" state="hidden" r:id="rId1"/>
    <sheet name="CPD PITS" sheetId="22" r:id="rId2"/>
    <sheet name="IP PITS" sheetId="24" r:id="rId3"/>
    <sheet name="SIND PITS" sheetId="27" r:id="rId4"/>
    <sheet name="RESUMEN" sheetId="26" state="hidden" r:id="rId5"/>
    <sheet name="RESUMEN PITS" sheetId="28" r:id="rId6"/>
    <sheet name="FACTURACION" sheetId="29" state="hidden" r:id="rId7"/>
    <sheet name="NETOS" sheetId="5" state="hidden" r:id="rId8"/>
    <sheet name="ABC" sheetId="7" state="hidden" r:id="rId9"/>
    <sheet name="Hoja4" sheetId="12" state="hidden" r:id="rId10"/>
  </sheets>
  <externalReferences>
    <externalReference r:id="rId11"/>
    <externalReference r:id="rId12"/>
  </externalReferences>
  <definedNames>
    <definedName name="_xlnm._FilterDatabase" localSheetId="1" hidden="1">'CPD PITS'!$A$8:$AS$29</definedName>
    <definedName name="_xlnm._FilterDatabase" localSheetId="2" hidden="1">'IP PITS'!$A$8:$AO$107</definedName>
    <definedName name="_xlnm._FilterDatabase" localSheetId="4" hidden="1">RESUMEN!$A$3:$AA$141</definedName>
    <definedName name="_xlnm._FilterDatabase" localSheetId="5" hidden="1">'RESUMEN PITS'!$A$3:$AA$107</definedName>
    <definedName name="_xlnm._FilterDatabase" localSheetId="3" hidden="1">'SIND PITS'!$A$6:$L$106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5" i="24" l="1"/>
  <c r="M92" i="28" l="1"/>
  <c r="E92" i="28"/>
  <c r="K92" i="28" s="1"/>
  <c r="Y92" i="28" s="1"/>
  <c r="E93" i="28"/>
  <c r="D92" i="24"/>
  <c r="E92" i="24"/>
  <c r="F92" i="24"/>
  <c r="G92" i="24"/>
  <c r="H92" i="24"/>
  <c r="I92" i="24"/>
  <c r="J92" i="24"/>
  <c r="K92" i="24"/>
  <c r="L92" i="24"/>
  <c r="M92" i="24"/>
  <c r="N92" i="24"/>
  <c r="O92" i="24"/>
  <c r="P92" i="24"/>
  <c r="Q92" i="24"/>
  <c r="R92" i="24"/>
  <c r="S92" i="24"/>
  <c r="T92" i="24"/>
  <c r="U92" i="24"/>
  <c r="V92" i="24"/>
  <c r="J94" i="24" s="1"/>
  <c r="W92" i="24"/>
  <c r="X92" i="24"/>
  <c r="Y92" i="24"/>
  <c r="Z92" i="24"/>
  <c r="AA92" i="24"/>
  <c r="AB92" i="24"/>
  <c r="AC92" i="24"/>
  <c r="AD92" i="24"/>
  <c r="AE92" i="24"/>
  <c r="AF92" i="24"/>
  <c r="AG92" i="24"/>
  <c r="AH92" i="24"/>
  <c r="AI92" i="24"/>
  <c r="AJ92" i="24"/>
  <c r="AK92" i="24"/>
  <c r="AL92" i="24"/>
  <c r="E79" i="27" l="1"/>
  <c r="E47" i="27" l="1"/>
  <c r="H5" i="28" l="1"/>
  <c r="H6" i="28"/>
  <c r="H7" i="28"/>
  <c r="H8" i="28"/>
  <c r="H9" i="28"/>
  <c r="H10" i="28"/>
  <c r="H12" i="28"/>
  <c r="H13" i="28"/>
  <c r="H14" i="28"/>
  <c r="H16" i="28"/>
  <c r="H17" i="28"/>
  <c r="H20" i="28"/>
  <c r="H21" i="28"/>
  <c r="H22" i="28"/>
  <c r="H23" i="28"/>
  <c r="H24" i="28"/>
  <c r="H25" i="28"/>
  <c r="H27" i="28"/>
  <c r="H28" i="28"/>
  <c r="H29" i="28"/>
  <c r="H30" i="28"/>
  <c r="H31" i="28"/>
  <c r="H32" i="28"/>
  <c r="H35" i="28"/>
  <c r="H36" i="28"/>
  <c r="H39" i="28"/>
  <c r="H41" i="28"/>
  <c r="H43" i="28"/>
  <c r="H45" i="28"/>
  <c r="H46" i="28"/>
  <c r="H47" i="28"/>
  <c r="H48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8" i="28"/>
  <c r="H70" i="28"/>
  <c r="H71" i="28"/>
  <c r="H72" i="28"/>
  <c r="H73" i="28"/>
  <c r="H74" i="28"/>
  <c r="H75" i="28"/>
  <c r="H78" i="28"/>
  <c r="H79" i="28"/>
  <c r="H80" i="28"/>
  <c r="H81" i="28"/>
  <c r="H82" i="28"/>
  <c r="H84" i="28"/>
  <c r="H85" i="28"/>
  <c r="H87" i="28"/>
  <c r="H88" i="28"/>
  <c r="H89" i="28"/>
  <c r="H90" i="28"/>
  <c r="H91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4" i="28"/>
  <c r="E100" i="27"/>
  <c r="H67" i="28" s="1"/>
  <c r="E99" i="27"/>
  <c r="H69" i="28" s="1"/>
  <c r="E90" i="27" l="1"/>
  <c r="H42" i="28" s="1"/>
  <c r="E86" i="27"/>
  <c r="H83" i="28" s="1"/>
  <c r="E85" i="27"/>
  <c r="H34" i="28" s="1"/>
  <c r="E70" i="27"/>
  <c r="H77" i="28" s="1"/>
  <c r="E69" i="27"/>
  <c r="H66" i="28" s="1"/>
  <c r="E66" i="27"/>
  <c r="H65" i="28" s="1"/>
  <c r="E62" i="27"/>
  <c r="H40" i="28" s="1"/>
  <c r="E58" i="27"/>
  <c r="H37" i="28" s="1"/>
  <c r="E54" i="27"/>
  <c r="H49" i="28" s="1"/>
  <c r="E53" i="27"/>
  <c r="H86" i="28" s="1"/>
  <c r="H76" i="28"/>
  <c r="E46" i="27"/>
  <c r="H44" i="28" s="1"/>
  <c r="E45" i="27"/>
  <c r="H26" i="28" s="1"/>
  <c r="E31" i="27"/>
  <c r="H33" i="28" s="1"/>
  <c r="E26" i="27"/>
  <c r="H38" i="28" s="1"/>
  <c r="E16" i="27"/>
  <c r="H11" i="28" s="1"/>
  <c r="E51" i="27" l="1"/>
  <c r="H15" i="28" s="1"/>
  <c r="E34" i="27"/>
  <c r="H18" i="28" s="1"/>
  <c r="E17" i="27"/>
  <c r="H19" i="28" s="1"/>
  <c r="E107" i="27" l="1"/>
  <c r="M107" i="27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0" i="28"/>
  <c r="T41" i="28"/>
  <c r="T42" i="28"/>
  <c r="T43" i="28"/>
  <c r="T44" i="28"/>
  <c r="T45" i="28"/>
  <c r="T46" i="28"/>
  <c r="T47" i="28"/>
  <c r="T48" i="28"/>
  <c r="T49" i="28"/>
  <c r="T50" i="28"/>
  <c r="T51" i="28"/>
  <c r="T52" i="28"/>
  <c r="T53" i="28"/>
  <c r="T54" i="28"/>
  <c r="T55" i="28"/>
  <c r="T56" i="28"/>
  <c r="T57" i="28"/>
  <c r="T58" i="28"/>
  <c r="T59" i="28"/>
  <c r="T60" i="28"/>
  <c r="T61" i="28"/>
  <c r="T62" i="28"/>
  <c r="T63" i="28"/>
  <c r="T64" i="28"/>
  <c r="T65" i="28"/>
  <c r="T66" i="28"/>
  <c r="T67" i="28"/>
  <c r="T68" i="28"/>
  <c r="T69" i="28"/>
  <c r="T70" i="28"/>
  <c r="T71" i="28"/>
  <c r="T72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3" i="28"/>
  <c r="W94" i="28"/>
  <c r="W95" i="28"/>
  <c r="W96" i="28"/>
  <c r="W97" i="28"/>
  <c r="W98" i="28"/>
  <c r="W99" i="28"/>
  <c r="W100" i="28"/>
  <c r="W101" i="28"/>
  <c r="W102" i="28"/>
  <c r="W103" i="28"/>
  <c r="W104" i="28"/>
  <c r="W23" i="28"/>
  <c r="U24" i="28"/>
  <c r="U25" i="28"/>
  <c r="U26" i="28"/>
  <c r="U27" i="28"/>
  <c r="U28" i="28"/>
  <c r="U29" i="28"/>
  <c r="U30" i="28"/>
  <c r="U31" i="28"/>
  <c r="U32" i="28"/>
  <c r="U33" i="28"/>
  <c r="U34" i="28"/>
  <c r="U35" i="28"/>
  <c r="U36" i="28"/>
  <c r="U37" i="28"/>
  <c r="U38" i="28"/>
  <c r="U39" i="28"/>
  <c r="U40" i="28"/>
  <c r="U41" i="28"/>
  <c r="U42" i="28"/>
  <c r="U43" i="28"/>
  <c r="U44" i="28"/>
  <c r="U45" i="28"/>
  <c r="U46" i="28"/>
  <c r="U47" i="28"/>
  <c r="U48" i="28"/>
  <c r="U49" i="28"/>
  <c r="U50" i="28"/>
  <c r="U51" i="28"/>
  <c r="U52" i="28"/>
  <c r="U53" i="28"/>
  <c r="U54" i="28"/>
  <c r="U55" i="28"/>
  <c r="U56" i="28"/>
  <c r="U57" i="28"/>
  <c r="U58" i="28"/>
  <c r="U59" i="28"/>
  <c r="U60" i="28"/>
  <c r="U61" i="28"/>
  <c r="U62" i="28"/>
  <c r="U63" i="28"/>
  <c r="U64" i="28"/>
  <c r="U65" i="28"/>
  <c r="U66" i="28"/>
  <c r="U67" i="28"/>
  <c r="U68" i="28"/>
  <c r="U69" i="28"/>
  <c r="U70" i="28"/>
  <c r="U71" i="28"/>
  <c r="U72" i="28"/>
  <c r="U73" i="28"/>
  <c r="U74" i="28"/>
  <c r="U75" i="28"/>
  <c r="U76" i="28"/>
  <c r="U77" i="28"/>
  <c r="U78" i="28"/>
  <c r="U79" i="28"/>
  <c r="U80" i="28"/>
  <c r="U81" i="28"/>
  <c r="U82" i="28"/>
  <c r="U83" i="28"/>
  <c r="U84" i="28"/>
  <c r="U85" i="28"/>
  <c r="U86" i="28"/>
  <c r="U87" i="28"/>
  <c r="U88" i="28"/>
  <c r="U89" i="28"/>
  <c r="U90" i="28"/>
  <c r="U91" i="28"/>
  <c r="U93" i="28"/>
  <c r="U94" i="28"/>
  <c r="U95" i="28"/>
  <c r="U96" i="28"/>
  <c r="U97" i="28"/>
  <c r="U98" i="28"/>
  <c r="U99" i="28"/>
  <c r="U100" i="28"/>
  <c r="U101" i="28"/>
  <c r="U102" i="28"/>
  <c r="U103" i="28"/>
  <c r="U104" i="28"/>
  <c r="U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23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4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Q40" i="28"/>
  <c r="Q41" i="28"/>
  <c r="Q42" i="28"/>
  <c r="Q43" i="28"/>
  <c r="Q44" i="28"/>
  <c r="Q45" i="28"/>
  <c r="Q46" i="28"/>
  <c r="Q47" i="28"/>
  <c r="Q48" i="28"/>
  <c r="Q49" i="28"/>
  <c r="Q50" i="28"/>
  <c r="Q51" i="28"/>
  <c r="Q52" i="28"/>
  <c r="Q53" i="28"/>
  <c r="Q54" i="28"/>
  <c r="Q55" i="28"/>
  <c r="Q56" i="28"/>
  <c r="Q57" i="28"/>
  <c r="Q58" i="28"/>
  <c r="Q59" i="28"/>
  <c r="Q60" i="28"/>
  <c r="Q61" i="28"/>
  <c r="Q62" i="28"/>
  <c r="Q63" i="28"/>
  <c r="Q64" i="28"/>
  <c r="Q65" i="28"/>
  <c r="Q66" i="28"/>
  <c r="Q67" i="28"/>
  <c r="Q68" i="28"/>
  <c r="Q69" i="28"/>
  <c r="Q70" i="28"/>
  <c r="Q71" i="28"/>
  <c r="Q72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3" i="28"/>
  <c r="Q94" i="28"/>
  <c r="Q95" i="28"/>
  <c r="Q96" i="28"/>
  <c r="Q97" i="28"/>
  <c r="Q98" i="28"/>
  <c r="Q99" i="28"/>
  <c r="Q100" i="28"/>
  <c r="Q101" i="28"/>
  <c r="Q102" i="28"/>
  <c r="Q103" i="28"/>
  <c r="Q104" i="28"/>
  <c r="Q23" i="28"/>
  <c r="Q20" i="28"/>
  <c r="Q21" i="28"/>
  <c r="Q22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4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23" i="28"/>
  <c r="O22" i="28"/>
  <c r="O21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4" i="28"/>
  <c r="I24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4" i="28"/>
  <c r="E95" i="28"/>
  <c r="E96" i="28"/>
  <c r="E97" i="28"/>
  <c r="E98" i="28"/>
  <c r="E99" i="28"/>
  <c r="E100" i="28"/>
  <c r="E101" i="28"/>
  <c r="E102" i="28"/>
  <c r="E103" i="28"/>
  <c r="E104" i="28"/>
  <c r="E23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4" i="28"/>
  <c r="H73" i="27"/>
  <c r="H72" i="27"/>
  <c r="H39" i="27"/>
  <c r="H22" i="27"/>
  <c r="H66" i="27"/>
  <c r="H69" i="27"/>
  <c r="H100" i="27"/>
  <c r="H103" i="27"/>
  <c r="H99" i="27"/>
  <c r="H24" i="27"/>
  <c r="H32" i="27"/>
  <c r="H67" i="27"/>
  <c r="H64" i="27"/>
  <c r="H89" i="27"/>
  <c r="H23" i="27"/>
  <c r="H11" i="27"/>
  <c r="H31" i="27"/>
  <c r="H37" i="27"/>
  <c r="H45" i="27"/>
  <c r="H60" i="27"/>
  <c r="H75" i="27"/>
  <c r="H81" i="27"/>
  <c r="H82" i="27"/>
  <c r="H91" i="27"/>
  <c r="H101" i="27"/>
  <c r="H106" i="27"/>
  <c r="H85" i="27"/>
  <c r="H8" i="27"/>
  <c r="H63" i="27"/>
  <c r="H58" i="27"/>
  <c r="H26" i="27"/>
  <c r="H21" i="27"/>
  <c r="H62" i="27"/>
  <c r="H40" i="27"/>
  <c r="H90" i="27"/>
  <c r="H28" i="27"/>
  <c r="H46" i="27"/>
  <c r="H68" i="27"/>
  <c r="H20" i="27"/>
  <c r="H41" i="27"/>
  <c r="H27" i="27"/>
  <c r="H54" i="27"/>
  <c r="H96" i="27"/>
  <c r="H104" i="27"/>
  <c r="H65" i="27"/>
  <c r="H14" i="27"/>
  <c r="H102" i="27"/>
  <c r="H38" i="27"/>
  <c r="H78" i="27"/>
  <c r="H50" i="27"/>
  <c r="H97" i="27"/>
  <c r="H33" i="27"/>
  <c r="H47" i="27"/>
  <c r="H70" i="27"/>
  <c r="H56" i="27"/>
  <c r="H71" i="27"/>
  <c r="H95" i="27"/>
  <c r="H55" i="27"/>
  <c r="H59" i="27"/>
  <c r="H86" i="27"/>
  <c r="H94" i="27"/>
  <c r="H88" i="27"/>
  <c r="H53" i="27"/>
  <c r="H84" i="27"/>
  <c r="H57" i="27"/>
  <c r="H9" i="27"/>
  <c r="H18" i="27"/>
  <c r="H35" i="27"/>
  <c r="H44" i="27"/>
  <c r="H42" i="27"/>
  <c r="H10" i="27"/>
  <c r="H52" i="27"/>
  <c r="H98" i="27"/>
  <c r="H29" i="27"/>
  <c r="H30" i="27"/>
  <c r="H74" i="27"/>
  <c r="H77" i="27"/>
  <c r="H25" i="27"/>
  <c r="H92" i="27"/>
  <c r="H36" i="27"/>
  <c r="H49" i="27"/>
  <c r="H16" i="27"/>
  <c r="H17" i="27"/>
  <c r="H19" i="27"/>
  <c r="H34" i="27"/>
  <c r="H43" i="27"/>
  <c r="H48" i="27"/>
  <c r="H51" i="27"/>
  <c r="H61" i="27"/>
  <c r="H76" i="27"/>
  <c r="H79" i="27"/>
  <c r="H83" i="27"/>
  <c r="H87" i="27"/>
  <c r="H93" i="27"/>
  <c r="H105" i="27"/>
  <c r="H15" i="27"/>
  <c r="H7" i="27"/>
  <c r="H80" i="27"/>
  <c r="H12" i="27"/>
  <c r="D105" i="28" l="1"/>
  <c r="P28" i="28"/>
  <c r="P24" i="28"/>
  <c r="H107" i="27"/>
  <c r="K28" i="28"/>
  <c r="K24" i="28"/>
  <c r="D38" i="27"/>
  <c r="G55" i="28" s="1"/>
  <c r="I59" i="27"/>
  <c r="Y28" i="28" l="1"/>
  <c r="Z28" i="28" s="1"/>
  <c r="Y24" i="28"/>
  <c r="Z24" i="28" s="1"/>
  <c r="D107" i="27"/>
  <c r="E105" i="28" l="1"/>
  <c r="F105" i="28"/>
  <c r="G105" i="28"/>
  <c r="H105" i="28"/>
  <c r="J105" i="28"/>
  <c r="L105" i="28"/>
  <c r="M105" i="28"/>
  <c r="N105" i="28"/>
  <c r="O105" i="28"/>
  <c r="Q105" i="28"/>
  <c r="R105" i="28"/>
  <c r="S105" i="28"/>
  <c r="T105" i="28"/>
  <c r="U105" i="28"/>
  <c r="V105" i="28"/>
  <c r="W105" i="28"/>
  <c r="X105" i="28"/>
  <c r="AA105" i="28"/>
  <c r="AK105" i="28"/>
  <c r="AJ105" i="28"/>
  <c r="AI105" i="28"/>
  <c r="AH105" i="28"/>
  <c r="AG105" i="28"/>
  <c r="AF105" i="28"/>
  <c r="AE105" i="28"/>
  <c r="AD105" i="28"/>
  <c r="AC105" i="28"/>
  <c r="K36" i="27"/>
  <c r="J36" i="27"/>
  <c r="K92" i="27"/>
  <c r="J92" i="27"/>
  <c r="K25" i="27"/>
  <c r="J25" i="27"/>
  <c r="K77" i="27"/>
  <c r="J77" i="27"/>
  <c r="K74" i="27"/>
  <c r="J74" i="27"/>
  <c r="K30" i="27"/>
  <c r="J30" i="27"/>
  <c r="K29" i="27"/>
  <c r="J29" i="27"/>
  <c r="K98" i="27"/>
  <c r="J98" i="27"/>
  <c r="K52" i="27"/>
  <c r="J52" i="27"/>
  <c r="K10" i="27"/>
  <c r="J10" i="27"/>
  <c r="K42" i="27"/>
  <c r="J42" i="27"/>
  <c r="K44" i="27"/>
  <c r="I44" i="27"/>
  <c r="K35" i="27"/>
  <c r="I35" i="27"/>
  <c r="K18" i="27"/>
  <c r="I18" i="27"/>
  <c r="J18" i="27" s="1"/>
  <c r="K9" i="27"/>
  <c r="I9" i="27"/>
  <c r="K57" i="27"/>
  <c r="I57" i="27"/>
  <c r="K84" i="27"/>
  <c r="I84" i="27"/>
  <c r="K53" i="27"/>
  <c r="I53" i="27"/>
  <c r="J53" i="27" s="1"/>
  <c r="K88" i="27"/>
  <c r="I88" i="27"/>
  <c r="K94" i="27"/>
  <c r="I94" i="27"/>
  <c r="K86" i="27"/>
  <c r="I86" i="27"/>
  <c r="K59" i="27"/>
  <c r="K55" i="27"/>
  <c r="I55" i="27"/>
  <c r="K95" i="27"/>
  <c r="I95" i="27"/>
  <c r="K71" i="27"/>
  <c r="I71" i="27"/>
  <c r="K56" i="27"/>
  <c r="I56" i="27"/>
  <c r="K70" i="27"/>
  <c r="I70" i="27"/>
  <c r="K47" i="27"/>
  <c r="I47" i="27"/>
  <c r="K33" i="27"/>
  <c r="I33" i="27"/>
  <c r="K97" i="27"/>
  <c r="I97" i="27"/>
  <c r="K50" i="27"/>
  <c r="I50" i="27"/>
  <c r="K78" i="27"/>
  <c r="I78" i="27"/>
  <c r="K38" i="27"/>
  <c r="I38" i="27"/>
  <c r="J38" i="27" s="1"/>
  <c r="K102" i="27"/>
  <c r="I102" i="27"/>
  <c r="K14" i="27"/>
  <c r="I14" i="27"/>
  <c r="K65" i="27"/>
  <c r="I65" i="27"/>
  <c r="K104" i="27"/>
  <c r="I104" i="27"/>
  <c r="K96" i="27"/>
  <c r="I96" i="27"/>
  <c r="K54" i="27"/>
  <c r="I54" i="27"/>
  <c r="K27" i="27"/>
  <c r="I27" i="27"/>
  <c r="J27" i="27" s="1"/>
  <c r="K41" i="27"/>
  <c r="I41" i="27"/>
  <c r="K20" i="27"/>
  <c r="I20" i="27"/>
  <c r="K68" i="27"/>
  <c r="I68" i="27"/>
  <c r="K46" i="27"/>
  <c r="I46" i="27"/>
  <c r="K28" i="27"/>
  <c r="I28" i="27"/>
  <c r="K90" i="27"/>
  <c r="I90" i="27"/>
  <c r="K40" i="27"/>
  <c r="I40" i="27"/>
  <c r="K62" i="27"/>
  <c r="I62" i="27"/>
  <c r="K21" i="27"/>
  <c r="I21" i="27"/>
  <c r="K26" i="27"/>
  <c r="I26" i="27"/>
  <c r="K58" i="27"/>
  <c r="I58" i="27"/>
  <c r="J58" i="27" s="1"/>
  <c r="K63" i="27"/>
  <c r="I63" i="27"/>
  <c r="K8" i="27"/>
  <c r="I8" i="27"/>
  <c r="K85" i="27"/>
  <c r="I85" i="27"/>
  <c r="K106" i="27"/>
  <c r="I106" i="27"/>
  <c r="K101" i="27"/>
  <c r="I101" i="27"/>
  <c r="K91" i="27"/>
  <c r="I91" i="27"/>
  <c r="K82" i="27"/>
  <c r="I82" i="27"/>
  <c r="K81" i="27"/>
  <c r="I81" i="27"/>
  <c r="K75" i="27"/>
  <c r="I75" i="27"/>
  <c r="G75" i="27"/>
  <c r="K60" i="27"/>
  <c r="I60" i="27"/>
  <c r="K45" i="27"/>
  <c r="I45" i="27"/>
  <c r="K37" i="27"/>
  <c r="I37" i="27"/>
  <c r="J37" i="27" s="1"/>
  <c r="K31" i="27"/>
  <c r="I31" i="27"/>
  <c r="J31" i="27" s="1"/>
  <c r="K11" i="27"/>
  <c r="I11" i="27"/>
  <c r="K23" i="27"/>
  <c r="I23" i="27"/>
  <c r="K89" i="27"/>
  <c r="I89" i="27"/>
  <c r="K64" i="27"/>
  <c r="I64" i="27"/>
  <c r="K67" i="27"/>
  <c r="I67" i="27"/>
  <c r="K32" i="27"/>
  <c r="I32" i="27"/>
  <c r="K24" i="27"/>
  <c r="I24" i="27"/>
  <c r="K99" i="27"/>
  <c r="I99" i="27"/>
  <c r="K103" i="27"/>
  <c r="I103" i="27"/>
  <c r="J103" i="27" s="1"/>
  <c r="K100" i="27"/>
  <c r="I100" i="27"/>
  <c r="K69" i="27"/>
  <c r="I69" i="27"/>
  <c r="K66" i="27"/>
  <c r="I66" i="27"/>
  <c r="K22" i="27"/>
  <c r="I22" i="27"/>
  <c r="K39" i="27"/>
  <c r="I39" i="27"/>
  <c r="K72" i="27"/>
  <c r="I72" i="27"/>
  <c r="K73" i="27"/>
  <c r="I73" i="27"/>
  <c r="K49" i="27"/>
  <c r="I49" i="27"/>
  <c r="K80" i="27"/>
  <c r="F80" i="27"/>
  <c r="K7" i="27"/>
  <c r="I7" i="27"/>
  <c r="K15" i="27"/>
  <c r="I15" i="27"/>
  <c r="K105" i="27"/>
  <c r="I105" i="27"/>
  <c r="K93" i="27"/>
  <c r="I93" i="27"/>
  <c r="K87" i="27"/>
  <c r="I87" i="27"/>
  <c r="K83" i="27"/>
  <c r="I83" i="27"/>
  <c r="K79" i="27"/>
  <c r="I79" i="27"/>
  <c r="J79" i="27" s="1"/>
  <c r="K76" i="27"/>
  <c r="I76" i="27"/>
  <c r="K61" i="27"/>
  <c r="I61" i="27"/>
  <c r="K51" i="27"/>
  <c r="I51" i="27"/>
  <c r="K48" i="27"/>
  <c r="I48" i="27"/>
  <c r="K43" i="27"/>
  <c r="I43" i="27"/>
  <c r="K34" i="27"/>
  <c r="I34" i="27"/>
  <c r="K19" i="27"/>
  <c r="I19" i="27"/>
  <c r="K17" i="27"/>
  <c r="I17" i="27"/>
  <c r="K16" i="27"/>
  <c r="I16" i="27"/>
  <c r="K13" i="27"/>
  <c r="I13" i="27"/>
  <c r="J13" i="27" s="1"/>
  <c r="K12" i="27"/>
  <c r="I12" i="27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8" i="26"/>
  <c r="W119" i="26"/>
  <c r="W120" i="26"/>
  <c r="W121" i="26"/>
  <c r="W122" i="26"/>
  <c r="W123" i="26"/>
  <c r="W124" i="26"/>
  <c r="W125" i="26"/>
  <c r="W126" i="26"/>
  <c r="W127" i="26"/>
  <c r="W128" i="26"/>
  <c r="W129" i="26"/>
  <c r="W130" i="26"/>
  <c r="W131" i="26"/>
  <c r="W132" i="26"/>
  <c r="W133" i="26"/>
  <c r="W134" i="26"/>
  <c r="W135" i="26"/>
  <c r="W136" i="26"/>
  <c r="W137" i="26"/>
  <c r="W138" i="26"/>
  <c r="W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31" i="26"/>
  <c r="K107" i="27" l="1"/>
  <c r="I107" i="27"/>
  <c r="G80" i="27"/>
  <c r="I22" i="28"/>
  <c r="L79" i="27"/>
  <c r="F79" i="27" s="1"/>
  <c r="L27" i="27"/>
  <c r="L13" i="27"/>
  <c r="F13" i="27" s="1"/>
  <c r="J35" i="27"/>
  <c r="L35" i="27" s="1"/>
  <c r="F35" i="27" s="1"/>
  <c r="J65" i="27"/>
  <c r="L65" i="27" s="1"/>
  <c r="L103" i="27"/>
  <c r="F103" i="27" s="1"/>
  <c r="J11" i="27"/>
  <c r="L11" i="27" s="1"/>
  <c r="F11" i="27" s="1"/>
  <c r="J60" i="27"/>
  <c r="L60" i="27" s="1"/>
  <c r="F60" i="27" s="1"/>
  <c r="J75" i="27"/>
  <c r="L75" i="27" s="1"/>
  <c r="J96" i="27"/>
  <c r="L96" i="27" s="1"/>
  <c r="J24" i="27"/>
  <c r="L24" i="27" s="1"/>
  <c r="F24" i="27" s="1"/>
  <c r="J23" i="27"/>
  <c r="L23" i="27" s="1"/>
  <c r="F23" i="27" s="1"/>
  <c r="J101" i="27"/>
  <c r="L101" i="27" s="1"/>
  <c r="F101" i="27" s="1"/>
  <c r="J57" i="27"/>
  <c r="L57" i="27" s="1"/>
  <c r="F57" i="27" s="1"/>
  <c r="J8" i="27"/>
  <c r="L8" i="27" s="1"/>
  <c r="F8" i="27" s="1"/>
  <c r="J20" i="27"/>
  <c r="L20" i="27" s="1"/>
  <c r="F20" i="27" s="1"/>
  <c r="L42" i="27"/>
  <c r="F42" i="27" s="1"/>
  <c r="J34" i="27"/>
  <c r="L34" i="27" s="1"/>
  <c r="F34" i="27" s="1"/>
  <c r="J48" i="27"/>
  <c r="L48" i="27" s="1"/>
  <c r="F48" i="27" s="1"/>
  <c r="J51" i="27"/>
  <c r="L51" i="27" s="1"/>
  <c r="F51" i="27" s="1"/>
  <c r="L31" i="27"/>
  <c r="F31" i="27" s="1"/>
  <c r="L37" i="27"/>
  <c r="F37" i="27" s="1"/>
  <c r="J28" i="27"/>
  <c r="L28" i="27" s="1"/>
  <c r="F28" i="27" s="1"/>
  <c r="J47" i="27"/>
  <c r="L47" i="27" s="1"/>
  <c r="F47" i="27" s="1"/>
  <c r="J70" i="27"/>
  <c r="L70" i="27" s="1"/>
  <c r="F70" i="27" s="1"/>
  <c r="J94" i="27"/>
  <c r="L94" i="27" s="1"/>
  <c r="F94" i="27" s="1"/>
  <c r="L53" i="27"/>
  <c r="F53" i="27" s="1"/>
  <c r="J9" i="27"/>
  <c r="J66" i="27"/>
  <c r="L66" i="27" s="1"/>
  <c r="F66" i="27" s="1"/>
  <c r="I65" i="28" s="1"/>
  <c r="J32" i="27"/>
  <c r="L32" i="27" s="1"/>
  <c r="F32" i="27" s="1"/>
  <c r="J106" i="27"/>
  <c r="L106" i="27" s="1"/>
  <c r="F106" i="27" s="1"/>
  <c r="G106" i="27" s="1"/>
  <c r="J85" i="27"/>
  <c r="L85" i="27" s="1"/>
  <c r="F85" i="27" s="1"/>
  <c r="J68" i="27"/>
  <c r="L68" i="27" s="1"/>
  <c r="F68" i="27" s="1"/>
  <c r="J97" i="27"/>
  <c r="L97" i="27" s="1"/>
  <c r="F97" i="27" s="1"/>
  <c r="J95" i="27"/>
  <c r="L95" i="27" s="1"/>
  <c r="F95" i="27" s="1"/>
  <c r="J88" i="27"/>
  <c r="L88" i="27" s="1"/>
  <c r="F88" i="27" s="1"/>
  <c r="J84" i="27"/>
  <c r="L84" i="27" s="1"/>
  <c r="F84" i="27" s="1"/>
  <c r="J76" i="27"/>
  <c r="L76" i="27" s="1"/>
  <c r="F76" i="27" s="1"/>
  <c r="J105" i="27"/>
  <c r="L105" i="27" s="1"/>
  <c r="F105" i="27" s="1"/>
  <c r="J89" i="27"/>
  <c r="L89" i="27" s="1"/>
  <c r="F89" i="27" s="1"/>
  <c r="J82" i="27"/>
  <c r="L82" i="27" s="1"/>
  <c r="F82" i="27" s="1"/>
  <c r="J46" i="27"/>
  <c r="L46" i="27" s="1"/>
  <c r="F46" i="27" s="1"/>
  <c r="J102" i="27"/>
  <c r="L102" i="27" s="1"/>
  <c r="L9" i="27"/>
  <c r="F9" i="27" s="1"/>
  <c r="J7" i="27"/>
  <c r="J72" i="27"/>
  <c r="L72" i="27" s="1"/>
  <c r="F72" i="27" s="1"/>
  <c r="J45" i="27"/>
  <c r="L45" i="27" s="1"/>
  <c r="F45" i="27" s="1"/>
  <c r="J81" i="27"/>
  <c r="L81" i="27" s="1"/>
  <c r="F81" i="27" s="1"/>
  <c r="J21" i="27"/>
  <c r="L21" i="27" s="1"/>
  <c r="F21" i="27" s="1"/>
  <c r="J41" i="27"/>
  <c r="L41" i="27" s="1"/>
  <c r="J71" i="27"/>
  <c r="L71" i="27" s="1"/>
  <c r="F71" i="27" s="1"/>
  <c r="J55" i="27"/>
  <c r="L55" i="27" s="1"/>
  <c r="F55" i="27" s="1"/>
  <c r="J86" i="27"/>
  <c r="L86" i="27" s="1"/>
  <c r="F86" i="27" s="1"/>
  <c r="J90" i="27"/>
  <c r="L90" i="27" s="1"/>
  <c r="F90" i="27" s="1"/>
  <c r="J104" i="27"/>
  <c r="L104" i="27" s="1"/>
  <c r="J44" i="27"/>
  <c r="L44" i="27" s="1"/>
  <c r="F44" i="27" s="1"/>
  <c r="J16" i="27"/>
  <c r="L16" i="27" s="1"/>
  <c r="F16" i="27" s="1"/>
  <c r="J83" i="27"/>
  <c r="L83" i="27" s="1"/>
  <c r="F83" i="27" s="1"/>
  <c r="J69" i="27"/>
  <c r="L69" i="27" s="1"/>
  <c r="F69" i="27" s="1"/>
  <c r="J17" i="27"/>
  <c r="L17" i="27" s="1"/>
  <c r="F17" i="27" s="1"/>
  <c r="J19" i="27"/>
  <c r="L19" i="27" s="1"/>
  <c r="F19" i="27" s="1"/>
  <c r="J87" i="27"/>
  <c r="L87" i="27" s="1"/>
  <c r="F87" i="27" s="1"/>
  <c r="J93" i="27"/>
  <c r="L93" i="27" s="1"/>
  <c r="F93" i="27" s="1"/>
  <c r="J73" i="27"/>
  <c r="L73" i="27" s="1"/>
  <c r="F73" i="27" s="1"/>
  <c r="J39" i="27"/>
  <c r="L39" i="27" s="1"/>
  <c r="F39" i="27" s="1"/>
  <c r="J22" i="27"/>
  <c r="L22" i="27" s="1"/>
  <c r="F22" i="27" s="1"/>
  <c r="J100" i="27"/>
  <c r="L100" i="27" s="1"/>
  <c r="F100" i="27" s="1"/>
  <c r="J91" i="27"/>
  <c r="L91" i="27" s="1"/>
  <c r="F91" i="27" s="1"/>
  <c r="J62" i="27"/>
  <c r="L62" i="27" s="1"/>
  <c r="F62" i="27" s="1"/>
  <c r="J54" i="27"/>
  <c r="L54" i="27" s="1"/>
  <c r="F54" i="27" s="1"/>
  <c r="J78" i="27"/>
  <c r="L78" i="27" s="1"/>
  <c r="J50" i="27"/>
  <c r="L50" i="27" s="1"/>
  <c r="F50" i="27" s="1"/>
  <c r="J59" i="27"/>
  <c r="L59" i="27" s="1"/>
  <c r="F59" i="27" s="1"/>
  <c r="I82" i="28" s="1"/>
  <c r="J15" i="27"/>
  <c r="L15" i="27" s="1"/>
  <c r="F15" i="27" s="1"/>
  <c r="J49" i="27"/>
  <c r="L49" i="27" s="1"/>
  <c r="F49" i="27" s="1"/>
  <c r="J67" i="27"/>
  <c r="L67" i="27" s="1"/>
  <c r="F67" i="27" s="1"/>
  <c r="J12" i="27"/>
  <c r="J43" i="27"/>
  <c r="L43" i="27" s="1"/>
  <c r="F43" i="27" s="1"/>
  <c r="J61" i="27"/>
  <c r="L61" i="27" s="1"/>
  <c r="F61" i="27" s="1"/>
  <c r="J99" i="27"/>
  <c r="L99" i="27" s="1"/>
  <c r="F99" i="27" s="1"/>
  <c r="J64" i="27"/>
  <c r="L64" i="27" s="1"/>
  <c r="F64" i="27" s="1"/>
  <c r="L58" i="27"/>
  <c r="F58" i="27" s="1"/>
  <c r="J26" i="27"/>
  <c r="L26" i="27" s="1"/>
  <c r="F26" i="27" s="1"/>
  <c r="J63" i="27"/>
  <c r="L63" i="27" s="1"/>
  <c r="F63" i="27" s="1"/>
  <c r="J40" i="27"/>
  <c r="L40" i="27" s="1"/>
  <c r="F40" i="27" s="1"/>
  <c r="J33" i="27"/>
  <c r="L33" i="27" s="1"/>
  <c r="F33" i="27" s="1"/>
  <c r="J56" i="27"/>
  <c r="L56" i="27" s="1"/>
  <c r="F56" i="27" s="1"/>
  <c r="L10" i="27"/>
  <c r="F10" i="27" s="1"/>
  <c r="L98" i="27"/>
  <c r="F98" i="27" s="1"/>
  <c r="L30" i="27"/>
  <c r="F30" i="27" s="1"/>
  <c r="L77" i="27"/>
  <c r="F77" i="27" s="1"/>
  <c r="L92" i="27"/>
  <c r="F92" i="27" s="1"/>
  <c r="J14" i="27"/>
  <c r="L14" i="27" s="1"/>
  <c r="L38" i="27"/>
  <c r="L18" i="27"/>
  <c r="F18" i="27" s="1"/>
  <c r="L52" i="27"/>
  <c r="F52" i="27" s="1"/>
  <c r="L29" i="27"/>
  <c r="F29" i="27" s="1"/>
  <c r="L74" i="27"/>
  <c r="F74" i="27" s="1"/>
  <c r="L25" i="27"/>
  <c r="F25" i="27" s="1"/>
  <c r="L36" i="27"/>
  <c r="F36" i="27" s="1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4" i="26"/>
  <c r="P4" i="26"/>
  <c r="I138" i="26"/>
  <c r="I5" i="26"/>
  <c r="I6" i="26"/>
  <c r="P6" i="26" s="1"/>
  <c r="I7" i="26"/>
  <c r="P7" i="26" s="1"/>
  <c r="I8" i="26"/>
  <c r="I9" i="26"/>
  <c r="I10" i="26"/>
  <c r="I11" i="26"/>
  <c r="P11" i="26" s="1"/>
  <c r="I12" i="26"/>
  <c r="I13" i="26"/>
  <c r="I14" i="26"/>
  <c r="P14" i="26" s="1"/>
  <c r="I15" i="26"/>
  <c r="P15" i="26" s="1"/>
  <c r="I16" i="26"/>
  <c r="I17" i="26"/>
  <c r="I18" i="26"/>
  <c r="I19" i="26"/>
  <c r="P19" i="26" s="1"/>
  <c r="I20" i="26"/>
  <c r="I21" i="26"/>
  <c r="I22" i="26"/>
  <c r="P22" i="26" s="1"/>
  <c r="I23" i="26"/>
  <c r="P23" i="26" s="1"/>
  <c r="I24" i="26"/>
  <c r="I25" i="26"/>
  <c r="I26" i="26"/>
  <c r="P26" i="26" s="1"/>
  <c r="I27" i="26"/>
  <c r="I28" i="26"/>
  <c r="I29" i="26"/>
  <c r="I30" i="26"/>
  <c r="P30" i="26" s="1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4" i="26"/>
  <c r="H5" i="26"/>
  <c r="P5" i="26" s="1"/>
  <c r="H6" i="26"/>
  <c r="H7" i="26"/>
  <c r="H8" i="26"/>
  <c r="P8" i="26" s="1"/>
  <c r="H9" i="26"/>
  <c r="P9" i="26" s="1"/>
  <c r="H10" i="26"/>
  <c r="P10" i="26" s="1"/>
  <c r="H11" i="26"/>
  <c r="H12" i="26"/>
  <c r="P12" i="26" s="1"/>
  <c r="H13" i="26"/>
  <c r="P13" i="26" s="1"/>
  <c r="H14" i="26"/>
  <c r="H15" i="26"/>
  <c r="H16" i="26"/>
  <c r="P16" i="26" s="1"/>
  <c r="H17" i="26"/>
  <c r="P17" i="26" s="1"/>
  <c r="H18" i="26"/>
  <c r="P18" i="26" s="1"/>
  <c r="H19" i="26"/>
  <c r="H20" i="26"/>
  <c r="P20" i="26" s="1"/>
  <c r="H21" i="26"/>
  <c r="P21" i="26" s="1"/>
  <c r="H22" i="26"/>
  <c r="H23" i="26"/>
  <c r="H24" i="26"/>
  <c r="P24" i="26" s="1"/>
  <c r="H25" i="26"/>
  <c r="P25" i="26" s="1"/>
  <c r="H26" i="26"/>
  <c r="H27" i="26"/>
  <c r="H28" i="26"/>
  <c r="P28" i="26" s="1"/>
  <c r="H29" i="26"/>
  <c r="P29" i="26" s="1"/>
  <c r="H30" i="26"/>
  <c r="H31" i="26"/>
  <c r="H32" i="26"/>
  <c r="P32" i="26" s="1"/>
  <c r="H33" i="26"/>
  <c r="P33" i="26" s="1"/>
  <c r="H34" i="26"/>
  <c r="H35" i="26"/>
  <c r="H36" i="26"/>
  <c r="P36" i="26" s="1"/>
  <c r="H37" i="26"/>
  <c r="P37" i="26" s="1"/>
  <c r="H38" i="26"/>
  <c r="H39" i="26"/>
  <c r="H40" i="26"/>
  <c r="P40" i="26" s="1"/>
  <c r="H41" i="26"/>
  <c r="P41" i="26" s="1"/>
  <c r="H42" i="26"/>
  <c r="H43" i="26"/>
  <c r="H44" i="26"/>
  <c r="P44" i="26" s="1"/>
  <c r="H45" i="26"/>
  <c r="P45" i="26" s="1"/>
  <c r="H46" i="26"/>
  <c r="H47" i="26"/>
  <c r="H48" i="26"/>
  <c r="P48" i="26" s="1"/>
  <c r="H49" i="26"/>
  <c r="P49" i="26" s="1"/>
  <c r="H50" i="26"/>
  <c r="H51" i="26"/>
  <c r="H52" i="26"/>
  <c r="P52" i="26" s="1"/>
  <c r="H53" i="26"/>
  <c r="P53" i="26" s="1"/>
  <c r="H54" i="26"/>
  <c r="H55" i="26"/>
  <c r="H56" i="26"/>
  <c r="P56" i="26" s="1"/>
  <c r="H57" i="26"/>
  <c r="P57" i="26" s="1"/>
  <c r="H58" i="26"/>
  <c r="H59" i="26"/>
  <c r="H60" i="26"/>
  <c r="P60" i="26" s="1"/>
  <c r="H61" i="26"/>
  <c r="P61" i="26" s="1"/>
  <c r="H62" i="26"/>
  <c r="H63" i="26"/>
  <c r="H64" i="26"/>
  <c r="P64" i="26" s="1"/>
  <c r="H65" i="26"/>
  <c r="P65" i="26" s="1"/>
  <c r="H66" i="26"/>
  <c r="H67" i="26"/>
  <c r="H68" i="26"/>
  <c r="P68" i="26" s="1"/>
  <c r="H69" i="26"/>
  <c r="P69" i="26" s="1"/>
  <c r="H70" i="26"/>
  <c r="H71" i="26"/>
  <c r="H72" i="26"/>
  <c r="P72" i="26" s="1"/>
  <c r="H73" i="26"/>
  <c r="P73" i="26" s="1"/>
  <c r="H74" i="26"/>
  <c r="H75" i="26"/>
  <c r="H76" i="26"/>
  <c r="P76" i="26" s="1"/>
  <c r="H77" i="26"/>
  <c r="P77" i="26" s="1"/>
  <c r="H78" i="26"/>
  <c r="H79" i="26"/>
  <c r="H80" i="26"/>
  <c r="P80" i="26" s="1"/>
  <c r="H81" i="26"/>
  <c r="P81" i="26" s="1"/>
  <c r="H82" i="26"/>
  <c r="H83" i="26"/>
  <c r="H84" i="26"/>
  <c r="P84" i="26" s="1"/>
  <c r="H85" i="26"/>
  <c r="P85" i="26" s="1"/>
  <c r="H86" i="26"/>
  <c r="H87" i="26"/>
  <c r="H88" i="26"/>
  <c r="P88" i="26" s="1"/>
  <c r="H89" i="26"/>
  <c r="P89" i="26" s="1"/>
  <c r="H90" i="26"/>
  <c r="H91" i="26"/>
  <c r="H92" i="26"/>
  <c r="P92" i="26" s="1"/>
  <c r="H93" i="26"/>
  <c r="P93" i="26" s="1"/>
  <c r="H94" i="26"/>
  <c r="H95" i="26"/>
  <c r="H96" i="26"/>
  <c r="P96" i="26" s="1"/>
  <c r="H97" i="26"/>
  <c r="P97" i="26" s="1"/>
  <c r="H98" i="26"/>
  <c r="H99" i="26"/>
  <c r="H100" i="26"/>
  <c r="P100" i="26" s="1"/>
  <c r="H101" i="26"/>
  <c r="H102" i="26"/>
  <c r="H103" i="26"/>
  <c r="H104" i="26"/>
  <c r="P104" i="26" s="1"/>
  <c r="H105" i="26"/>
  <c r="P105" i="26" s="1"/>
  <c r="H106" i="26"/>
  <c r="H107" i="26"/>
  <c r="H108" i="26"/>
  <c r="P108" i="26" s="1"/>
  <c r="H109" i="26"/>
  <c r="H110" i="26"/>
  <c r="H111" i="26"/>
  <c r="H112" i="26"/>
  <c r="P112" i="26" s="1"/>
  <c r="H113" i="26"/>
  <c r="P113" i="26" s="1"/>
  <c r="H114" i="26"/>
  <c r="H115" i="26"/>
  <c r="H116" i="26"/>
  <c r="P116" i="26" s="1"/>
  <c r="H117" i="26"/>
  <c r="P117" i="26" s="1"/>
  <c r="H118" i="26"/>
  <c r="H119" i="26"/>
  <c r="H120" i="26"/>
  <c r="P120" i="26" s="1"/>
  <c r="H121" i="26"/>
  <c r="P121" i="26" s="1"/>
  <c r="H122" i="26"/>
  <c r="H123" i="26"/>
  <c r="H124" i="26"/>
  <c r="P124" i="26" s="1"/>
  <c r="H125" i="26"/>
  <c r="H126" i="26"/>
  <c r="H127" i="26"/>
  <c r="H128" i="26"/>
  <c r="P128" i="26" s="1"/>
  <c r="H129" i="26"/>
  <c r="P129" i="26" s="1"/>
  <c r="H130" i="26"/>
  <c r="H131" i="26"/>
  <c r="H132" i="26"/>
  <c r="P132" i="26" s="1"/>
  <c r="H133" i="26"/>
  <c r="P133" i="26" s="1"/>
  <c r="H134" i="26"/>
  <c r="H135" i="26"/>
  <c r="H136" i="26"/>
  <c r="P136" i="26" s="1"/>
  <c r="H137" i="26"/>
  <c r="H138" i="26"/>
  <c r="P138" i="26" s="1"/>
  <c r="H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4" i="26"/>
  <c r="E32" i="26"/>
  <c r="E33" i="26"/>
  <c r="E34" i="26"/>
  <c r="E35" i="26"/>
  <c r="E36" i="26"/>
  <c r="E37" i="26"/>
  <c r="E38" i="26"/>
  <c r="K38" i="26" s="1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K58" i="26" s="1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K78" i="26" s="1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K94" i="26" s="1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K113" i="26" s="1"/>
  <c r="E114" i="26"/>
  <c r="K114" i="26" s="1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31" i="26"/>
  <c r="D5" i="26"/>
  <c r="D6" i="26"/>
  <c r="D7" i="26"/>
  <c r="K7" i="26" s="1"/>
  <c r="D8" i="26"/>
  <c r="D9" i="26"/>
  <c r="D10" i="26"/>
  <c r="D11" i="26"/>
  <c r="K11" i="26" s="1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4" i="26"/>
  <c r="AK139" i="26"/>
  <c r="AJ139" i="26"/>
  <c r="AI139" i="26"/>
  <c r="AH139" i="26"/>
  <c r="AG139" i="26"/>
  <c r="AF139" i="26"/>
  <c r="AE139" i="26"/>
  <c r="AD139" i="26"/>
  <c r="AC139" i="26"/>
  <c r="AA139" i="26"/>
  <c r="X139" i="26"/>
  <c r="V139" i="26"/>
  <c r="S139" i="26"/>
  <c r="N139" i="26"/>
  <c r="J139" i="26"/>
  <c r="F139" i="26"/>
  <c r="AB138" i="26"/>
  <c r="M138" i="26"/>
  <c r="AB137" i="26"/>
  <c r="M137" i="26"/>
  <c r="AB136" i="26"/>
  <c r="M136" i="26"/>
  <c r="AB135" i="26"/>
  <c r="M135" i="26"/>
  <c r="AB134" i="26"/>
  <c r="M134" i="26"/>
  <c r="AB133" i="26"/>
  <c r="M133" i="26"/>
  <c r="AB132" i="26"/>
  <c r="M132" i="26"/>
  <c r="AB131" i="26"/>
  <c r="M131" i="26"/>
  <c r="AB130" i="26"/>
  <c r="M130" i="26"/>
  <c r="AB129" i="26"/>
  <c r="M129" i="26"/>
  <c r="AB128" i="26"/>
  <c r="M128" i="26"/>
  <c r="AB127" i="26"/>
  <c r="M127" i="26"/>
  <c r="AB126" i="26"/>
  <c r="M126" i="26"/>
  <c r="AB125" i="26"/>
  <c r="M125" i="26"/>
  <c r="AB124" i="26"/>
  <c r="M124" i="26"/>
  <c r="AB123" i="26"/>
  <c r="M123" i="26"/>
  <c r="AB122" i="26"/>
  <c r="M122" i="26"/>
  <c r="AB121" i="26"/>
  <c r="M121" i="26"/>
  <c r="AB120" i="26"/>
  <c r="M120" i="26"/>
  <c r="AB119" i="26"/>
  <c r="M119" i="26"/>
  <c r="AB118" i="26"/>
  <c r="M118" i="26"/>
  <c r="AB117" i="26"/>
  <c r="M117" i="26"/>
  <c r="AB116" i="26"/>
  <c r="M116" i="26"/>
  <c r="AB115" i="26"/>
  <c r="M115" i="26"/>
  <c r="AB114" i="26"/>
  <c r="M114" i="26"/>
  <c r="AB113" i="26"/>
  <c r="M113" i="26"/>
  <c r="AB112" i="26"/>
  <c r="M112" i="26"/>
  <c r="AB111" i="26"/>
  <c r="M111" i="26"/>
  <c r="AB110" i="26"/>
  <c r="M110" i="26"/>
  <c r="AB109" i="26"/>
  <c r="M109" i="26"/>
  <c r="AB108" i="26"/>
  <c r="M108" i="26"/>
  <c r="AB107" i="26"/>
  <c r="M107" i="26"/>
  <c r="AB106" i="26"/>
  <c r="M106" i="26"/>
  <c r="AB105" i="26"/>
  <c r="M105" i="26"/>
  <c r="AB104" i="26"/>
  <c r="M104" i="26"/>
  <c r="AB103" i="26"/>
  <c r="M103" i="26"/>
  <c r="AB102" i="26"/>
  <c r="M102" i="26"/>
  <c r="AB101" i="26"/>
  <c r="M101" i="26"/>
  <c r="AB100" i="26"/>
  <c r="M100" i="26"/>
  <c r="AB99" i="26"/>
  <c r="M99" i="26"/>
  <c r="AB98" i="26"/>
  <c r="M98" i="26"/>
  <c r="AB97" i="26"/>
  <c r="M97" i="26"/>
  <c r="AB96" i="26"/>
  <c r="M96" i="26"/>
  <c r="AB95" i="26"/>
  <c r="M95" i="26"/>
  <c r="AB94" i="26"/>
  <c r="M94" i="26"/>
  <c r="AB93" i="26"/>
  <c r="L93" i="26"/>
  <c r="M93" i="26" s="1"/>
  <c r="AB92" i="26"/>
  <c r="L92" i="26"/>
  <c r="M92" i="26" s="1"/>
  <c r="AB91" i="26"/>
  <c r="L91" i="26"/>
  <c r="M91" i="26" s="1"/>
  <c r="AB90" i="26"/>
  <c r="M90" i="26"/>
  <c r="AB89" i="26"/>
  <c r="M89" i="26"/>
  <c r="AB88" i="26"/>
  <c r="M88" i="26"/>
  <c r="AB87" i="26"/>
  <c r="M87" i="26"/>
  <c r="AB86" i="26"/>
  <c r="M86" i="26"/>
  <c r="AB85" i="26"/>
  <c r="M85" i="26"/>
  <c r="AB84" i="26"/>
  <c r="M84" i="26"/>
  <c r="AB83" i="26"/>
  <c r="M83" i="26"/>
  <c r="AB82" i="26"/>
  <c r="M82" i="26"/>
  <c r="AB81" i="26"/>
  <c r="M81" i="26"/>
  <c r="K81" i="26"/>
  <c r="AB80" i="26"/>
  <c r="M80" i="26"/>
  <c r="AB79" i="26"/>
  <c r="M79" i="26"/>
  <c r="AB78" i="26"/>
  <c r="M78" i="26"/>
  <c r="AB77" i="26"/>
  <c r="M77" i="26"/>
  <c r="AB76" i="26"/>
  <c r="M76" i="26"/>
  <c r="AB75" i="26"/>
  <c r="M75" i="26"/>
  <c r="AB74" i="26"/>
  <c r="M74" i="26"/>
  <c r="AB73" i="26"/>
  <c r="M73" i="26"/>
  <c r="AB72" i="26"/>
  <c r="M72" i="26"/>
  <c r="AB71" i="26"/>
  <c r="M71" i="26"/>
  <c r="AB70" i="26"/>
  <c r="M70" i="26"/>
  <c r="AB69" i="26"/>
  <c r="M69" i="26"/>
  <c r="AB68" i="26"/>
  <c r="M68" i="26"/>
  <c r="AB67" i="26"/>
  <c r="M67" i="26"/>
  <c r="AB66" i="26"/>
  <c r="M66" i="26"/>
  <c r="AB65" i="26"/>
  <c r="M65" i="26"/>
  <c r="AB64" i="26"/>
  <c r="M64" i="26"/>
  <c r="AB63" i="26"/>
  <c r="M63" i="26"/>
  <c r="AB62" i="26"/>
  <c r="M62" i="26"/>
  <c r="AB61" i="26"/>
  <c r="M61" i="26"/>
  <c r="AB60" i="26"/>
  <c r="M60" i="26"/>
  <c r="AB59" i="26"/>
  <c r="M59" i="26"/>
  <c r="AB58" i="26"/>
  <c r="M58" i="26"/>
  <c r="AB57" i="26"/>
  <c r="M57" i="26"/>
  <c r="AB56" i="26"/>
  <c r="L56" i="26"/>
  <c r="M56" i="26" s="1"/>
  <c r="AB55" i="26"/>
  <c r="M55" i="26"/>
  <c r="AB54" i="26"/>
  <c r="L54" i="26"/>
  <c r="M54" i="26" s="1"/>
  <c r="AB53" i="26"/>
  <c r="M53" i="26"/>
  <c r="AB52" i="26"/>
  <c r="L52" i="26"/>
  <c r="M52" i="26" s="1"/>
  <c r="AB51" i="26"/>
  <c r="M51" i="26"/>
  <c r="AB50" i="26"/>
  <c r="L50" i="26"/>
  <c r="M50" i="26" s="1"/>
  <c r="AB49" i="26"/>
  <c r="L49" i="26"/>
  <c r="M49" i="26" s="1"/>
  <c r="AB48" i="26"/>
  <c r="M48" i="26"/>
  <c r="AB47" i="26"/>
  <c r="L47" i="26"/>
  <c r="M47" i="26" s="1"/>
  <c r="AB46" i="26"/>
  <c r="L46" i="26"/>
  <c r="M46" i="26" s="1"/>
  <c r="AB45" i="26"/>
  <c r="L45" i="26"/>
  <c r="M45" i="26" s="1"/>
  <c r="AB44" i="26"/>
  <c r="L44" i="26"/>
  <c r="M44" i="26" s="1"/>
  <c r="AB43" i="26"/>
  <c r="M43" i="26"/>
  <c r="AB42" i="26"/>
  <c r="M42" i="26"/>
  <c r="AB41" i="26"/>
  <c r="L41" i="26"/>
  <c r="M41" i="26" s="1"/>
  <c r="AB40" i="26"/>
  <c r="L40" i="26"/>
  <c r="M40" i="26" s="1"/>
  <c r="AB39" i="26"/>
  <c r="L39" i="26"/>
  <c r="M39" i="26" s="1"/>
  <c r="AB38" i="26"/>
  <c r="L38" i="26"/>
  <c r="M38" i="26" s="1"/>
  <c r="AB37" i="26"/>
  <c r="M37" i="26"/>
  <c r="AB36" i="26"/>
  <c r="M36" i="26"/>
  <c r="AB35" i="26"/>
  <c r="L35" i="26"/>
  <c r="M35" i="26" s="1"/>
  <c r="AB34" i="26"/>
  <c r="L34" i="26"/>
  <c r="M34" i="26" s="1"/>
  <c r="K34" i="26"/>
  <c r="AB33" i="26"/>
  <c r="L33" i="26"/>
  <c r="M33" i="26" s="1"/>
  <c r="AB32" i="26"/>
  <c r="M32" i="26"/>
  <c r="AB31" i="26"/>
  <c r="U139" i="26"/>
  <c r="L31" i="26"/>
  <c r="M31" i="26" s="1"/>
  <c r="AB30" i="26"/>
  <c r="S30" i="26"/>
  <c r="M30" i="26"/>
  <c r="AB29" i="26"/>
  <c r="S29" i="26"/>
  <c r="M29" i="26"/>
  <c r="AB28" i="26"/>
  <c r="S28" i="26"/>
  <c r="M28" i="26"/>
  <c r="AB27" i="26"/>
  <c r="S27" i="26"/>
  <c r="M27" i="26"/>
  <c r="AB26" i="26"/>
  <c r="S26" i="26"/>
  <c r="M26" i="26"/>
  <c r="AB25" i="26"/>
  <c r="S25" i="26"/>
  <c r="M25" i="26"/>
  <c r="AB24" i="26"/>
  <c r="S24" i="26"/>
  <c r="L24" i="26"/>
  <c r="M24" i="26" s="1"/>
  <c r="AB23" i="26"/>
  <c r="S23" i="26"/>
  <c r="L23" i="26"/>
  <c r="M23" i="26" s="1"/>
  <c r="AB22" i="26"/>
  <c r="S22" i="26"/>
  <c r="L22" i="26"/>
  <c r="M22" i="26" s="1"/>
  <c r="AB21" i="26"/>
  <c r="S21" i="26"/>
  <c r="M21" i="26"/>
  <c r="AB20" i="26"/>
  <c r="S20" i="26"/>
  <c r="M20" i="26"/>
  <c r="AB19" i="26"/>
  <c r="S19" i="26"/>
  <c r="L19" i="26"/>
  <c r="M19" i="26" s="1"/>
  <c r="AB18" i="26"/>
  <c r="S18" i="26"/>
  <c r="M18" i="26"/>
  <c r="AB17" i="26"/>
  <c r="S17" i="26"/>
  <c r="L17" i="26"/>
  <c r="M17" i="26" s="1"/>
  <c r="AB16" i="26"/>
  <c r="S16" i="26"/>
  <c r="M16" i="26"/>
  <c r="AB15" i="26"/>
  <c r="S15" i="26"/>
  <c r="L15" i="26"/>
  <c r="M15" i="26" s="1"/>
  <c r="K15" i="26"/>
  <c r="AB14" i="26"/>
  <c r="S14" i="26"/>
  <c r="M14" i="26"/>
  <c r="K14" i="26"/>
  <c r="AB13" i="26"/>
  <c r="S13" i="26"/>
  <c r="L13" i="26"/>
  <c r="M13" i="26" s="1"/>
  <c r="AB12" i="26"/>
  <c r="S12" i="26"/>
  <c r="L12" i="26"/>
  <c r="M12" i="26" s="1"/>
  <c r="AB11" i="26"/>
  <c r="S11" i="26"/>
  <c r="L11" i="26"/>
  <c r="M11" i="26" s="1"/>
  <c r="AB10" i="26"/>
  <c r="S10" i="26"/>
  <c r="L10" i="26"/>
  <c r="M10" i="26" s="1"/>
  <c r="AB9" i="26"/>
  <c r="S9" i="26"/>
  <c r="L9" i="26"/>
  <c r="M9" i="26" s="1"/>
  <c r="AB8" i="26"/>
  <c r="S8" i="26"/>
  <c r="L8" i="26"/>
  <c r="M8" i="26" s="1"/>
  <c r="AB7" i="26"/>
  <c r="S7" i="26"/>
  <c r="M7" i="26"/>
  <c r="AB6" i="26"/>
  <c r="S6" i="26"/>
  <c r="L6" i="26"/>
  <c r="M6" i="26" s="1"/>
  <c r="AB5" i="26"/>
  <c r="S5" i="26"/>
  <c r="L5" i="26"/>
  <c r="M5" i="26" s="1"/>
  <c r="AB4" i="26"/>
  <c r="S4" i="26"/>
  <c r="L4" i="26"/>
  <c r="M4" i="26" s="1"/>
  <c r="K10" i="26" l="1"/>
  <c r="K6" i="26"/>
  <c r="K5" i="26"/>
  <c r="K37" i="26"/>
  <c r="Y37" i="26" s="1"/>
  <c r="Z37" i="26" s="1"/>
  <c r="K75" i="26"/>
  <c r="K39" i="26"/>
  <c r="K35" i="26"/>
  <c r="K30" i="26"/>
  <c r="Y30" i="26" s="1"/>
  <c r="Z30" i="26" s="1"/>
  <c r="K9" i="26"/>
  <c r="Y9" i="26" s="1"/>
  <c r="Z9" i="26" s="1"/>
  <c r="K61" i="26"/>
  <c r="Y61" i="26" s="1"/>
  <c r="K29" i="26"/>
  <c r="Y29" i="26" s="1"/>
  <c r="Z29" i="26" s="1"/>
  <c r="K13" i="26"/>
  <c r="E139" i="26"/>
  <c r="E140" i="26" s="1"/>
  <c r="K126" i="26"/>
  <c r="K122" i="26"/>
  <c r="K110" i="26"/>
  <c r="K106" i="26"/>
  <c r="K102" i="26"/>
  <c r="K98" i="26"/>
  <c r="K90" i="26"/>
  <c r="K86" i="26"/>
  <c r="Y86" i="26" s="1"/>
  <c r="Z86" i="26" s="1"/>
  <c r="K82" i="26"/>
  <c r="K74" i="26"/>
  <c r="K70" i="26"/>
  <c r="K66" i="26"/>
  <c r="K62" i="26"/>
  <c r="K54" i="26"/>
  <c r="K50" i="26"/>
  <c r="K46" i="26"/>
  <c r="K42" i="26"/>
  <c r="K83" i="26"/>
  <c r="K71" i="26"/>
  <c r="K67" i="26"/>
  <c r="K59" i="26"/>
  <c r="K43" i="26"/>
  <c r="K121" i="26"/>
  <c r="Y121" i="26" s="1"/>
  <c r="Z121" i="26" s="1"/>
  <c r="K26" i="26"/>
  <c r="K22" i="26"/>
  <c r="K18" i="26"/>
  <c r="D139" i="26"/>
  <c r="D140" i="26" s="1"/>
  <c r="K27" i="26"/>
  <c r="K4" i="26"/>
  <c r="Y5" i="26"/>
  <c r="Z5" i="26" s="1"/>
  <c r="Y13" i="26"/>
  <c r="Z13" i="26" s="1"/>
  <c r="L7" i="27"/>
  <c r="J107" i="27"/>
  <c r="P65" i="28"/>
  <c r="K65" i="28"/>
  <c r="G29" i="27"/>
  <c r="I98" i="28"/>
  <c r="F38" i="27"/>
  <c r="I55" i="28" s="1"/>
  <c r="G77" i="27"/>
  <c r="I101" i="28"/>
  <c r="G56" i="27"/>
  <c r="I78" i="28"/>
  <c r="G26" i="27"/>
  <c r="I38" i="28"/>
  <c r="G61" i="27"/>
  <c r="I13" i="28"/>
  <c r="G49" i="27"/>
  <c r="I62" i="28"/>
  <c r="F78" i="27"/>
  <c r="I56" i="28" s="1"/>
  <c r="G100" i="27"/>
  <c r="I67" i="28"/>
  <c r="G93" i="27"/>
  <c r="I17" i="28"/>
  <c r="G69" i="27"/>
  <c r="I66" i="28"/>
  <c r="G44" i="27"/>
  <c r="I93" i="28"/>
  <c r="K93" i="28" s="1"/>
  <c r="G55" i="27"/>
  <c r="I81" i="28"/>
  <c r="G81" i="27"/>
  <c r="I25" i="28"/>
  <c r="G9" i="27"/>
  <c r="I89" i="28"/>
  <c r="G89" i="27"/>
  <c r="I74" i="28"/>
  <c r="G88" i="27"/>
  <c r="I85" i="28"/>
  <c r="G85" i="27"/>
  <c r="I34" i="28"/>
  <c r="G47" i="27"/>
  <c r="I76" i="28"/>
  <c r="G51" i="27"/>
  <c r="I15" i="28"/>
  <c r="G20" i="27"/>
  <c r="I46" i="28"/>
  <c r="G23" i="27"/>
  <c r="I75" i="28"/>
  <c r="G60" i="27"/>
  <c r="I27" i="28"/>
  <c r="G35" i="27"/>
  <c r="I91" i="28"/>
  <c r="P22" i="28"/>
  <c r="K22" i="28"/>
  <c r="G18" i="27"/>
  <c r="I90" i="28"/>
  <c r="G63" i="27"/>
  <c r="I35" i="28"/>
  <c r="G67" i="27"/>
  <c r="I72" i="28"/>
  <c r="G91" i="27"/>
  <c r="I30" i="28"/>
  <c r="G17" i="27"/>
  <c r="I19" i="28"/>
  <c r="G86" i="27"/>
  <c r="I83" i="28"/>
  <c r="G84" i="27"/>
  <c r="I87" i="28"/>
  <c r="G70" i="27"/>
  <c r="I77" i="28"/>
  <c r="G42" i="27"/>
  <c r="I94" i="28"/>
  <c r="G79" i="27"/>
  <c r="I8" i="28"/>
  <c r="G36" i="27"/>
  <c r="I104" i="28"/>
  <c r="G52" i="27"/>
  <c r="I96" i="28"/>
  <c r="G71" i="27"/>
  <c r="I79" i="28"/>
  <c r="G30" i="27"/>
  <c r="I99" i="28"/>
  <c r="G33" i="27"/>
  <c r="I59" i="28"/>
  <c r="G58" i="27"/>
  <c r="I37" i="28"/>
  <c r="G43" i="27"/>
  <c r="I10" i="28"/>
  <c r="G15" i="27"/>
  <c r="I20" i="28"/>
  <c r="I49" i="28"/>
  <c r="G54" i="27"/>
  <c r="G22" i="27"/>
  <c r="I64" i="28"/>
  <c r="G87" i="27"/>
  <c r="I5" i="28"/>
  <c r="G66" i="27"/>
  <c r="F104" i="27"/>
  <c r="I51" i="28" s="1"/>
  <c r="G45" i="27"/>
  <c r="I26" i="28"/>
  <c r="F102" i="27"/>
  <c r="I54" i="28" s="1"/>
  <c r="G105" i="27"/>
  <c r="I7" i="28"/>
  <c r="G95" i="27"/>
  <c r="I80" i="28"/>
  <c r="G53" i="27"/>
  <c r="I86" i="28"/>
  <c r="G28" i="27"/>
  <c r="I43" i="28"/>
  <c r="G48" i="27"/>
  <c r="I4" i="28"/>
  <c r="G8" i="27"/>
  <c r="I36" i="28"/>
  <c r="G24" i="27"/>
  <c r="I70" i="28"/>
  <c r="G11" i="27"/>
  <c r="I31" i="28"/>
  <c r="G13" i="27"/>
  <c r="I14" i="28"/>
  <c r="F27" i="27"/>
  <c r="I48" i="28" s="1"/>
  <c r="G74" i="27"/>
  <c r="I100" i="28"/>
  <c r="G92" i="27"/>
  <c r="I103" i="28"/>
  <c r="G10" i="27"/>
  <c r="I95" i="28"/>
  <c r="G99" i="27"/>
  <c r="I69" i="28"/>
  <c r="G50" i="27"/>
  <c r="I57" i="28"/>
  <c r="G73" i="27"/>
  <c r="I61" i="28"/>
  <c r="G16" i="27"/>
  <c r="I11" i="28"/>
  <c r="G21" i="27"/>
  <c r="I39" i="28"/>
  <c r="G82" i="27"/>
  <c r="I29" i="28"/>
  <c r="G68" i="27"/>
  <c r="I45" i="28"/>
  <c r="G31" i="27"/>
  <c r="I33" i="28"/>
  <c r="G101" i="27"/>
  <c r="I23" i="28"/>
  <c r="F65" i="27"/>
  <c r="I52" i="28" s="1"/>
  <c r="G25" i="27"/>
  <c r="I102" i="28"/>
  <c r="F14" i="27"/>
  <c r="I53" i="28" s="1"/>
  <c r="G98" i="27"/>
  <c r="I97" i="28"/>
  <c r="G40" i="27"/>
  <c r="I41" i="28"/>
  <c r="G64" i="27"/>
  <c r="I73" i="28"/>
  <c r="P82" i="28"/>
  <c r="K82" i="28"/>
  <c r="G62" i="27"/>
  <c r="I40" i="28"/>
  <c r="G39" i="27"/>
  <c r="I63" i="28"/>
  <c r="G19" i="27"/>
  <c r="I12" i="28"/>
  <c r="G83" i="27"/>
  <c r="I16" i="28"/>
  <c r="G90" i="27"/>
  <c r="I42" i="28"/>
  <c r="F41" i="27"/>
  <c r="I47" i="28" s="1"/>
  <c r="G72" i="27"/>
  <c r="I60" i="28"/>
  <c r="G46" i="27"/>
  <c r="I44" i="28"/>
  <c r="G76" i="27"/>
  <c r="I6" i="28"/>
  <c r="G97" i="27"/>
  <c r="I58" i="28"/>
  <c r="G32" i="27"/>
  <c r="I71" i="28"/>
  <c r="G94" i="27"/>
  <c r="I84" i="28"/>
  <c r="G37" i="27"/>
  <c r="I32" i="28"/>
  <c r="G34" i="27"/>
  <c r="I18" i="28"/>
  <c r="G57" i="27"/>
  <c r="I88" i="28"/>
  <c r="F96" i="27"/>
  <c r="I50" i="28" s="1"/>
  <c r="G103" i="27"/>
  <c r="I68" i="28"/>
  <c r="Y26" i="26"/>
  <c r="Z26" i="26" s="1"/>
  <c r="Y22" i="26"/>
  <c r="Z22" i="26" s="1"/>
  <c r="K109" i="26"/>
  <c r="P109" i="26"/>
  <c r="Y109" i="26" s="1"/>
  <c r="Z109" i="26" s="1"/>
  <c r="K129" i="26"/>
  <c r="Y129" i="26" s="1"/>
  <c r="Z129" i="26" s="1"/>
  <c r="K117" i="26"/>
  <c r="Y117" i="26" s="1"/>
  <c r="Z117" i="26" s="1"/>
  <c r="K105" i="26"/>
  <c r="K69" i="26"/>
  <c r="Y69" i="26" s="1"/>
  <c r="Z69" i="26" s="1"/>
  <c r="K53" i="26"/>
  <c r="Y53" i="26" s="1"/>
  <c r="Z53" i="26" s="1"/>
  <c r="K45" i="26"/>
  <c r="Y45" i="26" s="1"/>
  <c r="Z45" i="26" s="1"/>
  <c r="K25" i="26"/>
  <c r="Y25" i="26" s="1"/>
  <c r="Z25" i="26" s="1"/>
  <c r="K17" i="26"/>
  <c r="Y17" i="26" s="1"/>
  <c r="Z17" i="26" s="1"/>
  <c r="Y6" i="26"/>
  <c r="Z6" i="26" s="1"/>
  <c r="Y7" i="26"/>
  <c r="Z7" i="26" s="1"/>
  <c r="Y10" i="26"/>
  <c r="Y11" i="26"/>
  <c r="Z11" i="26" s="1"/>
  <c r="Y14" i="26"/>
  <c r="Z14" i="26" s="1"/>
  <c r="Y15" i="26"/>
  <c r="Z15" i="26" s="1"/>
  <c r="Y18" i="26"/>
  <c r="Z18" i="26" s="1"/>
  <c r="K137" i="26"/>
  <c r="P137" i="26"/>
  <c r="K125" i="26"/>
  <c r="P125" i="26"/>
  <c r="K101" i="26"/>
  <c r="Y101" i="26" s="1"/>
  <c r="Z101" i="26" s="1"/>
  <c r="P101" i="26"/>
  <c r="K65" i="26"/>
  <c r="K77" i="26"/>
  <c r="Y77" i="26" s="1"/>
  <c r="Z77" i="26" s="1"/>
  <c r="K93" i="26"/>
  <c r="Y93" i="26" s="1"/>
  <c r="Z93" i="26" s="1"/>
  <c r="K97" i="26"/>
  <c r="K73" i="26"/>
  <c r="Y73" i="26" s="1"/>
  <c r="Z73" i="26" s="1"/>
  <c r="K57" i="26"/>
  <c r="Y57" i="26" s="1"/>
  <c r="Z57" i="26" s="1"/>
  <c r="K49" i="26"/>
  <c r="Y49" i="26" s="1"/>
  <c r="Z49" i="26" s="1"/>
  <c r="K41" i="26"/>
  <c r="Y41" i="26" s="1"/>
  <c r="Z41" i="26" s="1"/>
  <c r="K21" i="26"/>
  <c r="Y21" i="26" s="1"/>
  <c r="Z21" i="26" s="1"/>
  <c r="K23" i="26"/>
  <c r="Y23" i="26" s="1"/>
  <c r="Z23" i="26" s="1"/>
  <c r="K19" i="26"/>
  <c r="Y19" i="26" s="1"/>
  <c r="Z19" i="26" s="1"/>
  <c r="P27" i="26"/>
  <c r="Y27" i="26" s="1"/>
  <c r="Z27" i="26" s="1"/>
  <c r="P135" i="26"/>
  <c r="P127" i="26"/>
  <c r="P119" i="26"/>
  <c r="P111" i="26"/>
  <c r="P103" i="26"/>
  <c r="P95" i="26"/>
  <c r="P87" i="26"/>
  <c r="P83" i="26"/>
  <c r="Y83" i="26" s="1"/>
  <c r="Z83" i="26" s="1"/>
  <c r="P75" i="26"/>
  <c r="P67" i="26"/>
  <c r="P59" i="26"/>
  <c r="Y59" i="26" s="1"/>
  <c r="Z59" i="26" s="1"/>
  <c r="P51" i="26"/>
  <c r="P39" i="26"/>
  <c r="P31" i="26"/>
  <c r="P131" i="26"/>
  <c r="P123" i="26"/>
  <c r="P115" i="26"/>
  <c r="P107" i="26"/>
  <c r="P99" i="26"/>
  <c r="P91" i="26"/>
  <c r="P79" i="26"/>
  <c r="P71" i="26"/>
  <c r="P63" i="26"/>
  <c r="P55" i="26"/>
  <c r="P47" i="26"/>
  <c r="P43" i="26"/>
  <c r="Y43" i="26" s="1"/>
  <c r="P35" i="26"/>
  <c r="Y35" i="26" s="1"/>
  <c r="Z35" i="26" s="1"/>
  <c r="K63" i="26"/>
  <c r="K79" i="26"/>
  <c r="Y79" i="26" s="1"/>
  <c r="Z79" i="26" s="1"/>
  <c r="P134" i="26"/>
  <c r="P130" i="26"/>
  <c r="P126" i="26"/>
  <c r="Y126" i="26" s="1"/>
  <c r="Z126" i="26" s="1"/>
  <c r="P122" i="26"/>
  <c r="P118" i="26"/>
  <c r="P114" i="26"/>
  <c r="Y114" i="26" s="1"/>
  <c r="Z114" i="26" s="1"/>
  <c r="P110" i="26"/>
  <c r="P106" i="26"/>
  <c r="P102" i="26"/>
  <c r="Y102" i="26" s="1"/>
  <c r="Z102" i="26" s="1"/>
  <c r="P98" i="26"/>
  <c r="Y98" i="26" s="1"/>
  <c r="Z98" i="26" s="1"/>
  <c r="P94" i="26"/>
  <c r="Y94" i="26" s="1"/>
  <c r="Z94" i="26" s="1"/>
  <c r="P90" i="26"/>
  <c r="P86" i="26"/>
  <c r="P82" i="26"/>
  <c r="Y82" i="26" s="1"/>
  <c r="Z82" i="26" s="1"/>
  <c r="P78" i="26"/>
  <c r="Y78" i="26" s="1"/>
  <c r="Z78" i="26" s="1"/>
  <c r="P74" i="26"/>
  <c r="P70" i="26"/>
  <c r="P66" i="26"/>
  <c r="Y66" i="26" s="1"/>
  <c r="Z66" i="26" s="1"/>
  <c r="P62" i="26"/>
  <c r="Y62" i="26" s="1"/>
  <c r="Z62" i="26" s="1"/>
  <c r="P58" i="26"/>
  <c r="Y58" i="26" s="1"/>
  <c r="Z58" i="26" s="1"/>
  <c r="P54" i="26"/>
  <c r="P50" i="26"/>
  <c r="P46" i="26"/>
  <c r="Y46" i="26" s="1"/>
  <c r="Z46" i="26" s="1"/>
  <c r="P42" i="26"/>
  <c r="Y42" i="26" s="1"/>
  <c r="Z42" i="26" s="1"/>
  <c r="P38" i="26"/>
  <c r="P34" i="26"/>
  <c r="Y34" i="26" s="1"/>
  <c r="Z34" i="26" s="1"/>
  <c r="G59" i="27"/>
  <c r="L12" i="27"/>
  <c r="R139" i="26"/>
  <c r="AB139" i="26"/>
  <c r="T139" i="26"/>
  <c r="Z10" i="26"/>
  <c r="Y122" i="26"/>
  <c r="Z122" i="26" s="1"/>
  <c r="K133" i="26"/>
  <c r="Y133" i="26" s="1"/>
  <c r="Z133" i="26" s="1"/>
  <c r="K56" i="26"/>
  <c r="Y56" i="26" s="1"/>
  <c r="Z56" i="26" s="1"/>
  <c r="K16" i="26"/>
  <c r="K8" i="26"/>
  <c r="Y8" i="26" s="1"/>
  <c r="Z8" i="26" s="1"/>
  <c r="Y65" i="26"/>
  <c r="Z65" i="26" s="1"/>
  <c r="Y75" i="26"/>
  <c r="Z75" i="26" s="1"/>
  <c r="Y81" i="26"/>
  <c r="Z81" i="26" s="1"/>
  <c r="Y38" i="26"/>
  <c r="Z38" i="26" s="1"/>
  <c r="Y54" i="26"/>
  <c r="Z54" i="26" s="1"/>
  <c r="Y74" i="26"/>
  <c r="Z74" i="26" s="1"/>
  <c r="Y106" i="26"/>
  <c r="Z106" i="26" s="1"/>
  <c r="K28" i="26"/>
  <c r="Y28" i="26" s="1"/>
  <c r="Z28" i="26" s="1"/>
  <c r="K24" i="26"/>
  <c r="K20" i="26"/>
  <c r="Y20" i="26" s="1"/>
  <c r="Z20" i="26" s="1"/>
  <c r="K12" i="26"/>
  <c r="G139" i="26"/>
  <c r="K60" i="26"/>
  <c r="Y60" i="26" s="1"/>
  <c r="Z60" i="26" s="1"/>
  <c r="K64" i="26"/>
  <c r="Y64" i="26" s="1"/>
  <c r="Z64" i="26" s="1"/>
  <c r="K68" i="26"/>
  <c r="Y68" i="26" s="1"/>
  <c r="Z68" i="26" s="1"/>
  <c r="K72" i="26"/>
  <c r="Y72" i="26" s="1"/>
  <c r="Z72" i="26" s="1"/>
  <c r="K76" i="26"/>
  <c r="Y76" i="26" s="1"/>
  <c r="Z76" i="26" s="1"/>
  <c r="K80" i="26"/>
  <c r="Y80" i="26" s="1"/>
  <c r="Z80" i="26" s="1"/>
  <c r="K84" i="26"/>
  <c r="K92" i="26"/>
  <c r="Y92" i="26" s="1"/>
  <c r="Z92" i="26" s="1"/>
  <c r="K36" i="26"/>
  <c r="Y36" i="26" s="1"/>
  <c r="Z36" i="26" s="1"/>
  <c r="K44" i="26"/>
  <c r="Y44" i="26" s="1"/>
  <c r="Z44" i="26" s="1"/>
  <c r="K48" i="26"/>
  <c r="Y48" i="26" s="1"/>
  <c r="Z48" i="26" s="1"/>
  <c r="Z61" i="26"/>
  <c r="H139" i="26"/>
  <c r="K31" i="26"/>
  <c r="K33" i="26"/>
  <c r="K51" i="26"/>
  <c r="I139" i="26"/>
  <c r="O139" i="26"/>
  <c r="L139" i="26"/>
  <c r="Q139" i="26"/>
  <c r="W139" i="26"/>
  <c r="K32" i="26"/>
  <c r="Y32" i="26" s="1"/>
  <c r="Z32" i="26" s="1"/>
  <c r="Y39" i="26"/>
  <c r="Z39" i="26" s="1"/>
  <c r="K47" i="26"/>
  <c r="Y47" i="26" s="1"/>
  <c r="Z47" i="26" s="1"/>
  <c r="K52" i="26"/>
  <c r="Y52" i="26" s="1"/>
  <c r="Z52" i="26" s="1"/>
  <c r="M139" i="26"/>
  <c r="K40" i="26"/>
  <c r="K55" i="26"/>
  <c r="K87" i="26"/>
  <c r="K91" i="26"/>
  <c r="Y91" i="26" s="1"/>
  <c r="Z91" i="26" s="1"/>
  <c r="K95" i="26"/>
  <c r="Y95" i="26" s="1"/>
  <c r="Z95" i="26" s="1"/>
  <c r="K99" i="26"/>
  <c r="K103" i="26"/>
  <c r="Y103" i="26" s="1"/>
  <c r="Z103" i="26" s="1"/>
  <c r="K107" i="26"/>
  <c r="Y107" i="26" s="1"/>
  <c r="Z107" i="26" s="1"/>
  <c r="K111" i="26"/>
  <c r="Y111" i="26" s="1"/>
  <c r="Z111" i="26" s="1"/>
  <c r="K118" i="26"/>
  <c r="K130" i="26"/>
  <c r="Y130" i="26" s="1"/>
  <c r="Z130" i="26" s="1"/>
  <c r="K134" i="26"/>
  <c r="K138" i="26"/>
  <c r="Y138" i="26" s="1"/>
  <c r="Z138" i="26" s="1"/>
  <c r="K88" i="26"/>
  <c r="Y88" i="26" s="1"/>
  <c r="Z88" i="26" s="1"/>
  <c r="K96" i="26"/>
  <c r="Y96" i="26" s="1"/>
  <c r="Z96" i="26" s="1"/>
  <c r="K100" i="26"/>
  <c r="Y100" i="26" s="1"/>
  <c r="Z100" i="26" s="1"/>
  <c r="K104" i="26"/>
  <c r="Y104" i="26" s="1"/>
  <c r="Z104" i="26" s="1"/>
  <c r="K108" i="26"/>
  <c r="Y108" i="26" s="1"/>
  <c r="Z108" i="26" s="1"/>
  <c r="K112" i="26"/>
  <c r="Y112" i="26" s="1"/>
  <c r="Y113" i="26"/>
  <c r="Z113" i="26" s="1"/>
  <c r="K115" i="26"/>
  <c r="Y115" i="26" s="1"/>
  <c r="Z115" i="26" s="1"/>
  <c r="K119" i="26"/>
  <c r="K123" i="26"/>
  <c r="Y123" i="26" s="1"/>
  <c r="Z123" i="26" s="1"/>
  <c r="K127" i="26"/>
  <c r="K131" i="26"/>
  <c r="K135" i="26"/>
  <c r="Y135" i="26" s="1"/>
  <c r="Z135" i="26" s="1"/>
  <c r="K85" i="26"/>
  <c r="Y85" i="26" s="1"/>
  <c r="Z85" i="26" s="1"/>
  <c r="K89" i="26"/>
  <c r="Y89" i="26" s="1"/>
  <c r="Z89" i="26" s="1"/>
  <c r="Y97" i="26"/>
  <c r="Z97" i="26" s="1"/>
  <c r="Y105" i="26"/>
  <c r="Z105" i="26" s="1"/>
  <c r="K116" i="26"/>
  <c r="K120" i="26"/>
  <c r="Y120" i="26" s="1"/>
  <c r="Z120" i="26" s="1"/>
  <c r="K124" i="26"/>
  <c r="Y124" i="26" s="1"/>
  <c r="Z124" i="26" s="1"/>
  <c r="K128" i="26"/>
  <c r="Y128" i="26" s="1"/>
  <c r="Z128" i="26" s="1"/>
  <c r="K132" i="26"/>
  <c r="Y132" i="26" s="1"/>
  <c r="Z132" i="26" s="1"/>
  <c r="K136" i="26"/>
  <c r="Y136" i="26" s="1"/>
  <c r="Z136" i="26" s="1"/>
  <c r="Y125" i="26" l="1"/>
  <c r="Z125" i="26" s="1"/>
  <c r="Y131" i="26"/>
  <c r="Z131" i="26" s="1"/>
  <c r="Y70" i="26"/>
  <c r="Z70" i="26" s="1"/>
  <c r="Y67" i="26"/>
  <c r="Z67" i="26" s="1"/>
  <c r="Y127" i="26"/>
  <c r="Z127" i="26" s="1"/>
  <c r="Y55" i="26"/>
  <c r="Z55" i="26" s="1"/>
  <c r="Y51" i="26"/>
  <c r="Z51" i="26" s="1"/>
  <c r="Y90" i="26"/>
  <c r="Z90" i="26" s="1"/>
  <c r="Y110" i="26"/>
  <c r="Z110" i="26" s="1"/>
  <c r="Y137" i="26"/>
  <c r="Z137" i="26" s="1"/>
  <c r="Y50" i="26"/>
  <c r="Z50" i="26" s="1"/>
  <c r="G102" i="27"/>
  <c r="G104" i="27"/>
  <c r="G27" i="27"/>
  <c r="Y63" i="26"/>
  <c r="Z63" i="26" s="1"/>
  <c r="Y71" i="26"/>
  <c r="Z71" i="26" s="1"/>
  <c r="Y22" i="28"/>
  <c r="Z22" i="28" s="1"/>
  <c r="G41" i="27"/>
  <c r="G14" i="27"/>
  <c r="F7" i="27"/>
  <c r="L107" i="27"/>
  <c r="Y65" i="28"/>
  <c r="Z65" i="28" s="1"/>
  <c r="G65" i="27"/>
  <c r="P5" i="28"/>
  <c r="K5" i="28"/>
  <c r="K59" i="28"/>
  <c r="P59" i="28"/>
  <c r="K94" i="28"/>
  <c r="P94" i="28"/>
  <c r="P87" i="28"/>
  <c r="K87" i="28"/>
  <c r="P85" i="28"/>
  <c r="K85" i="28"/>
  <c r="K66" i="28"/>
  <c r="P66" i="28"/>
  <c r="P62" i="28"/>
  <c r="K62" i="28"/>
  <c r="K38" i="28"/>
  <c r="P38" i="28"/>
  <c r="P98" i="28"/>
  <c r="K98" i="28"/>
  <c r="P84" i="28"/>
  <c r="K84" i="28"/>
  <c r="K58" i="28"/>
  <c r="P58" i="28"/>
  <c r="K44" i="28"/>
  <c r="P44" i="28"/>
  <c r="K47" i="28"/>
  <c r="P47" i="28"/>
  <c r="P16" i="28"/>
  <c r="K16" i="28"/>
  <c r="K63" i="28"/>
  <c r="P63" i="28"/>
  <c r="Y82" i="28"/>
  <c r="Z82" i="28" s="1"/>
  <c r="P41" i="28"/>
  <c r="K41" i="28"/>
  <c r="K53" i="28"/>
  <c r="P53" i="28"/>
  <c r="P102" i="28"/>
  <c r="K102" i="28"/>
  <c r="P23" i="28"/>
  <c r="K23" i="28"/>
  <c r="K45" i="28"/>
  <c r="P45" i="28"/>
  <c r="P39" i="28"/>
  <c r="K39" i="28"/>
  <c r="K61" i="28"/>
  <c r="P61" i="28"/>
  <c r="P69" i="28"/>
  <c r="K69" i="28"/>
  <c r="P103" i="28"/>
  <c r="K103" i="28"/>
  <c r="P48" i="28"/>
  <c r="K48" i="28"/>
  <c r="K31" i="28"/>
  <c r="P31" i="28"/>
  <c r="P36" i="28"/>
  <c r="K36" i="28"/>
  <c r="K43" i="28"/>
  <c r="P43" i="28"/>
  <c r="P80" i="28"/>
  <c r="K80" i="28"/>
  <c r="P54" i="28"/>
  <c r="K54" i="28"/>
  <c r="K51" i="28"/>
  <c r="P51" i="28"/>
  <c r="K49" i="28"/>
  <c r="P49" i="28"/>
  <c r="K79" i="28"/>
  <c r="P79" i="28"/>
  <c r="K83" i="28"/>
  <c r="P83" i="28"/>
  <c r="K35" i="28"/>
  <c r="P35" i="28"/>
  <c r="K46" i="28"/>
  <c r="P46" i="28"/>
  <c r="K67" i="28"/>
  <c r="P67" i="28"/>
  <c r="P50" i="28"/>
  <c r="K50" i="28"/>
  <c r="K64" i="28"/>
  <c r="P64" i="28"/>
  <c r="P20" i="28"/>
  <c r="K20" i="28"/>
  <c r="K37" i="28"/>
  <c r="P37" i="28"/>
  <c r="K99" i="28"/>
  <c r="P99" i="28"/>
  <c r="K96" i="28"/>
  <c r="P96" i="28"/>
  <c r="P8" i="28"/>
  <c r="K8" i="28"/>
  <c r="K77" i="28"/>
  <c r="P77" i="28"/>
  <c r="P19" i="28"/>
  <c r="K19" i="28"/>
  <c r="P72" i="28"/>
  <c r="K72" i="28"/>
  <c r="P90" i="28"/>
  <c r="K90" i="28"/>
  <c r="K91" i="28"/>
  <c r="P91" i="28"/>
  <c r="K75" i="28"/>
  <c r="P75" i="28"/>
  <c r="P15" i="28"/>
  <c r="K15" i="28"/>
  <c r="P34" i="28"/>
  <c r="K34" i="28"/>
  <c r="P74" i="28"/>
  <c r="K74" i="28"/>
  <c r="P25" i="28"/>
  <c r="K25" i="28"/>
  <c r="P93" i="28"/>
  <c r="Y93" i="28" s="1"/>
  <c r="P17" i="28"/>
  <c r="K17" i="28"/>
  <c r="P56" i="28"/>
  <c r="K56" i="28"/>
  <c r="K13" i="28"/>
  <c r="P13" i="28"/>
  <c r="K78" i="28"/>
  <c r="P78" i="28"/>
  <c r="P55" i="28"/>
  <c r="K55" i="28"/>
  <c r="P10" i="28"/>
  <c r="K10" i="28"/>
  <c r="K104" i="28"/>
  <c r="P104" i="28"/>
  <c r="P30" i="28"/>
  <c r="K30" i="28"/>
  <c r="K27" i="28"/>
  <c r="P27" i="28"/>
  <c r="P76" i="28"/>
  <c r="K76" i="28"/>
  <c r="P89" i="28"/>
  <c r="K89" i="28"/>
  <c r="K81" i="28"/>
  <c r="P81" i="28"/>
  <c r="K101" i="28"/>
  <c r="P101" i="28"/>
  <c r="P18" i="28"/>
  <c r="K18" i="28"/>
  <c r="G96" i="27"/>
  <c r="K68" i="28"/>
  <c r="P68" i="28"/>
  <c r="P88" i="28"/>
  <c r="K88" i="28"/>
  <c r="K32" i="28"/>
  <c r="P32" i="28"/>
  <c r="P71" i="28"/>
  <c r="K71" i="28"/>
  <c r="P6" i="28"/>
  <c r="K6" i="28"/>
  <c r="K60" i="28"/>
  <c r="P60" i="28"/>
  <c r="P42" i="28"/>
  <c r="K42" i="28"/>
  <c r="K12" i="28"/>
  <c r="P12" i="28"/>
  <c r="P40" i="28"/>
  <c r="K40" i="28"/>
  <c r="P73" i="28"/>
  <c r="K73" i="28"/>
  <c r="K97" i="28"/>
  <c r="P97" i="28"/>
  <c r="K52" i="28"/>
  <c r="P52" i="28"/>
  <c r="K33" i="28"/>
  <c r="P33" i="28"/>
  <c r="K29" i="28"/>
  <c r="P29" i="28"/>
  <c r="K11" i="28"/>
  <c r="P11" i="28"/>
  <c r="K57" i="28"/>
  <c r="P57" i="28"/>
  <c r="K95" i="28"/>
  <c r="P95" i="28"/>
  <c r="P100" i="28"/>
  <c r="K100" i="28"/>
  <c r="K14" i="28"/>
  <c r="P14" i="28"/>
  <c r="K70" i="28"/>
  <c r="P70" i="28"/>
  <c r="P4" i="28"/>
  <c r="K4" i="28"/>
  <c r="K86" i="28"/>
  <c r="P86" i="28"/>
  <c r="K7" i="28"/>
  <c r="P7" i="28"/>
  <c r="K26" i="28"/>
  <c r="P26" i="28"/>
  <c r="G78" i="27"/>
  <c r="G38" i="27"/>
  <c r="Y16" i="26"/>
  <c r="Z16" i="26" s="1"/>
  <c r="Y118" i="26"/>
  <c r="Z118" i="26" s="1"/>
  <c r="Y12" i="26"/>
  <c r="Z12" i="26" s="1"/>
  <c r="Y87" i="26"/>
  <c r="Z87" i="26" s="1"/>
  <c r="Y119" i="26"/>
  <c r="Z119" i="26" s="1"/>
  <c r="Y134" i="26"/>
  <c r="Z134" i="26" s="1"/>
  <c r="Y99" i="26"/>
  <c r="Z99" i="26" s="1"/>
  <c r="Y24" i="26"/>
  <c r="Z24" i="26" s="1"/>
  <c r="F12" i="27"/>
  <c r="Y116" i="26"/>
  <c r="Z116" i="26" s="1"/>
  <c r="Y84" i="26"/>
  <c r="Y40" i="26"/>
  <c r="Z40" i="26" s="1"/>
  <c r="Y33" i="26"/>
  <c r="Z33" i="26" s="1"/>
  <c r="P139" i="26"/>
  <c r="K139" i="26"/>
  <c r="Y31" i="26"/>
  <c r="Y4" i="26"/>
  <c r="Z4" i="26" s="1"/>
  <c r="F107" i="27" l="1"/>
  <c r="G7" i="27"/>
  <c r="I21" i="28"/>
  <c r="Y81" i="28"/>
  <c r="Z81" i="28" s="1"/>
  <c r="Y78" i="28"/>
  <c r="Z78" i="28" s="1"/>
  <c r="Z93" i="28"/>
  <c r="Y91" i="28"/>
  <c r="Z91" i="28" s="1"/>
  <c r="Y99" i="28"/>
  <c r="Z99" i="28" s="1"/>
  <c r="Y46" i="28"/>
  <c r="Z46" i="28" s="1"/>
  <c r="Y83" i="28"/>
  <c r="Z83" i="28" s="1"/>
  <c r="Y49" i="28"/>
  <c r="Z49" i="28" s="1"/>
  <c r="Y43" i="28"/>
  <c r="Z43" i="28" s="1"/>
  <c r="Y31" i="28"/>
  <c r="Z31" i="28" s="1"/>
  <c r="Y61" i="28"/>
  <c r="Z61" i="28" s="1"/>
  <c r="Y73" i="28"/>
  <c r="Z73" i="28" s="1"/>
  <c r="Y71" i="28"/>
  <c r="Z71" i="28" s="1"/>
  <c r="Y88" i="28"/>
  <c r="Z88" i="28" s="1"/>
  <c r="Y98" i="28"/>
  <c r="Z98" i="28" s="1"/>
  <c r="Y62" i="28"/>
  <c r="Z62" i="28" s="1"/>
  <c r="Y85" i="28"/>
  <c r="Z85" i="28" s="1"/>
  <c r="Y5" i="28"/>
  <c r="Z5" i="28" s="1"/>
  <c r="Y45" i="28"/>
  <c r="Z45" i="28" s="1"/>
  <c r="Y26" i="28"/>
  <c r="Z26" i="28" s="1"/>
  <c r="Y86" i="28"/>
  <c r="Z86" i="28" s="1"/>
  <c r="Y27" i="28"/>
  <c r="Z27" i="28" s="1"/>
  <c r="Y13" i="28"/>
  <c r="Z13" i="28" s="1"/>
  <c r="Y75" i="28"/>
  <c r="Z75" i="28" s="1"/>
  <c r="Y77" i="28"/>
  <c r="Z77" i="28" s="1"/>
  <c r="Y37" i="28"/>
  <c r="Z37" i="28" s="1"/>
  <c r="Y67" i="28"/>
  <c r="Z67" i="28" s="1"/>
  <c r="Y35" i="28"/>
  <c r="Z35" i="28" s="1"/>
  <c r="Y79" i="28"/>
  <c r="Z79" i="28" s="1"/>
  <c r="Y53" i="28"/>
  <c r="Z53" i="28" s="1"/>
  <c r="Y7" i="28"/>
  <c r="Z7" i="28" s="1"/>
  <c r="Y101" i="28"/>
  <c r="Z101" i="28" s="1"/>
  <c r="Y104" i="28"/>
  <c r="Z104" i="28" s="1"/>
  <c r="Y96" i="28"/>
  <c r="Z96" i="28" s="1"/>
  <c r="Y64" i="28"/>
  <c r="Z64" i="28" s="1"/>
  <c r="Y51" i="28"/>
  <c r="Z51" i="28" s="1"/>
  <c r="Y100" i="28"/>
  <c r="Z100" i="28" s="1"/>
  <c r="Y40" i="28"/>
  <c r="Z40" i="28" s="1"/>
  <c r="Y42" i="28"/>
  <c r="Z42" i="28" s="1"/>
  <c r="Y6" i="28"/>
  <c r="Z6" i="28" s="1"/>
  <c r="Y16" i="28"/>
  <c r="Z16" i="28" s="1"/>
  <c r="Y84" i="28"/>
  <c r="Z84" i="28" s="1"/>
  <c r="Y87" i="28"/>
  <c r="Z87" i="28" s="1"/>
  <c r="Y70" i="28"/>
  <c r="Z70" i="28" s="1"/>
  <c r="Y57" i="28"/>
  <c r="Z57" i="28" s="1"/>
  <c r="Y29" i="28"/>
  <c r="Z29" i="28" s="1"/>
  <c r="Y52" i="28"/>
  <c r="Z52" i="28" s="1"/>
  <c r="Y97" i="28"/>
  <c r="Z97" i="28" s="1"/>
  <c r="Y32" i="28"/>
  <c r="Z32" i="28" s="1"/>
  <c r="Y68" i="28"/>
  <c r="Z68" i="28" s="1"/>
  <c r="Y89" i="28"/>
  <c r="Z89" i="28" s="1"/>
  <c r="Y55" i="28"/>
  <c r="Z55" i="28" s="1"/>
  <c r="Y17" i="28"/>
  <c r="Z17" i="28" s="1"/>
  <c r="Y25" i="28"/>
  <c r="Z25" i="28" s="1"/>
  <c r="Y34" i="28"/>
  <c r="Z34" i="28" s="1"/>
  <c r="Y90" i="28"/>
  <c r="Z90" i="28" s="1"/>
  <c r="Y19" i="28"/>
  <c r="Z19" i="28" s="1"/>
  <c r="Y80" i="28"/>
  <c r="Z80" i="28" s="1"/>
  <c r="Y36" i="28"/>
  <c r="Z36" i="28" s="1"/>
  <c r="Y48" i="28"/>
  <c r="Z48" i="28" s="1"/>
  <c r="Y69" i="28"/>
  <c r="Z69" i="28" s="1"/>
  <c r="Y39" i="28"/>
  <c r="Z39" i="28" s="1"/>
  <c r="Y23" i="28"/>
  <c r="Z23" i="28" s="1"/>
  <c r="Y44" i="28"/>
  <c r="Z44" i="28" s="1"/>
  <c r="Y38" i="28"/>
  <c r="Z38" i="28" s="1"/>
  <c r="Y66" i="28"/>
  <c r="Z66" i="28" s="1"/>
  <c r="Y59" i="28"/>
  <c r="Z59" i="28" s="1"/>
  <c r="Y4" i="28"/>
  <c r="I9" i="28"/>
  <c r="Y14" i="28"/>
  <c r="Z14" i="28" s="1"/>
  <c r="Y95" i="28"/>
  <c r="Z95" i="28" s="1"/>
  <c r="Y11" i="28"/>
  <c r="Z11" i="28" s="1"/>
  <c r="Y33" i="28"/>
  <c r="Z33" i="28" s="1"/>
  <c r="Y12" i="28"/>
  <c r="Z12" i="28" s="1"/>
  <c r="Y60" i="28"/>
  <c r="Z60" i="28" s="1"/>
  <c r="Y18" i="28"/>
  <c r="Z18" i="28" s="1"/>
  <c r="Y76" i="28"/>
  <c r="Z76" i="28" s="1"/>
  <c r="Y30" i="28"/>
  <c r="Z30" i="28" s="1"/>
  <c r="Y10" i="28"/>
  <c r="Z10" i="28" s="1"/>
  <c r="Y56" i="28"/>
  <c r="Z56" i="28" s="1"/>
  <c r="Y74" i="28"/>
  <c r="Z74" i="28" s="1"/>
  <c r="Y15" i="28"/>
  <c r="Z15" i="28" s="1"/>
  <c r="Y72" i="28"/>
  <c r="Z72" i="28" s="1"/>
  <c r="Y8" i="28"/>
  <c r="Z8" i="28" s="1"/>
  <c r="Y20" i="28"/>
  <c r="Z20" i="28" s="1"/>
  <c r="Y50" i="28"/>
  <c r="Z50" i="28" s="1"/>
  <c r="Y54" i="28"/>
  <c r="Z54" i="28" s="1"/>
  <c r="Y103" i="28"/>
  <c r="Z103" i="28" s="1"/>
  <c r="Y102" i="28"/>
  <c r="Z102" i="28" s="1"/>
  <c r="Y41" i="28"/>
  <c r="Z41" i="28" s="1"/>
  <c r="Y63" i="28"/>
  <c r="Z63" i="28" s="1"/>
  <c r="Y47" i="28"/>
  <c r="Z47" i="28" s="1"/>
  <c r="Y58" i="28"/>
  <c r="Z58" i="28" s="1"/>
  <c r="Y94" i="28"/>
  <c r="Z94" i="28" s="1"/>
  <c r="G12" i="27"/>
  <c r="Y139" i="26"/>
  <c r="Z31" i="26"/>
  <c r="Z139" i="26" s="1"/>
  <c r="G107" i="27" l="1"/>
  <c r="K21" i="28"/>
  <c r="P21" i="28"/>
  <c r="G109" i="27"/>
  <c r="G111" i="27" s="1"/>
  <c r="P9" i="28"/>
  <c r="K9" i="28"/>
  <c r="K105" i="28" s="1"/>
  <c r="I105" i="28"/>
  <c r="Z4" i="28"/>
  <c r="P105" i="28" l="1"/>
  <c r="Y9" i="28"/>
  <c r="Y21" i="28"/>
  <c r="Z21" i="28" s="1"/>
  <c r="G112" i="27"/>
  <c r="G113" i="27" s="1"/>
  <c r="G116" i="27" s="1"/>
  <c r="AM92" i="24"/>
  <c r="L95" i="24" s="1"/>
  <c r="J98" i="24"/>
  <c r="J97" i="24"/>
  <c r="J102" i="24"/>
  <c r="J103" i="24"/>
  <c r="C92" i="24"/>
  <c r="B92" i="24"/>
  <c r="A92" i="24"/>
  <c r="G117" i="27" l="1"/>
  <c r="G118" i="27" s="1"/>
  <c r="E11" i="29" s="1"/>
  <c r="N120" i="27"/>
  <c r="N121" i="27" s="1"/>
  <c r="N122" i="27" s="1"/>
  <c r="E120" i="27"/>
  <c r="E121" i="27" s="1"/>
  <c r="E122" i="27" s="1"/>
  <c r="K120" i="27"/>
  <c r="H120" i="27"/>
  <c r="H121" i="27" s="1"/>
  <c r="H122" i="27" s="1"/>
  <c r="J96" i="24"/>
  <c r="J99" i="24"/>
  <c r="L98" i="24"/>
  <c r="L96" i="24"/>
  <c r="L97" i="24" s="1"/>
  <c r="Z9" i="28"/>
  <c r="Z105" i="28" s="1"/>
  <c r="Y105" i="28"/>
  <c r="AP29" i="22"/>
  <c r="P33" i="22" s="1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M32" i="22" s="1"/>
  <c r="X29" i="22"/>
  <c r="W29" i="22"/>
  <c r="V29" i="22"/>
  <c r="M33" i="22" s="1"/>
  <c r="U29" i="22"/>
  <c r="M35" i="22" s="1"/>
  <c r="T29" i="22"/>
  <c r="S29" i="22"/>
  <c r="R29" i="22"/>
  <c r="Q29" i="22"/>
  <c r="P29" i="22"/>
  <c r="M39" i="22" s="1"/>
  <c r="O29" i="22"/>
  <c r="N29" i="22"/>
  <c r="M29" i="22"/>
  <c r="M40" i="22" s="1"/>
  <c r="L29" i="22"/>
  <c r="K29" i="22"/>
  <c r="J29" i="22"/>
  <c r="I29" i="22"/>
  <c r="H29" i="22"/>
  <c r="G29" i="22"/>
  <c r="F29" i="22"/>
  <c r="E29" i="22"/>
  <c r="D29" i="22"/>
  <c r="C29" i="22"/>
  <c r="B29" i="22"/>
  <c r="A29" i="22"/>
  <c r="K121" i="27" l="1"/>
  <c r="K122" i="27"/>
  <c r="P34" i="22"/>
  <c r="P35" i="22" s="1"/>
  <c r="P37" i="22" s="1"/>
  <c r="P36" i="22"/>
  <c r="M34" i="22"/>
  <c r="M36" i="22" s="1"/>
  <c r="L99" i="24"/>
  <c r="J100" i="24"/>
  <c r="J101" i="24" s="1"/>
  <c r="J104" i="24" s="1"/>
  <c r="J106" i="24" l="1"/>
  <c r="J107" i="24" s="1"/>
  <c r="E10" i="29" s="1"/>
  <c r="H110" i="24"/>
  <c r="H111" i="24" s="1"/>
  <c r="H112" i="24" s="1"/>
  <c r="Q110" i="24"/>
  <c r="Q111" i="24" s="1"/>
  <c r="Q112" i="24" s="1"/>
  <c r="K110" i="24"/>
  <c r="K111" i="24" s="1"/>
  <c r="K112" i="24" s="1"/>
  <c r="N110" i="24"/>
  <c r="N111" i="24" s="1"/>
  <c r="N112" i="24" s="1"/>
  <c r="R51" i="22"/>
  <c r="O51" i="22"/>
  <c r="L51" i="22"/>
  <c r="I51" i="22"/>
  <c r="L100" i="24"/>
  <c r="L101" i="24" s="1"/>
  <c r="I10" i="29" s="1"/>
  <c r="Q116" i="24"/>
  <c r="Q117" i="24" s="1"/>
  <c r="Q118" i="24" s="1"/>
  <c r="H116" i="24"/>
  <c r="K116" i="24"/>
  <c r="N116" i="24"/>
  <c r="N117" i="24" s="1"/>
  <c r="N118" i="24" s="1"/>
  <c r="M37" i="22"/>
  <c r="P38" i="22"/>
  <c r="P39" i="22" s="1"/>
  <c r="I9" i="29" s="1"/>
  <c r="I12" i="29" s="1"/>
  <c r="D85" i="7"/>
  <c r="E85" i="7" s="1"/>
  <c r="C85" i="7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56" i="5" s="1"/>
  <c r="G6" i="5"/>
  <c r="I134" i="15"/>
  <c r="H134" i="15"/>
  <c r="H135" i="15" s="1"/>
  <c r="G134" i="15"/>
  <c r="G135" i="15" s="1"/>
  <c r="F134" i="15"/>
  <c r="F135" i="15" s="1"/>
  <c r="E134" i="15"/>
  <c r="E135" i="15" s="1"/>
  <c r="D134" i="15"/>
  <c r="C134" i="15"/>
  <c r="B134" i="15"/>
  <c r="I121" i="15"/>
  <c r="H121" i="15"/>
  <c r="H152" i="15" s="1"/>
  <c r="H154" i="15" s="1"/>
  <c r="G121" i="15"/>
  <c r="F121" i="15"/>
  <c r="E121" i="15"/>
  <c r="D121" i="15"/>
  <c r="C121" i="15"/>
  <c r="B121" i="15"/>
  <c r="I117" i="15"/>
  <c r="H117" i="15"/>
  <c r="H140" i="15" s="1"/>
  <c r="H142" i="15" s="1"/>
  <c r="G117" i="15"/>
  <c r="F117" i="15"/>
  <c r="E117" i="15"/>
  <c r="D117" i="15"/>
  <c r="C117" i="15"/>
  <c r="B117" i="15"/>
  <c r="H143" i="15" l="1"/>
  <c r="H144" i="15" s="1"/>
  <c r="H147" i="15" s="1"/>
  <c r="H155" i="15"/>
  <c r="H156" i="15" s="1"/>
  <c r="H159" i="15" s="1"/>
  <c r="H117" i="24"/>
  <c r="H118" i="24"/>
  <c r="L52" i="22"/>
  <c r="L53" i="22"/>
  <c r="H164" i="15"/>
  <c r="H166" i="15" s="1"/>
  <c r="O52" i="22"/>
  <c r="O53" i="22" s="1"/>
  <c r="R52" i="22"/>
  <c r="R53" i="22" s="1"/>
  <c r="K117" i="24"/>
  <c r="K118" i="24"/>
  <c r="I53" i="22"/>
  <c r="I52" i="22"/>
  <c r="I15" i="29"/>
  <c r="I17" i="29"/>
  <c r="I18" i="29"/>
  <c r="I16" i="29"/>
  <c r="M38" i="22"/>
  <c r="M41" i="22" s="1"/>
  <c r="H160" i="15" l="1"/>
  <c r="H161" i="15" s="1"/>
  <c r="H148" i="15"/>
  <c r="H149" i="15" s="1"/>
  <c r="L45" i="22"/>
  <c r="R45" i="22"/>
  <c r="O45" i="22"/>
  <c r="H167" i="15"/>
  <c r="H168" i="15" s="1"/>
  <c r="H171" i="15" s="1"/>
  <c r="I45" i="22"/>
  <c r="M42" i="22"/>
  <c r="M43" i="22"/>
  <c r="E9" i="29" s="1"/>
  <c r="E12" i="29" s="1"/>
  <c r="I19" i="29"/>
  <c r="H172" i="15" l="1"/>
  <c r="H173" i="15" s="1"/>
  <c r="J173" i="15" s="1"/>
  <c r="O46" i="22"/>
  <c r="O47" i="22" s="1"/>
  <c r="I46" i="22"/>
  <c r="I47" i="22"/>
  <c r="R46" i="22"/>
  <c r="R47" i="22" s="1"/>
  <c r="L46" i="22"/>
  <c r="L47" i="22" s="1"/>
  <c r="E17" i="29"/>
  <c r="E15" i="29"/>
  <c r="E18" i="29"/>
  <c r="E16" i="29"/>
  <c r="E19" i="29" l="1"/>
</calcChain>
</file>

<file path=xl/sharedStrings.xml><?xml version="1.0" encoding="utf-8"?>
<sst xmlns="http://schemas.openxmlformats.org/spreadsheetml/2006/main" count="2782" uniqueCount="685">
  <si>
    <t>CONSULTORIA EN PROYECTOS DINAMICOS S DE RL DE CV</t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</si>
  <si>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</si>
  <si>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</si>
  <si>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</si>
  <si>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</si>
  <si>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</si>
  <si>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</si>
  <si>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</si>
  <si>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</si>
  <si>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</si>
  <si>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</si>
  <si>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</si>
  <si>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</si>
  <si>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</si>
  <si>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</si>
  <si>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</si>
  <si>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</si>
  <si>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</si>
  <si>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</si>
  <si>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</si>
  <si>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</si>
  <si>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</si>
  <si>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</si>
  <si>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</si>
  <si>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</si>
  <si>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</si>
  <si>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</si>
  <si>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</si>
  <si>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</si>
  <si>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</si>
  <si>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</si>
  <si>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</si>
  <si>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</si>
  <si>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</si>
  <si>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</si>
  <si>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</si>
  <si>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</si>
  <si>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</si>
  <si>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</si>
  <si>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</si>
  <si>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</si>
  <si>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</si>
  <si>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</si>
  <si>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</si>
  <si>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</si>
  <si>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</si>
  <si>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</si>
  <si>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</si>
  <si>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</si>
  <si>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</si>
  <si>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</si>
  <si>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</si>
  <si>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</si>
  <si>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</si>
  <si>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</si>
  <si>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</si>
  <si>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</si>
  <si>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</si>
  <si>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</si>
  <si>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</si>
  <si>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</si>
  <si>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</si>
  <si>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</si>
  <si>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</si>
  <si>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</si>
  <si>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</si>
  <si>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</si>
  <si>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</si>
  <si>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</si>
  <si>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</si>
  <si>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</si>
  <si>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</si>
  <si>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</si>
  <si>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</si>
  <si>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</si>
  <si>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</si>
  <si>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</si>
  <si>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</si>
  <si>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</si>
  <si>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</si>
  <si>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</si>
  <si>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</si>
  <si>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</si>
  <si>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</si>
  <si>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</si>
  <si>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</si>
  <si>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</si>
  <si>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</si>
  <si>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</si>
  <si>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</si>
  <si>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</si>
  <si>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</si>
  <si>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</si>
  <si>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</si>
  <si>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</si>
  <si>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</si>
  <si>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</si>
  <si>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</si>
  <si>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</si>
  <si>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</si>
  <si>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</si>
  <si>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</si>
  <si>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</si>
  <si>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</si>
  <si>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</si>
  <si>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</si>
  <si>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</si>
  <si>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</si>
  <si>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</si>
  <si>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</si>
  <si>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</si>
  <si>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</si>
  <si>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</si>
  <si>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</si>
  <si>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</si>
  <si>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</si>
  <si>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</si>
  <si>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</si>
  <si>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</si>
  <si>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</si>
  <si>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</si>
  <si>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</si>
  <si>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</si>
  <si>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</si>
  <si>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PAGO POR SINDICATO </t>
  </si>
  <si>
    <t>DATOS DEL TRABAJADOR</t>
  </si>
  <si>
    <t>NOMBRE COMPLETO</t>
  </si>
  <si>
    <t>TAvARES GUZMAN JOSE ENRIQUE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</si>
  <si>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</si>
  <si>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</si>
  <si>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</si>
  <si>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</si>
  <si>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</si>
  <si>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</si>
  <si>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</si>
  <si>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</si>
  <si>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</si>
  <si>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</si>
  <si>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</si>
  <si>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</si>
  <si>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</si>
  <si>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</si>
  <si>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</si>
  <si>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</si>
  <si>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</si>
  <si>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</si>
  <si>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</si>
  <si>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</si>
  <si>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Subs al Empleo acreditado</t>
  </si>
  <si>
    <t>I.S.R. antes de Subs al Empleo</t>
  </si>
  <si>
    <t>Ret. Inv. Y Vida</t>
  </si>
  <si>
    <t>Ret. Cesantia</t>
  </si>
  <si>
    <t>Ret. Enf. y Mat. obrero</t>
  </si>
  <si>
    <t>Invalidez y Vida</t>
  </si>
  <si>
    <t>Cesantia y Vejez</t>
  </si>
  <si>
    <t>Enf. y Mat. Patron</t>
  </si>
  <si>
    <t>Total Percepciones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</si>
  <si>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</si>
  <si>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</si>
  <si>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</si>
  <si>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</si>
  <si>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</si>
  <si>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</si>
  <si>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</si>
  <si>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</si>
  <si>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</si>
  <si>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 xml:space="preserve"> 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</si>
  <si>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</si>
  <si>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</si>
  <si>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</si>
  <si>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</si>
  <si>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</si>
  <si>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</si>
  <si>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</si>
  <si>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</si>
  <si>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</si>
  <si>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</si>
  <si>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</si>
  <si>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</si>
  <si>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</si>
  <si>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</si>
  <si>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</si>
  <si>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</si>
  <si>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</si>
  <si>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</si>
  <si>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</si>
  <si>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</si>
  <si>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</si>
  <si>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</si>
  <si>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</si>
  <si>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</si>
  <si>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</si>
  <si>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</si>
  <si>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</si>
  <si>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</si>
  <si>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</si>
  <si>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</si>
  <si>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</si>
  <si>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</si>
  <si>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</si>
  <si>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</si>
  <si>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</si>
  <si>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Aportación voluntaria SAR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</si>
  <si>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</si>
  <si>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</si>
  <si>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</si>
  <si>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</si>
  <si>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</si>
  <si>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</si>
  <si>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</si>
  <si>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</si>
  <si>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</si>
  <si>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</si>
  <si>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</si>
  <si>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</si>
  <si>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</si>
  <si>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</si>
  <si>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</si>
  <si>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</si>
  <si>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</si>
  <si>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</si>
  <si>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</si>
  <si>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</si>
  <si>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</si>
  <si>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</si>
  <si>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</si>
  <si>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</si>
  <si>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</si>
  <si>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</si>
  <si>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</si>
  <si>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</si>
  <si>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</si>
  <si>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</si>
  <si>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</si>
  <si>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</si>
  <si>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</si>
  <si>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</si>
  <si>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</si>
  <si>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</si>
  <si>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</si>
  <si>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</si>
  <si>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</si>
  <si>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</si>
  <si>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</si>
  <si>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</si>
  <si>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</si>
  <si>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</si>
  <si>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</si>
  <si>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</si>
  <si>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</si>
  <si>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</si>
  <si>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</si>
  <si>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</si>
  <si>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</si>
  <si>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</si>
  <si>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</si>
  <si>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</si>
  <si>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</si>
  <si>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</si>
  <si>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</si>
  <si>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</si>
  <si>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</si>
  <si>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</si>
  <si>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</si>
  <si>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</si>
  <si>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</si>
  <si>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</si>
  <si>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</si>
  <si>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</si>
  <si>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</si>
  <si>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</si>
  <si>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</si>
  <si>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</si>
  <si>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</si>
  <si>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</si>
  <si>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</si>
  <si>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</si>
  <si>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</si>
  <si>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</si>
  <si>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</si>
  <si>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</si>
  <si>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</si>
  <si>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</si>
  <si>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</si>
  <si>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</si>
  <si>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</si>
  <si>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</si>
  <si>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</si>
  <si>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</si>
  <si>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</si>
  <si>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</si>
  <si>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</si>
  <si>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</si>
  <si>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</si>
  <si>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</si>
  <si>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</si>
  <si>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</si>
  <si>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</si>
  <si>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</si>
  <si>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</si>
  <si>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</si>
  <si>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</si>
  <si>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</si>
  <si>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</si>
  <si>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</si>
  <si>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</si>
  <si>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</si>
  <si>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</si>
  <si>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</si>
  <si>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</si>
  <si>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</si>
  <si>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Prestamo Empresa</t>
  </si>
  <si>
    <t>Compean Tobias Braulio Gerardo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</si>
  <si>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</si>
  <si>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</si>
  <si>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</si>
  <si>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</si>
  <si>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</si>
  <si>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</si>
  <si>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</si>
  <si>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</si>
  <si>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</si>
  <si>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</si>
  <si>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</si>
  <si>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</si>
  <si>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</si>
  <si>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</si>
  <si>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</si>
  <si>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</si>
  <si>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</si>
  <si>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</si>
  <si>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</si>
  <si>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</si>
  <si>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</si>
  <si>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</si>
  <si>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</si>
  <si>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</si>
  <si>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</si>
  <si>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</si>
  <si>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</si>
  <si>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</si>
  <si>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</si>
  <si>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</si>
  <si>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</si>
  <si>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</si>
  <si>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</si>
  <si>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</si>
  <si>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</si>
  <si>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</si>
  <si>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</si>
  <si>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</si>
  <si>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</si>
  <si>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</si>
  <si>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</si>
  <si>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</si>
  <si>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</si>
  <si>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</si>
  <si>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</si>
  <si>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</si>
  <si>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</si>
  <si>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</si>
  <si>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</si>
  <si>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</si>
  <si>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</si>
  <si>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</si>
  <si>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</si>
  <si>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</si>
  <si>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</si>
  <si>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</si>
  <si>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</si>
  <si>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</si>
  <si>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</si>
  <si>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</si>
  <si>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</si>
  <si>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</si>
  <si>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</si>
  <si>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</si>
  <si>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</si>
  <si>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</si>
  <si>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</si>
  <si>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</si>
  <si>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</si>
  <si>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</si>
  <si>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</si>
  <si>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</si>
  <si>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</si>
  <si>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</si>
  <si>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SEI0421</t>
  </si>
  <si>
    <t>Mireles Casillas Brenda Cristina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</si>
  <si>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</si>
  <si>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</si>
  <si>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</si>
  <si>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</si>
  <si>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</si>
  <si>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</si>
  <si>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</si>
  <si>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</si>
  <si>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</si>
  <si>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</si>
  <si>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</si>
  <si>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</si>
  <si>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</si>
  <si>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</si>
  <si>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</si>
  <si>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</si>
  <si>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</si>
  <si>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</si>
  <si>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</si>
  <si>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</si>
  <si>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</si>
  <si>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</si>
  <si>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</si>
  <si>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</si>
  <si>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</si>
  <si>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</si>
  <si>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</si>
  <si>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</si>
  <si>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</si>
  <si>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</si>
  <si>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</si>
  <si>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</si>
  <si>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</si>
  <si>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</si>
  <si>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</si>
  <si>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</si>
  <si>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</si>
  <si>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</si>
  <si>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</si>
  <si>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</si>
  <si>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Chavez Dominguez Salvador</t>
  </si>
  <si>
    <t>Garcia Gutierrez Jose Juan</t>
  </si>
  <si>
    <t>Cruz Herrera Roberto</t>
  </si>
  <si>
    <t>Dominguez Escamilla Victor Hugo</t>
  </si>
  <si>
    <t>Martinez Rodriguez Paulo Cesar</t>
  </si>
  <si>
    <t>Martinez Malo Cesar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</si>
  <si>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</si>
  <si>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</si>
  <si>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</si>
  <si>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</si>
  <si>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</si>
  <si>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</si>
  <si>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</si>
  <si>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</si>
  <si>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</si>
  <si>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</si>
  <si>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</si>
  <si>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</si>
  <si>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</si>
  <si>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</si>
  <si>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</si>
  <si>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</si>
  <si>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</si>
  <si>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</si>
  <si>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</si>
  <si>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</si>
  <si>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</si>
  <si>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</si>
  <si>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</si>
  <si>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</si>
  <si>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</si>
  <si>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</si>
  <si>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</si>
  <si>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</si>
  <si>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</si>
  <si>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</si>
  <si>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</si>
  <si>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</si>
  <si>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</si>
  <si>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</si>
  <si>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</si>
  <si>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</si>
  <si>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</si>
  <si>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</si>
  <si>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</si>
  <si>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</si>
  <si>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</si>
  <si>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</si>
  <si>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</si>
  <si>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</si>
  <si>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</si>
  <si>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</si>
  <si>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</si>
  <si>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</si>
  <si>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</si>
  <si>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</si>
  <si>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</si>
  <si>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</si>
  <si>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</si>
  <si>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</si>
  <si>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</si>
  <si>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</si>
  <si>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</si>
  <si>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</si>
  <si>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</si>
  <si>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</si>
  <si>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</si>
  <si>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 xml:space="preserve"> Préstamo Infonavit </t>
  </si>
  <si>
    <t xml:space="preserve"> Seguro de vivienda Infonavit 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</si>
  <si>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</si>
  <si>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</si>
  <si>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</si>
  <si>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</si>
  <si>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</si>
  <si>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</si>
  <si>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</si>
  <si>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</si>
  <si>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</si>
  <si>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</si>
  <si>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</si>
  <si>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</si>
  <si>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</si>
  <si>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</si>
  <si>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</si>
  <si>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</si>
  <si>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</si>
  <si>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</si>
  <si>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</si>
  <si>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</si>
  <si>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</si>
  <si>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</si>
  <si>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</si>
  <si>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</si>
  <si>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</si>
  <si>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</si>
  <si>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</si>
  <si>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</si>
  <si>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</si>
  <si>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</si>
  <si>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</si>
  <si>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</si>
  <si>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</si>
  <si>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</si>
  <si>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</si>
  <si>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</si>
  <si>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</si>
  <si>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</si>
  <si>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</si>
  <si>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</si>
  <si>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</si>
  <si>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</si>
  <si>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</si>
  <si>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</si>
  <si>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</si>
  <si>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</si>
  <si>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</si>
  <si>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</si>
  <si>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</si>
  <si>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</si>
  <si>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</si>
  <si>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</si>
  <si>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</si>
  <si>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</si>
  <si>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</si>
  <si>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</si>
  <si>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</si>
  <si>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</si>
  <si>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</si>
  <si>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</si>
  <si>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SEI0515</t>
  </si>
  <si>
    <t xml:space="preserve">Ruiz  Flores  Aldo Tomas </t>
  </si>
  <si>
    <t>Jimenez Alcaraz Elizabeth</t>
  </si>
  <si>
    <t xml:space="preserve"> SEI0028 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</si>
  <si>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</si>
  <si>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</si>
  <si>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</si>
  <si>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</si>
  <si>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</si>
  <si>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</si>
  <si>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Dominguez Lopez Maria De Jesus </t>
  </si>
  <si>
    <t xml:space="preserve"> SEI0442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</si>
  <si>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</si>
  <si>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</si>
  <si>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</si>
  <si>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</si>
  <si>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</si>
  <si>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</si>
  <si>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</si>
  <si>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</si>
  <si>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</si>
  <si>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</si>
  <si>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</si>
  <si>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</si>
  <si>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</si>
  <si>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</si>
  <si>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</si>
  <si>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</si>
  <si>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</si>
  <si>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</si>
  <si>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</si>
  <si>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</si>
  <si>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</si>
  <si>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SEI0534</t>
  </si>
  <si>
    <t>Gonzalez Ramirez Paul</t>
  </si>
  <si>
    <t>Prestamo FONACOT</t>
  </si>
  <si>
    <t>SEI0535</t>
  </si>
  <si>
    <t>Alejandro Vazquez Erasmo Miguel</t>
  </si>
  <si>
    <t>PITSS</t>
  </si>
  <si>
    <t>FACTURACION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</si>
  <si>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</si>
  <si>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</si>
  <si>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</si>
  <si>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</si>
  <si>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</si>
  <si>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</si>
  <si>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isr 2</t>
  </si>
  <si>
    <t>SEI0538</t>
  </si>
  <si>
    <t>Coronado Vega Carlos Eduardo</t>
  </si>
  <si>
    <t>Cota Jaramillo Miguel Angel</t>
  </si>
  <si>
    <t>Proporcion Aguinaldo</t>
  </si>
  <si>
    <t>SEI0539</t>
  </si>
  <si>
    <t>Montes De Oca Trujillo Gloria</t>
  </si>
  <si>
    <t>SEI0540</t>
  </si>
  <si>
    <t>Morales Martinez Eduardo</t>
  </si>
  <si>
    <t>SEI0541</t>
  </si>
  <si>
    <t>Chavez Govea Edgar Aram</t>
  </si>
  <si>
    <t>SEI0542</t>
  </si>
  <si>
    <t>Ramirez Elizalde Karen Viridiana</t>
  </si>
  <si>
    <t>FACTURACION PITS</t>
  </si>
  <si>
    <t>FACTURACON PITS</t>
  </si>
  <si>
    <t>SEI0543</t>
  </si>
  <si>
    <t>Diaz Ortiz Hiram Guillermo</t>
  </si>
  <si>
    <t/>
  </si>
  <si>
    <t>CLAVE</t>
  </si>
  <si>
    <t>EMPRESA</t>
  </si>
  <si>
    <t>DIAS DE VACACIONES</t>
  </si>
  <si>
    <t>SUELDO NETO MENSUAL</t>
  </si>
  <si>
    <t>MONTO PRIMA TOTAL</t>
  </si>
  <si>
    <t>MENOS PRIMA IMSS</t>
  </si>
  <si>
    <t>PRIMA A PAGAR SINDICATO</t>
  </si>
  <si>
    <t>SUELDOS Y SALARIOS</t>
  </si>
  <si>
    <t>SINDICATO</t>
  </si>
  <si>
    <t>NETOS</t>
  </si>
  <si>
    <t>EXTRAS</t>
  </si>
  <si>
    <t>NETO CPD</t>
  </si>
  <si>
    <t>NETO IP</t>
  </si>
  <si>
    <t>A</t>
  </si>
  <si>
    <t xml:space="preserve"> PAGO SINDICATO</t>
  </si>
  <si>
    <t>COMISION</t>
  </si>
  <si>
    <t>PRIMA VACACIONAL SINDICATO</t>
  </si>
  <si>
    <t>B</t>
  </si>
  <si>
    <t>NETO MENSUAL</t>
  </si>
  <si>
    <t>NETO QUINCENAL SEITON</t>
  </si>
  <si>
    <t>C</t>
  </si>
  <si>
    <t>prima vacacional</t>
  </si>
  <si>
    <t>COMISION Y PRIMA VACACIONAL</t>
  </si>
  <si>
    <t>INFONAVIT</t>
  </si>
  <si>
    <t>PRESTAMO</t>
  </si>
  <si>
    <t>APORTACION</t>
  </si>
  <si>
    <t>DESCUENTOS</t>
  </si>
  <si>
    <t>D</t>
  </si>
  <si>
    <t>TOTAL GENERAL</t>
  </si>
  <si>
    <t>DIFERENCIAS</t>
  </si>
  <si>
    <t>OBSERVACIONES</t>
  </si>
  <si>
    <t>subsidio</t>
  </si>
  <si>
    <t>100% IMSS</t>
  </si>
  <si>
    <t>SEI0415</t>
  </si>
  <si>
    <t>SEI0033</t>
  </si>
  <si>
    <t>SEI0095</t>
  </si>
  <si>
    <t>SEI0096</t>
  </si>
  <si>
    <t>SEI0416</t>
  </si>
  <si>
    <t>SEI0417</t>
  </si>
  <si>
    <t>SEI0420</t>
  </si>
  <si>
    <t>SEI0426</t>
  </si>
  <si>
    <t>SEI0430</t>
  </si>
  <si>
    <t>SEI0432</t>
  </si>
  <si>
    <t>TOTAL GENERAL IP</t>
  </si>
  <si>
    <t>PROVISION AGUINALDO</t>
  </si>
  <si>
    <t>falta</t>
  </si>
  <si>
    <t>ingreso el  4</t>
  </si>
  <si>
    <t>PITS</t>
  </si>
  <si>
    <t>incapacidad</t>
  </si>
  <si>
    <t>TOTAL CPD</t>
  </si>
  <si>
    <t>TOTAL IP</t>
  </si>
  <si>
    <t>TOTAL SINDICATO</t>
  </si>
  <si>
    <t>EM 4%</t>
  </si>
  <si>
    <t>CPD 12%</t>
  </si>
  <si>
    <t>IP 11%</t>
  </si>
  <si>
    <t>ITA 73%</t>
  </si>
  <si>
    <t>TOTAL FACTURACION NOMINA</t>
  </si>
  <si>
    <t>PORCENTAJES POR EMPRESA</t>
  </si>
  <si>
    <t>TOTAL FACTURACION PROV AGUINALDOS</t>
  </si>
  <si>
    <t>FACTURACION CPD</t>
  </si>
  <si>
    <t>FACTURACION IP</t>
  </si>
  <si>
    <t>FACTURACION IT</t>
  </si>
  <si>
    <t>FACTURACION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</si>
</sst>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FF9900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color rgb="FF0000FF"/>
      <name val="Calibri"/>
      <family val="2"/>
      <scheme val="minor"/>
    </font>
    <font>
      <sz val="10"/>
      <color rgb="FFFF9900"/>
      <name val="Calibri"/>
      <family val="2"/>
      <scheme val="minor"/>
    </font>
    <font>
      <i/>
      <sz val="10"/>
      <color rgb="FFFF99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69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7" fillId="0" borderId="0" xfId="0" applyNumberFormat="1" applyFont="1"/>
    <xf numFmtId="43" fontId="8" fillId="0" borderId="0" xfId="0" applyNumberFormat="1" applyFont="1" applyFill="1"/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6" borderId="0" xfId="0" applyNumberFormat="1" applyFont="1" applyFill="1"/>
    <xf numFmtId="43" fontId="12" fillId="5" borderId="0" xfId="2" applyNumberFormat="1" applyFont="1" applyFill="1"/>
    <xf numFmtId="43" fontId="11" fillId="5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2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6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5" fillId="4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7" fillId="0" borderId="0" xfId="0" applyNumberFormat="1" applyFont="1" applyAlignment="1">
      <alignment horizontal="centerContinuous"/>
    </xf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9" fillId="0" borderId="0" xfId="0" applyNumberFormat="1" applyFont="1" applyAlignment="1">
      <alignment horizontal="centerContinuous" vertical="top"/>
    </xf>
    <xf numFmtId="43" fontId="21" fillId="2" borderId="0" xfId="1" applyNumberFormat="1" applyFont="1" applyFill="1" applyBorder="1"/>
    <xf numFmtId="43" fontId="16" fillId="0" borderId="0" xfId="0" applyNumberFormat="1" applyFont="1" applyFill="1" applyBorder="1"/>
    <xf numFmtId="43" fontId="20" fillId="3" borderId="1" xfId="0" applyNumberFormat="1" applyFont="1" applyFill="1" applyBorder="1" applyAlignment="1">
      <alignment horizontal="center" vertical="center" wrapText="1"/>
    </xf>
    <xf numFmtId="43" fontId="20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2" fillId="0" borderId="0" xfId="0" applyNumberFormat="1" applyFont="1"/>
    <xf numFmtId="43" fontId="22" fillId="0" borderId="0" xfId="0" applyNumberFormat="1" applyFont="1" applyFill="1"/>
    <xf numFmtId="43" fontId="20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20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3" fillId="2" borderId="0" xfId="1" applyNumberFormat="1" applyFont="1" applyFill="1" applyBorder="1"/>
    <xf numFmtId="43" fontId="24" fillId="5" borderId="0" xfId="2" applyNumberFormat="1" applyFont="1" applyFill="1" applyBorder="1"/>
    <xf numFmtId="43" fontId="21" fillId="5" borderId="0" xfId="2" applyNumberFormat="1" applyFont="1" applyFill="1" applyBorder="1"/>
    <xf numFmtId="43" fontId="24" fillId="2" borderId="0" xfId="2" applyNumberFormat="1" applyFont="1" applyFill="1" applyBorder="1"/>
    <xf numFmtId="13" fontId="23" fillId="2" borderId="0" xfId="1" applyNumberFormat="1" applyFont="1" applyFill="1" applyBorder="1"/>
    <xf numFmtId="43" fontId="16" fillId="5" borderId="0" xfId="0" applyNumberFormat="1" applyFont="1" applyFill="1" applyBorder="1"/>
    <xf numFmtId="43" fontId="25" fillId="0" borderId="0" xfId="0" applyNumberFormat="1" applyFont="1" applyAlignment="1">
      <alignment horizontal="centerContinuous"/>
    </xf>
    <xf numFmtId="43" fontId="13" fillId="0" borderId="0" xfId="0" applyNumberFormat="1" applyFont="1" applyAlignment="1">
      <alignment vertical="center"/>
    </xf>
    <xf numFmtId="43" fontId="27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4" fillId="5" borderId="0" xfId="0" applyNumberFormat="1" applyFont="1" applyFill="1"/>
    <xf numFmtId="43" fontId="13" fillId="5" borderId="0" xfId="0" applyNumberFormat="1" applyFont="1" applyFill="1"/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6" fillId="0" borderId="0" xfId="0" applyNumberFormat="1" applyFont="1" applyAlignment="1"/>
    <xf numFmtId="43" fontId="24" fillId="2" borderId="0" xfId="1" applyNumberFormat="1" applyFont="1" applyFill="1"/>
    <xf numFmtId="43" fontId="16" fillId="0" borderId="0" xfId="0" applyNumberFormat="1" applyFont="1" applyAlignment="1">
      <alignment horizontal="center" vertical="center"/>
    </xf>
    <xf numFmtId="43" fontId="23" fillId="0" borderId="0" xfId="1" applyNumberFormat="1" applyFont="1"/>
    <xf numFmtId="43" fontId="24" fillId="3" borderId="1" xfId="3" applyNumberFormat="1" applyFont="1" applyFill="1" applyBorder="1" applyAlignment="1">
      <alignment horizontal="center" vertical="center" wrapText="1"/>
    </xf>
    <xf numFmtId="43" fontId="24" fillId="4" borderId="1" xfId="3" applyNumberFormat="1" applyFont="1" applyFill="1" applyBorder="1" applyAlignment="1">
      <alignment horizontal="center" vertical="center" wrapText="1"/>
    </xf>
    <xf numFmtId="43" fontId="16" fillId="6" borderId="0" xfId="0" applyNumberFormat="1" applyFont="1" applyFill="1"/>
    <xf numFmtId="43" fontId="21" fillId="2" borderId="0" xfId="1" applyNumberFormat="1" applyFont="1" applyFill="1" applyAlignment="1">
      <alignment horizontal="left" vertical="center"/>
    </xf>
    <xf numFmtId="43" fontId="21" fillId="2" borderId="0" xfId="1" applyNumberFormat="1" applyFont="1" applyFill="1"/>
    <xf numFmtId="43" fontId="13" fillId="2" borderId="0" xfId="0" applyNumberFormat="1" applyFont="1" applyFill="1"/>
    <xf numFmtId="43" fontId="21" fillId="0" borderId="0" xfId="1" applyNumberFormat="1" applyFont="1" applyFill="1" applyAlignment="1">
      <alignment horizontal="left" vertical="center"/>
    </xf>
    <xf numFmtId="43" fontId="21" fillId="0" borderId="0" xfId="1" applyNumberFormat="1" applyFont="1" applyFill="1"/>
    <xf numFmtId="43" fontId="21" fillId="6" borderId="0" xfId="1" applyNumberFormat="1" applyFont="1" applyFill="1"/>
    <xf numFmtId="43" fontId="16" fillId="7" borderId="0" xfId="0" applyNumberFormat="1" applyFont="1" applyFill="1"/>
    <xf numFmtId="43" fontId="30" fillId="5" borderId="0" xfId="3" applyNumberFormat="1" applyFont="1" applyFill="1"/>
    <xf numFmtId="43" fontId="23" fillId="5" borderId="0" xfId="3" applyNumberFormat="1" applyFont="1" applyFill="1"/>
    <xf numFmtId="43" fontId="13" fillId="8" borderId="0" xfId="0" applyNumberFormat="1" applyFont="1" applyFill="1"/>
    <xf numFmtId="43" fontId="13" fillId="8" borderId="0" xfId="0" applyNumberFormat="1" applyFont="1" applyFill="1" applyAlignment="1">
      <alignment horizontal="left" vertical="center"/>
    </xf>
    <xf numFmtId="43" fontId="13" fillId="8" borderId="0" xfId="0" applyNumberFormat="1" applyFont="1" applyFill="1" applyBorder="1"/>
    <xf numFmtId="43" fontId="13" fillId="9" borderId="0" xfId="0" applyNumberFormat="1" applyFont="1" applyFill="1" applyBorder="1"/>
    <xf numFmtId="43" fontId="13" fillId="0" borderId="0" xfId="0" applyNumberFormat="1" applyFont="1" applyFill="1" applyAlignment="1"/>
    <xf numFmtId="43" fontId="5" fillId="3" borderId="1" xfId="3" applyNumberFormat="1" applyFont="1" applyFill="1" applyBorder="1" applyAlignment="1">
      <alignment horizontal="center" vertical="center" wrapText="1"/>
    </xf>
    <xf numFmtId="43" fontId="5" fillId="3" borderId="2" xfId="3" applyNumberFormat="1" applyFont="1" applyFill="1" applyBorder="1" applyAlignment="1">
      <alignment horizontal="center" vertical="center" wrapText="1"/>
    </xf>
    <xf numFmtId="43" fontId="5" fillId="8" borderId="0" xfId="3" applyNumberFormat="1" applyFont="1" applyFill="1" applyBorder="1" applyAlignment="1">
      <alignment horizontal="center" vertical="center" wrapText="1"/>
    </xf>
    <xf numFmtId="43" fontId="5" fillId="3" borderId="4" xfId="3" applyNumberFormat="1" applyFont="1" applyFill="1" applyBorder="1" applyAlignment="1">
      <alignment horizontal="center" vertical="center" wrapText="1"/>
    </xf>
    <xf numFmtId="43" fontId="5" fillId="3" borderId="5" xfId="3" applyNumberFormat="1" applyFont="1" applyFill="1" applyBorder="1" applyAlignment="1">
      <alignment horizontal="center" vertical="center" wrapText="1"/>
    </xf>
    <xf numFmtId="43" fontId="5" fillId="4" borderId="1" xfId="3" applyNumberFormat="1" applyFont="1" applyFill="1" applyBorder="1" applyAlignment="1">
      <alignment horizontal="center" vertical="center" wrapText="1"/>
    </xf>
    <xf numFmtId="43" fontId="5" fillId="9" borderId="0" xfId="3" applyNumberFormat="1" applyFont="1" applyFill="1" applyBorder="1" applyAlignment="1">
      <alignment horizontal="center" vertical="center" wrapText="1"/>
    </xf>
    <xf numFmtId="43" fontId="5" fillId="3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vertical="center" wrapText="1"/>
    </xf>
    <xf numFmtId="43" fontId="21" fillId="8" borderId="0" xfId="1" applyNumberFormat="1" applyFont="1" applyFill="1" applyBorder="1"/>
    <xf numFmtId="43" fontId="14" fillId="8" borderId="0" xfId="0" applyNumberFormat="1" applyFont="1" applyFill="1" applyBorder="1"/>
    <xf numFmtId="43" fontId="14" fillId="2" borderId="0" xfId="0" applyNumberFormat="1" applyFont="1" applyFill="1"/>
    <xf numFmtId="43" fontId="13" fillId="6" borderId="0" xfId="0" applyNumberFormat="1" applyFont="1" applyFill="1"/>
    <xf numFmtId="43" fontId="13" fillId="6" borderId="0" xfId="0" applyNumberFormat="1" applyFont="1" applyFill="1" applyAlignment="1"/>
    <xf numFmtId="14" fontId="13" fillId="0" borderId="0" xfId="0" applyNumberFormat="1" applyFont="1" applyFill="1"/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14" fontId="14" fillId="0" borderId="0" xfId="0" applyNumberFormat="1" applyFont="1" applyFill="1"/>
    <xf numFmtId="14" fontId="13" fillId="0" borderId="0" xfId="0" applyNumberFormat="1" applyFont="1" applyFill="1" applyAlignment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0" borderId="0" xfId="0" applyNumberFormat="1" applyFont="1" applyFill="1"/>
    <xf numFmtId="43" fontId="13" fillId="10" borderId="0" xfId="0" applyNumberFormat="1" applyFont="1" applyFill="1"/>
    <xf numFmtId="14" fontId="13" fillId="10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14" fillId="9" borderId="0" xfId="0" applyNumberFormat="1" applyFont="1" applyFill="1" applyBorder="1"/>
    <xf numFmtId="43" fontId="14" fillId="6" borderId="0" xfId="0" applyNumberFormat="1" applyFont="1" applyFill="1" applyBorder="1"/>
    <xf numFmtId="43" fontId="13" fillId="6" borderId="0" xfId="0" applyNumberFormat="1" applyFont="1" applyFill="1" applyBorder="1"/>
    <xf numFmtId="43" fontId="5" fillId="3" borderId="6" xfId="3" applyNumberFormat="1" applyFont="1" applyFill="1" applyBorder="1" applyAlignment="1">
      <alignment horizontal="center" vertical="center"/>
    </xf>
    <xf numFmtId="43" fontId="32" fillId="0" borderId="0" xfId="0" applyNumberFormat="1" applyFont="1"/>
    <xf numFmtId="43" fontId="31" fillId="0" borderId="0" xfId="0" applyNumberFormat="1" applyFont="1" applyFill="1"/>
    <xf numFmtId="43" fontId="32" fillId="0" borderId="0" xfId="0" applyNumberFormat="1" applyFont="1" applyFill="1"/>
    <xf numFmtId="43" fontId="33" fillId="0" borderId="0" xfId="3" applyNumberFormat="1" applyFont="1" applyFill="1"/>
    <xf numFmtId="43" fontId="31" fillId="0" borderId="0" xfId="0" applyNumberFormat="1" applyFont="1"/>
    <xf numFmtId="43" fontId="34" fillId="0" borderId="0" xfId="3" applyNumberFormat="1" applyFont="1" applyFill="1"/>
    <xf numFmtId="43" fontId="7" fillId="0" borderId="0" xfId="0" applyNumberFormat="1" applyFont="1" applyAlignment="1">
      <alignment horizontal="center"/>
    </xf>
    <xf numFmtId="43" fontId="14" fillId="3" borderId="0" xfId="0" applyNumberFormat="1" applyFont="1" applyFill="1" applyAlignment="1">
      <alignment horizontal="center"/>
    </xf>
    <xf numFmtId="43" fontId="31" fillId="6" borderId="0" xfId="0" applyNumberFormat="1" applyFont="1" applyFill="1" applyAlignment="1">
      <alignment horizontal="center" wrapText="1"/>
    </xf>
    <xf numFmtId="43" fontId="26" fillId="0" borderId="0" xfId="0" applyNumberFormat="1" applyFont="1" applyAlignment="1">
      <alignment horizontal="center"/>
    </xf>
    <xf numFmtId="43" fontId="13" fillId="0" borderId="0" xfId="0" applyNumberFormat="1" applyFont="1" applyAlignment="1"/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28" fillId="4" borderId="0" xfId="0" applyNumberFormat="1" applyFont="1" applyFill="1" applyAlignment="1">
      <alignment horizontal="center" wrapText="1"/>
    </xf>
    <xf numFmtId="43" fontId="18" fillId="0" borderId="0" xfId="0" applyNumberFormat="1" applyFont="1" applyAlignment="1">
      <alignment horizontal="center"/>
    </xf>
    <xf numFmtId="43" fontId="16" fillId="0" borderId="0" xfId="0" applyNumberFormat="1" applyFont="1" applyAlignment="1"/>
    <xf numFmtId="43" fontId="20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/>
    </xf>
    <xf numFmtId="43" fontId="29" fillId="4" borderId="0" xfId="0" applyNumberFormat="1" applyFont="1" applyFill="1" applyBorder="1" applyAlignment="1">
      <alignment horizontal="center" wrapText="1"/>
    </xf>
    <xf numFmtId="43" fontId="20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/>
    </xf>
    <xf numFmtId="43" fontId="14" fillId="8" borderId="3" xfId="0" applyNumberFormat="1" applyFont="1" applyFill="1" applyBorder="1" applyAlignment="1">
      <alignment horizontal="center" vertical="center" wrapText="1"/>
    </xf>
    <xf numFmtId="43" fontId="31" fillId="3" borderId="0" xfId="0" applyNumberFormat="1" applyFont="1" applyFill="1" applyAlignment="1">
      <alignment horizontal="center" vertical="center" wrapText="1"/>
    </xf>
    <xf numFmtId="43" fontId="31" fillId="3" borderId="0" xfId="0" applyNumberFormat="1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-.-%20NOMINAS\NOMINAS%202019\SUELDOS%20Y%20SALARIOS\SEITON\03%20MARZO\05\NOMINA%20QUINCENAL%20NO.05%20SEITON%20DE%20MEXIC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NETOS"/>
      <sheetName val="ABC"/>
      <sheetName val="Hoja4"/>
    </sheetNames>
    <sheetDataSet>
      <sheetData sheetId="0"/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S9">
            <v>0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S14">
            <v>0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S16">
            <v>0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S17">
            <v>0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S18">
            <v>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S19">
            <v>0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S21">
            <v>0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S24">
            <v>0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S28">
            <v>0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S29">
            <v>0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S30">
            <v>0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S31">
            <v>0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S33">
            <v>0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S34">
            <v>0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S35">
            <v>0</v>
          </cell>
        </row>
      </sheetData>
      <sheetData sheetId="2"/>
      <sheetData sheetId="3">
        <row r="9">
          <cell r="B9" t="str">
            <v>Torres Ricardez Alfredo</v>
          </cell>
          <cell r="C9">
            <v>15</v>
          </cell>
          <cell r="D9">
            <v>0</v>
          </cell>
          <cell r="E9">
            <v>266.67</v>
          </cell>
          <cell r="F9">
            <v>278.72000000000003</v>
          </cell>
          <cell r="G9">
            <v>4000.05</v>
          </cell>
          <cell r="H9">
            <v>0</v>
          </cell>
          <cell r="I9">
            <v>0</v>
          </cell>
        </row>
        <row r="10">
          <cell r="B10" t="str">
            <v>Montoya Portillo Carlos Alberto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</row>
        <row r="11">
          <cell r="B11" t="str">
            <v>Cota Jaramillo Miguel Angel</v>
          </cell>
          <cell r="C11">
            <v>15</v>
          </cell>
          <cell r="D11">
            <v>0</v>
          </cell>
          <cell r="E11">
            <v>200</v>
          </cell>
          <cell r="F11">
            <v>209.04</v>
          </cell>
          <cell r="G11">
            <v>3000</v>
          </cell>
          <cell r="H11">
            <v>0</v>
          </cell>
          <cell r="I11">
            <v>0</v>
          </cell>
        </row>
        <row r="12">
          <cell r="B12" t="str">
            <v>Muñoz Reyes Luis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</row>
        <row r="13">
          <cell r="B13" t="str">
            <v>Gonzalez Rasgado Miguel Isaias</v>
          </cell>
          <cell r="C13">
            <v>15</v>
          </cell>
          <cell r="D13">
            <v>0</v>
          </cell>
          <cell r="E13">
            <v>400</v>
          </cell>
          <cell r="F13">
            <v>424.2</v>
          </cell>
          <cell r="G13">
            <v>6000</v>
          </cell>
          <cell r="H13">
            <v>0</v>
          </cell>
          <cell r="I13">
            <v>0</v>
          </cell>
        </row>
        <row r="14">
          <cell r="B14" t="str">
            <v>Mar Marquez Cesar Eduardo</v>
          </cell>
          <cell r="C14">
            <v>15</v>
          </cell>
          <cell r="D14">
            <v>0</v>
          </cell>
          <cell r="E14">
            <v>266.67</v>
          </cell>
          <cell r="F14">
            <v>278.72000000000003</v>
          </cell>
          <cell r="G14">
            <v>4000.05</v>
          </cell>
          <cell r="H14">
            <v>0</v>
          </cell>
          <cell r="I14">
            <v>0</v>
          </cell>
        </row>
        <row r="15">
          <cell r="B15" t="str">
            <v>Velez Rodriguez Jaime</v>
          </cell>
          <cell r="C15">
            <v>15</v>
          </cell>
          <cell r="D15">
            <v>0</v>
          </cell>
          <cell r="E15">
            <v>200</v>
          </cell>
          <cell r="F15">
            <v>212.1</v>
          </cell>
          <cell r="G15">
            <v>3000</v>
          </cell>
          <cell r="H15">
            <v>0</v>
          </cell>
          <cell r="I15">
            <v>0</v>
          </cell>
        </row>
        <row r="16">
          <cell r="B16" t="str">
            <v>Najera Lopez Raul</v>
          </cell>
          <cell r="C16">
            <v>15</v>
          </cell>
          <cell r="D16">
            <v>0</v>
          </cell>
          <cell r="E16">
            <v>333.33</v>
          </cell>
          <cell r="F16">
            <v>353.5</v>
          </cell>
          <cell r="G16">
            <v>4999.95</v>
          </cell>
          <cell r="H16">
            <v>0</v>
          </cell>
          <cell r="I16">
            <v>0</v>
          </cell>
        </row>
        <row r="17">
          <cell r="B17" t="str">
            <v>Puente Murguia Luis Felipe</v>
          </cell>
          <cell r="C17">
            <v>15</v>
          </cell>
          <cell r="D17">
            <v>0</v>
          </cell>
          <cell r="E17">
            <v>233.33</v>
          </cell>
          <cell r="F17">
            <v>247.45</v>
          </cell>
          <cell r="G17">
            <v>3499.95</v>
          </cell>
          <cell r="H17">
            <v>0</v>
          </cell>
          <cell r="I17">
            <v>0</v>
          </cell>
        </row>
        <row r="18">
          <cell r="B18" t="str">
            <v>Jimenez Alcaraz Elizabeth</v>
          </cell>
          <cell r="C18">
            <v>15</v>
          </cell>
          <cell r="D18">
            <v>0</v>
          </cell>
          <cell r="E18">
            <v>200</v>
          </cell>
          <cell r="F18">
            <v>212.11</v>
          </cell>
          <cell r="G18">
            <v>3000</v>
          </cell>
          <cell r="H18">
            <v>0</v>
          </cell>
          <cell r="I18">
            <v>0</v>
          </cell>
        </row>
        <row r="19">
          <cell r="B19" t="str">
            <v>Arceo Garcia Manuel Federico</v>
          </cell>
          <cell r="C19">
            <v>14</v>
          </cell>
          <cell r="D19">
            <v>0</v>
          </cell>
          <cell r="E19">
            <v>200</v>
          </cell>
          <cell r="F19">
            <v>212.1</v>
          </cell>
          <cell r="G19">
            <v>2800</v>
          </cell>
          <cell r="H19">
            <v>0</v>
          </cell>
          <cell r="I19">
            <v>0</v>
          </cell>
        </row>
        <row r="20">
          <cell r="B20" t="str">
            <v>Dominguez Lopez Mayeli Del Pilar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</row>
        <row r="21">
          <cell r="B21" t="str">
            <v xml:space="preserve">Courtenay Gutierrez Barry Vladimir </v>
          </cell>
          <cell r="C21">
            <v>15</v>
          </cell>
          <cell r="D21">
            <v>0</v>
          </cell>
          <cell r="E21">
            <v>166.67</v>
          </cell>
          <cell r="F21">
            <v>174.2</v>
          </cell>
          <cell r="G21">
            <v>2500.0500000000002</v>
          </cell>
          <cell r="H21">
            <v>0</v>
          </cell>
          <cell r="I21">
            <v>0</v>
          </cell>
        </row>
        <row r="22">
          <cell r="B22" t="str">
            <v>Palacios Ramos Jesus</v>
          </cell>
          <cell r="C22">
            <v>15</v>
          </cell>
          <cell r="D22">
            <v>0</v>
          </cell>
          <cell r="E22">
            <v>266.67</v>
          </cell>
          <cell r="F22">
            <v>282.81</v>
          </cell>
          <cell r="G22">
            <v>4000.05</v>
          </cell>
          <cell r="H22">
            <v>0</v>
          </cell>
          <cell r="I22">
            <v>0</v>
          </cell>
        </row>
        <row r="23">
          <cell r="B23" t="str">
            <v>Martinez Hernandez J. Antonio</v>
          </cell>
          <cell r="C23">
            <v>15</v>
          </cell>
          <cell r="D23">
            <v>0</v>
          </cell>
          <cell r="E23">
            <v>266.67</v>
          </cell>
          <cell r="F23">
            <v>282.81</v>
          </cell>
          <cell r="G23">
            <v>4000.05</v>
          </cell>
          <cell r="H23">
            <v>0</v>
          </cell>
          <cell r="I23">
            <v>0</v>
          </cell>
        </row>
        <row r="24">
          <cell r="B24" t="str">
            <v>Alcaraz Conde Zabdi Guadalupe</v>
          </cell>
          <cell r="C24">
            <v>15</v>
          </cell>
          <cell r="D24">
            <v>0</v>
          </cell>
          <cell r="E24">
            <v>200</v>
          </cell>
          <cell r="F24">
            <v>212.11</v>
          </cell>
          <cell r="G24">
            <v>3000</v>
          </cell>
          <cell r="H24">
            <v>0</v>
          </cell>
          <cell r="I24">
            <v>0</v>
          </cell>
        </row>
        <row r="25">
          <cell r="B25" t="str">
            <v>Lopez Terron Roberto Porfirio</v>
          </cell>
          <cell r="C25">
            <v>15</v>
          </cell>
          <cell r="D25">
            <v>0</v>
          </cell>
          <cell r="E25">
            <v>466.67</v>
          </cell>
          <cell r="F25">
            <v>494.92</v>
          </cell>
          <cell r="G25">
            <v>7000.05</v>
          </cell>
          <cell r="H25">
            <v>0</v>
          </cell>
          <cell r="I25">
            <v>0</v>
          </cell>
        </row>
        <row r="26">
          <cell r="B26" t="str">
            <v>Chavez Pedraza Samuel</v>
          </cell>
          <cell r="C26">
            <v>15</v>
          </cell>
          <cell r="D26">
            <v>0</v>
          </cell>
          <cell r="E26">
            <v>466.67</v>
          </cell>
          <cell r="F26">
            <v>494.92</v>
          </cell>
          <cell r="G26">
            <v>7000.05</v>
          </cell>
          <cell r="H26">
            <v>0</v>
          </cell>
          <cell r="I26">
            <v>0</v>
          </cell>
        </row>
        <row r="27">
          <cell r="B27" t="str">
            <v>Castillo Nungaray Nestor Roman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</row>
        <row r="28">
          <cell r="B28" t="str">
            <v>Marquez Hernandez Rogelio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4000.05</v>
          </cell>
          <cell r="H28">
            <v>0</v>
          </cell>
          <cell r="I28">
            <v>0</v>
          </cell>
        </row>
        <row r="29">
          <cell r="B29" t="str">
            <v>Flores Cerrillos Jorge Humberto</v>
          </cell>
          <cell r="C29">
            <v>15</v>
          </cell>
          <cell r="D29">
            <v>0</v>
          </cell>
          <cell r="E29">
            <v>266.67</v>
          </cell>
          <cell r="F29">
            <v>282.81</v>
          </cell>
          <cell r="G29">
            <v>4000.05</v>
          </cell>
          <cell r="H29">
            <v>0</v>
          </cell>
          <cell r="I29">
            <v>0</v>
          </cell>
        </row>
        <row r="30">
          <cell r="B30" t="str">
            <v>Perez Garcia Andres Alvaro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</row>
        <row r="31">
          <cell r="B31" t="str">
            <v>Chavira Garcia David Fernando</v>
          </cell>
          <cell r="C31">
            <v>15</v>
          </cell>
          <cell r="D31">
            <v>0</v>
          </cell>
          <cell r="E31">
            <v>333.33</v>
          </cell>
          <cell r="F31">
            <v>353.52</v>
          </cell>
          <cell r="G31">
            <v>5000</v>
          </cell>
          <cell r="H31">
            <v>0</v>
          </cell>
          <cell r="I31">
            <v>0</v>
          </cell>
        </row>
        <row r="32">
          <cell r="B32" t="str">
            <v>Guerrero Lara Cesar Adrian</v>
          </cell>
          <cell r="C32">
            <v>15</v>
          </cell>
          <cell r="D32">
            <v>0</v>
          </cell>
          <cell r="E32">
            <v>266.67</v>
          </cell>
          <cell r="F32">
            <v>282.81</v>
          </cell>
          <cell r="G32">
            <v>4000</v>
          </cell>
          <cell r="H32">
            <v>0</v>
          </cell>
          <cell r="I32">
            <v>0</v>
          </cell>
        </row>
        <row r="33">
          <cell r="B33" t="str">
            <v>Martinez Zamora Gerardo Mario</v>
          </cell>
          <cell r="C33">
            <v>15</v>
          </cell>
          <cell r="D33">
            <v>0</v>
          </cell>
          <cell r="E33">
            <v>318.33</v>
          </cell>
          <cell r="F33">
            <v>337.61</v>
          </cell>
          <cell r="G33">
            <v>4775</v>
          </cell>
          <cell r="H33">
            <v>0</v>
          </cell>
          <cell r="I33">
            <v>0</v>
          </cell>
        </row>
        <row r="34">
          <cell r="B34" t="str">
            <v>Castellon Ramos Rene</v>
          </cell>
          <cell r="C34">
            <v>15</v>
          </cell>
          <cell r="D34">
            <v>0</v>
          </cell>
          <cell r="E34">
            <v>250</v>
          </cell>
          <cell r="F34">
            <v>265.14</v>
          </cell>
          <cell r="G34">
            <v>3750</v>
          </cell>
          <cell r="H34">
            <v>0</v>
          </cell>
          <cell r="I34">
            <v>0</v>
          </cell>
        </row>
        <row r="35">
          <cell r="B35" t="str">
            <v>Flores Franco Marco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</row>
        <row r="36">
          <cell r="B36" t="str">
            <v>Chavez Saucedo Jorge Arturo</v>
          </cell>
          <cell r="C36">
            <v>15</v>
          </cell>
          <cell r="D36">
            <v>0</v>
          </cell>
          <cell r="E36">
            <v>266.67</v>
          </cell>
          <cell r="F36">
            <v>278.72000000000003</v>
          </cell>
          <cell r="G36">
            <v>4000.05</v>
          </cell>
          <cell r="H36">
            <v>0</v>
          </cell>
          <cell r="I36">
            <v>0</v>
          </cell>
        </row>
        <row r="37">
          <cell r="B37" t="str">
            <v>Hueramo Hueramo Jesus Daniel</v>
          </cell>
          <cell r="C37">
            <v>15</v>
          </cell>
          <cell r="D37">
            <v>0</v>
          </cell>
          <cell r="E37">
            <v>283.33</v>
          </cell>
          <cell r="F37">
            <v>300.49</v>
          </cell>
          <cell r="G37">
            <v>4250</v>
          </cell>
          <cell r="H37">
            <v>0</v>
          </cell>
          <cell r="I37">
            <v>0</v>
          </cell>
        </row>
        <row r="38">
          <cell r="B38" t="str">
            <v>Sandoval Garcia Luis</v>
          </cell>
          <cell r="C38">
            <v>15</v>
          </cell>
          <cell r="D38">
            <v>0</v>
          </cell>
          <cell r="E38">
            <v>266.67</v>
          </cell>
          <cell r="F38">
            <v>282.81</v>
          </cell>
          <cell r="G38">
            <v>4000.05</v>
          </cell>
          <cell r="H38">
            <v>0</v>
          </cell>
          <cell r="I38">
            <v>0</v>
          </cell>
        </row>
        <row r="39">
          <cell r="B39" t="str">
            <v>Vaca Valdez Guillermo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</row>
        <row r="40">
          <cell r="B40" t="str">
            <v>Martinez Morales Jose Martin</v>
          </cell>
          <cell r="C40">
            <v>15</v>
          </cell>
          <cell r="D40">
            <v>0</v>
          </cell>
          <cell r="E40">
            <v>466.67</v>
          </cell>
          <cell r="F40">
            <v>494.92</v>
          </cell>
          <cell r="G40">
            <v>7000.05</v>
          </cell>
          <cell r="H40">
            <v>0</v>
          </cell>
          <cell r="I40">
            <v>0</v>
          </cell>
        </row>
        <row r="41">
          <cell r="B41" t="str">
            <v xml:space="preserve">Arzate Gil Juan Sebastian </v>
          </cell>
          <cell r="C41">
            <v>15</v>
          </cell>
          <cell r="D41">
            <v>0</v>
          </cell>
          <cell r="E41">
            <v>266.67</v>
          </cell>
          <cell r="F41">
            <v>282.81</v>
          </cell>
          <cell r="G41">
            <v>4000.05</v>
          </cell>
          <cell r="H41">
            <v>0</v>
          </cell>
          <cell r="I41">
            <v>0</v>
          </cell>
        </row>
        <row r="42">
          <cell r="B42" t="str">
            <v>Torres Velazquez Juan Antonio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</row>
        <row r="43">
          <cell r="B43" t="str">
            <v>Enriquez  Zamora Jessica Del Rocio</v>
          </cell>
          <cell r="C43">
            <v>15</v>
          </cell>
          <cell r="D43">
            <v>0</v>
          </cell>
          <cell r="E43">
            <v>200</v>
          </cell>
          <cell r="F43">
            <v>212.11</v>
          </cell>
          <cell r="G43">
            <v>3000</v>
          </cell>
          <cell r="H43">
            <v>0</v>
          </cell>
          <cell r="I43">
            <v>0</v>
          </cell>
        </row>
        <row r="44">
          <cell r="B44" t="str">
            <v>Moreno Quiroga  Ana Sarahi</v>
          </cell>
          <cell r="C44">
            <v>15</v>
          </cell>
          <cell r="D44">
            <v>0</v>
          </cell>
          <cell r="E44">
            <v>266.67</v>
          </cell>
          <cell r="F44">
            <v>282.81</v>
          </cell>
          <cell r="G44">
            <v>4000.05</v>
          </cell>
          <cell r="H44">
            <v>0</v>
          </cell>
          <cell r="I44">
            <v>0</v>
          </cell>
        </row>
        <row r="45">
          <cell r="B45" t="str">
            <v>Hernandez Garcia  Manuel Alejandro</v>
          </cell>
          <cell r="C45">
            <v>15</v>
          </cell>
          <cell r="D45">
            <v>0</v>
          </cell>
          <cell r="E45">
            <v>266.67</v>
          </cell>
          <cell r="F45">
            <v>278.72000000000003</v>
          </cell>
          <cell r="G45">
            <v>4000.05</v>
          </cell>
          <cell r="H45">
            <v>0</v>
          </cell>
          <cell r="I45">
            <v>0</v>
          </cell>
        </row>
        <row r="46">
          <cell r="B46" t="str">
            <v>Sandoval Medina Demetrio</v>
          </cell>
          <cell r="C46">
            <v>15</v>
          </cell>
          <cell r="D46">
            <v>0</v>
          </cell>
          <cell r="E46">
            <v>266.67</v>
          </cell>
          <cell r="F46">
            <v>278.72000000000003</v>
          </cell>
          <cell r="G46">
            <v>4000.05</v>
          </cell>
          <cell r="H46">
            <v>0</v>
          </cell>
          <cell r="I46">
            <v>0</v>
          </cell>
        </row>
        <row r="47">
          <cell r="B47" t="str">
            <v>Gutierrez Muñoz Carlos Alejandro</v>
          </cell>
          <cell r="C47">
            <v>15</v>
          </cell>
          <cell r="D47">
            <v>0</v>
          </cell>
          <cell r="E47">
            <v>220.83</v>
          </cell>
          <cell r="F47">
            <v>234.2</v>
          </cell>
          <cell r="G47">
            <v>3312.45</v>
          </cell>
          <cell r="H47">
            <v>0</v>
          </cell>
          <cell r="I47">
            <v>0</v>
          </cell>
        </row>
        <row r="48">
          <cell r="B48" t="str">
            <v>Molina Ramirez Gerardo Daniel</v>
          </cell>
          <cell r="C48">
            <v>15</v>
          </cell>
          <cell r="D48">
            <v>0</v>
          </cell>
          <cell r="E48">
            <v>150</v>
          </cell>
          <cell r="F48">
            <v>156.78</v>
          </cell>
          <cell r="G48">
            <v>2250</v>
          </cell>
          <cell r="H48">
            <v>0</v>
          </cell>
          <cell r="I48">
            <v>0</v>
          </cell>
        </row>
        <row r="49">
          <cell r="B49" t="str">
            <v>Mireles Casillas Brenda Cristina</v>
          </cell>
          <cell r="C49">
            <v>15</v>
          </cell>
          <cell r="D49">
            <v>0</v>
          </cell>
          <cell r="E49">
            <v>150</v>
          </cell>
          <cell r="F49">
            <v>156.78</v>
          </cell>
          <cell r="G49">
            <v>2250</v>
          </cell>
          <cell r="H49">
            <v>0</v>
          </cell>
          <cell r="I49">
            <v>0</v>
          </cell>
        </row>
        <row r="50">
          <cell r="B50" t="str">
            <v>Escobedo Olivares Juan Guadalupe</v>
          </cell>
          <cell r="C50">
            <v>15</v>
          </cell>
          <cell r="D50">
            <v>0</v>
          </cell>
          <cell r="E50">
            <v>233.33</v>
          </cell>
          <cell r="F50">
            <v>243.88</v>
          </cell>
          <cell r="G50">
            <v>3499.95</v>
          </cell>
          <cell r="H50">
            <v>0</v>
          </cell>
          <cell r="I50">
            <v>0</v>
          </cell>
        </row>
        <row r="51">
          <cell r="B51" t="str">
            <v>Castillo Ramirez Hector Ivan</v>
          </cell>
          <cell r="C51">
            <v>15</v>
          </cell>
          <cell r="D51">
            <v>0</v>
          </cell>
          <cell r="E51">
            <v>233.33</v>
          </cell>
          <cell r="F51">
            <v>243.88</v>
          </cell>
          <cell r="G51">
            <v>3499.95</v>
          </cell>
          <cell r="H51">
            <v>0</v>
          </cell>
          <cell r="I51">
            <v>0</v>
          </cell>
        </row>
        <row r="52">
          <cell r="B52" t="str">
            <v>Martinez Morales Tomas</v>
          </cell>
          <cell r="C52">
            <v>15</v>
          </cell>
          <cell r="D52">
            <v>0</v>
          </cell>
          <cell r="E52">
            <v>312.87</v>
          </cell>
          <cell r="F52">
            <v>327.01</v>
          </cell>
          <cell r="G52">
            <v>4693.05</v>
          </cell>
          <cell r="H52">
            <v>0</v>
          </cell>
          <cell r="I52">
            <v>0</v>
          </cell>
        </row>
        <row r="53">
          <cell r="B53" t="str">
            <v>Medellin Colunga Ruben Dario</v>
          </cell>
          <cell r="C53">
            <v>15</v>
          </cell>
          <cell r="D53">
            <v>0</v>
          </cell>
          <cell r="E53">
            <v>312.87</v>
          </cell>
          <cell r="F53">
            <v>327.01</v>
          </cell>
          <cell r="G53">
            <v>4693.05</v>
          </cell>
          <cell r="H53">
            <v>0</v>
          </cell>
          <cell r="I53">
            <v>0</v>
          </cell>
        </row>
        <row r="54">
          <cell r="B54" t="str">
            <v>Torres Perez Carlos Alberto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</row>
        <row r="55">
          <cell r="B55" t="str">
            <v>Treviño Alvarez Jorge Alberto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</row>
        <row r="56">
          <cell r="B56" t="str">
            <v>Tenorio Alvarez Alberto Antonio</v>
          </cell>
          <cell r="C56">
            <v>15</v>
          </cell>
          <cell r="D56">
            <v>0</v>
          </cell>
          <cell r="E56">
            <v>238.84</v>
          </cell>
          <cell r="F56">
            <v>249.64</v>
          </cell>
          <cell r="G56">
            <v>3582.6</v>
          </cell>
          <cell r="H56">
            <v>0</v>
          </cell>
          <cell r="I56">
            <v>0</v>
          </cell>
        </row>
        <row r="57">
          <cell r="B57" t="str">
            <v>Chavez Dominguez Salvador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</row>
        <row r="58">
          <cell r="B58" t="str">
            <v>Garcia Gutierrez Jose Juan</v>
          </cell>
          <cell r="C58">
            <v>15</v>
          </cell>
          <cell r="D58">
            <v>0</v>
          </cell>
          <cell r="E58">
            <v>200</v>
          </cell>
          <cell r="F58">
            <v>212.11</v>
          </cell>
          <cell r="G58">
            <v>3000</v>
          </cell>
          <cell r="H58">
            <v>0</v>
          </cell>
          <cell r="I58">
            <v>0</v>
          </cell>
        </row>
        <row r="59">
          <cell r="B59" t="str">
            <v>Cruz Herrera Roberto</v>
          </cell>
          <cell r="C59">
            <v>15</v>
          </cell>
          <cell r="D59">
            <v>0</v>
          </cell>
          <cell r="E59">
            <v>238.84</v>
          </cell>
          <cell r="F59">
            <v>249.64</v>
          </cell>
          <cell r="G59">
            <v>3582.6</v>
          </cell>
          <cell r="H59">
            <v>0</v>
          </cell>
          <cell r="I59">
            <v>0</v>
          </cell>
        </row>
        <row r="60">
          <cell r="B60" t="str">
            <v>Martinez Rodriguez Paulo Cesar</v>
          </cell>
          <cell r="C60">
            <v>15</v>
          </cell>
          <cell r="D60">
            <v>0</v>
          </cell>
          <cell r="E60">
            <v>166.67</v>
          </cell>
          <cell r="F60">
            <v>174.2</v>
          </cell>
          <cell r="G60">
            <v>2500.0500000000002</v>
          </cell>
          <cell r="H60">
            <v>0</v>
          </cell>
          <cell r="I60">
            <v>0</v>
          </cell>
        </row>
        <row r="61">
          <cell r="B61" t="str">
            <v>Martinez Malo Cesar</v>
          </cell>
          <cell r="C61">
            <v>15</v>
          </cell>
          <cell r="D61">
            <v>0</v>
          </cell>
          <cell r="E61">
            <v>195.38</v>
          </cell>
          <cell r="F61">
            <v>204.21</v>
          </cell>
          <cell r="G61">
            <v>2930.7</v>
          </cell>
          <cell r="H61">
            <v>0</v>
          </cell>
          <cell r="I61">
            <v>0</v>
          </cell>
        </row>
        <row r="62">
          <cell r="B62" t="str">
            <v>Perez Balboa Cesar</v>
          </cell>
          <cell r="C62">
            <v>15</v>
          </cell>
          <cell r="D62">
            <v>0</v>
          </cell>
          <cell r="E62">
            <v>195.38</v>
          </cell>
          <cell r="F62">
            <v>204.21</v>
          </cell>
          <cell r="G62">
            <v>2930.7</v>
          </cell>
          <cell r="H62">
            <v>0</v>
          </cell>
          <cell r="I62">
            <v>0</v>
          </cell>
        </row>
        <row r="63">
          <cell r="B63" t="str">
            <v>Mejia  Duarte Jose Luis</v>
          </cell>
          <cell r="C63">
            <v>15</v>
          </cell>
          <cell r="D63">
            <v>0</v>
          </cell>
          <cell r="E63">
            <v>166.67</v>
          </cell>
          <cell r="F63">
            <v>176.76</v>
          </cell>
          <cell r="G63">
            <v>2500.0500000000002</v>
          </cell>
          <cell r="H63">
            <v>0</v>
          </cell>
          <cell r="I63">
            <v>0</v>
          </cell>
        </row>
        <row r="64">
          <cell r="B64" t="str">
            <v xml:space="preserve">Cerro  Garcia  Elvis </v>
          </cell>
          <cell r="C64">
            <v>15</v>
          </cell>
          <cell r="D64">
            <v>0</v>
          </cell>
          <cell r="E64">
            <v>166.67</v>
          </cell>
          <cell r="F64">
            <v>177.03</v>
          </cell>
          <cell r="G64">
            <v>2500.0500000000002</v>
          </cell>
          <cell r="H64">
            <v>0</v>
          </cell>
          <cell r="I64">
            <v>0</v>
          </cell>
        </row>
        <row r="65">
          <cell r="B65" t="str">
            <v xml:space="preserve">Gutierrez  Castillo  Jose De Jesus </v>
          </cell>
          <cell r="C65">
            <v>15</v>
          </cell>
          <cell r="D65">
            <v>0</v>
          </cell>
          <cell r="E65">
            <v>200</v>
          </cell>
          <cell r="F65">
            <v>209.04</v>
          </cell>
          <cell r="G65">
            <v>3000</v>
          </cell>
          <cell r="H65">
            <v>0</v>
          </cell>
          <cell r="I65">
            <v>0</v>
          </cell>
        </row>
        <row r="66">
          <cell r="B66" t="str">
            <v xml:space="preserve">Lizaran Maceda  Jose Guadalupe </v>
          </cell>
          <cell r="C66">
            <v>15</v>
          </cell>
          <cell r="D66">
            <v>0</v>
          </cell>
          <cell r="E66">
            <v>166.67</v>
          </cell>
          <cell r="F66">
            <v>175.8</v>
          </cell>
          <cell r="G66">
            <v>2500.0500000000002</v>
          </cell>
          <cell r="H66">
            <v>0</v>
          </cell>
          <cell r="I66">
            <v>0</v>
          </cell>
        </row>
        <row r="67">
          <cell r="B67" t="str">
            <v>Mendez Rivera Ivan Israel</v>
          </cell>
          <cell r="C67">
            <v>15</v>
          </cell>
          <cell r="D67">
            <v>0</v>
          </cell>
          <cell r="E67">
            <v>166.66</v>
          </cell>
          <cell r="F67">
            <v>174.19</v>
          </cell>
          <cell r="G67">
            <v>2499.9</v>
          </cell>
          <cell r="H67">
            <v>0</v>
          </cell>
          <cell r="I67">
            <v>0</v>
          </cell>
        </row>
        <row r="68">
          <cell r="B68" t="str">
            <v xml:space="preserve">Ruiz  Flores  Aldo Tomas </v>
          </cell>
          <cell r="C68">
            <v>15</v>
          </cell>
          <cell r="D68">
            <v>0</v>
          </cell>
          <cell r="E68">
            <v>200</v>
          </cell>
          <cell r="F68">
            <v>212.11</v>
          </cell>
          <cell r="G68">
            <v>3000</v>
          </cell>
          <cell r="H68">
            <v>0</v>
          </cell>
          <cell r="I68">
            <v>0</v>
          </cell>
        </row>
        <row r="69">
          <cell r="B69" t="str">
            <v xml:space="preserve">Macias  Torres  Enrique </v>
          </cell>
          <cell r="C69">
            <v>13</v>
          </cell>
          <cell r="D69">
            <v>0</v>
          </cell>
          <cell r="E69">
            <v>256.67</v>
          </cell>
          <cell r="F69">
            <v>272.20999999999998</v>
          </cell>
          <cell r="G69">
            <v>3336.71</v>
          </cell>
          <cell r="H69">
            <v>0</v>
          </cell>
          <cell r="I69">
            <v>0</v>
          </cell>
        </row>
        <row r="70">
          <cell r="B70" t="str">
            <v>Palacios Vega Luis Rosendo</v>
          </cell>
          <cell r="C70">
            <v>15</v>
          </cell>
          <cell r="D70">
            <v>0</v>
          </cell>
          <cell r="E70">
            <v>166.67</v>
          </cell>
          <cell r="F70">
            <v>174.2</v>
          </cell>
          <cell r="G70">
            <v>2500.0500000000002</v>
          </cell>
          <cell r="H70">
            <v>0</v>
          </cell>
          <cell r="I70">
            <v>0</v>
          </cell>
        </row>
        <row r="71">
          <cell r="B71" t="str">
            <v>Rondero Savin Jacinto</v>
          </cell>
          <cell r="C71">
            <v>15</v>
          </cell>
          <cell r="D71">
            <v>0</v>
          </cell>
          <cell r="E71">
            <v>233.33</v>
          </cell>
          <cell r="F71">
            <v>243.88</v>
          </cell>
          <cell r="G71">
            <v>3499.95</v>
          </cell>
          <cell r="H71">
            <v>0</v>
          </cell>
          <cell r="I71">
            <v>0</v>
          </cell>
        </row>
        <row r="72">
          <cell r="B72" t="str">
            <v>Peña Lopez Abigail</v>
          </cell>
          <cell r="C72">
            <v>15</v>
          </cell>
          <cell r="D72">
            <v>0</v>
          </cell>
          <cell r="E72">
            <v>230</v>
          </cell>
          <cell r="F72">
            <v>243.93</v>
          </cell>
          <cell r="G72">
            <v>3450</v>
          </cell>
          <cell r="H72">
            <v>0</v>
          </cell>
          <cell r="I72">
            <v>0</v>
          </cell>
        </row>
        <row r="73">
          <cell r="B73" t="str">
            <v>Hernandez Rodriguez Jorge</v>
          </cell>
          <cell r="C73">
            <v>15</v>
          </cell>
          <cell r="D73">
            <v>0</v>
          </cell>
          <cell r="E73">
            <v>233.33</v>
          </cell>
          <cell r="F73">
            <v>247.46</v>
          </cell>
          <cell r="G73">
            <v>3499.95</v>
          </cell>
          <cell r="H73">
            <v>0</v>
          </cell>
          <cell r="I73">
            <v>0</v>
          </cell>
        </row>
        <row r="74">
          <cell r="B74" t="str">
            <v>Orea Gonzalez Concepcion Esteban</v>
          </cell>
          <cell r="C74">
            <v>15</v>
          </cell>
          <cell r="D74">
            <v>0</v>
          </cell>
          <cell r="E74">
            <v>210</v>
          </cell>
          <cell r="F74">
            <v>222.72</v>
          </cell>
          <cell r="G74">
            <v>3150</v>
          </cell>
          <cell r="H74">
            <v>0</v>
          </cell>
          <cell r="I74">
            <v>0</v>
          </cell>
        </row>
        <row r="75">
          <cell r="B75" t="str">
            <v>Lizaran Maceda Jesus</v>
          </cell>
          <cell r="C75">
            <v>15</v>
          </cell>
          <cell r="D75">
            <v>0</v>
          </cell>
          <cell r="E75">
            <v>210</v>
          </cell>
          <cell r="F75">
            <v>222.72</v>
          </cell>
          <cell r="G75">
            <v>3150</v>
          </cell>
          <cell r="H75">
            <v>0</v>
          </cell>
          <cell r="I75">
            <v>0</v>
          </cell>
        </row>
        <row r="76">
          <cell r="B76" t="str">
            <v>Alejandro Peña Deivi</v>
          </cell>
          <cell r="C76">
            <v>15</v>
          </cell>
          <cell r="D76">
            <v>0</v>
          </cell>
          <cell r="E76">
            <v>210</v>
          </cell>
          <cell r="F76">
            <v>222.72</v>
          </cell>
          <cell r="G76">
            <v>3150</v>
          </cell>
          <cell r="H76">
            <v>0</v>
          </cell>
          <cell r="I76">
            <v>0</v>
          </cell>
        </row>
        <row r="77">
          <cell r="B77" t="str">
            <v>Casas Chavarria Rafael</v>
          </cell>
          <cell r="C77">
            <v>15</v>
          </cell>
          <cell r="D77">
            <v>0</v>
          </cell>
          <cell r="E77">
            <v>210</v>
          </cell>
          <cell r="F77">
            <v>222.72</v>
          </cell>
          <cell r="G77">
            <v>3150</v>
          </cell>
          <cell r="H77">
            <v>0</v>
          </cell>
          <cell r="I77">
            <v>0</v>
          </cell>
        </row>
        <row r="78">
          <cell r="B78" t="str">
            <v>Del Pilar Mendez Lucio</v>
          </cell>
          <cell r="C78">
            <v>15</v>
          </cell>
          <cell r="D78">
            <v>0</v>
          </cell>
          <cell r="E78">
            <v>200</v>
          </cell>
          <cell r="F78">
            <v>209.04</v>
          </cell>
          <cell r="G78">
            <v>3000</v>
          </cell>
          <cell r="H78">
            <v>0</v>
          </cell>
          <cell r="I78">
            <v>0</v>
          </cell>
        </row>
        <row r="79">
          <cell r="B79" t="str">
            <v>Garcia Valderrama Jose De Jesus</v>
          </cell>
          <cell r="C79">
            <v>15</v>
          </cell>
          <cell r="D79">
            <v>0</v>
          </cell>
          <cell r="E79">
            <v>200</v>
          </cell>
          <cell r="F79">
            <v>209.04</v>
          </cell>
          <cell r="G79">
            <v>3000</v>
          </cell>
          <cell r="H79">
            <v>0</v>
          </cell>
          <cell r="I79">
            <v>0</v>
          </cell>
        </row>
        <row r="80">
          <cell r="B80" t="str">
            <v>Gonzalez Ramirez Paul</v>
          </cell>
          <cell r="C80">
            <v>15</v>
          </cell>
          <cell r="D80">
            <v>0</v>
          </cell>
          <cell r="E80">
            <v>200</v>
          </cell>
          <cell r="F80">
            <v>209.04</v>
          </cell>
          <cell r="G80">
            <v>3000</v>
          </cell>
          <cell r="H80">
            <v>0</v>
          </cell>
          <cell r="I80">
            <v>0</v>
          </cell>
        </row>
        <row r="81">
          <cell r="B81" t="str">
            <v>Alejandro Vazquez Erasmo Miguel</v>
          </cell>
          <cell r="C81">
            <v>15</v>
          </cell>
          <cell r="D81">
            <v>0</v>
          </cell>
          <cell r="E81">
            <v>200</v>
          </cell>
          <cell r="F81">
            <v>212.11</v>
          </cell>
          <cell r="G81">
            <v>3000</v>
          </cell>
          <cell r="H81">
            <v>0</v>
          </cell>
          <cell r="I81">
            <v>0</v>
          </cell>
        </row>
        <row r="82">
          <cell r="B82" t="str">
            <v>Hernandez Ojeda Julio Cesar</v>
          </cell>
          <cell r="C82">
            <v>15</v>
          </cell>
          <cell r="D82">
            <v>0</v>
          </cell>
          <cell r="E82">
            <v>116.67</v>
          </cell>
          <cell r="F82">
            <v>123.73</v>
          </cell>
          <cell r="G82">
            <v>1750.05</v>
          </cell>
          <cell r="H82">
            <v>0</v>
          </cell>
          <cell r="I82">
            <v>0</v>
          </cell>
        </row>
        <row r="83">
          <cell r="B83" t="str">
            <v>Serrano Esquivel Armando</v>
          </cell>
          <cell r="C83">
            <v>15</v>
          </cell>
          <cell r="D83">
            <v>0</v>
          </cell>
          <cell r="E83">
            <v>116.67</v>
          </cell>
          <cell r="F83">
            <v>123.73</v>
          </cell>
          <cell r="G83">
            <v>1750.05</v>
          </cell>
          <cell r="H83">
            <v>0</v>
          </cell>
          <cell r="I83">
            <v>0</v>
          </cell>
        </row>
        <row r="84">
          <cell r="B84" t="str">
            <v>Coronado Vega Carlos Eduardo</v>
          </cell>
          <cell r="C84">
            <v>15</v>
          </cell>
          <cell r="D84">
            <v>0</v>
          </cell>
          <cell r="E84">
            <v>210</v>
          </cell>
          <cell r="F84">
            <v>222.72</v>
          </cell>
          <cell r="G84">
            <v>3150</v>
          </cell>
          <cell r="H84">
            <v>0</v>
          </cell>
          <cell r="I84">
            <v>0</v>
          </cell>
        </row>
        <row r="85">
          <cell r="B85" t="str">
            <v>Montes De Oca Trujillo Gloria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</row>
        <row r="86">
          <cell r="B86" t="str">
            <v>Morales Martinez Eduardo</v>
          </cell>
          <cell r="C86">
            <v>15</v>
          </cell>
          <cell r="D86">
            <v>0</v>
          </cell>
          <cell r="E86">
            <v>210</v>
          </cell>
          <cell r="F86">
            <v>222.72</v>
          </cell>
          <cell r="G86">
            <v>3150</v>
          </cell>
          <cell r="H86">
            <v>0</v>
          </cell>
          <cell r="I86">
            <v>0</v>
          </cell>
        </row>
        <row r="87">
          <cell r="B87" t="str">
            <v>Chavez Govea Edgar Aram</v>
          </cell>
          <cell r="C87">
            <v>15</v>
          </cell>
          <cell r="D87">
            <v>0</v>
          </cell>
          <cell r="E87">
            <v>233.33</v>
          </cell>
          <cell r="F87">
            <v>247.46</v>
          </cell>
          <cell r="G87">
            <v>3499.95</v>
          </cell>
          <cell r="H87">
            <v>0</v>
          </cell>
          <cell r="I87">
            <v>0</v>
          </cell>
        </row>
        <row r="88">
          <cell r="B88" t="str">
            <v>Ramirez Elizalde Karen Viridiana</v>
          </cell>
          <cell r="C88">
            <v>15</v>
          </cell>
          <cell r="D88">
            <v>0</v>
          </cell>
          <cell r="E88">
            <v>200</v>
          </cell>
          <cell r="F88">
            <v>209.04</v>
          </cell>
          <cell r="G88">
            <v>3000</v>
          </cell>
          <cell r="H88">
            <v>0</v>
          </cell>
          <cell r="I88">
            <v>0</v>
          </cell>
        </row>
        <row r="89">
          <cell r="B89" t="str">
            <v>Cruz Perez Alejandro Nezahualcoyotl</v>
          </cell>
          <cell r="C89">
            <v>15</v>
          </cell>
          <cell r="D89">
            <v>0</v>
          </cell>
          <cell r="E89">
            <v>266.67</v>
          </cell>
          <cell r="F89">
            <v>282.81</v>
          </cell>
          <cell r="G89">
            <v>4000.05</v>
          </cell>
          <cell r="H89">
            <v>0</v>
          </cell>
          <cell r="I89">
            <v>0</v>
          </cell>
        </row>
        <row r="90">
          <cell r="B90" t="str">
            <v>Negrete Bejar Aide Sarai</v>
          </cell>
          <cell r="C90">
            <v>15</v>
          </cell>
          <cell r="D90">
            <v>0</v>
          </cell>
          <cell r="E90">
            <v>154</v>
          </cell>
          <cell r="F90">
            <v>160.96</v>
          </cell>
          <cell r="G90">
            <v>2310</v>
          </cell>
          <cell r="H90">
            <v>0</v>
          </cell>
          <cell r="I90">
            <v>0</v>
          </cell>
        </row>
        <row r="91">
          <cell r="B91" t="str">
            <v>Contreras Zetina Victor Hugo</v>
          </cell>
          <cell r="C91">
            <v>15</v>
          </cell>
          <cell r="D91">
            <v>0</v>
          </cell>
          <cell r="E91">
            <v>230</v>
          </cell>
          <cell r="F91">
            <v>243.91</v>
          </cell>
          <cell r="G91">
            <v>3450</v>
          </cell>
          <cell r="H91">
            <v>0</v>
          </cell>
          <cell r="I91">
            <v>0</v>
          </cell>
        </row>
        <row r="92">
          <cell r="B92" t="str">
            <v>Gomez Oliveros Alin</v>
          </cell>
          <cell r="C92">
            <v>15</v>
          </cell>
          <cell r="D92">
            <v>0</v>
          </cell>
          <cell r="E92">
            <v>200</v>
          </cell>
          <cell r="F92">
            <v>212.11</v>
          </cell>
          <cell r="G92">
            <v>3000</v>
          </cell>
          <cell r="H92">
            <v>0</v>
          </cell>
          <cell r="I92">
            <v>0</v>
          </cell>
        </row>
        <row r="93">
          <cell r="B93" t="str">
            <v>Aguilar Leal Karina Livier</v>
          </cell>
          <cell r="C93">
            <v>15</v>
          </cell>
          <cell r="D93">
            <v>0</v>
          </cell>
          <cell r="E93">
            <v>266.67</v>
          </cell>
          <cell r="F93">
            <v>282.81</v>
          </cell>
          <cell r="G93">
            <v>4000.05</v>
          </cell>
          <cell r="H93">
            <v>0</v>
          </cell>
          <cell r="I93">
            <v>0</v>
          </cell>
        </row>
        <row r="94">
          <cell r="B94" t="str">
            <v>Amezcua Contreras Martha Frine</v>
          </cell>
          <cell r="C94">
            <v>15</v>
          </cell>
          <cell r="D94">
            <v>0</v>
          </cell>
          <cell r="E94">
            <v>566.66999999999996</v>
          </cell>
          <cell r="F94">
            <v>600.98</v>
          </cell>
          <cell r="G94">
            <v>8500.0499999999993</v>
          </cell>
          <cell r="H94">
            <v>0</v>
          </cell>
          <cell r="I94">
            <v>0</v>
          </cell>
        </row>
        <row r="95">
          <cell r="B95" t="str">
            <v>Guizar Perez Sergio</v>
          </cell>
          <cell r="C95">
            <v>13</v>
          </cell>
          <cell r="D95">
            <v>2</v>
          </cell>
          <cell r="E95">
            <v>250</v>
          </cell>
          <cell r="F95">
            <v>265.14</v>
          </cell>
          <cell r="G95">
            <v>3250</v>
          </cell>
          <cell r="H95">
            <v>500</v>
          </cell>
          <cell r="I95">
            <v>150</v>
          </cell>
        </row>
        <row r="96">
          <cell r="B96" t="str">
            <v>Quinto Valle Martin</v>
          </cell>
          <cell r="C96">
            <v>15</v>
          </cell>
          <cell r="D96">
            <v>0</v>
          </cell>
          <cell r="E96">
            <v>333.33</v>
          </cell>
          <cell r="F96">
            <v>353.52</v>
          </cell>
          <cell r="G96">
            <v>4999.95</v>
          </cell>
          <cell r="H96">
            <v>0</v>
          </cell>
          <cell r="I96">
            <v>0</v>
          </cell>
        </row>
        <row r="97">
          <cell r="B97" t="str">
            <v>Negrete Renteria Jose Luis</v>
          </cell>
          <cell r="C97">
            <v>15</v>
          </cell>
          <cell r="D97">
            <v>0</v>
          </cell>
          <cell r="E97">
            <v>281.67</v>
          </cell>
          <cell r="F97">
            <v>298.72000000000003</v>
          </cell>
          <cell r="G97">
            <v>4225.05</v>
          </cell>
          <cell r="H97">
            <v>0</v>
          </cell>
          <cell r="I97">
            <v>0</v>
          </cell>
        </row>
        <row r="98">
          <cell r="B98" t="str">
            <v>Alonso Flores Beda</v>
          </cell>
          <cell r="C98">
            <v>12</v>
          </cell>
          <cell r="D98">
            <v>3</v>
          </cell>
          <cell r="E98">
            <v>341.35</v>
          </cell>
          <cell r="F98">
            <v>357.25</v>
          </cell>
          <cell r="G98">
            <v>4096.2</v>
          </cell>
          <cell r="H98">
            <v>1024.05</v>
          </cell>
          <cell r="I98">
            <v>307.22000000000003</v>
          </cell>
        </row>
        <row r="99">
          <cell r="B99" t="str">
            <v>Romero Mayoral Lorenzo</v>
          </cell>
          <cell r="C99">
            <v>15</v>
          </cell>
          <cell r="D99">
            <v>0</v>
          </cell>
          <cell r="E99">
            <v>266.67</v>
          </cell>
          <cell r="F99">
            <v>282.81</v>
          </cell>
          <cell r="G99">
            <v>4000.05</v>
          </cell>
          <cell r="H99">
            <v>0</v>
          </cell>
          <cell r="I99">
            <v>0</v>
          </cell>
        </row>
        <row r="100">
          <cell r="B100" t="str">
            <v>Ramirez Vera Maria Del Carmen</v>
          </cell>
          <cell r="C100">
            <v>12</v>
          </cell>
          <cell r="D100">
            <v>3</v>
          </cell>
          <cell r="E100">
            <v>266.67</v>
          </cell>
          <cell r="F100">
            <v>282.81</v>
          </cell>
          <cell r="G100">
            <v>3200.04</v>
          </cell>
          <cell r="H100">
            <v>800.01</v>
          </cell>
          <cell r="I100">
            <v>240</v>
          </cell>
        </row>
        <row r="101">
          <cell r="B101" t="str">
            <v>Bueno Herrera Mariana Guadalupe</v>
          </cell>
          <cell r="C101">
            <v>15</v>
          </cell>
          <cell r="D101">
            <v>0</v>
          </cell>
          <cell r="E101">
            <v>266.67</v>
          </cell>
          <cell r="F101">
            <v>282.81</v>
          </cell>
          <cell r="G101">
            <v>4000.05</v>
          </cell>
          <cell r="H101">
            <v>0</v>
          </cell>
          <cell r="I101">
            <v>0</v>
          </cell>
        </row>
        <row r="102">
          <cell r="B102" t="str">
            <v>Lara Campos Maximino</v>
          </cell>
          <cell r="C102">
            <v>15</v>
          </cell>
          <cell r="D102">
            <v>0</v>
          </cell>
          <cell r="E102">
            <v>362.41</v>
          </cell>
          <cell r="F102">
            <v>379.29</v>
          </cell>
          <cell r="G102">
            <v>5436.15</v>
          </cell>
          <cell r="H102">
            <v>0</v>
          </cell>
          <cell r="I102">
            <v>0</v>
          </cell>
        </row>
        <row r="103">
          <cell r="B103" t="str">
            <v>Rodriguez Diaz Cesar Salvador</v>
          </cell>
          <cell r="C103">
            <v>15</v>
          </cell>
          <cell r="D103">
            <v>0</v>
          </cell>
          <cell r="E103">
            <v>266.67</v>
          </cell>
          <cell r="F103">
            <v>282.8</v>
          </cell>
          <cell r="G103">
            <v>4000.05</v>
          </cell>
          <cell r="H103">
            <v>0</v>
          </cell>
          <cell r="I103">
            <v>0</v>
          </cell>
        </row>
        <row r="104">
          <cell r="B104" t="str">
            <v>Marquez Alcaraz Martin</v>
          </cell>
          <cell r="C104">
            <v>15</v>
          </cell>
          <cell r="D104">
            <v>0</v>
          </cell>
          <cell r="E104">
            <v>266.67</v>
          </cell>
          <cell r="F104">
            <v>282.8</v>
          </cell>
          <cell r="G104">
            <v>4000.05</v>
          </cell>
          <cell r="H104">
            <v>0</v>
          </cell>
          <cell r="I104">
            <v>0</v>
          </cell>
        </row>
        <row r="105">
          <cell r="B105" t="str">
            <v>Rojo Avelar Adrian</v>
          </cell>
          <cell r="C105">
            <v>15</v>
          </cell>
          <cell r="D105">
            <v>0</v>
          </cell>
          <cell r="E105">
            <v>200</v>
          </cell>
          <cell r="F105">
            <v>212.11</v>
          </cell>
          <cell r="G105">
            <v>3000</v>
          </cell>
          <cell r="H105">
            <v>0</v>
          </cell>
          <cell r="I105">
            <v>0</v>
          </cell>
        </row>
        <row r="106">
          <cell r="B106" t="str">
            <v>Marin  Avila Hector</v>
          </cell>
          <cell r="C106">
            <v>15</v>
          </cell>
          <cell r="D106">
            <v>0</v>
          </cell>
          <cell r="E106">
            <v>275</v>
          </cell>
          <cell r="F106">
            <v>287.43</v>
          </cell>
          <cell r="G106">
            <v>4125</v>
          </cell>
          <cell r="H106">
            <v>0</v>
          </cell>
          <cell r="I106">
            <v>0</v>
          </cell>
        </row>
        <row r="107">
          <cell r="B107" t="str">
            <v>Hurtado Avalos J.jesus</v>
          </cell>
          <cell r="C107">
            <v>15</v>
          </cell>
          <cell r="D107">
            <v>0</v>
          </cell>
          <cell r="E107">
            <v>200</v>
          </cell>
          <cell r="F107">
            <v>212.11</v>
          </cell>
          <cell r="G107">
            <v>3000</v>
          </cell>
          <cell r="H107">
            <v>0</v>
          </cell>
          <cell r="I107">
            <v>0</v>
          </cell>
        </row>
        <row r="108">
          <cell r="B108" t="str">
            <v>Mora Cavazos Roberto Manuel</v>
          </cell>
          <cell r="C108">
            <v>15</v>
          </cell>
          <cell r="D108">
            <v>0</v>
          </cell>
          <cell r="E108">
            <v>266.67</v>
          </cell>
          <cell r="F108">
            <v>282.81</v>
          </cell>
          <cell r="G108">
            <v>4000</v>
          </cell>
          <cell r="H108">
            <v>0</v>
          </cell>
          <cell r="I108">
            <v>0</v>
          </cell>
        </row>
        <row r="109">
          <cell r="B109" t="str">
            <v>Martinez Rivera Maria Teresa</v>
          </cell>
          <cell r="C109">
            <v>15</v>
          </cell>
          <cell r="D109">
            <v>0</v>
          </cell>
          <cell r="E109">
            <v>341.35</v>
          </cell>
          <cell r="F109">
            <v>357.25</v>
          </cell>
          <cell r="G109">
            <v>5120.25</v>
          </cell>
          <cell r="H109">
            <v>0</v>
          </cell>
          <cell r="I109">
            <v>0</v>
          </cell>
        </row>
        <row r="110">
          <cell r="B110" t="str">
            <v>Ramirez Vera Eustolia</v>
          </cell>
          <cell r="C110">
            <v>15</v>
          </cell>
          <cell r="D110">
            <v>0</v>
          </cell>
          <cell r="E110">
            <v>300.23</v>
          </cell>
          <cell r="F110">
            <v>318.41000000000003</v>
          </cell>
          <cell r="G110">
            <v>4503.45</v>
          </cell>
          <cell r="H110">
            <v>0</v>
          </cell>
          <cell r="I110">
            <v>0</v>
          </cell>
        </row>
        <row r="111">
          <cell r="B111" t="str">
            <v>Leal  Montaño Francisco</v>
          </cell>
          <cell r="C111">
            <v>15</v>
          </cell>
          <cell r="D111">
            <v>0</v>
          </cell>
          <cell r="E111">
            <v>200</v>
          </cell>
          <cell r="F111">
            <v>212.11</v>
          </cell>
          <cell r="G111">
            <v>3000</v>
          </cell>
          <cell r="H111">
            <v>0</v>
          </cell>
          <cell r="I111">
            <v>0</v>
          </cell>
        </row>
        <row r="112">
          <cell r="B112" t="str">
            <v>Camarillo Canela Reynaldo</v>
          </cell>
          <cell r="C112">
            <v>15</v>
          </cell>
          <cell r="D112">
            <v>0</v>
          </cell>
          <cell r="E112">
            <v>185.83</v>
          </cell>
          <cell r="F112">
            <v>197.09</v>
          </cell>
          <cell r="G112">
            <v>2787.45</v>
          </cell>
          <cell r="H112">
            <v>0</v>
          </cell>
          <cell r="I112">
            <v>0</v>
          </cell>
        </row>
        <row r="113">
          <cell r="B113" t="str">
            <v>Romo Sandoval Ma De Lourdez</v>
          </cell>
          <cell r="C113">
            <v>15</v>
          </cell>
          <cell r="D113">
            <v>0</v>
          </cell>
          <cell r="E113">
            <v>333.33</v>
          </cell>
          <cell r="F113">
            <v>353.52</v>
          </cell>
          <cell r="G113">
            <v>4999.95</v>
          </cell>
          <cell r="H113">
            <v>0</v>
          </cell>
          <cell r="I113">
            <v>0</v>
          </cell>
        </row>
        <row r="114">
          <cell r="B114" t="str">
            <v>Benavides Reyes Jorge</v>
          </cell>
          <cell r="C114">
            <v>15</v>
          </cell>
          <cell r="D114">
            <v>0</v>
          </cell>
          <cell r="E114">
            <v>200</v>
          </cell>
          <cell r="F114">
            <v>209.04</v>
          </cell>
          <cell r="G114">
            <v>3000</v>
          </cell>
          <cell r="H114">
            <v>0</v>
          </cell>
          <cell r="I114">
            <v>0</v>
          </cell>
        </row>
        <row r="115">
          <cell r="B115" t="str">
            <v>Amezcua Magaña Tania Estefania</v>
          </cell>
          <cell r="C115">
            <v>15</v>
          </cell>
          <cell r="D115">
            <v>0</v>
          </cell>
          <cell r="E115">
            <v>233.33</v>
          </cell>
          <cell r="F115">
            <v>243.88</v>
          </cell>
          <cell r="G115">
            <v>3499.95</v>
          </cell>
          <cell r="H115">
            <v>0</v>
          </cell>
          <cell r="I115">
            <v>0</v>
          </cell>
        </row>
        <row r="116">
          <cell r="B116" t="str">
            <v>Diaz Ortiz Hiram Guillermo</v>
          </cell>
          <cell r="C116">
            <v>12</v>
          </cell>
          <cell r="D116">
            <v>0</v>
          </cell>
          <cell r="E116">
            <v>210</v>
          </cell>
          <cell r="F116">
            <v>219.49</v>
          </cell>
          <cell r="G116">
            <v>2520</v>
          </cell>
          <cell r="H116">
            <v>0</v>
          </cell>
          <cell r="I116">
            <v>0</v>
          </cell>
        </row>
      </sheetData>
      <sheetData sheetId="4"/>
      <sheetData sheetId="5">
        <row r="7">
          <cell r="C7" t="str">
            <v xml:space="preserve"> Dominguez Lopez Maria De Jesus </v>
          </cell>
          <cell r="D7">
            <v>2102.9300000000003</v>
          </cell>
          <cell r="E7">
            <v>0</v>
          </cell>
          <cell r="F7">
            <v>643.50999999999976</v>
          </cell>
          <cell r="G7">
            <v>2746.44</v>
          </cell>
          <cell r="H7">
            <v>11</v>
          </cell>
          <cell r="I7">
            <v>13000</v>
          </cell>
          <cell r="J7">
            <v>1429.9999999999998</v>
          </cell>
          <cell r="K7">
            <v>786.49</v>
          </cell>
          <cell r="L7">
            <v>643.50999999999976</v>
          </cell>
          <cell r="M7" t="str">
            <v>SEITON</v>
          </cell>
        </row>
        <row r="8">
          <cell r="C8" t="str">
            <v>Aguilar Leal Karina Livier</v>
          </cell>
          <cell r="D8">
            <v>917</v>
          </cell>
          <cell r="E8">
            <v>6710.33</v>
          </cell>
          <cell r="F8">
            <v>0</v>
          </cell>
          <cell r="G8">
            <v>7627.33</v>
          </cell>
          <cell r="H8">
            <v>0</v>
          </cell>
          <cell r="I8">
            <v>9000</v>
          </cell>
          <cell r="J8">
            <v>0</v>
          </cell>
          <cell r="K8">
            <v>0</v>
          </cell>
          <cell r="L8">
            <v>0</v>
          </cell>
          <cell r="M8" t="str">
            <v>SEITON</v>
          </cell>
        </row>
        <row r="9">
          <cell r="C9" t="str">
            <v>Alonso Flores Beda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3</v>
          </cell>
          <cell r="I9">
            <v>9000</v>
          </cell>
          <cell r="J9">
            <v>270</v>
          </cell>
          <cell r="K9">
            <v>307.22000000000003</v>
          </cell>
          <cell r="L9">
            <v>-37.220000000000027</v>
          </cell>
          <cell r="M9" t="str">
            <v>SEITON</v>
          </cell>
        </row>
        <row r="10">
          <cell r="C10" t="str">
            <v>Amezcua Contreras Martha Frine</v>
          </cell>
          <cell r="D10">
            <v>2162.2000000000007</v>
          </cell>
          <cell r="E10">
            <v>750</v>
          </cell>
          <cell r="F10">
            <v>0</v>
          </cell>
          <cell r="G10">
            <v>2912.2000000000007</v>
          </cell>
          <cell r="H10">
            <v>0</v>
          </cell>
          <cell r="I10">
            <v>18500</v>
          </cell>
          <cell r="J10">
            <v>0</v>
          </cell>
          <cell r="K10">
            <v>0</v>
          </cell>
          <cell r="L10">
            <v>0</v>
          </cell>
          <cell r="M10" t="str">
            <v>SEITON</v>
          </cell>
        </row>
        <row r="11">
          <cell r="C11" t="str">
            <v>Amezcua Magaña Tania Estefania</v>
          </cell>
          <cell r="D11">
            <v>2721.4</v>
          </cell>
          <cell r="E11">
            <v>1673.3</v>
          </cell>
          <cell r="F11">
            <v>0</v>
          </cell>
          <cell r="G11">
            <v>4394.7</v>
          </cell>
          <cell r="H11">
            <v>0</v>
          </cell>
          <cell r="I11">
            <v>12000</v>
          </cell>
          <cell r="J11">
            <v>0</v>
          </cell>
          <cell r="K11">
            <v>0</v>
          </cell>
          <cell r="L11">
            <v>0</v>
          </cell>
          <cell r="M11" t="str">
            <v>SEITON</v>
          </cell>
        </row>
        <row r="12">
          <cell r="C12" t="str">
            <v>Benavides Reyes Jorge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SEITON</v>
          </cell>
        </row>
        <row r="13">
          <cell r="C13" t="str">
            <v>Bueno Herrera Mariana Guadalupe</v>
          </cell>
          <cell r="D13">
            <v>2716.4000000000005</v>
          </cell>
          <cell r="E13">
            <v>3263</v>
          </cell>
          <cell r="F13">
            <v>0</v>
          </cell>
          <cell r="G13">
            <v>5979.4000000000005</v>
          </cell>
          <cell r="H13">
            <v>0</v>
          </cell>
          <cell r="I13">
            <v>12600</v>
          </cell>
          <cell r="J13">
            <v>0</v>
          </cell>
          <cell r="K13">
            <v>0</v>
          </cell>
          <cell r="L13">
            <v>0</v>
          </cell>
          <cell r="M13" t="str">
            <v>SEITON</v>
          </cell>
        </row>
        <row r="14">
          <cell r="C14" t="str">
            <v>Camarena Quiroz Erick Frank</v>
          </cell>
          <cell r="D14">
            <v>1588.1999999999998</v>
          </cell>
          <cell r="E14">
            <v>845</v>
          </cell>
          <cell r="F14">
            <v>0</v>
          </cell>
          <cell r="G14">
            <v>2433.1999999999998</v>
          </cell>
          <cell r="H14">
            <v>0</v>
          </cell>
          <cell r="I14">
            <v>9000</v>
          </cell>
          <cell r="J14">
            <v>0</v>
          </cell>
          <cell r="K14">
            <v>0</v>
          </cell>
          <cell r="L14">
            <v>0</v>
          </cell>
          <cell r="M14" t="str">
            <v>SEITON</v>
          </cell>
        </row>
        <row r="15">
          <cell r="C15" t="str">
            <v>Camarillo Canela Reynaldo</v>
          </cell>
          <cell r="D15">
            <v>2219.3299999999995</v>
          </cell>
          <cell r="E15">
            <v>1000</v>
          </cell>
          <cell r="F15">
            <v>0</v>
          </cell>
          <cell r="G15">
            <v>3219.3299999999995</v>
          </cell>
          <cell r="H15">
            <v>0</v>
          </cell>
          <cell r="I15">
            <v>9800</v>
          </cell>
          <cell r="J15">
            <v>0</v>
          </cell>
          <cell r="K15">
            <v>0</v>
          </cell>
          <cell r="L15">
            <v>0</v>
          </cell>
          <cell r="M15" t="str">
            <v>SEITON</v>
          </cell>
        </row>
        <row r="16">
          <cell r="C16" t="str">
            <v>Compean Tobias Braulio Gerardo</v>
          </cell>
          <cell r="D16">
            <v>3645.9299999999994</v>
          </cell>
          <cell r="E16">
            <v>2000</v>
          </cell>
          <cell r="F16">
            <v>0</v>
          </cell>
          <cell r="G16">
            <v>5645.9299999999994</v>
          </cell>
          <cell r="H16">
            <v>0</v>
          </cell>
          <cell r="I16">
            <v>18000</v>
          </cell>
          <cell r="J16">
            <v>0</v>
          </cell>
          <cell r="K16">
            <v>0</v>
          </cell>
          <cell r="L16">
            <v>0</v>
          </cell>
          <cell r="M16" t="str">
            <v>SEITON</v>
          </cell>
        </row>
        <row r="17">
          <cell r="C17" t="str">
            <v>Contreras Zetina Victor Hugo</v>
          </cell>
          <cell r="D17">
            <v>215.80000000000018</v>
          </cell>
          <cell r="E17">
            <v>0</v>
          </cell>
          <cell r="F17">
            <v>0</v>
          </cell>
          <cell r="G17">
            <v>215.80000000000018</v>
          </cell>
          <cell r="H17">
            <v>0</v>
          </cell>
          <cell r="I17">
            <v>6900</v>
          </cell>
          <cell r="J17">
            <v>0</v>
          </cell>
          <cell r="K17">
            <v>0</v>
          </cell>
          <cell r="L17">
            <v>0</v>
          </cell>
          <cell r="M17" t="str">
            <v>SEITON</v>
          </cell>
        </row>
        <row r="18">
          <cell r="C18" t="str">
            <v>Diaz Munguia Martha Liliana</v>
          </cell>
          <cell r="D18">
            <v>7009.04</v>
          </cell>
          <cell r="E18">
            <v>0</v>
          </cell>
          <cell r="F18">
            <v>0</v>
          </cell>
          <cell r="G18">
            <v>7009.04</v>
          </cell>
          <cell r="H18">
            <v>0</v>
          </cell>
          <cell r="I18">
            <v>25000</v>
          </cell>
          <cell r="J18">
            <v>0</v>
          </cell>
          <cell r="K18">
            <v>0</v>
          </cell>
          <cell r="L18">
            <v>0</v>
          </cell>
          <cell r="M18" t="str">
            <v>SEITON</v>
          </cell>
        </row>
        <row r="19">
          <cell r="C19" t="str">
            <v>Gomez Oliveros Alin</v>
          </cell>
          <cell r="D19">
            <v>2135.1999999999998</v>
          </cell>
          <cell r="E19">
            <v>300.17</v>
          </cell>
          <cell r="F19">
            <v>0</v>
          </cell>
          <cell r="G19">
            <v>2435.37</v>
          </cell>
          <cell r="H19">
            <v>0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  <cell r="M19" t="str">
            <v>SEITON</v>
          </cell>
        </row>
        <row r="20">
          <cell r="C20" t="str">
            <v>Guizar Perez Sergio</v>
          </cell>
          <cell r="D20">
            <v>881.80000000000064</v>
          </cell>
          <cell r="E20">
            <v>250</v>
          </cell>
          <cell r="F20">
            <v>19.999999999999972</v>
          </cell>
          <cell r="G20">
            <v>1151.8000000000006</v>
          </cell>
          <cell r="H20">
            <v>2</v>
          </cell>
          <cell r="I20">
            <v>8500</v>
          </cell>
          <cell r="J20">
            <v>169.99999999999997</v>
          </cell>
          <cell r="K20">
            <v>150</v>
          </cell>
          <cell r="L20">
            <v>19.999999999999972</v>
          </cell>
          <cell r="M20" t="str">
            <v>SEITON</v>
          </cell>
        </row>
        <row r="21">
          <cell r="C21" t="str">
            <v>Hurtado Avalos J.jesus</v>
          </cell>
          <cell r="D21">
            <v>135.40000000000009</v>
          </cell>
          <cell r="E21">
            <v>0</v>
          </cell>
          <cell r="F21">
            <v>0</v>
          </cell>
          <cell r="G21">
            <v>135.40000000000009</v>
          </cell>
          <cell r="H21">
            <v>0</v>
          </cell>
          <cell r="I21">
            <v>6000</v>
          </cell>
          <cell r="J21">
            <v>0</v>
          </cell>
          <cell r="K21">
            <v>0</v>
          </cell>
          <cell r="L21">
            <v>0</v>
          </cell>
          <cell r="M21" t="str">
            <v>SEITON</v>
          </cell>
        </row>
        <row r="22">
          <cell r="C22" t="str">
            <v>Lara Campos Maximino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9500</v>
          </cell>
          <cell r="J22">
            <v>0</v>
          </cell>
          <cell r="K22">
            <v>0</v>
          </cell>
          <cell r="L22">
            <v>0</v>
          </cell>
          <cell r="M22" t="str">
            <v>SEITON</v>
          </cell>
        </row>
        <row r="23">
          <cell r="C23" t="str">
            <v>Leal  Montaño Francisco</v>
          </cell>
          <cell r="D23">
            <v>135.29000000000008</v>
          </cell>
          <cell r="E23">
            <v>1000</v>
          </cell>
          <cell r="F23">
            <v>0</v>
          </cell>
          <cell r="G23">
            <v>1135.29</v>
          </cell>
          <cell r="H23">
            <v>0</v>
          </cell>
          <cell r="I23">
            <v>6000</v>
          </cell>
          <cell r="J23">
            <v>0</v>
          </cell>
          <cell r="K23">
            <v>0</v>
          </cell>
          <cell r="L23">
            <v>0</v>
          </cell>
          <cell r="M23" t="str">
            <v>SEITON</v>
          </cell>
        </row>
        <row r="24">
          <cell r="C24" t="str">
            <v>Leal Montaño Diego</v>
          </cell>
          <cell r="D24">
            <v>1803.2200000000003</v>
          </cell>
          <cell r="E24">
            <v>3510.32</v>
          </cell>
          <cell r="F24">
            <v>0</v>
          </cell>
          <cell r="G24">
            <v>5313.5400000000009</v>
          </cell>
          <cell r="H24">
            <v>0</v>
          </cell>
          <cell r="I24">
            <v>10000</v>
          </cell>
          <cell r="J24">
            <v>0</v>
          </cell>
          <cell r="K24">
            <v>0</v>
          </cell>
          <cell r="L24">
            <v>0</v>
          </cell>
          <cell r="M24" t="str">
            <v>SEITON</v>
          </cell>
        </row>
        <row r="25">
          <cell r="C25" t="str">
            <v>Leija Arevalo Guadalupe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 t="str">
            <v>SEITON</v>
          </cell>
        </row>
        <row r="26">
          <cell r="C26" t="str">
            <v>Marin  Avila Hector</v>
          </cell>
          <cell r="D26">
            <v>706.80000000000064</v>
          </cell>
          <cell r="E26">
            <v>0</v>
          </cell>
          <cell r="F26">
            <v>0</v>
          </cell>
          <cell r="G26">
            <v>706.80000000000064</v>
          </cell>
          <cell r="H26">
            <v>0</v>
          </cell>
          <cell r="I26">
            <v>8800</v>
          </cell>
          <cell r="J26">
            <v>0</v>
          </cell>
          <cell r="K26">
            <v>0</v>
          </cell>
          <cell r="L26">
            <v>0</v>
          </cell>
          <cell r="M26" t="str">
            <v>SEITON</v>
          </cell>
        </row>
        <row r="27">
          <cell r="C27" t="str">
            <v>Marquez Alcaraz Martin</v>
          </cell>
          <cell r="D27">
            <v>941.40000000000009</v>
          </cell>
          <cell r="E27">
            <v>725</v>
          </cell>
          <cell r="F27">
            <v>0</v>
          </cell>
          <cell r="G27">
            <v>1666.4</v>
          </cell>
          <cell r="H27">
            <v>0</v>
          </cell>
          <cell r="I27">
            <v>9050</v>
          </cell>
          <cell r="J27">
            <v>0</v>
          </cell>
          <cell r="K27">
            <v>0</v>
          </cell>
          <cell r="L27">
            <v>0</v>
          </cell>
          <cell r="M27" t="str">
            <v>SEITON</v>
          </cell>
        </row>
        <row r="28">
          <cell r="C28" t="str">
            <v>Martinez Rivera Maria Teresa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9000</v>
          </cell>
          <cell r="J28">
            <v>0</v>
          </cell>
          <cell r="K28">
            <v>0</v>
          </cell>
          <cell r="L28">
            <v>0</v>
          </cell>
          <cell r="M28" t="str">
            <v>SEITON</v>
          </cell>
        </row>
        <row r="29">
          <cell r="C29" t="str">
            <v>Mora Cavazos Roberto Manuel</v>
          </cell>
          <cell r="D29">
            <v>416.19999999999982</v>
          </cell>
          <cell r="F29">
            <v>0</v>
          </cell>
          <cell r="G29">
            <v>416.19999999999982</v>
          </cell>
          <cell r="H29">
            <v>0</v>
          </cell>
          <cell r="I29">
            <v>8000</v>
          </cell>
          <cell r="J29">
            <v>0</v>
          </cell>
          <cell r="K29">
            <v>0</v>
          </cell>
          <cell r="L29">
            <v>0</v>
          </cell>
          <cell r="M29" t="str">
            <v>SEITON</v>
          </cell>
        </row>
        <row r="30">
          <cell r="C30" t="str">
            <v>Negrete Bejar Aide Sarai</v>
          </cell>
          <cell r="D30">
            <v>17.490000000000236</v>
          </cell>
          <cell r="E30">
            <v>2111.1799999999998</v>
          </cell>
          <cell r="F30">
            <v>0</v>
          </cell>
          <cell r="G30">
            <v>2128.67</v>
          </cell>
          <cell r="H30">
            <v>0</v>
          </cell>
          <cell r="I30">
            <v>4620</v>
          </cell>
          <cell r="J30">
            <v>0</v>
          </cell>
          <cell r="K30">
            <v>0</v>
          </cell>
          <cell r="L30">
            <v>0</v>
          </cell>
          <cell r="M30" t="str">
            <v>SEITON</v>
          </cell>
        </row>
        <row r="31">
          <cell r="C31" t="str">
            <v>Negrete Renteria Jose Luis</v>
          </cell>
          <cell r="D31">
            <v>1122.3199999999997</v>
          </cell>
          <cell r="E31">
            <v>500</v>
          </cell>
          <cell r="F31">
            <v>0</v>
          </cell>
          <cell r="G31">
            <v>1622.3199999999997</v>
          </cell>
          <cell r="H31">
            <v>0</v>
          </cell>
          <cell r="I31">
            <v>9800</v>
          </cell>
          <cell r="J31">
            <v>0</v>
          </cell>
          <cell r="K31">
            <v>0</v>
          </cell>
          <cell r="L31">
            <v>0</v>
          </cell>
          <cell r="M31" t="str">
            <v>SEITON</v>
          </cell>
        </row>
        <row r="32">
          <cell r="C32" t="str">
            <v>Quinto Valle Martin</v>
          </cell>
          <cell r="D32">
            <v>593.60000000000036</v>
          </cell>
          <cell r="E32">
            <v>500</v>
          </cell>
          <cell r="F32">
            <v>0</v>
          </cell>
          <cell r="G32">
            <v>1093.6000000000004</v>
          </cell>
          <cell r="H32">
            <v>0</v>
          </cell>
          <cell r="I32">
            <v>10000</v>
          </cell>
          <cell r="J32">
            <v>0</v>
          </cell>
          <cell r="K32">
            <v>0</v>
          </cell>
          <cell r="L32">
            <v>0</v>
          </cell>
          <cell r="M32" t="str">
            <v>SEITON</v>
          </cell>
        </row>
        <row r="33">
          <cell r="C33" t="str">
            <v>Ramirez Vera Eustolia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7900</v>
          </cell>
          <cell r="J33">
            <v>0</v>
          </cell>
          <cell r="K33">
            <v>0</v>
          </cell>
          <cell r="L33">
            <v>0</v>
          </cell>
          <cell r="M33" t="str">
            <v>SEITON</v>
          </cell>
        </row>
        <row r="34">
          <cell r="C34" t="str">
            <v>Ramirez Vera Maria Del Carmen</v>
          </cell>
          <cell r="D34">
            <v>1416.3599999999997</v>
          </cell>
          <cell r="E34">
            <v>0</v>
          </cell>
          <cell r="F34">
            <v>60</v>
          </cell>
          <cell r="G34">
            <v>1476.3599999999997</v>
          </cell>
          <cell r="H34">
            <v>3</v>
          </cell>
          <cell r="I34">
            <v>10000</v>
          </cell>
          <cell r="J34">
            <v>300</v>
          </cell>
          <cell r="K34">
            <v>240</v>
          </cell>
          <cell r="L34">
            <v>60</v>
          </cell>
          <cell r="M34" t="str">
            <v>SEITON</v>
          </cell>
        </row>
        <row r="35">
          <cell r="C35" t="str">
            <v>Rodriguez Chavez Oswaldo Emmanuel</v>
          </cell>
          <cell r="D35">
            <v>2672.6000000000004</v>
          </cell>
          <cell r="E35">
            <v>2000</v>
          </cell>
          <cell r="F35">
            <v>0</v>
          </cell>
          <cell r="G35">
            <v>4672.6000000000004</v>
          </cell>
          <cell r="H35">
            <v>0</v>
          </cell>
          <cell r="I35">
            <v>14000</v>
          </cell>
          <cell r="K35">
            <v>0</v>
          </cell>
          <cell r="M35" t="str">
            <v>SEITON</v>
          </cell>
        </row>
        <row r="36">
          <cell r="C36" t="str">
            <v>Rodriguez Diaz Cesar Salvador</v>
          </cell>
          <cell r="D36">
            <v>941.36000000000058</v>
          </cell>
          <cell r="E36">
            <v>725</v>
          </cell>
          <cell r="F36">
            <v>0</v>
          </cell>
          <cell r="G36">
            <v>1666.3600000000006</v>
          </cell>
          <cell r="H36">
            <v>0</v>
          </cell>
          <cell r="I36">
            <v>9050</v>
          </cell>
          <cell r="J36">
            <v>0</v>
          </cell>
          <cell r="K36">
            <v>0</v>
          </cell>
          <cell r="L36">
            <v>0</v>
          </cell>
          <cell r="M36" t="str">
            <v>SEITON</v>
          </cell>
        </row>
        <row r="37">
          <cell r="C37" t="str">
            <v>Rojo Avelar Adrian</v>
          </cell>
          <cell r="D37">
            <v>885.21</v>
          </cell>
          <cell r="E37">
            <v>250</v>
          </cell>
          <cell r="F37">
            <v>0</v>
          </cell>
          <cell r="G37">
            <v>1135.21</v>
          </cell>
          <cell r="H37">
            <v>0</v>
          </cell>
          <cell r="I37">
            <v>7500</v>
          </cell>
          <cell r="J37">
            <v>0</v>
          </cell>
          <cell r="K37">
            <v>0</v>
          </cell>
          <cell r="L37">
            <v>0</v>
          </cell>
          <cell r="M37" t="str">
            <v>SEITON</v>
          </cell>
        </row>
        <row r="38">
          <cell r="C38" t="str">
            <v>Romero Mayoral Lorenzo</v>
          </cell>
          <cell r="D38">
            <v>2166.33</v>
          </cell>
          <cell r="E38">
            <v>0</v>
          </cell>
          <cell r="F38">
            <v>0</v>
          </cell>
          <cell r="G38">
            <v>2166.33</v>
          </cell>
          <cell r="H38">
            <v>0</v>
          </cell>
          <cell r="I38">
            <v>11500</v>
          </cell>
          <cell r="J38">
            <v>0</v>
          </cell>
          <cell r="K38">
            <v>0</v>
          </cell>
          <cell r="L38">
            <v>0</v>
          </cell>
          <cell r="M38" t="str">
            <v>SEITON</v>
          </cell>
        </row>
        <row r="39">
          <cell r="C39" t="str">
            <v>Romo Sandoval Ma De Lourdez</v>
          </cell>
          <cell r="D39">
            <v>5593.8</v>
          </cell>
          <cell r="E39">
            <v>541.6</v>
          </cell>
          <cell r="F39">
            <v>0</v>
          </cell>
          <cell r="G39">
            <v>6135.4000000000005</v>
          </cell>
          <cell r="H39">
            <v>0</v>
          </cell>
          <cell r="I39">
            <v>20000</v>
          </cell>
          <cell r="J39">
            <v>0</v>
          </cell>
          <cell r="K39">
            <v>0</v>
          </cell>
          <cell r="L39">
            <v>0</v>
          </cell>
          <cell r="M39" t="str">
            <v>SEITON</v>
          </cell>
        </row>
        <row r="40">
          <cell r="C40" t="str">
            <v>Saucedo Duran Jesus Alfredo</v>
          </cell>
          <cell r="D40">
            <v>1891.1000000000008</v>
          </cell>
          <cell r="E40">
            <v>390</v>
          </cell>
          <cell r="F40">
            <v>107.5</v>
          </cell>
          <cell r="G40">
            <v>2388.6000000000008</v>
          </cell>
          <cell r="H40">
            <v>2</v>
          </cell>
          <cell r="I40">
            <v>12000</v>
          </cell>
          <cell r="J40">
            <v>240</v>
          </cell>
          <cell r="K40">
            <v>132.5</v>
          </cell>
          <cell r="L40">
            <v>107.5</v>
          </cell>
          <cell r="M40" t="str">
            <v>SEITON</v>
          </cell>
        </row>
        <row r="41">
          <cell r="C41" t="str">
            <v>TOTAL GENERAL:</v>
          </cell>
          <cell r="D41">
            <v>49753.710000000006</v>
          </cell>
          <cell r="E41">
            <v>29044.899999999998</v>
          </cell>
          <cell r="F41">
            <v>831.00999999999976</v>
          </cell>
          <cell r="G41">
            <v>79629.620000000024</v>
          </cell>
          <cell r="H41">
            <v>21</v>
          </cell>
          <cell r="I41">
            <v>348020</v>
          </cell>
          <cell r="J41">
            <v>2410</v>
          </cell>
          <cell r="K41">
            <v>1616.21</v>
          </cell>
          <cell r="L41">
            <v>793.78999999999974</v>
          </cell>
          <cell r="M41">
            <v>0</v>
          </cell>
        </row>
        <row r="42">
          <cell r="C42">
            <v>0</v>
          </cell>
          <cell r="E42">
            <v>0</v>
          </cell>
        </row>
        <row r="43">
          <cell r="D43">
            <v>0</v>
          </cell>
          <cell r="F43">
            <v>0</v>
          </cell>
          <cell r="G43">
            <v>79629.620000000024</v>
          </cell>
        </row>
        <row r="44">
          <cell r="C44">
            <v>0</v>
          </cell>
          <cell r="F44" t="str">
            <v>PAGO QNA PASADA</v>
          </cell>
          <cell r="G44">
            <v>0</v>
          </cell>
        </row>
        <row r="45">
          <cell r="C45">
            <v>0</v>
          </cell>
          <cell r="F45">
            <v>0</v>
          </cell>
          <cell r="G45">
            <v>79629.620000000024</v>
          </cell>
        </row>
        <row r="46">
          <cell r="C46">
            <v>0</v>
          </cell>
          <cell r="F46">
            <v>0</v>
          </cell>
          <cell r="G46">
            <v>1592.5924000000005</v>
          </cell>
        </row>
        <row r="47">
          <cell r="C47">
            <v>0</v>
          </cell>
          <cell r="D47">
            <v>0</v>
          </cell>
          <cell r="F47">
            <v>0</v>
          </cell>
          <cell r="G47">
            <v>81222.212400000019</v>
          </cell>
        </row>
        <row r="48">
          <cell r="F48">
            <v>0</v>
          </cell>
          <cell r="G48">
            <v>0</v>
          </cell>
        </row>
        <row r="49">
          <cell r="F49">
            <v>0</v>
          </cell>
          <cell r="G49">
            <v>0</v>
          </cell>
        </row>
        <row r="50">
          <cell r="F50">
            <v>0</v>
          </cell>
          <cell r="G50">
            <v>81222.212400000019</v>
          </cell>
        </row>
        <row r="51">
          <cell r="F51">
            <v>0</v>
          </cell>
          <cell r="G51">
            <v>12995.553984000004</v>
          </cell>
        </row>
        <row r="52">
          <cell r="F52">
            <v>0</v>
          </cell>
          <cell r="G52">
            <v>94217.766384000017</v>
          </cell>
        </row>
        <row r="54">
          <cell r="D54" t="str">
            <v>FACTURACION NW</v>
          </cell>
          <cell r="E54">
            <v>0</v>
          </cell>
          <cell r="F54">
            <v>0</v>
          </cell>
          <cell r="G54" t="str">
            <v>FACTURACION CPD</v>
          </cell>
          <cell r="H54">
            <v>0</v>
          </cell>
          <cell r="I54">
            <v>0</v>
          </cell>
          <cell r="J54" t="str">
            <v>FACTURACION IP</v>
          </cell>
          <cell r="K54">
            <v>0</v>
          </cell>
          <cell r="L54">
            <v>0</v>
          </cell>
          <cell r="M54" t="str">
            <v>FACTURACION IT</v>
          </cell>
          <cell r="N54">
            <v>0</v>
          </cell>
        </row>
        <row r="55">
          <cell r="D55" t="str">
            <v>Importe de Factura</v>
          </cell>
          <cell r="E55">
            <v>36549.99558000001</v>
          </cell>
          <cell r="F55">
            <v>0</v>
          </cell>
          <cell r="G55" t="str">
            <v>Importe de Factura</v>
          </cell>
          <cell r="H55">
            <v>16244.442480000005</v>
          </cell>
          <cell r="I55">
            <v>0</v>
          </cell>
          <cell r="J55" t="str">
            <v>Importe de Factura</v>
          </cell>
          <cell r="K55">
            <v>19493.330976000005</v>
          </cell>
          <cell r="L55">
            <v>0</v>
          </cell>
          <cell r="M55" t="str">
            <v>Importe de Factura</v>
          </cell>
          <cell r="N55">
            <v>8934.4433640000025</v>
          </cell>
        </row>
        <row r="56">
          <cell r="D56" t="str">
            <v>IVA</v>
          </cell>
          <cell r="E56">
            <v>5847.999292800002</v>
          </cell>
          <cell r="F56">
            <v>0</v>
          </cell>
          <cell r="G56" t="str">
            <v>IVA</v>
          </cell>
          <cell r="H56">
            <v>2599.110796800001</v>
          </cell>
          <cell r="I56">
            <v>0</v>
          </cell>
          <cell r="J56" t="str">
            <v>IVA</v>
          </cell>
          <cell r="K56">
            <v>3118.9329561600007</v>
          </cell>
          <cell r="L56">
            <v>0</v>
          </cell>
          <cell r="M56" t="str">
            <v>IVA</v>
          </cell>
          <cell r="N56">
            <v>1429.5109382400003</v>
          </cell>
        </row>
        <row r="57">
          <cell r="D57" t="str">
            <v>TOTAL</v>
          </cell>
          <cell r="E57">
            <v>42397.994872800009</v>
          </cell>
          <cell r="F57">
            <v>0</v>
          </cell>
          <cell r="G57" t="str">
            <v>TOTAL</v>
          </cell>
          <cell r="H57">
            <v>18843.553276800005</v>
          </cell>
          <cell r="I57">
            <v>0</v>
          </cell>
          <cell r="J57" t="str">
            <v>TOTAL</v>
          </cell>
          <cell r="K57">
            <v>22612.263932160007</v>
          </cell>
          <cell r="L57">
            <v>0</v>
          </cell>
          <cell r="M57" t="str">
            <v>TOTAL</v>
          </cell>
          <cell r="N57">
            <v>10363.954302240003</v>
          </cell>
        </row>
      </sheetData>
      <sheetData sheetId="6">
        <row r="4">
          <cell r="C4" t="str">
            <v>Gutierrez Gutierrez Luis Arturo</v>
          </cell>
          <cell r="D4">
            <v>2774.6</v>
          </cell>
          <cell r="G4" t="e">
            <v>#REF!</v>
          </cell>
          <cell r="H4" t="e">
            <v>#N/A</v>
          </cell>
          <cell r="I4" t="e">
            <v>#REF!</v>
          </cell>
          <cell r="K4" t="e">
            <v>#REF!</v>
          </cell>
          <cell r="L4">
            <v>8500</v>
          </cell>
        </row>
        <row r="5">
          <cell r="C5" t="str">
            <v>Compean Tobias Braulio Gerardo</v>
          </cell>
          <cell r="D5">
            <v>4005.2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>
            <v>18000</v>
          </cell>
        </row>
        <row r="6">
          <cell r="C6" t="str">
            <v>Patricio Aguilar Jhonattan Cristian</v>
          </cell>
          <cell r="D6">
            <v>2911.8</v>
          </cell>
          <cell r="G6" t="e">
            <v>#REF!</v>
          </cell>
          <cell r="H6" t="e">
            <v>#N/A</v>
          </cell>
          <cell r="I6" t="e">
            <v>#REF!</v>
          </cell>
          <cell r="K6" t="e">
            <v>#REF!</v>
          </cell>
          <cell r="L6">
            <v>9000</v>
          </cell>
        </row>
        <row r="7">
          <cell r="C7" t="str">
            <v>Mora Ramirez Acal Aldo Isidro</v>
          </cell>
          <cell r="D7">
            <v>4036</v>
          </cell>
          <cell r="G7" t="e">
            <v>#REF!</v>
          </cell>
          <cell r="H7" t="e">
            <v>#N/A</v>
          </cell>
          <cell r="I7" t="e">
            <v>#REF!</v>
          </cell>
          <cell r="K7" t="e">
            <v>#REF!</v>
          </cell>
          <cell r="L7">
            <v>13000</v>
          </cell>
        </row>
        <row r="8">
          <cell r="C8" t="str">
            <v>Vazquez Perez Miguel Angel</v>
          </cell>
          <cell r="D8">
            <v>5074</v>
          </cell>
          <cell r="G8" t="e">
            <v>#REF!</v>
          </cell>
          <cell r="H8" t="e">
            <v>#N/A</v>
          </cell>
          <cell r="I8" t="e">
            <v>#REF!</v>
          </cell>
          <cell r="K8" t="e">
            <v>#REF!</v>
          </cell>
          <cell r="L8">
            <v>18500</v>
          </cell>
        </row>
        <row r="9">
          <cell r="C9" t="str">
            <v>Morgado Fernandez Martin</v>
          </cell>
          <cell r="D9">
            <v>4899.6000000000004</v>
          </cell>
          <cell r="G9" t="e">
            <v>#REF!</v>
          </cell>
          <cell r="H9" t="e">
            <v>#N/A</v>
          </cell>
          <cell r="I9" t="e">
            <v>#REF!</v>
          </cell>
          <cell r="K9" t="e">
            <v>#REF!</v>
          </cell>
          <cell r="L9">
            <v>15000</v>
          </cell>
        </row>
        <row r="10">
          <cell r="C10" t="str">
            <v>Arreola Jimenez Jose Nieves</v>
          </cell>
          <cell r="D10">
            <v>1927.6</v>
          </cell>
          <cell r="G10" t="e">
            <v>#REF!</v>
          </cell>
          <cell r="H10" t="e">
            <v>#N/A</v>
          </cell>
          <cell r="I10" t="e">
            <v>#REF!</v>
          </cell>
          <cell r="K10" t="e">
            <v>#REF!</v>
          </cell>
          <cell r="L10">
            <v>10150</v>
          </cell>
        </row>
        <row r="11">
          <cell r="C11" t="str">
            <v>Garcia Villicaña Ricardo Pascual</v>
          </cell>
          <cell r="D11">
            <v>4899.8</v>
          </cell>
          <cell r="G11" t="e">
            <v>#REF!</v>
          </cell>
          <cell r="H11" t="e">
            <v>#N/A</v>
          </cell>
          <cell r="I11" t="e">
            <v>#REF!</v>
          </cell>
          <cell r="K11" t="e">
            <v>#REF!</v>
          </cell>
          <cell r="L11">
            <v>15000</v>
          </cell>
        </row>
        <row r="12">
          <cell r="C12" t="str">
            <v>Caballero Diaz Francisco Javier</v>
          </cell>
          <cell r="D12">
            <v>1675.4</v>
          </cell>
          <cell r="G12" t="e">
            <v>#REF!</v>
          </cell>
          <cell r="H12" t="e">
            <v>#N/A</v>
          </cell>
          <cell r="I12" t="e">
            <v>#REF!</v>
          </cell>
          <cell r="K12" t="e">
            <v>#REF!</v>
          </cell>
          <cell r="L12">
            <v>10150</v>
          </cell>
        </row>
        <row r="13">
          <cell r="C13" t="str">
            <v>Casillas Cardona Cesar Alejandro</v>
          </cell>
          <cell r="D13">
            <v>3336.6</v>
          </cell>
          <cell r="G13" t="e">
            <v>#REF!</v>
          </cell>
          <cell r="H13" t="e">
            <v>#N/A</v>
          </cell>
          <cell r="I13" t="e">
            <v>#REF!</v>
          </cell>
          <cell r="K13" t="e">
            <v>#REF!</v>
          </cell>
          <cell r="L13">
            <v>12000</v>
          </cell>
        </row>
        <row r="14">
          <cell r="C14" t="str">
            <v>Mariscal Romero Luis Adrian</v>
          </cell>
          <cell r="D14">
            <v>3060</v>
          </cell>
          <cell r="G14" t="e">
            <v>#REF!</v>
          </cell>
          <cell r="H14" t="e">
            <v>#N/A</v>
          </cell>
          <cell r="I14" t="e">
            <v>#REF!</v>
          </cell>
          <cell r="K14" t="e">
            <v>#REF!</v>
          </cell>
          <cell r="L14">
            <v>15000</v>
          </cell>
        </row>
        <row r="15">
          <cell r="C15" t="str">
            <v>Arroyo Ramirez Hector Hugo</v>
          </cell>
          <cell r="D15">
            <v>2967.4</v>
          </cell>
          <cell r="G15" t="e">
            <v>#REF!</v>
          </cell>
          <cell r="H15" t="e">
            <v>#N/A</v>
          </cell>
          <cell r="I15" t="e">
            <v>#REF!</v>
          </cell>
          <cell r="K15" t="e">
            <v>#REF!</v>
          </cell>
          <cell r="L15">
            <v>13000</v>
          </cell>
        </row>
        <row r="16">
          <cell r="C16" t="str">
            <v xml:space="preserve"> Dominguez Lopez Maria De Jesus </v>
          </cell>
          <cell r="D16">
            <v>4635.3999999999996</v>
          </cell>
          <cell r="G16" t="e">
            <v>#REF!</v>
          </cell>
          <cell r="H16" t="e">
            <v>#REF!</v>
          </cell>
          <cell r="I16" t="e">
            <v>#REF!</v>
          </cell>
          <cell r="J16">
            <v>0</v>
          </cell>
          <cell r="K16" t="e">
            <v>#REF!</v>
          </cell>
          <cell r="L16">
            <v>13000</v>
          </cell>
        </row>
        <row r="17">
          <cell r="C17" t="str">
            <v>Hernandez Ochoa Eduardo</v>
          </cell>
          <cell r="D17">
            <v>4899.8</v>
          </cell>
          <cell r="G17" t="e">
            <v>#REF!</v>
          </cell>
          <cell r="H17" t="e">
            <v>#N/A</v>
          </cell>
          <cell r="I17" t="e">
            <v>#REF!</v>
          </cell>
          <cell r="K17" t="e">
            <v>#REF!</v>
          </cell>
          <cell r="L17">
            <v>15000</v>
          </cell>
        </row>
        <row r="18">
          <cell r="C18" t="str">
            <v>Diaz Munguia Martha Liliana</v>
          </cell>
          <cell r="D18">
            <v>5056.2</v>
          </cell>
          <cell r="G18" t="e">
            <v>#REF!</v>
          </cell>
          <cell r="H18" t="e">
            <v>#REF!</v>
          </cell>
          <cell r="I18" t="e">
            <v>#REF!</v>
          </cell>
          <cell r="K18" t="e">
            <v>#REF!</v>
          </cell>
          <cell r="L18">
            <v>25000</v>
          </cell>
        </row>
        <row r="19">
          <cell r="C19" t="str">
            <v>Nieto Ortiz Jose Luis</v>
          </cell>
          <cell r="D19">
            <v>1332.2</v>
          </cell>
          <cell r="G19" t="e">
            <v>#REF!</v>
          </cell>
          <cell r="H19" t="e">
            <v>#N/A</v>
          </cell>
          <cell r="I19" t="e">
            <v>#REF!</v>
          </cell>
          <cell r="K19" t="e">
            <v>#REF!</v>
          </cell>
          <cell r="L19">
            <v>10000</v>
          </cell>
        </row>
        <row r="20">
          <cell r="C20" t="str">
            <v>Rogel Teran Marco Antonio</v>
          </cell>
          <cell r="D20">
            <v>16969.2</v>
          </cell>
          <cell r="G20" t="e">
            <v>#REF!</v>
          </cell>
          <cell r="H20" t="e">
            <v>#N/A</v>
          </cell>
          <cell r="I20" t="e">
            <v>#REF!</v>
          </cell>
          <cell r="K20" t="e">
            <v>#REF!</v>
          </cell>
          <cell r="L20">
            <v>60000</v>
          </cell>
        </row>
        <row r="21">
          <cell r="C21" t="str">
            <v>Saucedo Duran Jesus Alfredo</v>
          </cell>
          <cell r="D21">
            <v>4241.3999999999996</v>
          </cell>
          <cell r="G21" t="e">
            <v>#REF!</v>
          </cell>
          <cell r="H21" t="e">
            <v>#REF!</v>
          </cell>
          <cell r="I21" t="e">
            <v>#REF!</v>
          </cell>
          <cell r="K21" t="e">
            <v>#REF!</v>
          </cell>
          <cell r="L21">
            <v>12000</v>
          </cell>
        </row>
        <row r="22">
          <cell r="C22" t="str">
            <v>Camarena Quiroz Erick Frank</v>
          </cell>
          <cell r="D22">
            <v>2911.8</v>
          </cell>
          <cell r="G22" t="e">
            <v>#REF!</v>
          </cell>
          <cell r="H22" t="e">
            <v>#REF!</v>
          </cell>
          <cell r="I22" t="e">
            <v>#REF!</v>
          </cell>
          <cell r="K22" t="e">
            <v>#REF!</v>
          </cell>
          <cell r="L22">
            <v>9000</v>
          </cell>
        </row>
        <row r="23">
          <cell r="C23" t="str">
            <v>De La Torre Zambara Francisco Ernesto</v>
          </cell>
          <cell r="D23">
            <v>3203.8</v>
          </cell>
          <cell r="G23" t="e">
            <v>#REF!</v>
          </cell>
          <cell r="H23" t="e">
            <v>#N/A</v>
          </cell>
          <cell r="I23" t="e">
            <v>#REF!</v>
          </cell>
          <cell r="K23" t="e">
            <v>#REF!</v>
          </cell>
          <cell r="L23">
            <v>10150</v>
          </cell>
        </row>
        <row r="24">
          <cell r="C24" t="str">
            <v>Carbajal Cabuto Jose Luis</v>
          </cell>
          <cell r="D24">
            <v>1995.4</v>
          </cell>
          <cell r="G24" t="e">
            <v>#REF!</v>
          </cell>
          <cell r="H24" t="e">
            <v>#N/A</v>
          </cell>
          <cell r="I24" t="e">
            <v>#REF!</v>
          </cell>
          <cell r="K24" t="e">
            <v>#REF!</v>
          </cell>
          <cell r="L24">
            <v>10250</v>
          </cell>
        </row>
        <row r="25">
          <cell r="C25" t="str">
            <v>Benavides Herrera Alejandra</v>
          </cell>
          <cell r="D25">
            <v>3196.8</v>
          </cell>
          <cell r="G25" t="e">
            <v>#REF!</v>
          </cell>
          <cell r="H25" t="e">
            <v>#N/A</v>
          </cell>
          <cell r="I25" t="e">
            <v>#REF!</v>
          </cell>
          <cell r="K25" t="e">
            <v>#REF!</v>
          </cell>
          <cell r="L25">
            <v>40000</v>
          </cell>
        </row>
        <row r="26">
          <cell r="C26" t="str">
            <v>Leal Montaño Diego</v>
          </cell>
          <cell r="D26">
            <v>2782.8</v>
          </cell>
          <cell r="G26" t="e">
            <v>#REF!</v>
          </cell>
          <cell r="H26" t="e">
            <v>#REF!</v>
          </cell>
          <cell r="I26" t="e">
            <v>#REF!</v>
          </cell>
          <cell r="K26" t="e">
            <v>#REF!</v>
          </cell>
          <cell r="L26">
            <v>10000</v>
          </cell>
        </row>
        <row r="27">
          <cell r="C27" t="str">
            <v>Leija Arevalo Guadalupe</v>
          </cell>
          <cell r="D27">
            <v>1003</v>
          </cell>
          <cell r="G27" t="e">
            <v>#REF!</v>
          </cell>
          <cell r="H27" t="e">
            <v>#REF!</v>
          </cell>
          <cell r="I27" t="e">
            <v>#REF!</v>
          </cell>
          <cell r="K27" t="e">
            <v>#REF!</v>
          </cell>
          <cell r="L27">
            <v>4000</v>
          </cell>
        </row>
        <row r="28">
          <cell r="C28" t="str">
            <v xml:space="preserve"> Sierra  Escamilla  Daniela  </v>
          </cell>
          <cell r="D28">
            <v>4036</v>
          </cell>
          <cell r="G28" t="e">
            <v>#REF!</v>
          </cell>
          <cell r="H28" t="e">
            <v>#N/A</v>
          </cell>
          <cell r="I28" t="e">
            <v>#REF!</v>
          </cell>
          <cell r="K28" t="e">
            <v>#REF!</v>
          </cell>
          <cell r="L28">
            <v>13000</v>
          </cell>
        </row>
        <row r="29">
          <cell r="C29" t="str">
            <v>Muñoz Melgoza Gabriel</v>
          </cell>
          <cell r="D29">
            <v>4609.3999999999996</v>
          </cell>
          <cell r="G29" t="e">
            <v>#REF!</v>
          </cell>
          <cell r="H29" t="e">
            <v>#N/A</v>
          </cell>
          <cell r="I29" t="e">
            <v>#REF!</v>
          </cell>
          <cell r="K29" t="e">
            <v>#REF!</v>
          </cell>
          <cell r="L29">
            <v>15400</v>
          </cell>
        </row>
        <row r="30">
          <cell r="C30" t="str">
            <v>Rodriguez Chavez Oswaldo Emmanuel</v>
          </cell>
          <cell r="D30">
            <v>4327.3999999999996</v>
          </cell>
          <cell r="G30" t="e">
            <v>#REF!</v>
          </cell>
          <cell r="H30" t="e">
            <v>#REF!</v>
          </cell>
          <cell r="K30" t="e">
            <v>#REF!</v>
          </cell>
          <cell r="L30">
            <v>14000</v>
          </cell>
        </row>
        <row r="31">
          <cell r="C31" t="str">
            <v>Torres Ricardez Alfredo</v>
          </cell>
          <cell r="E31">
            <v>3585.4</v>
          </cell>
          <cell r="G31" t="e">
            <v>#N/A</v>
          </cell>
          <cell r="H31" t="e">
            <v>#N/A</v>
          </cell>
          <cell r="I31" t="e">
            <v>#N/A</v>
          </cell>
          <cell r="K31" t="e">
            <v>#N/A</v>
          </cell>
          <cell r="L31">
            <v>8000</v>
          </cell>
        </row>
        <row r="32">
          <cell r="C32" t="str">
            <v>Montoya Portillo Carlos Alberto</v>
          </cell>
          <cell r="E32">
            <v>3585.2</v>
          </cell>
          <cell r="G32" t="e">
            <v>#N/A</v>
          </cell>
          <cell r="H32" t="e">
            <v>#N/A</v>
          </cell>
          <cell r="I32" t="e">
            <v>#N/A</v>
          </cell>
          <cell r="K32" t="e">
            <v>#N/A</v>
          </cell>
          <cell r="L32">
            <v>8000</v>
          </cell>
        </row>
        <row r="33">
          <cell r="C33" t="str">
            <v>Negrete Bejar Aide Sarai</v>
          </cell>
          <cell r="E33">
            <v>1278</v>
          </cell>
          <cell r="G33" t="e">
            <v>#REF!</v>
          </cell>
          <cell r="H33" t="e">
            <v>#REF!</v>
          </cell>
          <cell r="I33" t="e">
            <v>#REF!</v>
          </cell>
          <cell r="K33" t="e">
            <v>#REF!</v>
          </cell>
          <cell r="L33">
            <v>4620</v>
          </cell>
        </row>
        <row r="34">
          <cell r="C34" t="str">
            <v>Muñoz Reyes Luis Eduardo</v>
          </cell>
          <cell r="E34">
            <v>2692.8</v>
          </cell>
          <cell r="G34" t="e">
            <v>#N/A</v>
          </cell>
          <cell r="H34" t="e">
            <v>#N/A</v>
          </cell>
          <cell r="I34" t="e">
            <v>#N/A</v>
          </cell>
          <cell r="K34" t="e">
            <v>#N/A</v>
          </cell>
          <cell r="L34">
            <v>8000</v>
          </cell>
        </row>
        <row r="35">
          <cell r="C35" t="str">
            <v>Gonzalez Rasgado Miguel Isaias</v>
          </cell>
          <cell r="E35">
            <v>5195.2</v>
          </cell>
          <cell r="G35" t="e">
            <v>#N/A</v>
          </cell>
          <cell r="H35" t="e">
            <v>#N/A</v>
          </cell>
          <cell r="I35" t="e">
            <v>#N/A</v>
          </cell>
          <cell r="K35" t="e">
            <v>#N/A</v>
          </cell>
          <cell r="L35">
            <v>12000</v>
          </cell>
        </row>
        <row r="36">
          <cell r="C36" t="str">
            <v>Mar Marquez Cesar Eduardo</v>
          </cell>
          <cell r="E36">
            <v>3585.4</v>
          </cell>
          <cell r="G36" t="e">
            <v>#N/A</v>
          </cell>
          <cell r="H36" t="e">
            <v>#N/A</v>
          </cell>
          <cell r="I36" t="e">
            <v>#N/A</v>
          </cell>
          <cell r="K36" t="e">
            <v>#N/A</v>
          </cell>
          <cell r="L36">
            <v>8000</v>
          </cell>
        </row>
        <row r="37">
          <cell r="C37" t="str">
            <v>Velez Rodriguez Jaime</v>
          </cell>
          <cell r="E37">
            <v>1490.6</v>
          </cell>
          <cell r="G37" t="e">
            <v>#N/A</v>
          </cell>
          <cell r="H37" t="e">
            <v>#N/A</v>
          </cell>
          <cell r="I37" t="e">
            <v>#N/A</v>
          </cell>
          <cell r="K37" t="e">
            <v>#N/A</v>
          </cell>
          <cell r="L37">
            <v>8000</v>
          </cell>
        </row>
        <row r="38">
          <cell r="C38" t="str">
            <v>Najera Lopez Raul</v>
          </cell>
          <cell r="E38">
            <v>4406.3999999999996</v>
          </cell>
          <cell r="G38" t="e">
            <v>#N/A</v>
          </cell>
          <cell r="H38" t="e">
            <v>#N/A</v>
          </cell>
          <cell r="I38" t="e">
            <v>#N/A</v>
          </cell>
          <cell r="K38" t="e">
            <v>#N/A</v>
          </cell>
          <cell r="L38">
            <v>10000</v>
          </cell>
        </row>
        <row r="39">
          <cell r="C39" t="str">
            <v>Puente Murguia Luis Felipe</v>
          </cell>
          <cell r="E39">
            <v>3277.4</v>
          </cell>
          <cell r="G39" t="e">
            <v>#N/A</v>
          </cell>
          <cell r="H39" t="e">
            <v>#N/A</v>
          </cell>
          <cell r="I39" t="e">
            <v>#N/A</v>
          </cell>
          <cell r="K39" t="e">
            <v>#N/A</v>
          </cell>
          <cell r="L39">
            <v>7000</v>
          </cell>
        </row>
        <row r="40">
          <cell r="C40" t="str">
            <v>Arceo Garcia Manuel Federico</v>
          </cell>
          <cell r="E40">
            <v>2090.1999999999998</v>
          </cell>
          <cell r="G40" t="e">
            <v>#N/A</v>
          </cell>
          <cell r="H40" t="e">
            <v>#N/A</v>
          </cell>
          <cell r="I40" t="e">
            <v>#N/A</v>
          </cell>
          <cell r="K40" t="e">
            <v>#N/A</v>
          </cell>
          <cell r="L40">
            <v>6000</v>
          </cell>
        </row>
        <row r="41">
          <cell r="C41" t="str">
            <v>Contreras Zetina Victor Hugo</v>
          </cell>
          <cell r="E41">
            <v>3234.2</v>
          </cell>
          <cell r="G41" t="e">
            <v>#REF!</v>
          </cell>
          <cell r="H41" t="e">
            <v>#REF!</v>
          </cell>
          <cell r="I41" t="e">
            <v>#REF!</v>
          </cell>
          <cell r="K41" t="e">
            <v>#REF!</v>
          </cell>
          <cell r="L41">
            <v>6900</v>
          </cell>
        </row>
        <row r="42">
          <cell r="C42" t="str">
            <v>Gomez Oliveros Alin</v>
          </cell>
          <cell r="E42">
            <v>2864.8</v>
          </cell>
          <cell r="G42" t="e">
            <v>#REF!</v>
          </cell>
          <cell r="H42" t="e">
            <v>#REF!</v>
          </cell>
          <cell r="I42" t="e">
            <v>#REF!</v>
          </cell>
          <cell r="K42" t="e">
            <v>#REF!</v>
          </cell>
          <cell r="L42">
            <v>10000</v>
          </cell>
        </row>
        <row r="43">
          <cell r="C43" t="str">
            <v>Aguilar Leal Karina Livier</v>
          </cell>
          <cell r="E43">
            <v>3583.6</v>
          </cell>
          <cell r="G43" t="e">
            <v>#REF!</v>
          </cell>
          <cell r="H43" t="e">
            <v>#REF!</v>
          </cell>
          <cell r="I43" t="e">
            <v>#REF!</v>
          </cell>
          <cell r="K43" t="e">
            <v>#REF!</v>
          </cell>
          <cell r="L43">
            <v>9000</v>
          </cell>
        </row>
        <row r="44">
          <cell r="C44" t="str">
            <v>Amezcua Contreras Martha Frine</v>
          </cell>
          <cell r="E44">
            <v>7087.8</v>
          </cell>
          <cell r="G44" t="e">
            <v>#REF!</v>
          </cell>
          <cell r="H44" t="e">
            <v>#REF!</v>
          </cell>
          <cell r="I44" t="e">
            <v>#REF!</v>
          </cell>
          <cell r="K44" t="e">
            <v>#REF!</v>
          </cell>
          <cell r="L44">
            <v>18500</v>
          </cell>
        </row>
        <row r="45">
          <cell r="C45" t="str">
            <v>Guizar Perez Sergio</v>
          </cell>
          <cell r="E45">
            <v>3518.2</v>
          </cell>
          <cell r="G45" t="e">
            <v>#REF!</v>
          </cell>
          <cell r="H45" t="e">
            <v>#REF!</v>
          </cell>
          <cell r="I45" t="e">
            <v>#REF!</v>
          </cell>
          <cell r="K45" t="e">
            <v>#REF!</v>
          </cell>
          <cell r="L45">
            <v>8500</v>
          </cell>
        </row>
        <row r="46">
          <cell r="C46" t="str">
            <v>Quinto Valle Martin</v>
          </cell>
          <cell r="E46">
            <v>3906.4</v>
          </cell>
          <cell r="G46" t="e">
            <v>#REF!</v>
          </cell>
          <cell r="H46" t="e">
            <v>#REF!</v>
          </cell>
          <cell r="I46" t="e">
            <v>#REF!</v>
          </cell>
          <cell r="K46" t="e">
            <v>#REF!</v>
          </cell>
          <cell r="L46">
            <v>10000</v>
          </cell>
        </row>
        <row r="47">
          <cell r="C47" t="str">
            <v>Negrete Renteria Jose Luis</v>
          </cell>
          <cell r="E47">
            <v>2125.1999999999998</v>
          </cell>
          <cell r="G47" t="e">
            <v>#REF!</v>
          </cell>
          <cell r="H47" t="e">
            <v>#REF!</v>
          </cell>
          <cell r="I47" t="e">
            <v>#REF!</v>
          </cell>
          <cell r="K47" t="e">
            <v>#REF!</v>
          </cell>
          <cell r="L47">
            <v>9800</v>
          </cell>
        </row>
        <row r="48">
          <cell r="C48" t="str">
            <v>Alonso Flores Beda</v>
          </cell>
          <cell r="E48">
            <v>4810.8</v>
          </cell>
          <cell r="G48" t="e">
            <v>#REF!</v>
          </cell>
          <cell r="H48" t="e">
            <v>#REF!</v>
          </cell>
          <cell r="I48" t="e">
            <v>#REF!</v>
          </cell>
          <cell r="K48" t="e">
            <v>#REF!</v>
          </cell>
          <cell r="L48">
            <v>9000</v>
          </cell>
        </row>
        <row r="49">
          <cell r="C49" t="str">
            <v>Romero Mayoral Lorenzo</v>
          </cell>
          <cell r="E49">
            <v>2480.1999999999998</v>
          </cell>
          <cell r="G49" t="e">
            <v>#REF!</v>
          </cell>
          <cell r="H49" t="e">
            <v>#REF!</v>
          </cell>
          <cell r="I49" t="e">
            <v>#REF!</v>
          </cell>
          <cell r="K49" t="e">
            <v>#REF!</v>
          </cell>
          <cell r="L49">
            <v>11500</v>
          </cell>
        </row>
        <row r="50">
          <cell r="C50" t="str">
            <v>Ramirez Vera Maria Del Carmen</v>
          </cell>
          <cell r="E50">
            <v>2929.8</v>
          </cell>
          <cell r="G50" t="e">
            <v>#REF!</v>
          </cell>
          <cell r="H50" t="e">
            <v>#REF!</v>
          </cell>
          <cell r="I50" t="e">
            <v>#REF!</v>
          </cell>
          <cell r="K50" t="e">
            <v>#REF!</v>
          </cell>
          <cell r="L50">
            <v>10000</v>
          </cell>
        </row>
        <row r="51">
          <cell r="C51" t="str">
            <v>Bueno Herrera Mariana Guadalupe</v>
          </cell>
          <cell r="E51">
            <v>3583.6</v>
          </cell>
          <cell r="G51" t="e">
            <v>#REF!</v>
          </cell>
          <cell r="H51" t="e">
            <v>#REF!</v>
          </cell>
          <cell r="I51" t="e">
            <v>#REF!</v>
          </cell>
          <cell r="K51" t="e">
            <v>#REF!</v>
          </cell>
          <cell r="L51">
            <v>12600</v>
          </cell>
        </row>
        <row r="52">
          <cell r="C52" t="str">
            <v>Lara Campos Maximino</v>
          </cell>
          <cell r="E52">
            <v>4753.8</v>
          </cell>
          <cell r="G52" t="e">
            <v>#REF!</v>
          </cell>
          <cell r="H52" t="e">
            <v>#REF!</v>
          </cell>
          <cell r="I52" t="e">
            <v>#REF!</v>
          </cell>
          <cell r="K52" t="e">
            <v>#REF!</v>
          </cell>
          <cell r="L52">
            <v>9500</v>
          </cell>
        </row>
        <row r="53">
          <cell r="C53" t="str">
            <v>Rodriguez Diaz Cesar Salvador</v>
          </cell>
          <cell r="E53">
            <v>3003.4</v>
          </cell>
          <cell r="G53" t="e">
            <v>#REF!</v>
          </cell>
          <cell r="H53" t="e">
            <v>#REF!</v>
          </cell>
          <cell r="I53" t="e">
            <v>#REF!</v>
          </cell>
          <cell r="K53" t="e">
            <v>#REF!</v>
          </cell>
          <cell r="L53">
            <v>9050</v>
          </cell>
        </row>
        <row r="54">
          <cell r="C54" t="str">
            <v>Dominguez Lopez Mayeli Del Pilar</v>
          </cell>
          <cell r="E54">
            <v>1917</v>
          </cell>
          <cell r="G54" t="e">
            <v>#N/A</v>
          </cell>
          <cell r="H54" t="e">
            <v>#N/A</v>
          </cell>
          <cell r="I54" t="e">
            <v>#N/A</v>
          </cell>
          <cell r="K54" t="e">
            <v>#N/A</v>
          </cell>
          <cell r="L54">
            <v>10000</v>
          </cell>
        </row>
        <row r="55">
          <cell r="C55" t="str">
            <v>Marquez Alcaraz Martin</v>
          </cell>
          <cell r="E55">
            <v>2351</v>
          </cell>
          <cell r="G55" t="e">
            <v>#REF!</v>
          </cell>
          <cell r="H55" t="e">
            <v>#REF!</v>
          </cell>
          <cell r="I55" t="e">
            <v>#REF!</v>
          </cell>
          <cell r="K55" t="e">
            <v>#REF!</v>
          </cell>
          <cell r="L55">
            <v>9050</v>
          </cell>
        </row>
        <row r="56">
          <cell r="C56" t="str">
            <v>Rojo Avelar Adrian</v>
          </cell>
          <cell r="E56">
            <v>1773.8</v>
          </cell>
          <cell r="G56" t="e">
            <v>#REF!</v>
          </cell>
          <cell r="H56" t="e">
            <v>#REF!</v>
          </cell>
          <cell r="I56" t="e">
            <v>#REF!</v>
          </cell>
          <cell r="K56" t="e">
            <v>#REF!</v>
          </cell>
          <cell r="L56">
            <v>7500</v>
          </cell>
        </row>
        <row r="57">
          <cell r="C57" t="str">
            <v xml:space="preserve">Courtenay Gutierrez Barry Vladimir </v>
          </cell>
          <cell r="E57">
            <v>2447.6</v>
          </cell>
          <cell r="G57" t="e">
            <v>#N/A</v>
          </cell>
          <cell r="H57" t="e">
            <v>#N/A</v>
          </cell>
          <cell r="I57" t="e">
            <v>#N/A</v>
          </cell>
          <cell r="K57" t="e">
            <v>#N/A</v>
          </cell>
          <cell r="L57">
            <v>5000</v>
          </cell>
        </row>
        <row r="58">
          <cell r="C58" t="str">
            <v>Marin  Avila Hector</v>
          </cell>
          <cell r="E58">
            <v>3693.2</v>
          </cell>
          <cell r="G58" t="e">
            <v>#REF!</v>
          </cell>
          <cell r="H58" t="e">
            <v>#REF!</v>
          </cell>
          <cell r="I58" t="e">
            <v>#REF!</v>
          </cell>
          <cell r="K58" t="e">
            <v>#REF!</v>
          </cell>
          <cell r="L58">
            <v>8800</v>
          </cell>
        </row>
        <row r="59">
          <cell r="C59" t="str">
            <v>Palacios Ramos Jesus</v>
          </cell>
          <cell r="E59">
            <v>3583.6</v>
          </cell>
          <cell r="G59" t="e">
            <v>#N/A</v>
          </cell>
          <cell r="H59" t="e">
            <v>#N/A</v>
          </cell>
          <cell r="I59" t="e">
            <v>#N/A</v>
          </cell>
          <cell r="K59" t="e">
            <v>#N/A</v>
          </cell>
          <cell r="L59">
            <v>8000</v>
          </cell>
        </row>
        <row r="60">
          <cell r="C60" t="str">
            <v>Martinez Hernandez J. Antonio</v>
          </cell>
          <cell r="E60">
            <v>3583.8</v>
          </cell>
          <cell r="G60" t="e">
            <v>#N/A</v>
          </cell>
          <cell r="H60" t="e">
            <v>#N/A</v>
          </cell>
          <cell r="I60" t="e">
            <v>#N/A</v>
          </cell>
          <cell r="K60" t="e">
            <v>#N/A</v>
          </cell>
          <cell r="L60">
            <v>8000</v>
          </cell>
        </row>
        <row r="61">
          <cell r="C61" t="str">
            <v>Alcaraz Conde Zabdi Guadalupe</v>
          </cell>
          <cell r="E61">
            <v>1129.4000000000001</v>
          </cell>
          <cell r="G61" t="e">
            <v>#N/A</v>
          </cell>
          <cell r="H61" t="e">
            <v>#N/A</v>
          </cell>
          <cell r="I61" t="e">
            <v>#N/A</v>
          </cell>
          <cell r="K61" t="e">
            <v>#N/A</v>
          </cell>
          <cell r="L61">
            <v>6000</v>
          </cell>
        </row>
        <row r="62">
          <cell r="C62" t="str">
            <v>Lopez Terron Roberto Porfirio</v>
          </cell>
          <cell r="E62">
            <v>5952.2</v>
          </cell>
          <cell r="G62" t="e">
            <v>#N/A</v>
          </cell>
          <cell r="H62" t="e">
            <v>#N/A</v>
          </cell>
          <cell r="I62" t="e">
            <v>#N/A</v>
          </cell>
          <cell r="K62" t="e">
            <v>#N/A</v>
          </cell>
          <cell r="L62">
            <v>14000</v>
          </cell>
        </row>
        <row r="63">
          <cell r="C63" t="str">
            <v>Chavez Pedraza Samuel</v>
          </cell>
          <cell r="E63">
            <v>5952.2</v>
          </cell>
          <cell r="G63" t="e">
            <v>#N/A</v>
          </cell>
          <cell r="H63" t="e">
            <v>#N/A</v>
          </cell>
          <cell r="I63" t="e">
            <v>#N/A</v>
          </cell>
          <cell r="K63" t="e">
            <v>#N/A</v>
          </cell>
          <cell r="L63">
            <v>14000</v>
          </cell>
        </row>
        <row r="64">
          <cell r="C64" t="str">
            <v>Castillo Nungaray Nestor Roman</v>
          </cell>
          <cell r="E64">
            <v>2864.8</v>
          </cell>
          <cell r="G64" t="e">
            <v>#N/A</v>
          </cell>
          <cell r="H64" t="e">
            <v>#N/A</v>
          </cell>
          <cell r="I64" t="e">
            <v>#N/A</v>
          </cell>
          <cell r="K64" t="e">
            <v>#N/A</v>
          </cell>
          <cell r="L64">
            <v>6000</v>
          </cell>
        </row>
        <row r="65">
          <cell r="C65" t="str">
            <v>Marquez Hernandez Rogelio</v>
          </cell>
          <cell r="E65">
            <v>3583.6</v>
          </cell>
          <cell r="G65" t="e">
            <v>#N/A</v>
          </cell>
          <cell r="H65" t="e">
            <v>#N/A</v>
          </cell>
          <cell r="I65" t="e">
            <v>#N/A</v>
          </cell>
          <cell r="K65" t="e">
            <v>#N/A</v>
          </cell>
          <cell r="L65">
            <v>8000</v>
          </cell>
        </row>
        <row r="66">
          <cell r="C66" t="str">
            <v>Flores Cerrillos Jorge Humberto</v>
          </cell>
          <cell r="E66">
            <v>3583.6</v>
          </cell>
          <cell r="G66" t="e">
            <v>#N/A</v>
          </cell>
          <cell r="H66" t="e">
            <v>#N/A</v>
          </cell>
          <cell r="I66" t="e">
            <v>#N/A</v>
          </cell>
          <cell r="K66" t="e">
            <v>#N/A</v>
          </cell>
          <cell r="L66">
            <v>8000</v>
          </cell>
        </row>
        <row r="67">
          <cell r="C67" t="str">
            <v>Hurtado Avalos J.jesus</v>
          </cell>
          <cell r="E67">
            <v>2864.6</v>
          </cell>
          <cell r="G67" t="e">
            <v>#REF!</v>
          </cell>
          <cell r="H67" t="e">
            <v>#REF!</v>
          </cell>
          <cell r="I67" t="e">
            <v>#REF!</v>
          </cell>
          <cell r="K67" t="e">
            <v>#REF!</v>
          </cell>
          <cell r="L67">
            <v>6000</v>
          </cell>
        </row>
        <row r="68">
          <cell r="C68" t="str">
            <v>Mora Cavazos Roberto Manuel</v>
          </cell>
          <cell r="E68">
            <v>3583.8</v>
          </cell>
          <cell r="G68" t="e">
            <v>#REF!</v>
          </cell>
          <cell r="H68" t="e">
            <v>#REF!</v>
          </cell>
          <cell r="I68" t="e">
            <v>#REF!</v>
          </cell>
          <cell r="K68" t="e">
            <v>#REF!</v>
          </cell>
          <cell r="L68">
            <v>8000</v>
          </cell>
        </row>
        <row r="69">
          <cell r="C69" t="str">
            <v>Martinez Rivera Maria Teresa</v>
          </cell>
          <cell r="E69">
            <v>4503.3999999999996</v>
          </cell>
          <cell r="G69" t="e">
            <v>#REF!</v>
          </cell>
          <cell r="H69" t="e">
            <v>#REF!</v>
          </cell>
          <cell r="I69" t="e">
            <v>#REF!</v>
          </cell>
          <cell r="K69" t="e">
            <v>#REF!</v>
          </cell>
          <cell r="L69">
            <v>9000</v>
          </cell>
        </row>
        <row r="70">
          <cell r="C70" t="str">
            <v>Perez Garcia Andres Alvaro</v>
          </cell>
          <cell r="E70">
            <v>3583.6</v>
          </cell>
          <cell r="G70" t="e">
            <v>#N/A</v>
          </cell>
          <cell r="H70" t="e">
            <v>#N/A</v>
          </cell>
          <cell r="I70" t="e">
            <v>#N/A</v>
          </cell>
          <cell r="K70" t="e">
            <v>#N/A</v>
          </cell>
          <cell r="L70">
            <v>8000</v>
          </cell>
        </row>
        <row r="71">
          <cell r="C71" t="str">
            <v>Chavira Garcia David Fernando</v>
          </cell>
          <cell r="E71">
            <v>4406.3999999999996</v>
          </cell>
          <cell r="G71" t="e">
            <v>#N/A</v>
          </cell>
          <cell r="H71" t="e">
            <v>#N/A</v>
          </cell>
          <cell r="I71" t="e">
            <v>#N/A</v>
          </cell>
          <cell r="K71" t="e">
            <v>#N/A</v>
          </cell>
          <cell r="L71">
            <v>10000</v>
          </cell>
        </row>
        <row r="72">
          <cell r="C72" t="str">
            <v>Guerrero Lara Cesar Adrian</v>
          </cell>
          <cell r="E72">
            <v>3238.4</v>
          </cell>
          <cell r="G72" t="e">
            <v>#N/A</v>
          </cell>
          <cell r="H72" t="e">
            <v>#N/A</v>
          </cell>
          <cell r="I72" t="e">
            <v>#N/A</v>
          </cell>
          <cell r="K72" t="e">
            <v>#N/A</v>
          </cell>
          <cell r="L72">
            <v>8000</v>
          </cell>
        </row>
        <row r="73">
          <cell r="C73" t="str">
            <v>Martinez Zamora Gerardo Mario</v>
          </cell>
          <cell r="E73">
            <v>2681.6</v>
          </cell>
          <cell r="G73" t="e">
            <v>#N/A</v>
          </cell>
          <cell r="H73" t="e">
            <v>#N/A</v>
          </cell>
          <cell r="I73" t="e">
            <v>#N/A</v>
          </cell>
          <cell r="K73" t="e">
            <v>#N/A</v>
          </cell>
          <cell r="L73">
            <v>9550.01</v>
          </cell>
        </row>
        <row r="74">
          <cell r="C74" t="str">
            <v>Castellon Ramos Rene</v>
          </cell>
          <cell r="E74">
            <v>1157.8</v>
          </cell>
          <cell r="G74" t="e">
            <v>#N/A</v>
          </cell>
          <cell r="H74" t="e">
            <v>#N/A</v>
          </cell>
          <cell r="I74" t="e">
            <v>#N/A</v>
          </cell>
          <cell r="K74" t="e">
            <v>#N/A</v>
          </cell>
          <cell r="L74">
            <v>7505.99</v>
          </cell>
        </row>
        <row r="75">
          <cell r="C75" t="str">
            <v>Flores Franco Marco</v>
          </cell>
          <cell r="E75">
            <v>3799</v>
          </cell>
          <cell r="G75" t="e">
            <v>#N/A</v>
          </cell>
          <cell r="H75" t="e">
            <v>#N/A</v>
          </cell>
          <cell r="I75" t="e">
            <v>#N/A</v>
          </cell>
          <cell r="K75" t="e">
            <v>#N/A</v>
          </cell>
          <cell r="L75">
            <v>8500.01</v>
          </cell>
        </row>
        <row r="76">
          <cell r="C76" t="str">
            <v>Chavez Saucedo Jorge Arturo</v>
          </cell>
          <cell r="E76">
            <v>3585.4</v>
          </cell>
          <cell r="G76" t="e">
            <v>#N/A</v>
          </cell>
          <cell r="H76" t="e">
            <v>#N/A</v>
          </cell>
          <cell r="I76" t="e">
            <v>#N/A</v>
          </cell>
          <cell r="K76" t="e">
            <v>#N/A</v>
          </cell>
          <cell r="L76">
            <v>8000</v>
          </cell>
        </row>
        <row r="77">
          <cell r="C77" t="str">
            <v>Hueramo Hueramo Jesus Daniel</v>
          </cell>
          <cell r="E77">
            <v>2869</v>
          </cell>
          <cell r="G77" t="e">
            <v>#N/A</v>
          </cell>
          <cell r="H77" t="e">
            <v>#N/A</v>
          </cell>
          <cell r="I77" t="e">
            <v>#N/A</v>
          </cell>
          <cell r="K77" t="e">
            <v>#N/A</v>
          </cell>
          <cell r="L77">
            <v>8500.01</v>
          </cell>
        </row>
        <row r="78">
          <cell r="C78" t="str">
            <v>Sandoval Garcia Luis</v>
          </cell>
          <cell r="E78">
            <v>3583.6</v>
          </cell>
          <cell r="G78" t="e">
            <v>#N/A</v>
          </cell>
          <cell r="H78" t="e">
            <v>#N/A</v>
          </cell>
          <cell r="I78" t="e">
            <v>#N/A</v>
          </cell>
          <cell r="K78" t="e">
            <v>#N/A</v>
          </cell>
          <cell r="L78">
            <v>8000</v>
          </cell>
        </row>
        <row r="79">
          <cell r="C79" t="str">
            <v>Vaca Valdez Guillermo</v>
          </cell>
          <cell r="E79">
            <v>1320.4</v>
          </cell>
          <cell r="G79" t="e">
            <v>#N/A</v>
          </cell>
          <cell r="H79" t="e">
            <v>#N/A</v>
          </cell>
          <cell r="I79" t="e">
            <v>#N/A</v>
          </cell>
          <cell r="K79" t="e">
            <v>#N/A</v>
          </cell>
          <cell r="L79">
            <v>8000</v>
          </cell>
        </row>
        <row r="80">
          <cell r="C80" t="str">
            <v>Ramirez Vera Eustolia</v>
          </cell>
          <cell r="E80">
            <v>3561.4</v>
          </cell>
          <cell r="G80" t="e">
            <v>#REF!</v>
          </cell>
          <cell r="H80" t="e">
            <v>#REF!</v>
          </cell>
          <cell r="I80" t="e">
            <v>#REF!</v>
          </cell>
          <cell r="K80" t="e">
            <v>#REF!</v>
          </cell>
          <cell r="L80">
            <v>7900</v>
          </cell>
        </row>
        <row r="81">
          <cell r="C81" t="str">
            <v>Martinez Morales Jose Martin</v>
          </cell>
          <cell r="E81">
            <v>5952.2</v>
          </cell>
          <cell r="G81" t="e">
            <v>#N/A</v>
          </cell>
          <cell r="H81" t="e">
            <v>#N/A</v>
          </cell>
          <cell r="I81" t="e">
            <v>#N/A</v>
          </cell>
          <cell r="K81" t="e">
            <v>#N/A</v>
          </cell>
          <cell r="L81">
            <v>14000</v>
          </cell>
        </row>
        <row r="82">
          <cell r="C82" t="str">
            <v xml:space="preserve">Arzate Gil Juan Sebastian </v>
          </cell>
          <cell r="E82">
            <v>2895</v>
          </cell>
          <cell r="G82" t="e">
            <v>#N/A</v>
          </cell>
          <cell r="H82" t="e">
            <v>#N/A</v>
          </cell>
          <cell r="I82" t="e">
            <v>#N/A</v>
          </cell>
          <cell r="K82" t="e">
            <v>#N/A</v>
          </cell>
          <cell r="L82">
            <v>8000</v>
          </cell>
        </row>
        <row r="83">
          <cell r="C83" t="str">
            <v>Torres Velazquez Juan Antonio</v>
          </cell>
          <cell r="E83">
            <v>3583.6</v>
          </cell>
          <cell r="G83" t="e">
            <v>#N/A</v>
          </cell>
          <cell r="H83" t="e">
            <v>#N/A</v>
          </cell>
          <cell r="I83" t="e">
            <v>#N/A</v>
          </cell>
          <cell r="K83" t="e">
            <v>#N/A</v>
          </cell>
          <cell r="L83">
            <v>8000</v>
          </cell>
        </row>
        <row r="84">
          <cell r="C84" t="str">
            <v>Enriquez  Zamora Jessica Del Rocio</v>
          </cell>
          <cell r="E84">
            <v>2864.8</v>
          </cell>
          <cell r="G84" t="e">
            <v>#N/A</v>
          </cell>
          <cell r="H84" t="e">
            <v>#N/A</v>
          </cell>
          <cell r="I84" t="e">
            <v>#N/A</v>
          </cell>
          <cell r="K84" t="e">
            <v>#N/A</v>
          </cell>
          <cell r="L84">
            <v>6000</v>
          </cell>
        </row>
        <row r="85">
          <cell r="C85" t="str">
            <v>Moreno Quiroga  Ana Sarahi</v>
          </cell>
          <cell r="E85">
            <v>3583.8</v>
          </cell>
          <cell r="G85" t="e">
            <v>#N/A</v>
          </cell>
          <cell r="H85" t="e">
            <v>#N/A</v>
          </cell>
          <cell r="I85" t="e">
            <v>#N/A</v>
          </cell>
          <cell r="K85" t="e">
            <v>#N/A</v>
          </cell>
          <cell r="L85">
            <v>8000</v>
          </cell>
        </row>
        <row r="86">
          <cell r="C86" t="str">
            <v>Hernandez Garcia  Manuel Alejandro</v>
          </cell>
          <cell r="E86">
            <v>3585.4</v>
          </cell>
          <cell r="G86" t="e">
            <v>#N/A</v>
          </cell>
          <cell r="H86" t="e">
            <v>#N/A</v>
          </cell>
          <cell r="I86" t="e">
            <v>#N/A</v>
          </cell>
          <cell r="K86" t="e">
            <v>#N/A</v>
          </cell>
          <cell r="L86">
            <v>8000</v>
          </cell>
        </row>
        <row r="87">
          <cell r="C87" t="str">
            <v>Sandoval Medina Demetrio</v>
          </cell>
          <cell r="E87">
            <v>3585.4</v>
          </cell>
          <cell r="G87" t="e">
            <v>#N/A</v>
          </cell>
          <cell r="H87" t="e">
            <v>#N/A</v>
          </cell>
          <cell r="I87" t="e">
            <v>#N/A</v>
          </cell>
          <cell r="K87" t="e">
            <v>#N/A</v>
          </cell>
          <cell r="L87">
            <v>8000</v>
          </cell>
        </row>
        <row r="88">
          <cell r="C88" t="str">
            <v>Leal  Montaño Francisco</v>
          </cell>
          <cell r="E88">
            <v>1831</v>
          </cell>
          <cell r="G88" t="e">
            <v>#REF!</v>
          </cell>
          <cell r="H88" t="e">
            <v>#REF!</v>
          </cell>
          <cell r="I88" t="e">
            <v>#REF!</v>
          </cell>
          <cell r="K88" t="e">
            <v>#REF!</v>
          </cell>
          <cell r="L88">
            <v>6000</v>
          </cell>
        </row>
        <row r="89">
          <cell r="C89" t="str">
            <v>Cruz Perez Alejandro Nezahualcoyotl</v>
          </cell>
          <cell r="E89">
            <v>3583.6</v>
          </cell>
          <cell r="G89" t="e">
            <v>#N/A</v>
          </cell>
          <cell r="H89" t="e">
            <v>#N/A</v>
          </cell>
          <cell r="I89" t="e">
            <v>#N/A</v>
          </cell>
          <cell r="K89" t="e">
            <v>#N/A</v>
          </cell>
          <cell r="L89">
            <v>8000</v>
          </cell>
        </row>
        <row r="90">
          <cell r="C90" t="str">
            <v>Mireles Casillas Brenda Cristina</v>
          </cell>
          <cell r="E90">
            <v>2237.8000000000002</v>
          </cell>
          <cell r="G90" t="e">
            <v>#N/A</v>
          </cell>
          <cell r="H90" t="e">
            <v>#N/A</v>
          </cell>
          <cell r="I90" t="e">
            <v>#N/A</v>
          </cell>
          <cell r="K90" t="e">
            <v>#N/A</v>
          </cell>
          <cell r="L90">
            <v>9000</v>
          </cell>
        </row>
        <row r="91">
          <cell r="C91" t="str">
            <v>Molina Ramirez Gerardo Daniel</v>
          </cell>
          <cell r="E91">
            <v>1459.6</v>
          </cell>
          <cell r="G91" t="e">
            <v>#N/A</v>
          </cell>
          <cell r="H91" t="e">
            <v>#N/A</v>
          </cell>
          <cell r="I91" t="e">
            <v>#N/A</v>
          </cell>
          <cell r="K91" t="e">
            <v>#N/A</v>
          </cell>
          <cell r="L91">
            <v>9000</v>
          </cell>
        </row>
        <row r="92">
          <cell r="C92" t="str">
            <v>Gutierrez Muñoz Carlos Alejandro</v>
          </cell>
          <cell r="E92">
            <v>1065.8</v>
          </cell>
          <cell r="G92" t="e">
            <v>#N/A</v>
          </cell>
          <cell r="H92" t="e">
            <v>#N/A</v>
          </cell>
          <cell r="I92" t="e">
            <v>#N/A</v>
          </cell>
          <cell r="K92" t="e">
            <v>#N/A</v>
          </cell>
          <cell r="L92">
            <v>12000</v>
          </cell>
        </row>
        <row r="93">
          <cell r="C93" t="str">
            <v>Camarillo Canela Reynaldo</v>
          </cell>
          <cell r="E93">
            <v>1314</v>
          </cell>
          <cell r="G93" t="e">
            <v>#REF!</v>
          </cell>
          <cell r="H93" t="e">
            <v>#REF!</v>
          </cell>
          <cell r="I93" t="e">
            <v>#REF!</v>
          </cell>
          <cell r="K93" t="e">
            <v>#REF!</v>
          </cell>
          <cell r="L93">
            <v>9800</v>
          </cell>
        </row>
        <row r="94">
          <cell r="C94" t="str">
            <v>Escobedo Olivares Juan Guadalupe</v>
          </cell>
          <cell r="E94">
            <v>3278.8</v>
          </cell>
          <cell r="G94" t="e">
            <v>#N/A</v>
          </cell>
          <cell r="H94" t="e">
            <v>#N/A</v>
          </cell>
          <cell r="I94" t="e">
            <v>#N/A</v>
          </cell>
          <cell r="K94" t="e">
            <v>#N/A</v>
          </cell>
          <cell r="L94">
            <v>14000</v>
          </cell>
        </row>
        <row r="95">
          <cell r="C95" t="str">
            <v>Castillo Ramirez Hector Ivan</v>
          </cell>
          <cell r="E95">
            <v>2727.8</v>
          </cell>
          <cell r="G95" t="e">
            <v>#N/A</v>
          </cell>
          <cell r="H95" t="e">
            <v>#N/A</v>
          </cell>
          <cell r="I95" t="e">
            <v>#N/A</v>
          </cell>
          <cell r="K95" t="e">
            <v>#N/A</v>
          </cell>
          <cell r="L95">
            <v>14000</v>
          </cell>
        </row>
        <row r="96">
          <cell r="C96" t="str">
            <v>Martinez Morales Tomas</v>
          </cell>
          <cell r="E96">
            <v>1962.8</v>
          </cell>
          <cell r="G96" t="e">
            <v>#N/A</v>
          </cell>
          <cell r="H96" t="e">
            <v>#N/A</v>
          </cell>
          <cell r="I96" t="e">
            <v>#N/A</v>
          </cell>
          <cell r="K96" t="e">
            <v>#N/A</v>
          </cell>
          <cell r="L96">
            <v>15000</v>
          </cell>
        </row>
        <row r="97">
          <cell r="C97" t="str">
            <v>Medellin Colunga Ruben Dario</v>
          </cell>
          <cell r="E97">
            <v>1572.4</v>
          </cell>
          <cell r="G97" t="e">
            <v>#N/A</v>
          </cell>
          <cell r="H97" t="e">
            <v>#N/A</v>
          </cell>
          <cell r="I97" t="e">
            <v>#N/A</v>
          </cell>
          <cell r="K97" t="e">
            <v>#N/A</v>
          </cell>
          <cell r="L97">
            <v>17000</v>
          </cell>
        </row>
        <row r="98">
          <cell r="C98" t="str">
            <v>Torres Perez Carlos Alberto</v>
          </cell>
          <cell r="E98">
            <v>3079.2</v>
          </cell>
          <cell r="G98" t="e">
            <v>#N/A</v>
          </cell>
          <cell r="H98" t="e">
            <v>#N/A</v>
          </cell>
          <cell r="I98" t="e">
            <v>#N/A</v>
          </cell>
          <cell r="K98" t="e">
            <v>#N/A</v>
          </cell>
          <cell r="L98">
            <v>10500</v>
          </cell>
        </row>
        <row r="99">
          <cell r="C99" t="str">
            <v>Treviño Alvarez Jorge Alberto</v>
          </cell>
          <cell r="E99">
            <v>1805.2</v>
          </cell>
          <cell r="G99" t="e">
            <v>#N/A</v>
          </cell>
          <cell r="H99" t="e">
            <v>#N/A</v>
          </cell>
          <cell r="I99" t="e">
            <v>#N/A</v>
          </cell>
          <cell r="K99" t="e">
            <v>#N/A</v>
          </cell>
          <cell r="L99">
            <v>12000</v>
          </cell>
        </row>
        <row r="100">
          <cell r="C100" t="str">
            <v>Tenorio Alvarez Alberto Antonio</v>
          </cell>
          <cell r="E100">
            <v>2195</v>
          </cell>
          <cell r="G100" t="e">
            <v>#N/A</v>
          </cell>
          <cell r="H100" t="e">
            <v>#N/A</v>
          </cell>
          <cell r="I100" t="e">
            <v>#N/A</v>
          </cell>
          <cell r="K100" t="e">
            <v>#N/A</v>
          </cell>
          <cell r="L100">
            <v>10000</v>
          </cell>
        </row>
        <row r="101">
          <cell r="C101" t="str">
            <v>Chavez Dominguez Salvador</v>
          </cell>
          <cell r="E101">
            <v>3332.6</v>
          </cell>
          <cell r="G101" t="e">
            <v>#N/A</v>
          </cell>
          <cell r="H101" t="e">
            <v>#N/A</v>
          </cell>
          <cell r="I101" t="e">
            <v>#N/A</v>
          </cell>
          <cell r="K101" t="e">
            <v>#N/A</v>
          </cell>
          <cell r="L101">
            <v>12000</v>
          </cell>
        </row>
        <row r="102">
          <cell r="C102" t="str">
            <v>Cruz Herrera Roberto</v>
          </cell>
          <cell r="E102">
            <v>2624.6</v>
          </cell>
          <cell r="G102" t="e">
            <v>#N/A</v>
          </cell>
          <cell r="H102" t="e">
            <v>#N/A</v>
          </cell>
          <cell r="I102" t="e">
            <v>#N/A</v>
          </cell>
          <cell r="K102" t="e">
            <v>#N/A</v>
          </cell>
          <cell r="L102">
            <v>10000</v>
          </cell>
        </row>
        <row r="103">
          <cell r="C103" t="str">
            <v>Martinez Rodriguez Paulo Cesar</v>
          </cell>
          <cell r="E103">
            <v>2447.6</v>
          </cell>
          <cell r="G103" t="e">
            <v>#N/A</v>
          </cell>
          <cell r="H103" t="e">
            <v>#N/A</v>
          </cell>
          <cell r="I103" t="e">
            <v>#N/A</v>
          </cell>
          <cell r="K103" t="e">
            <v>#N/A</v>
          </cell>
          <cell r="L103">
            <v>10000</v>
          </cell>
        </row>
        <row r="104">
          <cell r="C104" t="str">
            <v>Martinez Malo Cesar</v>
          </cell>
          <cell r="E104">
            <v>1892.4</v>
          </cell>
          <cell r="G104" t="e">
            <v>#N/A</v>
          </cell>
          <cell r="H104" t="e">
            <v>#N/A</v>
          </cell>
          <cell r="I104" t="e">
            <v>#N/A</v>
          </cell>
          <cell r="K104" t="e">
            <v>#N/A</v>
          </cell>
          <cell r="L104">
            <v>9000</v>
          </cell>
        </row>
        <row r="105">
          <cell r="C105" t="str">
            <v>Perez Balboa Cesar</v>
          </cell>
          <cell r="E105">
            <v>1881.6</v>
          </cell>
          <cell r="G105" t="e">
            <v>#N/A</v>
          </cell>
          <cell r="H105" t="e">
            <v>#N/A</v>
          </cell>
          <cell r="I105" t="e">
            <v>#N/A</v>
          </cell>
          <cell r="K105" t="e">
            <v>#N/A</v>
          </cell>
          <cell r="L105">
            <v>10000</v>
          </cell>
        </row>
        <row r="106">
          <cell r="C106" t="str">
            <v xml:space="preserve">Cerro  Garcia  Elvis </v>
          </cell>
          <cell r="E106">
            <v>2446.6</v>
          </cell>
          <cell r="G106" t="e">
            <v>#N/A</v>
          </cell>
          <cell r="H106" t="e">
            <v>#N/A</v>
          </cell>
          <cell r="I106" t="e">
            <v>#N/A</v>
          </cell>
          <cell r="K106" t="e">
            <v>#N/A</v>
          </cell>
          <cell r="L106">
            <v>10000</v>
          </cell>
        </row>
        <row r="107">
          <cell r="C107" t="str">
            <v xml:space="preserve">Gutierrez  Castillo  Jose De Jesus </v>
          </cell>
          <cell r="E107">
            <v>2865.8</v>
          </cell>
          <cell r="G107" t="e">
            <v>#N/A</v>
          </cell>
          <cell r="H107" t="e">
            <v>#N/A</v>
          </cell>
          <cell r="I107" t="e">
            <v>#N/A</v>
          </cell>
          <cell r="K107" t="e">
            <v>#N/A</v>
          </cell>
          <cell r="L107">
            <v>6300</v>
          </cell>
        </row>
        <row r="108">
          <cell r="C108" t="str">
            <v>Mejia  Duarte Jose Luis</v>
          </cell>
          <cell r="E108">
            <v>2446.6</v>
          </cell>
          <cell r="G108" t="e">
            <v>#N/A</v>
          </cell>
          <cell r="H108" t="e">
            <v>#N/A</v>
          </cell>
          <cell r="I108" t="e">
            <v>#N/A</v>
          </cell>
          <cell r="K108" t="e">
            <v>#N/A</v>
          </cell>
          <cell r="L108">
            <v>12000</v>
          </cell>
        </row>
        <row r="109">
          <cell r="C109" t="str">
            <v xml:space="preserve">Lizaran Maceda  Jose Guadalupe </v>
          </cell>
          <cell r="E109">
            <v>2447.1999999999998</v>
          </cell>
          <cell r="G109" t="e">
            <v>#N/A</v>
          </cell>
          <cell r="H109" t="e">
            <v>#N/A</v>
          </cell>
          <cell r="I109" t="e">
            <v>#N/A</v>
          </cell>
          <cell r="K109" t="e">
            <v>#N/A</v>
          </cell>
          <cell r="L109">
            <v>5000</v>
          </cell>
        </row>
        <row r="110">
          <cell r="C110" t="str">
            <v>Romo Sandoval Ma De Lourdez</v>
          </cell>
          <cell r="E110">
            <v>4406.2</v>
          </cell>
          <cell r="G110" t="e">
            <v>#REF!</v>
          </cell>
          <cell r="H110" t="e">
            <v>#REF!</v>
          </cell>
          <cell r="I110" t="e">
            <v>#REF!</v>
          </cell>
          <cell r="K110" t="e">
            <v>#REF!</v>
          </cell>
          <cell r="L110">
            <v>20000</v>
          </cell>
        </row>
        <row r="111">
          <cell r="C111" t="str">
            <v>Mendez Rivera Ivan Israel</v>
          </cell>
          <cell r="E111">
            <v>2014.8</v>
          </cell>
          <cell r="G111" t="e">
            <v>#N/A</v>
          </cell>
          <cell r="H111" t="e">
            <v>#N/A</v>
          </cell>
          <cell r="I111" t="e">
            <v>#N/A</v>
          </cell>
          <cell r="K111" t="e">
            <v>#N/A</v>
          </cell>
          <cell r="L111">
            <v>5000</v>
          </cell>
        </row>
        <row r="112">
          <cell r="C112" t="str">
            <v>Benavides Reyes Jorge</v>
          </cell>
          <cell r="E112">
            <v>2865.8</v>
          </cell>
          <cell r="G112" t="e">
            <v>#REF!</v>
          </cell>
          <cell r="H112" t="e">
            <v>#REF!</v>
          </cell>
          <cell r="I112" t="e">
            <v>#REF!</v>
          </cell>
          <cell r="K112" t="e">
            <v>#REF!</v>
          </cell>
        </row>
        <row r="113">
          <cell r="C113" t="str">
            <v xml:space="preserve">Ruiz  Flores  Aldo Tomas </v>
          </cell>
          <cell r="E113">
            <v>2283</v>
          </cell>
          <cell r="G113" t="e">
            <v>#N/A</v>
          </cell>
          <cell r="H113" t="e">
            <v>#N/A</v>
          </cell>
          <cell r="I113" t="e">
            <v>#N/A</v>
          </cell>
          <cell r="K113" t="e">
            <v>#N/A</v>
          </cell>
          <cell r="L113">
            <v>6000</v>
          </cell>
        </row>
        <row r="114">
          <cell r="C114" t="str">
            <v>Jimenez Alcaraz Elizabeth</v>
          </cell>
          <cell r="E114">
            <v>2864.8</v>
          </cell>
          <cell r="G114" t="e">
            <v>#N/A</v>
          </cell>
          <cell r="H114" t="e">
            <v>#N/A</v>
          </cell>
          <cell r="I114" t="e">
            <v>#N/A</v>
          </cell>
          <cell r="K114" t="e">
            <v>#N/A</v>
          </cell>
          <cell r="L114">
            <v>6900</v>
          </cell>
        </row>
        <row r="115">
          <cell r="C115" t="str">
            <v xml:space="preserve">Macias  Torres  Enrique </v>
          </cell>
          <cell r="E115">
            <v>2515</v>
          </cell>
          <cell r="G115" t="e">
            <v>#N/A</v>
          </cell>
          <cell r="H115" t="e">
            <v>#N/A</v>
          </cell>
          <cell r="I115" t="e">
            <v>#N/A</v>
          </cell>
          <cell r="K115" t="e">
            <v>#N/A</v>
          </cell>
          <cell r="L115">
            <v>19950</v>
          </cell>
        </row>
        <row r="116">
          <cell r="C116" t="str">
            <v>Amezcua Magaña Tania Estefania</v>
          </cell>
          <cell r="E116">
            <v>3278.6</v>
          </cell>
          <cell r="G116" t="e">
            <v>#REF!</v>
          </cell>
          <cell r="H116" t="e">
            <v>#REF!</v>
          </cell>
          <cell r="I116" t="e">
            <v>#REF!</v>
          </cell>
          <cell r="K116" t="e">
            <v>#REF!</v>
          </cell>
          <cell r="L116">
            <v>12000</v>
          </cell>
        </row>
        <row r="117">
          <cell r="C117" t="str">
            <v>Palacios Vega Luis Rosendo</v>
          </cell>
          <cell r="E117">
            <v>2447.6</v>
          </cell>
          <cell r="G117" t="e">
            <v>#N/A</v>
          </cell>
          <cell r="H117" t="e">
            <v>#N/A</v>
          </cell>
          <cell r="I117" t="e">
            <v>#N/A</v>
          </cell>
          <cell r="K117" t="e">
            <v>#N/A</v>
          </cell>
          <cell r="L117">
            <v>5000</v>
          </cell>
        </row>
        <row r="118">
          <cell r="C118" t="str">
            <v>Rondero Savin Jacinto</v>
          </cell>
          <cell r="E118">
            <v>3278.8</v>
          </cell>
          <cell r="G118" t="e">
            <v>#N/A</v>
          </cell>
          <cell r="H118" t="e">
            <v>#N/A</v>
          </cell>
          <cell r="I118" t="e">
            <v>#N/A</v>
          </cell>
          <cell r="K118" t="e">
            <v>#N/A</v>
          </cell>
          <cell r="L118">
            <v>7000</v>
          </cell>
        </row>
        <row r="119">
          <cell r="C119" t="str">
            <v>Peña Lopez Abigail</v>
          </cell>
          <cell r="E119">
            <v>3234.2</v>
          </cell>
          <cell r="G119" t="e">
            <v>#N/A</v>
          </cell>
          <cell r="H119" t="e">
            <v>#N/A</v>
          </cell>
          <cell r="I119" t="e">
            <v>#N/A</v>
          </cell>
          <cell r="K119" t="e">
            <v>#N/A</v>
          </cell>
          <cell r="L119">
            <v>6900</v>
          </cell>
        </row>
        <row r="120">
          <cell r="C120" t="str">
            <v>Hernandez Rodriguez Jorge</v>
          </cell>
          <cell r="E120">
            <v>1799.4</v>
          </cell>
          <cell r="G120" t="e">
            <v>#N/A</v>
          </cell>
          <cell r="H120" t="e">
            <v>#N/A</v>
          </cell>
          <cell r="I120" t="e">
            <v>#N/A</v>
          </cell>
          <cell r="K120" t="e">
            <v>#N/A</v>
          </cell>
          <cell r="L120">
            <v>7000</v>
          </cell>
        </row>
        <row r="121">
          <cell r="C121" t="str">
            <v>Orea Gonzalez Concepcion Esteban</v>
          </cell>
          <cell r="E121">
            <v>2974.2</v>
          </cell>
          <cell r="G121" t="e">
            <v>#N/A</v>
          </cell>
          <cell r="H121" t="e">
            <v>#N/A</v>
          </cell>
          <cell r="I121" t="e">
            <v>#N/A</v>
          </cell>
          <cell r="K121" t="e">
            <v>#N/A</v>
          </cell>
          <cell r="L121">
            <v>6300</v>
          </cell>
        </row>
        <row r="122">
          <cell r="C122" t="str">
            <v>Lizaran Maceda Jesus</v>
          </cell>
          <cell r="E122">
            <v>2647</v>
          </cell>
          <cell r="G122" t="e">
            <v>#N/A</v>
          </cell>
          <cell r="H122" t="e">
            <v>#N/A</v>
          </cell>
          <cell r="I122" t="e">
            <v>#N/A</v>
          </cell>
          <cell r="K122" t="e">
            <v>#N/A</v>
          </cell>
          <cell r="L122">
            <v>6300</v>
          </cell>
        </row>
        <row r="123">
          <cell r="C123" t="str">
            <v>Alejandro Peña Deivi</v>
          </cell>
          <cell r="E123">
            <v>2974.2</v>
          </cell>
          <cell r="G123" t="e">
            <v>#N/A</v>
          </cell>
          <cell r="H123" t="e">
            <v>#N/A</v>
          </cell>
          <cell r="I123" t="e">
            <v>#N/A</v>
          </cell>
          <cell r="K123" t="e">
            <v>#N/A</v>
          </cell>
          <cell r="L123">
            <v>6300</v>
          </cell>
        </row>
        <row r="124">
          <cell r="C124" t="str">
            <v>Casas Chavarria Rafael</v>
          </cell>
          <cell r="E124">
            <v>1997.6</v>
          </cell>
          <cell r="G124" t="e">
            <v>#N/A</v>
          </cell>
          <cell r="H124" t="e">
            <v>#N/A</v>
          </cell>
          <cell r="I124" t="e">
            <v>#N/A</v>
          </cell>
          <cell r="K124" t="e">
            <v>#N/A</v>
          </cell>
          <cell r="L124">
            <v>6300</v>
          </cell>
        </row>
        <row r="125">
          <cell r="C125" t="str">
            <v>Del Pilar Mendez Lucio</v>
          </cell>
          <cell r="E125">
            <v>1245.2</v>
          </cell>
          <cell r="G125" t="e">
            <v>#N/A</v>
          </cell>
          <cell r="H125" t="e">
            <v>#N/A</v>
          </cell>
          <cell r="I125" t="e">
            <v>#N/A</v>
          </cell>
          <cell r="K125" t="e">
            <v>#N/A</v>
          </cell>
          <cell r="L125">
            <v>6000</v>
          </cell>
        </row>
        <row r="126">
          <cell r="C126" t="str">
            <v>Garcia Valderrama Jose De Jesus</v>
          </cell>
          <cell r="E126">
            <v>2866</v>
          </cell>
          <cell r="G126" t="e">
            <v>#N/A</v>
          </cell>
          <cell r="H126" t="e">
            <v>#N/A</v>
          </cell>
          <cell r="I126" t="e">
            <v>#N/A</v>
          </cell>
          <cell r="K126" t="e">
            <v>#N/A</v>
          </cell>
          <cell r="L126">
            <v>6000</v>
          </cell>
        </row>
        <row r="127">
          <cell r="C127" t="str">
            <v>Gonzalez Ramirez Paul</v>
          </cell>
          <cell r="E127">
            <v>2865.8</v>
          </cell>
          <cell r="G127" t="e">
            <v>#N/A</v>
          </cell>
          <cell r="H127" t="e">
            <v>#N/A</v>
          </cell>
          <cell r="I127" t="e">
            <v>#N/A</v>
          </cell>
          <cell r="K127" t="e">
            <v>#N/A</v>
          </cell>
          <cell r="L127">
            <v>6000</v>
          </cell>
        </row>
      </sheetData>
      <sheetData sheetId="7"/>
      <sheetData sheetId="8"/>
      <sheetData sheetId="9">
        <row r="3">
          <cell r="A3" t="str">
            <v>GARCIA MORALES OCTAVIO</v>
          </cell>
          <cell r="B3">
            <v>9000</v>
          </cell>
        </row>
        <row r="4">
          <cell r="A4" t="str">
            <v>SANCHEZ OVANDO RAFAEL</v>
          </cell>
          <cell r="B4">
            <v>10000</v>
          </cell>
        </row>
        <row r="5">
          <cell r="A5" t="str">
            <v>GUTIERREZ GUTIERREZ LUIS ARTURO</v>
          </cell>
          <cell r="B5">
            <v>8500</v>
          </cell>
        </row>
        <row r="6">
          <cell r="A6" t="str">
            <v>PATRICIO AGUILAR JHONATTAN CRISTIAN</v>
          </cell>
          <cell r="B6">
            <v>9000</v>
          </cell>
        </row>
        <row r="7">
          <cell r="A7" t="str">
            <v>TAvARES GUZMAN JOSE ENRIQUE</v>
          </cell>
          <cell r="B7">
            <v>11150</v>
          </cell>
        </row>
        <row r="8">
          <cell r="A8" t="str">
            <v>MACIAS TORRES ENRIQUE</v>
          </cell>
          <cell r="B8">
            <v>22000</v>
          </cell>
        </row>
        <row r="9">
          <cell r="A9" t="str">
            <v>Munguia Godinez Evangelina</v>
          </cell>
          <cell r="B9">
            <v>22000</v>
          </cell>
        </row>
        <row r="10">
          <cell r="A10" t="str">
            <v>Carbajal Cabuto Jose Luis</v>
          </cell>
          <cell r="B10">
            <v>10250</v>
          </cell>
        </row>
        <row r="11">
          <cell r="A11" t="str">
            <v>ARREOLA JIMENEZ JOSE NIEVES</v>
          </cell>
          <cell r="B11">
            <v>10150</v>
          </cell>
        </row>
        <row r="12">
          <cell r="A12" t="str">
            <v>MORGADO FERNANDEZ MARTIN</v>
          </cell>
          <cell r="B12">
            <v>15000</v>
          </cell>
        </row>
        <row r="13">
          <cell r="A13" t="str">
            <v>CABALLERO DIAZ FRANCISCO JAVIER</v>
          </cell>
          <cell r="B13">
            <v>10150</v>
          </cell>
        </row>
        <row r="14">
          <cell r="A14" t="str">
            <v>CASILLAS CARDONA CESAR ALEJANDRO</v>
          </cell>
          <cell r="B14">
            <v>12000</v>
          </cell>
        </row>
        <row r="15">
          <cell r="A15" t="str">
            <v>GARCIA VILLICAÑA RICARDO PASCUAL</v>
          </cell>
          <cell r="B15">
            <v>15000</v>
          </cell>
        </row>
        <row r="16">
          <cell r="A16" t="str">
            <v>ARROYO RAMIREZ HECTOR HUGO</v>
          </cell>
          <cell r="B16">
            <v>13000</v>
          </cell>
        </row>
        <row r="17">
          <cell r="A17" t="str">
            <v>DIAZ MARTINEZ JULIO ARTURO</v>
          </cell>
          <cell r="B17">
            <v>9000</v>
          </cell>
        </row>
        <row r="18">
          <cell r="A18" t="str">
            <v>Hernandez Ochoa Eduardo</v>
          </cell>
          <cell r="B18">
            <v>15000</v>
          </cell>
        </row>
        <row r="19">
          <cell r="A19" t="str">
            <v>MASCORRO BARRAGAN NOE</v>
          </cell>
          <cell r="B19">
            <v>10000</v>
          </cell>
        </row>
        <row r="20">
          <cell r="A20" t="str">
            <v>MARISCAL ROMERO LUIS ADRIAN</v>
          </cell>
          <cell r="B20">
            <v>14500</v>
          </cell>
        </row>
        <row r="21">
          <cell r="A21" t="str">
            <v>NIETO ORTIZ JOSE LUIS</v>
          </cell>
          <cell r="B21">
            <v>10000</v>
          </cell>
        </row>
        <row r="22">
          <cell r="A22" t="str">
            <v>DE LA TORRE ZAMBARA FRANCISCO ERNESTO</v>
          </cell>
          <cell r="B22">
            <v>10150</v>
          </cell>
        </row>
        <row r="23">
          <cell r="A23" t="str">
            <v>VALENCIA TORRES OMAR ISMAEL</v>
          </cell>
          <cell r="B23">
            <v>7000</v>
          </cell>
        </row>
        <row r="24">
          <cell r="A24" t="str">
            <v>ARELLANO LOPEZ ADRIANA ISELA</v>
          </cell>
          <cell r="B24">
            <v>6900</v>
          </cell>
        </row>
        <row r="25">
          <cell r="A25" t="str">
            <v>SALDIVAR BERNAL ALAN GABRIEL</v>
          </cell>
          <cell r="B25">
            <v>6000</v>
          </cell>
        </row>
        <row r="26">
          <cell r="A26" t="str">
            <v>GOMEZ CEJA JONATAN FERNANDO</v>
          </cell>
          <cell r="B26">
            <v>8000</v>
          </cell>
        </row>
        <row r="27">
          <cell r="A27" t="str">
            <v>GARCIA MOLINA GUSTAVO</v>
          </cell>
          <cell r="B27">
            <v>9000</v>
          </cell>
        </row>
        <row r="28">
          <cell r="A28" t="str">
            <v>PUENTE MURGUIA LUIS FELIPE</v>
          </cell>
          <cell r="B28">
            <v>7000</v>
          </cell>
        </row>
        <row r="29">
          <cell r="A29" t="str">
            <v>NAJERA LOPEZ RAUL</v>
          </cell>
          <cell r="B29">
            <v>10000</v>
          </cell>
        </row>
        <row r="30">
          <cell r="A30" t="str">
            <v>VELEZ RODRIGUEZ JAIME</v>
          </cell>
          <cell r="B30">
            <v>6000</v>
          </cell>
        </row>
        <row r="31">
          <cell r="A31" t="str">
            <v>CASTILLO SANCHEZ MIGUEL ANGEL</v>
          </cell>
          <cell r="B31">
            <v>11000</v>
          </cell>
        </row>
        <row r="32">
          <cell r="A32" t="str">
            <v>COTA JARAMILLO MIGUEL ANGEL</v>
          </cell>
          <cell r="B32">
            <v>6000</v>
          </cell>
        </row>
        <row r="33">
          <cell r="A33" t="str">
            <v>MONTOYA PORTILLO CARLOS ALBERTO</v>
          </cell>
          <cell r="B33">
            <v>8000</v>
          </cell>
        </row>
        <row r="34">
          <cell r="A34" t="str">
            <v>TORRES RICARDEZ ALFREDO</v>
          </cell>
          <cell r="B34">
            <v>8000</v>
          </cell>
        </row>
        <row r="35">
          <cell r="A35" t="str">
            <v>MAR MARQUEZ CESAR EDUARDO</v>
          </cell>
          <cell r="B35">
            <v>8000</v>
          </cell>
        </row>
        <row r="36">
          <cell r="A36" t="str">
            <v>MUÑOZ REYES LUIS EDUARDO</v>
          </cell>
          <cell r="B36">
            <v>8000</v>
          </cell>
        </row>
        <row r="37">
          <cell r="A37" t="str">
            <v>Hernandez Renteria Javier Fernando</v>
          </cell>
          <cell r="B37">
            <v>9000</v>
          </cell>
        </row>
        <row r="38">
          <cell r="A38" t="str">
            <v>NEGRETE BEJAR AIDE SARAI</v>
          </cell>
          <cell r="B38">
            <v>4620</v>
          </cell>
        </row>
        <row r="39">
          <cell r="A39" t="str">
            <v>GOMEZ ESPARZA JOSE LUIS</v>
          </cell>
          <cell r="B39">
            <v>16550</v>
          </cell>
        </row>
        <row r="40">
          <cell r="A40" t="str">
            <v>DOMINGUEZ MENDEZ VICTOR MANUEL</v>
          </cell>
          <cell r="B40">
            <v>9000</v>
          </cell>
        </row>
        <row r="41">
          <cell r="A41" t="str">
            <v>GONZALEZ RASGADO MIGUEL ISAIAS</v>
          </cell>
          <cell r="B41">
            <v>12000</v>
          </cell>
        </row>
        <row r="42">
          <cell r="A42" t="str">
            <v>MIRELES CHAPA MIGUEL ANGEL</v>
          </cell>
          <cell r="B42">
            <v>6000</v>
          </cell>
        </row>
        <row r="43">
          <cell r="A43" t="str">
            <v>Vega Zambrano Ana Lorena</v>
          </cell>
          <cell r="B43">
            <v>8000</v>
          </cell>
        </row>
        <row r="44">
          <cell r="A44" t="str">
            <v>ARCEO GARCIA MANUEL FEDERICO</v>
          </cell>
          <cell r="B44">
            <v>6000</v>
          </cell>
        </row>
        <row r="45">
          <cell r="A45" t="str">
            <v>JIMENEZ ALCARAZ ELIZABETH</v>
          </cell>
          <cell r="B45">
            <v>6000</v>
          </cell>
        </row>
        <row r="46">
          <cell r="A46" t="str">
            <v>RODRIGUEZ DIAZ CESAR SALVADOR</v>
          </cell>
          <cell r="B46">
            <v>8500</v>
          </cell>
        </row>
        <row r="47">
          <cell r="A47" t="str">
            <v>MARQUEZ ALCARAZ MARTIN</v>
          </cell>
          <cell r="B47">
            <v>8500</v>
          </cell>
        </row>
        <row r="48">
          <cell r="A48" t="str">
            <v>SANCHEZ POLANCO DAISY LETICIA</v>
          </cell>
          <cell r="B48">
            <v>15000</v>
          </cell>
        </row>
        <row r="49">
          <cell r="A49" t="str">
            <v>CASTRO MEZA JORGE</v>
          </cell>
          <cell r="B49">
            <v>9050</v>
          </cell>
        </row>
        <row r="50">
          <cell r="A50" t="str">
            <v>PRUDENCIO FRIAS OSWALDO</v>
          </cell>
          <cell r="B50">
            <v>8000</v>
          </cell>
        </row>
        <row r="51">
          <cell r="A51" t="str">
            <v>MARQUEZ ALTAMIRANO MARCO ANTONIO</v>
          </cell>
          <cell r="B51">
            <v>8000</v>
          </cell>
        </row>
        <row r="52">
          <cell r="A52" t="str">
            <v>CONTRERAS ZETINA VICTOR HUGO</v>
          </cell>
          <cell r="B52">
            <v>6900</v>
          </cell>
        </row>
        <row r="53">
          <cell r="A53" t="str">
            <v>SANCHEZ GONZALEZ MIGUEL ANGEL</v>
          </cell>
          <cell r="B53">
            <v>10000</v>
          </cell>
        </row>
        <row r="54">
          <cell r="A54" t="str">
            <v>CAMARENA QUIROZ ERICK FRANK</v>
          </cell>
          <cell r="B54">
            <v>9000</v>
          </cell>
        </row>
        <row r="55">
          <cell r="A55" t="str">
            <v>MOLINA RAMIREZ GERARDO DANIEL</v>
          </cell>
          <cell r="B55">
            <v>9000</v>
          </cell>
        </row>
        <row r="56">
          <cell r="A56" t="str">
            <v>NARANJO CHAVEZ NOE SALVADOR</v>
          </cell>
          <cell r="B56">
            <v>17000</v>
          </cell>
        </row>
        <row r="57">
          <cell r="A57" t="str">
            <v>GONZALEZ VILLANUEVA ALEJANDRA</v>
          </cell>
          <cell r="B57">
            <v>12000</v>
          </cell>
        </row>
        <row r="58">
          <cell r="A58" t="str">
            <v>AGUILAR LEAL KARINA LIVIER</v>
          </cell>
          <cell r="B58">
            <v>8000</v>
          </cell>
        </row>
        <row r="59">
          <cell r="A59" t="str">
            <v>ALMARAZ PACHECO VICTOR</v>
          </cell>
          <cell r="B59">
            <v>2521.1999999999998</v>
          </cell>
        </row>
        <row r="60">
          <cell r="A60" t="str">
            <v>ALONSO FLORES BEDA</v>
          </cell>
          <cell r="B60">
            <v>7900</v>
          </cell>
        </row>
        <row r="61">
          <cell r="A61" t="str">
            <v>AMEZCUA CONTRERAS MARTHA FRINE</v>
          </cell>
          <cell r="B61">
            <v>18500</v>
          </cell>
        </row>
        <row r="62">
          <cell r="A62" t="str">
            <v>Benavides Herrera Pablo</v>
          </cell>
          <cell r="B62">
            <v>40000</v>
          </cell>
        </row>
        <row r="63">
          <cell r="A63" t="str">
            <v>Benavides Herrera Alejandra</v>
          </cell>
          <cell r="B63">
            <v>10000</v>
          </cell>
        </row>
        <row r="64">
          <cell r="A64" t="str">
            <v>Bueno Herrera Mariana Guadalupe</v>
          </cell>
          <cell r="B64">
            <v>10000</v>
          </cell>
        </row>
        <row r="65">
          <cell r="A65" t="str">
            <v>CAMARILLO CANELA REYNALDO</v>
          </cell>
          <cell r="B65">
            <v>9800</v>
          </cell>
        </row>
        <row r="66">
          <cell r="A66" t="str">
            <v>DIAZ MUNGUIA MARTHA LILIANA</v>
          </cell>
          <cell r="B66">
            <v>17000</v>
          </cell>
        </row>
        <row r="67">
          <cell r="A67" t="str">
            <v>DOMINGUEZ LOPEZ MARIA DE JESUS</v>
          </cell>
          <cell r="B67">
            <v>13000</v>
          </cell>
        </row>
        <row r="68">
          <cell r="A68" t="str">
            <v>DOMINGUEZ LOPEZ MAYELI DEL PILAR</v>
          </cell>
          <cell r="B68">
            <v>10000</v>
          </cell>
        </row>
        <row r="69">
          <cell r="A69" t="str">
            <v>GOMEZ OLIVEROS ALIN</v>
          </cell>
          <cell r="B69">
            <v>6900</v>
          </cell>
        </row>
        <row r="70">
          <cell r="A70" t="str">
            <v>GUIZAR PEREZ SERGIO</v>
          </cell>
          <cell r="B70">
            <v>8500</v>
          </cell>
        </row>
        <row r="71">
          <cell r="A71" t="str">
            <v>GUTIERREZ MUÑOZ CARLOS ALEJANDRO</v>
          </cell>
          <cell r="B71">
            <v>12000</v>
          </cell>
        </row>
        <row r="72">
          <cell r="A72" t="str">
            <v>LARA CAMPOS MAXIMINO</v>
          </cell>
          <cell r="B72">
            <v>9500</v>
          </cell>
        </row>
        <row r="73">
          <cell r="A73" t="str">
            <v>LEAL MONTAÑO DIEGO</v>
          </cell>
          <cell r="B73">
            <v>10000</v>
          </cell>
        </row>
        <row r="74">
          <cell r="A74" t="str">
            <v>MEDINA GARCIA JOSE LUIS</v>
          </cell>
          <cell r="B74">
            <v>16000</v>
          </cell>
        </row>
        <row r="75">
          <cell r="A75" t="str">
            <v>MORA RAMIREZ ACAL ALDO ISIDRO</v>
          </cell>
          <cell r="B75">
            <v>12000</v>
          </cell>
        </row>
        <row r="76">
          <cell r="A76" t="str">
            <v>NEGRETE RENTERIA JOSE LUIS</v>
          </cell>
          <cell r="B76">
            <v>9800</v>
          </cell>
        </row>
        <row r="77">
          <cell r="A77" t="str">
            <v>NERI GUTIERREZ YESSICA ELIZABETH</v>
          </cell>
          <cell r="B77">
            <v>43000</v>
          </cell>
        </row>
        <row r="78">
          <cell r="A78" t="str">
            <v>QUINTO VALLE MARTIN</v>
          </cell>
          <cell r="B78">
            <v>10000</v>
          </cell>
        </row>
        <row r="79">
          <cell r="A79" t="str">
            <v>RAMIREZ VERA MARIA DEL CARMEN</v>
          </cell>
          <cell r="B79">
            <v>10000</v>
          </cell>
        </row>
        <row r="80">
          <cell r="A80" t="str">
            <v>RODRIGUEZ CRUZ MARIA DEL CARMEN</v>
          </cell>
          <cell r="B80">
            <v>2521.1999999999998</v>
          </cell>
        </row>
        <row r="81">
          <cell r="A81" t="str">
            <v>ROGEL TERAN MARCO ANTONIO</v>
          </cell>
          <cell r="B81">
            <v>53500</v>
          </cell>
        </row>
        <row r="82">
          <cell r="A82" t="str">
            <v>ROJO AVELAR ADRIAN</v>
          </cell>
          <cell r="B82">
            <v>7500</v>
          </cell>
        </row>
        <row r="83">
          <cell r="A83" t="str">
            <v>ROMERO MAYORAL LORENZO</v>
          </cell>
          <cell r="B83">
            <v>11500</v>
          </cell>
        </row>
        <row r="84">
          <cell r="A84" t="str">
            <v>SAUCEDO DURAN JESUS ALFREDO</v>
          </cell>
          <cell r="B84">
            <v>11000</v>
          </cell>
        </row>
        <row r="85">
          <cell r="A85" t="str">
            <v>SIERRA HERNANDEZ MARIA DEL ROCIO</v>
          </cell>
          <cell r="B85">
            <v>12000</v>
          </cell>
        </row>
        <row r="86">
          <cell r="A86" t="str">
            <v>Vazquez Perez Miguel Angel</v>
          </cell>
          <cell r="B86">
            <v>18500</v>
          </cell>
        </row>
        <row r="87">
          <cell r="A87" t="str">
            <v>COMPEAN TOBIAS BRAULIO GERARDO</v>
          </cell>
          <cell r="B87">
            <v>18000</v>
          </cell>
        </row>
        <row r="88">
          <cell r="A88" t="str">
            <v>VILLAMOR MORA ANA LUISA</v>
          </cell>
          <cell r="B88">
            <v>22000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"/>
      <sheetName val="CPD"/>
    </sheetNames>
    <sheetDataSet>
      <sheetData sheetId="0">
        <row r="9">
          <cell r="B9" t="str">
            <v>Torres Ricardez Alfredo</v>
          </cell>
          <cell r="C9">
            <v>15</v>
          </cell>
          <cell r="D9">
            <v>0</v>
          </cell>
          <cell r="E9">
            <v>266.67</v>
          </cell>
          <cell r="F9">
            <v>278.72000000000003</v>
          </cell>
          <cell r="G9">
            <v>4000.05</v>
          </cell>
          <cell r="H9">
            <v>0</v>
          </cell>
          <cell r="I9">
            <v>0</v>
          </cell>
          <cell r="J9">
            <v>4000.05</v>
          </cell>
          <cell r="K9">
            <v>313.87</v>
          </cell>
          <cell r="L9">
            <v>0</v>
          </cell>
          <cell r="M9">
            <v>100.81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-0.03</v>
          </cell>
          <cell r="U9">
            <v>414.65</v>
          </cell>
          <cell r="V9">
            <v>3585.4</v>
          </cell>
        </row>
        <row r="10">
          <cell r="B10" t="str">
            <v>Montoya Portillo Carlos Alberto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  <cell r="J10">
            <v>4000.05</v>
          </cell>
          <cell r="K10">
            <v>313.87</v>
          </cell>
          <cell r="L10">
            <v>0</v>
          </cell>
          <cell r="M10">
            <v>100.81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0.17</v>
          </cell>
          <cell r="U10">
            <v>414.85</v>
          </cell>
          <cell r="V10">
            <v>3585.2</v>
          </cell>
        </row>
        <row r="11">
          <cell r="B11" t="str">
            <v>Cota Jaramillo Miguel Angel</v>
          </cell>
          <cell r="C11">
            <v>15</v>
          </cell>
          <cell r="D11">
            <v>0</v>
          </cell>
          <cell r="E11">
            <v>200</v>
          </cell>
          <cell r="F11">
            <v>209.04</v>
          </cell>
          <cell r="G11">
            <v>3000</v>
          </cell>
          <cell r="H11">
            <v>0</v>
          </cell>
          <cell r="I11">
            <v>0</v>
          </cell>
          <cell r="J11">
            <v>3000</v>
          </cell>
          <cell r="K11">
            <v>59.69</v>
          </cell>
          <cell r="L11">
            <v>0</v>
          </cell>
          <cell r="M11">
            <v>74.48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0.03</v>
          </cell>
          <cell r="U11">
            <v>134.19999999999999</v>
          </cell>
          <cell r="V11">
            <v>2865.8</v>
          </cell>
        </row>
        <row r="12">
          <cell r="B12" t="str">
            <v>Muñoz Reyes Luis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  <cell r="J12">
            <v>4000.05</v>
          </cell>
          <cell r="K12">
            <v>313.87</v>
          </cell>
          <cell r="L12">
            <v>0</v>
          </cell>
          <cell r="M12">
            <v>100.81</v>
          </cell>
          <cell r="N12">
            <v>877.59</v>
          </cell>
          <cell r="O12">
            <v>0</v>
          </cell>
          <cell r="P12">
            <v>15</v>
          </cell>
          <cell r="Q12">
            <v>0</v>
          </cell>
          <cell r="R12">
            <v>0</v>
          </cell>
          <cell r="T12">
            <v>-0.02</v>
          </cell>
          <cell r="U12">
            <v>1307.25</v>
          </cell>
          <cell r="V12">
            <v>2692.8</v>
          </cell>
        </row>
        <row r="13">
          <cell r="B13" t="str">
            <v>Gonzalez Rasgado Miguel Isaias</v>
          </cell>
          <cell r="C13">
            <v>15</v>
          </cell>
          <cell r="D13">
            <v>0</v>
          </cell>
          <cell r="E13">
            <v>400</v>
          </cell>
          <cell r="F13">
            <v>424.2</v>
          </cell>
          <cell r="G13">
            <v>6000</v>
          </cell>
          <cell r="H13">
            <v>0</v>
          </cell>
          <cell r="I13">
            <v>0</v>
          </cell>
          <cell r="J13">
            <v>6000</v>
          </cell>
          <cell r="K13">
            <v>643.38</v>
          </cell>
          <cell r="L13">
            <v>0</v>
          </cell>
          <cell r="M13">
            <v>161.36000000000001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0.06</v>
          </cell>
          <cell r="U13">
            <v>804.8</v>
          </cell>
          <cell r="V13">
            <v>5195.2</v>
          </cell>
        </row>
        <row r="14">
          <cell r="B14" t="str">
            <v>Mar Marquez Cesar Eduardo</v>
          </cell>
          <cell r="C14">
            <v>15</v>
          </cell>
          <cell r="D14">
            <v>0</v>
          </cell>
          <cell r="E14">
            <v>266.67</v>
          </cell>
          <cell r="F14">
            <v>278.72000000000003</v>
          </cell>
          <cell r="G14">
            <v>4000.05</v>
          </cell>
          <cell r="H14">
            <v>0</v>
          </cell>
          <cell r="I14">
            <v>0</v>
          </cell>
          <cell r="J14">
            <v>4000.05</v>
          </cell>
          <cell r="K14">
            <v>313.87</v>
          </cell>
          <cell r="L14">
            <v>0</v>
          </cell>
          <cell r="M14">
            <v>100.81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-0.03</v>
          </cell>
          <cell r="U14">
            <v>414.65</v>
          </cell>
          <cell r="V14">
            <v>3585.4</v>
          </cell>
        </row>
        <row r="15">
          <cell r="B15" t="str">
            <v>Velez Rodriguez Jaime</v>
          </cell>
          <cell r="C15">
            <v>15</v>
          </cell>
          <cell r="D15">
            <v>0</v>
          </cell>
          <cell r="E15">
            <v>200</v>
          </cell>
          <cell r="F15">
            <v>212.1</v>
          </cell>
          <cell r="G15">
            <v>3000</v>
          </cell>
          <cell r="H15">
            <v>0</v>
          </cell>
          <cell r="I15">
            <v>0</v>
          </cell>
          <cell r="J15">
            <v>3000</v>
          </cell>
          <cell r="K15">
            <v>59.69</v>
          </cell>
          <cell r="L15">
            <v>0</v>
          </cell>
          <cell r="M15">
            <v>75.55</v>
          </cell>
          <cell r="N15">
            <v>1359.23</v>
          </cell>
          <cell r="O15">
            <v>0</v>
          </cell>
          <cell r="P15">
            <v>15</v>
          </cell>
          <cell r="Q15">
            <v>0</v>
          </cell>
          <cell r="R15">
            <v>0</v>
          </cell>
          <cell r="T15">
            <v>-7.0000000000000007E-2</v>
          </cell>
          <cell r="U15">
            <v>1509.4</v>
          </cell>
          <cell r="V15">
            <v>1490.6</v>
          </cell>
        </row>
        <row r="16">
          <cell r="B16" t="str">
            <v>Najera Lopez Raul</v>
          </cell>
          <cell r="C16">
            <v>15</v>
          </cell>
          <cell r="D16">
            <v>0</v>
          </cell>
          <cell r="E16">
            <v>333.33</v>
          </cell>
          <cell r="F16">
            <v>353.5</v>
          </cell>
          <cell r="G16">
            <v>4999.95</v>
          </cell>
          <cell r="H16">
            <v>0</v>
          </cell>
          <cell r="I16">
            <v>0</v>
          </cell>
          <cell r="J16">
            <v>4999.95</v>
          </cell>
          <cell r="K16">
            <v>461.63</v>
          </cell>
          <cell r="L16">
            <v>0</v>
          </cell>
          <cell r="M16">
            <v>131.93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-0.01</v>
          </cell>
          <cell r="U16">
            <v>593.54999999999995</v>
          </cell>
          <cell r="V16">
            <v>4406.3999999999996</v>
          </cell>
        </row>
        <row r="17">
          <cell r="B17" t="str">
            <v>Puente Murguia Luis Felipe</v>
          </cell>
          <cell r="C17">
            <v>15</v>
          </cell>
          <cell r="D17">
            <v>0</v>
          </cell>
          <cell r="E17">
            <v>233.33</v>
          </cell>
          <cell r="F17">
            <v>247.45</v>
          </cell>
          <cell r="G17">
            <v>3499.95</v>
          </cell>
          <cell r="H17">
            <v>0</v>
          </cell>
          <cell r="I17">
            <v>0</v>
          </cell>
          <cell r="J17">
            <v>3499.95</v>
          </cell>
          <cell r="K17">
            <v>134.36000000000001</v>
          </cell>
          <cell r="L17">
            <v>0</v>
          </cell>
          <cell r="M17">
            <v>88.16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0.03</v>
          </cell>
          <cell r="U17">
            <v>222.55</v>
          </cell>
          <cell r="V17">
            <v>3277.4</v>
          </cell>
        </row>
        <row r="18">
          <cell r="B18" t="str">
            <v>Jimenez Alcaraz Elizabeth</v>
          </cell>
          <cell r="C18">
            <v>15</v>
          </cell>
          <cell r="D18">
            <v>0</v>
          </cell>
          <cell r="E18">
            <v>200</v>
          </cell>
          <cell r="F18">
            <v>212.11</v>
          </cell>
          <cell r="G18">
            <v>3000</v>
          </cell>
          <cell r="H18">
            <v>0</v>
          </cell>
          <cell r="I18">
            <v>0</v>
          </cell>
          <cell r="J18">
            <v>3000</v>
          </cell>
          <cell r="K18">
            <v>59.69</v>
          </cell>
          <cell r="L18">
            <v>0</v>
          </cell>
          <cell r="M18">
            <v>75.56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-0.05</v>
          </cell>
          <cell r="U18">
            <v>135.19999999999999</v>
          </cell>
          <cell r="V18">
            <v>2864.8</v>
          </cell>
        </row>
        <row r="19">
          <cell r="B19" t="str">
            <v>Arceo Garcia Manuel Federico</v>
          </cell>
          <cell r="C19">
            <v>14</v>
          </cell>
          <cell r="D19">
            <v>0</v>
          </cell>
          <cell r="E19">
            <v>200</v>
          </cell>
          <cell r="F19">
            <v>212.1</v>
          </cell>
          <cell r="G19">
            <v>2800</v>
          </cell>
          <cell r="H19">
            <v>0</v>
          </cell>
          <cell r="I19">
            <v>0</v>
          </cell>
          <cell r="J19">
            <v>2800</v>
          </cell>
          <cell r="K19">
            <v>37.93</v>
          </cell>
          <cell r="L19">
            <v>0</v>
          </cell>
          <cell r="M19">
            <v>71.849999999999994</v>
          </cell>
          <cell r="N19">
            <v>0</v>
          </cell>
          <cell r="O19">
            <v>0</v>
          </cell>
          <cell r="P19">
            <v>0</v>
          </cell>
          <cell r="Q19">
            <v>600</v>
          </cell>
          <cell r="R19">
            <v>0</v>
          </cell>
          <cell r="T19">
            <v>0.02</v>
          </cell>
          <cell r="U19">
            <v>709.8</v>
          </cell>
          <cell r="V19">
            <v>2090.1999999999998</v>
          </cell>
        </row>
        <row r="20">
          <cell r="B20" t="str">
            <v>Dominguez Lopez Mayeli Del Pilar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  <cell r="J20">
            <v>4000.05</v>
          </cell>
          <cell r="K20">
            <v>313.87</v>
          </cell>
          <cell r="L20">
            <v>0</v>
          </cell>
          <cell r="M20">
            <v>102.51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1666.67</v>
          </cell>
          <cell r="T20">
            <v>0</v>
          </cell>
          <cell r="U20">
            <v>2083.0500000000002</v>
          </cell>
          <cell r="V20">
            <v>1917</v>
          </cell>
        </row>
        <row r="21">
          <cell r="B21" t="str">
            <v xml:space="preserve">Courtenay Gutierrez Barry Vladimir </v>
          </cell>
          <cell r="C21">
            <v>15</v>
          </cell>
          <cell r="D21">
            <v>0</v>
          </cell>
          <cell r="E21">
            <v>166.67</v>
          </cell>
          <cell r="F21">
            <v>174.2</v>
          </cell>
          <cell r="G21">
            <v>2500.0500000000002</v>
          </cell>
          <cell r="H21">
            <v>0</v>
          </cell>
          <cell r="I21">
            <v>0</v>
          </cell>
          <cell r="J21">
            <v>2500.0500000000002</v>
          </cell>
          <cell r="K21">
            <v>0</v>
          </cell>
          <cell r="L21">
            <v>-9.6199999999999992</v>
          </cell>
          <cell r="M21">
            <v>62.06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0.01</v>
          </cell>
          <cell r="U21">
            <v>52.45</v>
          </cell>
          <cell r="V21">
            <v>2447.6</v>
          </cell>
        </row>
        <row r="22">
          <cell r="B22" t="str">
            <v>Palacios Ramos Jesus</v>
          </cell>
          <cell r="C22">
            <v>15</v>
          </cell>
          <cell r="D22">
            <v>0</v>
          </cell>
          <cell r="E22">
            <v>266.67</v>
          </cell>
          <cell r="F22">
            <v>282.81</v>
          </cell>
          <cell r="G22">
            <v>4000.05</v>
          </cell>
          <cell r="H22">
            <v>0</v>
          </cell>
          <cell r="I22">
            <v>0</v>
          </cell>
          <cell r="J22">
            <v>4000.05</v>
          </cell>
          <cell r="K22">
            <v>313.87</v>
          </cell>
          <cell r="L22">
            <v>0</v>
          </cell>
          <cell r="M22">
            <v>102.51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7.0000000000000007E-2</v>
          </cell>
          <cell r="U22">
            <v>416.45</v>
          </cell>
          <cell r="V22">
            <v>3583.6</v>
          </cell>
        </row>
        <row r="23">
          <cell r="B23" t="str">
            <v>Martinez Hernandez J. Antonio</v>
          </cell>
          <cell r="C23">
            <v>15</v>
          </cell>
          <cell r="D23">
            <v>0</v>
          </cell>
          <cell r="E23">
            <v>266.67</v>
          </cell>
          <cell r="F23">
            <v>282.81</v>
          </cell>
          <cell r="G23">
            <v>4000.05</v>
          </cell>
          <cell r="H23">
            <v>0</v>
          </cell>
          <cell r="I23">
            <v>0</v>
          </cell>
          <cell r="J23">
            <v>4000.05</v>
          </cell>
          <cell r="K23">
            <v>313.87</v>
          </cell>
          <cell r="L23">
            <v>0</v>
          </cell>
          <cell r="M23">
            <v>102.51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-0.13</v>
          </cell>
          <cell r="U23">
            <v>416.25</v>
          </cell>
          <cell r="V23">
            <v>3583.8</v>
          </cell>
        </row>
        <row r="24">
          <cell r="B24" t="str">
            <v>Alcaraz Conde Zabdi Guadalupe</v>
          </cell>
          <cell r="C24">
            <v>15</v>
          </cell>
          <cell r="D24">
            <v>0</v>
          </cell>
          <cell r="E24">
            <v>200</v>
          </cell>
          <cell r="F24">
            <v>212.11</v>
          </cell>
          <cell r="G24">
            <v>3000</v>
          </cell>
          <cell r="H24">
            <v>0</v>
          </cell>
          <cell r="I24">
            <v>0</v>
          </cell>
          <cell r="J24">
            <v>3000</v>
          </cell>
          <cell r="K24">
            <v>59.69</v>
          </cell>
          <cell r="L24">
            <v>0</v>
          </cell>
          <cell r="M24">
            <v>75.56</v>
          </cell>
          <cell r="N24">
            <v>0</v>
          </cell>
          <cell r="O24">
            <v>1120.4000000000001</v>
          </cell>
          <cell r="P24">
            <v>15</v>
          </cell>
          <cell r="Q24">
            <v>600</v>
          </cell>
          <cell r="R24">
            <v>0</v>
          </cell>
          <cell r="T24">
            <v>-0.05</v>
          </cell>
          <cell r="U24">
            <v>1870.6</v>
          </cell>
          <cell r="V24">
            <v>1129.4000000000001</v>
          </cell>
        </row>
        <row r="25">
          <cell r="B25" t="str">
            <v>Lopez Terron Roberto Porfirio</v>
          </cell>
          <cell r="C25">
            <v>15</v>
          </cell>
          <cell r="D25">
            <v>0</v>
          </cell>
          <cell r="E25">
            <v>466.67</v>
          </cell>
          <cell r="F25">
            <v>494.92</v>
          </cell>
          <cell r="G25">
            <v>7000.05</v>
          </cell>
          <cell r="H25">
            <v>0</v>
          </cell>
          <cell r="I25">
            <v>0</v>
          </cell>
          <cell r="J25">
            <v>7000.05</v>
          </cell>
          <cell r="K25">
            <v>856.99</v>
          </cell>
          <cell r="L25">
            <v>0</v>
          </cell>
          <cell r="M25">
            <v>190.81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0.05</v>
          </cell>
          <cell r="U25">
            <v>1047.8499999999999</v>
          </cell>
          <cell r="V25">
            <v>5952.2</v>
          </cell>
        </row>
        <row r="26">
          <cell r="B26" t="str">
            <v>Chavez Pedraza Samuel</v>
          </cell>
          <cell r="C26">
            <v>15</v>
          </cell>
          <cell r="D26">
            <v>0</v>
          </cell>
          <cell r="E26">
            <v>466.67</v>
          </cell>
          <cell r="F26">
            <v>494.92</v>
          </cell>
          <cell r="G26">
            <v>7000.05</v>
          </cell>
          <cell r="H26">
            <v>0</v>
          </cell>
          <cell r="I26">
            <v>0</v>
          </cell>
          <cell r="J26">
            <v>7000.05</v>
          </cell>
          <cell r="K26">
            <v>856.99</v>
          </cell>
          <cell r="L26">
            <v>0</v>
          </cell>
          <cell r="M26">
            <v>190.81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T26">
            <v>0.05</v>
          </cell>
          <cell r="U26">
            <v>1047.8499999999999</v>
          </cell>
          <cell r="V26">
            <v>5952.2</v>
          </cell>
        </row>
        <row r="27">
          <cell r="B27" t="str">
            <v>Castillo Nungaray Nestor Roman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-0.05</v>
          </cell>
          <cell r="U27">
            <v>135.19999999999999</v>
          </cell>
          <cell r="V27">
            <v>2864.8</v>
          </cell>
        </row>
        <row r="28">
          <cell r="B28" t="str">
            <v>Marquez Hernandez Rogelio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4000.05</v>
          </cell>
          <cell r="H28">
            <v>0</v>
          </cell>
          <cell r="I28">
            <v>0</v>
          </cell>
          <cell r="J28">
            <v>4000.05</v>
          </cell>
          <cell r="K28">
            <v>313.87</v>
          </cell>
          <cell r="L28">
            <v>0</v>
          </cell>
          <cell r="M28">
            <v>102.51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7.0000000000000007E-2</v>
          </cell>
          <cell r="U28">
            <v>416.45</v>
          </cell>
          <cell r="V28">
            <v>3583.6</v>
          </cell>
        </row>
        <row r="29">
          <cell r="B29" t="str">
            <v>Flores Cerrillos Jorge Humberto</v>
          </cell>
          <cell r="C29">
            <v>15</v>
          </cell>
          <cell r="D29">
            <v>0</v>
          </cell>
          <cell r="E29">
            <v>266.67</v>
          </cell>
          <cell r="F29">
            <v>282.81</v>
          </cell>
          <cell r="G29">
            <v>4000.05</v>
          </cell>
          <cell r="H29">
            <v>0</v>
          </cell>
          <cell r="I29">
            <v>0</v>
          </cell>
          <cell r="J29">
            <v>4000.05</v>
          </cell>
          <cell r="K29">
            <v>313.87</v>
          </cell>
          <cell r="L29">
            <v>0</v>
          </cell>
          <cell r="M29">
            <v>102.51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7.0000000000000007E-2</v>
          </cell>
          <cell r="U29">
            <v>416.45</v>
          </cell>
          <cell r="V29">
            <v>3583.6</v>
          </cell>
        </row>
        <row r="30">
          <cell r="B30" t="str">
            <v>Perez Garcia Andres Alvaro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  <cell r="J30">
            <v>4000</v>
          </cell>
          <cell r="K30">
            <v>313.87</v>
          </cell>
          <cell r="L30">
            <v>0</v>
          </cell>
          <cell r="M30">
            <v>102.51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0.02</v>
          </cell>
          <cell r="U30">
            <v>416.4</v>
          </cell>
          <cell r="V30">
            <v>3583.6</v>
          </cell>
        </row>
        <row r="31">
          <cell r="B31" t="str">
            <v>Chavira Garcia David Fernando</v>
          </cell>
          <cell r="C31">
            <v>15</v>
          </cell>
          <cell r="D31">
            <v>0</v>
          </cell>
          <cell r="E31">
            <v>333.33</v>
          </cell>
          <cell r="F31">
            <v>353.52</v>
          </cell>
          <cell r="G31">
            <v>5000</v>
          </cell>
          <cell r="H31">
            <v>0</v>
          </cell>
          <cell r="I31">
            <v>0</v>
          </cell>
          <cell r="J31">
            <v>5000</v>
          </cell>
          <cell r="K31">
            <v>461.64</v>
          </cell>
          <cell r="L31">
            <v>0</v>
          </cell>
          <cell r="M31">
            <v>131.94999999999999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0.01</v>
          </cell>
          <cell r="U31">
            <v>593.6</v>
          </cell>
          <cell r="V31">
            <v>4406.3999999999996</v>
          </cell>
        </row>
        <row r="32">
          <cell r="B32" t="str">
            <v>Guerrero Lara Cesar Adrian</v>
          </cell>
          <cell r="C32">
            <v>15</v>
          </cell>
          <cell r="D32">
            <v>0</v>
          </cell>
          <cell r="E32">
            <v>266.67</v>
          </cell>
          <cell r="F32">
            <v>282.81</v>
          </cell>
          <cell r="G32">
            <v>4000</v>
          </cell>
          <cell r="H32">
            <v>0</v>
          </cell>
          <cell r="I32">
            <v>0</v>
          </cell>
          <cell r="J32">
            <v>4000</v>
          </cell>
          <cell r="K32">
            <v>313.87</v>
          </cell>
          <cell r="L32">
            <v>0</v>
          </cell>
          <cell r="M32">
            <v>102.51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345.25</v>
          </cell>
          <cell r="T32">
            <v>-0.03</v>
          </cell>
          <cell r="U32">
            <v>761.6</v>
          </cell>
          <cell r="V32">
            <v>3238.4</v>
          </cell>
        </row>
        <row r="33">
          <cell r="B33" t="str">
            <v>Martinez Zamora Gerardo Mario</v>
          </cell>
          <cell r="C33">
            <v>15</v>
          </cell>
          <cell r="D33">
            <v>0</v>
          </cell>
          <cell r="E33">
            <v>318.33</v>
          </cell>
          <cell r="F33">
            <v>337.61</v>
          </cell>
          <cell r="G33">
            <v>4775</v>
          </cell>
          <cell r="H33">
            <v>0</v>
          </cell>
          <cell r="I33">
            <v>0</v>
          </cell>
          <cell r="J33">
            <v>4775</v>
          </cell>
          <cell r="K33">
            <v>424.67</v>
          </cell>
          <cell r="L33">
            <v>0</v>
          </cell>
          <cell r="M33">
            <v>125.32</v>
          </cell>
          <cell r="N33">
            <v>1528.5</v>
          </cell>
          <cell r="O33">
            <v>0</v>
          </cell>
          <cell r="P33">
            <v>15</v>
          </cell>
          <cell r="Q33">
            <v>0</v>
          </cell>
          <cell r="R33">
            <v>0</v>
          </cell>
          <cell r="T33">
            <v>-0.09</v>
          </cell>
          <cell r="U33">
            <v>2093.4</v>
          </cell>
          <cell r="V33">
            <v>2681.6</v>
          </cell>
        </row>
        <row r="34">
          <cell r="B34" t="str">
            <v>Castellon Ramos Rene</v>
          </cell>
          <cell r="C34">
            <v>15</v>
          </cell>
          <cell r="D34">
            <v>0</v>
          </cell>
          <cell r="E34">
            <v>250</v>
          </cell>
          <cell r="F34">
            <v>265.14</v>
          </cell>
          <cell r="G34">
            <v>3750</v>
          </cell>
          <cell r="H34">
            <v>0</v>
          </cell>
          <cell r="I34">
            <v>0</v>
          </cell>
          <cell r="J34">
            <v>3750</v>
          </cell>
          <cell r="K34">
            <v>286.67</v>
          </cell>
          <cell r="L34">
            <v>0</v>
          </cell>
          <cell r="M34">
            <v>95.15</v>
          </cell>
          <cell r="N34">
            <v>0</v>
          </cell>
          <cell r="O34">
            <v>1346.54</v>
          </cell>
          <cell r="P34">
            <v>15</v>
          </cell>
          <cell r="Q34">
            <v>0</v>
          </cell>
          <cell r="R34">
            <v>848.88</v>
          </cell>
          <cell r="T34">
            <v>-0.04</v>
          </cell>
          <cell r="U34">
            <v>2592.1999999999998</v>
          </cell>
          <cell r="V34">
            <v>1157.8</v>
          </cell>
        </row>
        <row r="35">
          <cell r="B35" t="str">
            <v>Flores Franco Marco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  <cell r="J35">
            <v>4250</v>
          </cell>
          <cell r="K35">
            <v>341.07</v>
          </cell>
          <cell r="L35">
            <v>0</v>
          </cell>
          <cell r="M35">
            <v>109.87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0.06</v>
          </cell>
          <cell r="U35">
            <v>451</v>
          </cell>
          <cell r="V35">
            <v>3799</v>
          </cell>
        </row>
        <row r="36">
          <cell r="B36" t="str">
            <v>Chavez Saucedo Jorge Arturo</v>
          </cell>
          <cell r="C36">
            <v>15</v>
          </cell>
          <cell r="D36">
            <v>0</v>
          </cell>
          <cell r="E36">
            <v>266.67</v>
          </cell>
          <cell r="F36">
            <v>278.72000000000003</v>
          </cell>
          <cell r="G36">
            <v>4000.05</v>
          </cell>
          <cell r="H36">
            <v>0</v>
          </cell>
          <cell r="I36">
            <v>0</v>
          </cell>
          <cell r="J36">
            <v>4000.05</v>
          </cell>
          <cell r="K36">
            <v>313.87</v>
          </cell>
          <cell r="L36">
            <v>0</v>
          </cell>
          <cell r="M36">
            <v>100.81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-0.03</v>
          </cell>
          <cell r="U36">
            <v>414.65</v>
          </cell>
          <cell r="V36">
            <v>3585.4</v>
          </cell>
        </row>
        <row r="37">
          <cell r="B37" t="str">
            <v>Hueramo Hueramo Jesus Daniel</v>
          </cell>
          <cell r="C37">
            <v>15</v>
          </cell>
          <cell r="D37">
            <v>0</v>
          </cell>
          <cell r="E37">
            <v>283.33</v>
          </cell>
          <cell r="F37">
            <v>300.49</v>
          </cell>
          <cell r="G37">
            <v>4250</v>
          </cell>
          <cell r="H37">
            <v>0</v>
          </cell>
          <cell r="I37">
            <v>0</v>
          </cell>
          <cell r="J37">
            <v>4250</v>
          </cell>
          <cell r="K37">
            <v>341.07</v>
          </cell>
          <cell r="L37">
            <v>0</v>
          </cell>
          <cell r="M37">
            <v>109.87</v>
          </cell>
          <cell r="N37">
            <v>0</v>
          </cell>
          <cell r="O37">
            <v>592.54</v>
          </cell>
          <cell r="P37">
            <v>15</v>
          </cell>
          <cell r="Q37">
            <v>0</v>
          </cell>
          <cell r="R37">
            <v>322.5</v>
          </cell>
          <cell r="T37">
            <v>0.02</v>
          </cell>
          <cell r="U37">
            <v>1381</v>
          </cell>
          <cell r="V37">
            <v>2869</v>
          </cell>
        </row>
        <row r="38">
          <cell r="B38" t="str">
            <v>Sandoval Garcia Luis</v>
          </cell>
          <cell r="C38">
            <v>15</v>
          </cell>
          <cell r="D38">
            <v>0</v>
          </cell>
          <cell r="E38">
            <v>266.67</v>
          </cell>
          <cell r="F38">
            <v>282.81</v>
          </cell>
          <cell r="G38">
            <v>4000.05</v>
          </cell>
          <cell r="H38">
            <v>0</v>
          </cell>
          <cell r="I38">
            <v>0</v>
          </cell>
          <cell r="J38">
            <v>4000.05</v>
          </cell>
          <cell r="K38">
            <v>313.87</v>
          </cell>
          <cell r="L38">
            <v>0</v>
          </cell>
          <cell r="M38">
            <v>102.51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7.0000000000000007E-2</v>
          </cell>
          <cell r="U38">
            <v>416.45</v>
          </cell>
          <cell r="V38">
            <v>3583.6</v>
          </cell>
        </row>
        <row r="39">
          <cell r="B39" t="str">
            <v>Vaca Valdez Guillermo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  <cell r="J39">
            <v>4000.05</v>
          </cell>
          <cell r="K39">
            <v>313.87</v>
          </cell>
          <cell r="L39">
            <v>0</v>
          </cell>
          <cell r="M39">
            <v>102.51</v>
          </cell>
          <cell r="N39">
            <v>1848.35</v>
          </cell>
          <cell r="O39">
            <v>0</v>
          </cell>
          <cell r="P39">
            <v>15</v>
          </cell>
          <cell r="Q39">
            <v>0</v>
          </cell>
          <cell r="R39">
            <v>400</v>
          </cell>
          <cell r="T39">
            <v>-0.08</v>
          </cell>
          <cell r="U39">
            <v>2679.65</v>
          </cell>
          <cell r="V39">
            <v>1320.4</v>
          </cell>
        </row>
        <row r="40">
          <cell r="B40" t="str">
            <v>Martinez Morales Jose Martin</v>
          </cell>
          <cell r="C40">
            <v>15</v>
          </cell>
          <cell r="D40">
            <v>0</v>
          </cell>
          <cell r="E40">
            <v>466.67</v>
          </cell>
          <cell r="F40">
            <v>494.92</v>
          </cell>
          <cell r="G40">
            <v>7000.05</v>
          </cell>
          <cell r="H40">
            <v>0</v>
          </cell>
          <cell r="I40">
            <v>0</v>
          </cell>
          <cell r="J40">
            <v>7000.05</v>
          </cell>
          <cell r="K40">
            <v>856.99</v>
          </cell>
          <cell r="L40">
            <v>0</v>
          </cell>
          <cell r="M40">
            <v>190.81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0.05</v>
          </cell>
          <cell r="U40">
            <v>1047.8499999999999</v>
          </cell>
          <cell r="V40">
            <v>5952.2</v>
          </cell>
        </row>
        <row r="41">
          <cell r="B41" t="str">
            <v xml:space="preserve">Arzate Gil Juan Sebastian </v>
          </cell>
          <cell r="C41">
            <v>15</v>
          </cell>
          <cell r="D41">
            <v>0</v>
          </cell>
          <cell r="E41">
            <v>266.67</v>
          </cell>
          <cell r="F41">
            <v>282.81</v>
          </cell>
          <cell r="G41">
            <v>4000.05</v>
          </cell>
          <cell r="H41">
            <v>0</v>
          </cell>
          <cell r="I41">
            <v>0</v>
          </cell>
          <cell r="J41">
            <v>4000.05</v>
          </cell>
          <cell r="K41">
            <v>313.87</v>
          </cell>
          <cell r="L41">
            <v>0</v>
          </cell>
          <cell r="M41">
            <v>102.51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688.8</v>
          </cell>
          <cell r="T41">
            <v>-0.13</v>
          </cell>
          <cell r="U41">
            <v>1105.05</v>
          </cell>
          <cell r="V41">
            <v>2895</v>
          </cell>
        </row>
        <row r="42">
          <cell r="B42" t="str">
            <v>Torres Velazquez Juan Antonio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  <cell r="J42">
            <v>4000.05</v>
          </cell>
          <cell r="K42">
            <v>313.87</v>
          </cell>
          <cell r="L42">
            <v>0</v>
          </cell>
          <cell r="M42">
            <v>102.51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7.0000000000000007E-2</v>
          </cell>
          <cell r="U42">
            <v>416.45</v>
          </cell>
          <cell r="V42">
            <v>3583.6</v>
          </cell>
        </row>
        <row r="43">
          <cell r="B43" t="str">
            <v>Enriquez  Zamora Jessica Del Rocio</v>
          </cell>
          <cell r="C43">
            <v>15</v>
          </cell>
          <cell r="D43">
            <v>0</v>
          </cell>
          <cell r="E43">
            <v>200</v>
          </cell>
          <cell r="F43">
            <v>212.11</v>
          </cell>
          <cell r="G43">
            <v>3000</v>
          </cell>
          <cell r="H43">
            <v>0</v>
          </cell>
          <cell r="I43">
            <v>0</v>
          </cell>
          <cell r="J43">
            <v>3000</v>
          </cell>
          <cell r="K43">
            <v>59.69</v>
          </cell>
          <cell r="L43">
            <v>0</v>
          </cell>
          <cell r="M43">
            <v>75.56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-0.05</v>
          </cell>
          <cell r="U43">
            <v>135.19999999999999</v>
          </cell>
          <cell r="V43">
            <v>2864.8</v>
          </cell>
        </row>
        <row r="44">
          <cell r="B44" t="str">
            <v>Moreno Quiroga  Ana Sarahi</v>
          </cell>
          <cell r="C44">
            <v>15</v>
          </cell>
          <cell r="D44">
            <v>0</v>
          </cell>
          <cell r="E44">
            <v>266.67</v>
          </cell>
          <cell r="F44">
            <v>282.81</v>
          </cell>
          <cell r="G44">
            <v>4000.05</v>
          </cell>
          <cell r="H44">
            <v>0</v>
          </cell>
          <cell r="I44">
            <v>0</v>
          </cell>
          <cell r="J44">
            <v>4000.05</v>
          </cell>
          <cell r="K44">
            <v>313.87</v>
          </cell>
          <cell r="L44">
            <v>0</v>
          </cell>
          <cell r="M44">
            <v>102.51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-0.13</v>
          </cell>
          <cell r="U44">
            <v>416.25</v>
          </cell>
          <cell r="V44">
            <v>3583.8</v>
          </cell>
        </row>
        <row r="45">
          <cell r="B45" t="str">
            <v>Hernandez Garcia  Manuel Alejandro</v>
          </cell>
          <cell r="C45">
            <v>15</v>
          </cell>
          <cell r="D45">
            <v>0</v>
          </cell>
          <cell r="E45">
            <v>266.67</v>
          </cell>
          <cell r="F45">
            <v>278.72000000000003</v>
          </cell>
          <cell r="G45">
            <v>4000.05</v>
          </cell>
          <cell r="H45">
            <v>0</v>
          </cell>
          <cell r="I45">
            <v>0</v>
          </cell>
          <cell r="J45">
            <v>4000.05</v>
          </cell>
          <cell r="K45">
            <v>313.87</v>
          </cell>
          <cell r="L45">
            <v>0</v>
          </cell>
          <cell r="M45">
            <v>100.81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-0.03</v>
          </cell>
          <cell r="U45">
            <v>414.65</v>
          </cell>
          <cell r="V45">
            <v>3585.4</v>
          </cell>
        </row>
        <row r="46">
          <cell r="B46" t="str">
            <v>Sandoval Medina Demetrio</v>
          </cell>
          <cell r="C46">
            <v>15</v>
          </cell>
          <cell r="D46">
            <v>0</v>
          </cell>
          <cell r="E46">
            <v>266.67</v>
          </cell>
          <cell r="F46">
            <v>278.72000000000003</v>
          </cell>
          <cell r="G46">
            <v>4000.05</v>
          </cell>
          <cell r="H46">
            <v>0</v>
          </cell>
          <cell r="I46">
            <v>0</v>
          </cell>
          <cell r="J46">
            <v>4000.05</v>
          </cell>
          <cell r="K46">
            <v>313.87</v>
          </cell>
          <cell r="L46">
            <v>0</v>
          </cell>
          <cell r="M46">
            <v>100.81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-0.03</v>
          </cell>
          <cell r="U46">
            <v>414.65</v>
          </cell>
          <cell r="V46">
            <v>3585.4</v>
          </cell>
        </row>
        <row r="47">
          <cell r="B47" t="str">
            <v>Gutierrez Muñoz Carlos Alejandro</v>
          </cell>
          <cell r="C47">
            <v>15</v>
          </cell>
          <cell r="D47">
            <v>0</v>
          </cell>
          <cell r="E47">
            <v>220.83</v>
          </cell>
          <cell r="F47">
            <v>234.2</v>
          </cell>
          <cell r="G47">
            <v>3312.45</v>
          </cell>
          <cell r="H47">
            <v>0</v>
          </cell>
          <cell r="I47">
            <v>0</v>
          </cell>
          <cell r="J47">
            <v>3312.45</v>
          </cell>
          <cell r="K47">
            <v>113.96</v>
          </cell>
          <cell r="L47">
            <v>0</v>
          </cell>
          <cell r="M47">
            <v>83.43</v>
          </cell>
          <cell r="N47">
            <v>2034.26</v>
          </cell>
          <cell r="O47">
            <v>0</v>
          </cell>
          <cell r="P47">
            <v>15</v>
          </cell>
          <cell r="Q47">
            <v>0</v>
          </cell>
          <cell r="R47">
            <v>0</v>
          </cell>
          <cell r="T47">
            <v>0</v>
          </cell>
          <cell r="U47">
            <v>2246.65</v>
          </cell>
          <cell r="V47">
            <v>1065.8</v>
          </cell>
        </row>
        <row r="48">
          <cell r="B48" t="str">
            <v>Molina Ramirez Gerardo Daniel</v>
          </cell>
          <cell r="C48">
            <v>15</v>
          </cell>
          <cell r="D48">
            <v>0</v>
          </cell>
          <cell r="E48">
            <v>150</v>
          </cell>
          <cell r="F48">
            <v>156.78</v>
          </cell>
          <cell r="G48">
            <v>2250</v>
          </cell>
          <cell r="H48">
            <v>0</v>
          </cell>
          <cell r="I48">
            <v>0</v>
          </cell>
          <cell r="J48">
            <v>2250</v>
          </cell>
          <cell r="K48">
            <v>0</v>
          </cell>
          <cell r="L48">
            <v>-43.57</v>
          </cell>
          <cell r="M48">
            <v>55.86</v>
          </cell>
          <cell r="N48">
            <v>0</v>
          </cell>
          <cell r="O48">
            <v>763.03</v>
          </cell>
          <cell r="P48">
            <v>15</v>
          </cell>
          <cell r="Q48">
            <v>0</v>
          </cell>
          <cell r="R48">
            <v>0</v>
          </cell>
          <cell r="T48">
            <v>0.08</v>
          </cell>
          <cell r="U48">
            <v>790.4</v>
          </cell>
          <cell r="V48">
            <v>1459.6</v>
          </cell>
        </row>
        <row r="49">
          <cell r="B49" t="str">
            <v>Mireles Casillas Brenda Cristina</v>
          </cell>
          <cell r="C49">
            <v>15</v>
          </cell>
          <cell r="D49">
            <v>0</v>
          </cell>
          <cell r="E49">
            <v>150</v>
          </cell>
          <cell r="F49">
            <v>156.78</v>
          </cell>
          <cell r="G49">
            <v>2250</v>
          </cell>
          <cell r="H49">
            <v>0</v>
          </cell>
          <cell r="I49">
            <v>0</v>
          </cell>
          <cell r="J49">
            <v>2250</v>
          </cell>
          <cell r="K49">
            <v>0</v>
          </cell>
          <cell r="L49">
            <v>-43.57</v>
          </cell>
          <cell r="M49">
            <v>55.86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-0.09</v>
          </cell>
          <cell r="U49">
            <v>12.2</v>
          </cell>
          <cell r="V49">
            <v>2237.8000000000002</v>
          </cell>
        </row>
        <row r="50">
          <cell r="B50" t="str">
            <v>Escobedo Olivares Juan Guadalupe</v>
          </cell>
          <cell r="C50">
            <v>15</v>
          </cell>
          <cell r="D50">
            <v>0</v>
          </cell>
          <cell r="E50">
            <v>233.33</v>
          </cell>
          <cell r="F50">
            <v>243.88</v>
          </cell>
          <cell r="G50">
            <v>3499.95</v>
          </cell>
          <cell r="H50">
            <v>0</v>
          </cell>
          <cell r="I50">
            <v>0</v>
          </cell>
          <cell r="J50">
            <v>3499.95</v>
          </cell>
          <cell r="K50">
            <v>134.36000000000001</v>
          </cell>
          <cell r="L50">
            <v>0</v>
          </cell>
          <cell r="M50">
            <v>86.88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-0.09</v>
          </cell>
          <cell r="U50">
            <v>221.15</v>
          </cell>
          <cell r="V50">
            <v>3278.8</v>
          </cell>
        </row>
        <row r="51">
          <cell r="B51" t="str">
            <v>Castillo Ramirez Hector Ivan</v>
          </cell>
          <cell r="C51">
            <v>15</v>
          </cell>
          <cell r="D51">
            <v>0</v>
          </cell>
          <cell r="E51">
            <v>233.33</v>
          </cell>
          <cell r="F51">
            <v>243.88</v>
          </cell>
          <cell r="G51">
            <v>3499.95</v>
          </cell>
          <cell r="H51">
            <v>0</v>
          </cell>
          <cell r="I51">
            <v>0</v>
          </cell>
          <cell r="J51">
            <v>3499.95</v>
          </cell>
          <cell r="K51">
            <v>134.36000000000001</v>
          </cell>
          <cell r="L51">
            <v>0</v>
          </cell>
          <cell r="M51">
            <v>86.88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550.83000000000004</v>
          </cell>
          <cell r="T51">
            <v>0.08</v>
          </cell>
          <cell r="U51">
            <v>772.15</v>
          </cell>
          <cell r="V51">
            <v>2727.8</v>
          </cell>
        </row>
        <row r="52">
          <cell r="B52" t="str">
            <v>Martinez Morales Tomas</v>
          </cell>
          <cell r="C52">
            <v>15</v>
          </cell>
          <cell r="D52">
            <v>0</v>
          </cell>
          <cell r="E52">
            <v>312.87</v>
          </cell>
          <cell r="F52">
            <v>327.01</v>
          </cell>
          <cell r="G52">
            <v>4693.05</v>
          </cell>
          <cell r="H52">
            <v>0</v>
          </cell>
          <cell r="I52">
            <v>0</v>
          </cell>
          <cell r="J52">
            <v>4693.05</v>
          </cell>
          <cell r="K52">
            <v>411.56</v>
          </cell>
          <cell r="L52">
            <v>0</v>
          </cell>
          <cell r="M52">
            <v>120.9</v>
          </cell>
          <cell r="N52">
            <v>1881.2</v>
          </cell>
          <cell r="O52">
            <v>0</v>
          </cell>
          <cell r="P52">
            <v>15</v>
          </cell>
          <cell r="Q52">
            <v>0</v>
          </cell>
          <cell r="R52">
            <v>301.5</v>
          </cell>
          <cell r="T52">
            <v>0.09</v>
          </cell>
          <cell r="U52">
            <v>2730.25</v>
          </cell>
          <cell r="V52">
            <v>1962.8</v>
          </cell>
        </row>
        <row r="53">
          <cell r="B53" t="str">
            <v>Medellin Colunga Ruben Dario</v>
          </cell>
          <cell r="C53">
            <v>15</v>
          </cell>
          <cell r="D53">
            <v>0</v>
          </cell>
          <cell r="E53">
            <v>312.87</v>
          </cell>
          <cell r="F53">
            <v>327.01</v>
          </cell>
          <cell r="G53">
            <v>4693.05</v>
          </cell>
          <cell r="H53">
            <v>0</v>
          </cell>
          <cell r="I53">
            <v>0</v>
          </cell>
          <cell r="J53">
            <v>4693.05</v>
          </cell>
          <cell r="K53">
            <v>411.56</v>
          </cell>
          <cell r="L53">
            <v>0</v>
          </cell>
          <cell r="M53">
            <v>120.9</v>
          </cell>
          <cell r="N53">
            <v>2177.34</v>
          </cell>
          <cell r="O53">
            <v>0</v>
          </cell>
          <cell r="P53">
            <v>15</v>
          </cell>
          <cell r="Q53">
            <v>0</v>
          </cell>
          <cell r="R53">
            <v>395.82</v>
          </cell>
          <cell r="T53">
            <v>0.03</v>
          </cell>
          <cell r="U53">
            <v>3120.65</v>
          </cell>
          <cell r="V53">
            <v>1572.4</v>
          </cell>
        </row>
        <row r="54">
          <cell r="B54" t="str">
            <v>Torres Perez Carlos Alberto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  <cell r="J54">
            <v>3582.6</v>
          </cell>
          <cell r="K54">
            <v>161.08000000000001</v>
          </cell>
          <cell r="L54">
            <v>0</v>
          </cell>
          <cell r="M54">
            <v>88.93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253.5</v>
          </cell>
          <cell r="T54">
            <v>-0.11</v>
          </cell>
          <cell r="U54">
            <v>503.4</v>
          </cell>
          <cell r="V54">
            <v>3079.2</v>
          </cell>
        </row>
        <row r="55">
          <cell r="B55" t="str">
            <v>Treviño Alvarez Jorge Alberto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  <cell r="J55">
            <v>3582.6</v>
          </cell>
          <cell r="K55">
            <v>161.08000000000001</v>
          </cell>
          <cell r="L55">
            <v>0</v>
          </cell>
          <cell r="M55">
            <v>88.93</v>
          </cell>
          <cell r="N55">
            <v>1202.43</v>
          </cell>
          <cell r="O55">
            <v>0</v>
          </cell>
          <cell r="P55">
            <v>15</v>
          </cell>
          <cell r="Q55">
            <v>0</v>
          </cell>
          <cell r="R55">
            <v>310</v>
          </cell>
          <cell r="T55">
            <v>-0.04</v>
          </cell>
          <cell r="U55">
            <v>1777.4</v>
          </cell>
          <cell r="V55">
            <v>1805.2</v>
          </cell>
        </row>
        <row r="56">
          <cell r="B56" t="str">
            <v>Tenorio Alvarez Alberto Antonio</v>
          </cell>
          <cell r="C56">
            <v>15</v>
          </cell>
          <cell r="D56">
            <v>0</v>
          </cell>
          <cell r="E56">
            <v>238.84</v>
          </cell>
          <cell r="F56">
            <v>249.64</v>
          </cell>
          <cell r="G56">
            <v>3582.6</v>
          </cell>
          <cell r="H56">
            <v>0</v>
          </cell>
          <cell r="I56">
            <v>0</v>
          </cell>
          <cell r="J56">
            <v>3582.6</v>
          </cell>
          <cell r="K56">
            <v>161.08000000000001</v>
          </cell>
          <cell r="L56">
            <v>0</v>
          </cell>
          <cell r="M56">
            <v>88.93</v>
          </cell>
          <cell r="N56">
            <v>0</v>
          </cell>
          <cell r="O56">
            <v>1122.6300000000001</v>
          </cell>
          <cell r="P56">
            <v>15</v>
          </cell>
          <cell r="Q56">
            <v>0</v>
          </cell>
          <cell r="R56">
            <v>0</v>
          </cell>
          <cell r="T56">
            <v>-0.04</v>
          </cell>
          <cell r="U56">
            <v>1387.6</v>
          </cell>
          <cell r="V56">
            <v>2195</v>
          </cell>
        </row>
        <row r="57">
          <cell r="B57" t="str">
            <v>Chavez Dominguez Salvador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  <cell r="J57">
            <v>3582.6</v>
          </cell>
          <cell r="K57">
            <v>161.08000000000001</v>
          </cell>
          <cell r="L57">
            <v>0</v>
          </cell>
          <cell r="M57">
            <v>88.93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-0.01</v>
          </cell>
          <cell r="U57">
            <v>250</v>
          </cell>
          <cell r="V57">
            <v>3332.6</v>
          </cell>
        </row>
        <row r="58">
          <cell r="B58" t="str">
            <v>Garcia Gutierrez Jose Juan</v>
          </cell>
          <cell r="C58">
            <v>15</v>
          </cell>
          <cell r="D58">
            <v>0</v>
          </cell>
          <cell r="E58">
            <v>200</v>
          </cell>
          <cell r="F58">
            <v>212.11</v>
          </cell>
          <cell r="G58">
            <v>3000</v>
          </cell>
          <cell r="H58">
            <v>0</v>
          </cell>
          <cell r="I58">
            <v>0</v>
          </cell>
          <cell r="J58">
            <v>3000</v>
          </cell>
          <cell r="K58">
            <v>59.69</v>
          </cell>
          <cell r="L58">
            <v>0</v>
          </cell>
          <cell r="M58">
            <v>75.56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T58">
            <v>-0.05</v>
          </cell>
          <cell r="U58">
            <v>135.19999999999999</v>
          </cell>
          <cell r="V58">
            <v>2864.8</v>
          </cell>
        </row>
        <row r="59">
          <cell r="B59" t="str">
            <v>Cruz Herrera Roberto</v>
          </cell>
          <cell r="C59">
            <v>15</v>
          </cell>
          <cell r="D59">
            <v>0</v>
          </cell>
          <cell r="E59">
            <v>238.84</v>
          </cell>
          <cell r="F59">
            <v>249.64</v>
          </cell>
          <cell r="G59">
            <v>3582.6</v>
          </cell>
          <cell r="H59">
            <v>0</v>
          </cell>
          <cell r="I59">
            <v>0</v>
          </cell>
          <cell r="J59">
            <v>3582.6</v>
          </cell>
          <cell r="K59">
            <v>161.08000000000001</v>
          </cell>
          <cell r="L59">
            <v>0</v>
          </cell>
          <cell r="M59">
            <v>88.93</v>
          </cell>
          <cell r="N59">
            <v>692.93</v>
          </cell>
          <cell r="O59">
            <v>0</v>
          </cell>
          <cell r="P59">
            <v>15</v>
          </cell>
          <cell r="Q59">
            <v>0</v>
          </cell>
          <cell r="R59">
            <v>0</v>
          </cell>
          <cell r="T59">
            <v>0.06</v>
          </cell>
          <cell r="U59">
            <v>958</v>
          </cell>
          <cell r="V59">
            <v>2624.6</v>
          </cell>
        </row>
        <row r="60">
          <cell r="B60" t="str">
            <v>Martinez Rodriguez Paulo Cesar</v>
          </cell>
          <cell r="C60">
            <v>15</v>
          </cell>
          <cell r="D60">
            <v>0</v>
          </cell>
          <cell r="E60">
            <v>166.67</v>
          </cell>
          <cell r="F60">
            <v>174.2</v>
          </cell>
          <cell r="G60">
            <v>2500.0500000000002</v>
          </cell>
          <cell r="H60">
            <v>0</v>
          </cell>
          <cell r="I60">
            <v>0</v>
          </cell>
          <cell r="J60">
            <v>2500.0500000000002</v>
          </cell>
          <cell r="K60">
            <v>0</v>
          </cell>
          <cell r="L60">
            <v>-9.6199999999999992</v>
          </cell>
          <cell r="M60">
            <v>62.06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0.01</v>
          </cell>
          <cell r="U60">
            <v>52.45</v>
          </cell>
          <cell r="V60">
            <v>2447.6</v>
          </cell>
        </row>
        <row r="61">
          <cell r="B61" t="str">
            <v>Martinez Malo Cesar</v>
          </cell>
          <cell r="C61">
            <v>15</v>
          </cell>
          <cell r="D61">
            <v>0</v>
          </cell>
          <cell r="E61">
            <v>195.38</v>
          </cell>
          <cell r="F61">
            <v>204.21</v>
          </cell>
          <cell r="G61">
            <v>2930.7</v>
          </cell>
          <cell r="H61">
            <v>0</v>
          </cell>
          <cell r="I61">
            <v>0</v>
          </cell>
          <cell r="J61">
            <v>2930.7</v>
          </cell>
          <cell r="K61">
            <v>52.15</v>
          </cell>
          <cell r="L61">
            <v>0</v>
          </cell>
          <cell r="M61">
            <v>72.75</v>
          </cell>
          <cell r="N61">
            <v>898.5</v>
          </cell>
          <cell r="O61">
            <v>0</v>
          </cell>
          <cell r="P61">
            <v>15</v>
          </cell>
          <cell r="Q61">
            <v>0</v>
          </cell>
          <cell r="R61">
            <v>0</v>
          </cell>
          <cell r="T61">
            <v>-0.1</v>
          </cell>
          <cell r="U61">
            <v>1038.3</v>
          </cell>
          <cell r="V61">
            <v>1892.4</v>
          </cell>
        </row>
        <row r="62">
          <cell r="B62" t="str">
            <v>Perez Balboa Cesar</v>
          </cell>
          <cell r="C62">
            <v>15</v>
          </cell>
          <cell r="D62">
            <v>0</v>
          </cell>
          <cell r="E62">
            <v>195.38</v>
          </cell>
          <cell r="F62">
            <v>204.21</v>
          </cell>
          <cell r="G62">
            <v>2930.7</v>
          </cell>
          <cell r="H62">
            <v>0</v>
          </cell>
          <cell r="I62">
            <v>0</v>
          </cell>
          <cell r="J62">
            <v>2930.7</v>
          </cell>
          <cell r="K62">
            <v>52.15</v>
          </cell>
          <cell r="L62">
            <v>0</v>
          </cell>
          <cell r="M62">
            <v>72.75</v>
          </cell>
          <cell r="N62">
            <v>909.21</v>
          </cell>
          <cell r="O62">
            <v>0</v>
          </cell>
          <cell r="P62">
            <v>15</v>
          </cell>
          <cell r="Q62">
            <v>0</v>
          </cell>
          <cell r="R62">
            <v>0</v>
          </cell>
          <cell r="T62">
            <v>-0.01</v>
          </cell>
          <cell r="U62">
            <v>1049.0999999999999</v>
          </cell>
          <cell r="V62">
            <v>1881.6</v>
          </cell>
        </row>
        <row r="63">
          <cell r="B63" t="str">
            <v>Mejia  Duarte Jose Luis</v>
          </cell>
          <cell r="C63">
            <v>15</v>
          </cell>
          <cell r="D63">
            <v>0</v>
          </cell>
          <cell r="E63">
            <v>166.67</v>
          </cell>
          <cell r="F63">
            <v>176.76</v>
          </cell>
          <cell r="G63">
            <v>2500.0500000000002</v>
          </cell>
          <cell r="H63">
            <v>0</v>
          </cell>
          <cell r="I63">
            <v>0</v>
          </cell>
          <cell r="J63">
            <v>2500.0500000000002</v>
          </cell>
          <cell r="K63">
            <v>0</v>
          </cell>
          <cell r="L63">
            <v>-9.6199999999999992</v>
          </cell>
          <cell r="M63">
            <v>62.97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0.1</v>
          </cell>
          <cell r="U63">
            <v>53.45</v>
          </cell>
          <cell r="V63">
            <v>2446.6</v>
          </cell>
        </row>
        <row r="64">
          <cell r="B64" t="str">
            <v xml:space="preserve">Cerro  Garcia  Elvis </v>
          </cell>
          <cell r="C64">
            <v>15</v>
          </cell>
          <cell r="D64">
            <v>0</v>
          </cell>
          <cell r="E64">
            <v>166.67</v>
          </cell>
          <cell r="F64">
            <v>177.03</v>
          </cell>
          <cell r="G64">
            <v>2500.0500000000002</v>
          </cell>
          <cell r="H64">
            <v>0</v>
          </cell>
          <cell r="I64">
            <v>0</v>
          </cell>
          <cell r="J64">
            <v>2500.0500000000002</v>
          </cell>
          <cell r="K64">
            <v>0</v>
          </cell>
          <cell r="L64">
            <v>-9.6199999999999992</v>
          </cell>
          <cell r="M64">
            <v>63.07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  <cell r="U64">
            <v>53.45</v>
          </cell>
          <cell r="V64">
            <v>2446.6</v>
          </cell>
        </row>
        <row r="65">
          <cell r="B65" t="str">
            <v xml:space="preserve">Gutierrez  Castillo  Jose De Jesus </v>
          </cell>
          <cell r="C65">
            <v>15</v>
          </cell>
          <cell r="D65">
            <v>0</v>
          </cell>
          <cell r="E65">
            <v>200</v>
          </cell>
          <cell r="F65">
            <v>209.04</v>
          </cell>
          <cell r="G65">
            <v>3000</v>
          </cell>
          <cell r="H65">
            <v>0</v>
          </cell>
          <cell r="I65">
            <v>0</v>
          </cell>
          <cell r="J65">
            <v>3000</v>
          </cell>
          <cell r="K65">
            <v>59.69</v>
          </cell>
          <cell r="L65">
            <v>0</v>
          </cell>
          <cell r="M65">
            <v>74.48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T65">
            <v>0.03</v>
          </cell>
          <cell r="U65">
            <v>134.19999999999999</v>
          </cell>
          <cell r="V65">
            <v>2865.8</v>
          </cell>
        </row>
        <row r="66">
          <cell r="B66" t="str">
            <v xml:space="preserve">Lizaran Maceda  Jose Guadalupe </v>
          </cell>
          <cell r="C66">
            <v>15</v>
          </cell>
          <cell r="D66">
            <v>0</v>
          </cell>
          <cell r="E66">
            <v>166.67</v>
          </cell>
          <cell r="F66">
            <v>175.8</v>
          </cell>
          <cell r="G66">
            <v>2500.0500000000002</v>
          </cell>
          <cell r="H66">
            <v>0</v>
          </cell>
          <cell r="I66">
            <v>0</v>
          </cell>
          <cell r="J66">
            <v>2500.0500000000002</v>
          </cell>
          <cell r="K66">
            <v>0</v>
          </cell>
          <cell r="L66">
            <v>-9.6199999999999992</v>
          </cell>
          <cell r="M66">
            <v>62.63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-0.16</v>
          </cell>
          <cell r="U66">
            <v>52.85</v>
          </cell>
          <cell r="V66">
            <v>2447.1999999999998</v>
          </cell>
        </row>
        <row r="67">
          <cell r="B67" t="str">
            <v>Mendez Rivera Ivan Israel</v>
          </cell>
          <cell r="C67">
            <v>15</v>
          </cell>
          <cell r="D67">
            <v>0</v>
          </cell>
          <cell r="E67">
            <v>166.66</v>
          </cell>
          <cell r="F67">
            <v>174.19</v>
          </cell>
          <cell r="G67">
            <v>2499.9</v>
          </cell>
          <cell r="H67">
            <v>0</v>
          </cell>
          <cell r="I67">
            <v>0</v>
          </cell>
          <cell r="J67">
            <v>2499.9</v>
          </cell>
          <cell r="K67">
            <v>0</v>
          </cell>
          <cell r="L67">
            <v>-9.64</v>
          </cell>
          <cell r="M67">
            <v>62.06</v>
          </cell>
          <cell r="N67">
            <v>417.76</v>
          </cell>
          <cell r="O67">
            <v>0</v>
          </cell>
          <cell r="P67">
            <v>15</v>
          </cell>
          <cell r="Q67">
            <v>0</v>
          </cell>
          <cell r="R67">
            <v>0</v>
          </cell>
          <cell r="T67">
            <v>-0.08</v>
          </cell>
          <cell r="U67">
            <v>485.1</v>
          </cell>
          <cell r="V67">
            <v>2014.8</v>
          </cell>
        </row>
        <row r="68">
          <cell r="B68" t="str">
            <v xml:space="preserve">Ruiz  Flores  Aldo Tomas </v>
          </cell>
          <cell r="C68">
            <v>15</v>
          </cell>
          <cell r="D68">
            <v>0</v>
          </cell>
          <cell r="E68">
            <v>200</v>
          </cell>
          <cell r="F68">
            <v>212.11</v>
          </cell>
          <cell r="G68">
            <v>3000</v>
          </cell>
          <cell r="H68">
            <v>0</v>
          </cell>
          <cell r="I68">
            <v>0</v>
          </cell>
          <cell r="J68">
            <v>3000</v>
          </cell>
          <cell r="K68">
            <v>59.69</v>
          </cell>
          <cell r="L68">
            <v>0</v>
          </cell>
          <cell r="M68">
            <v>75.56</v>
          </cell>
          <cell r="N68">
            <v>0</v>
          </cell>
          <cell r="O68">
            <v>0</v>
          </cell>
          <cell r="P68">
            <v>0</v>
          </cell>
          <cell r="Q68">
            <v>581.73</v>
          </cell>
          <cell r="R68">
            <v>0</v>
          </cell>
          <cell r="T68">
            <v>0.02</v>
          </cell>
          <cell r="U68">
            <v>717</v>
          </cell>
          <cell r="V68">
            <v>2283</v>
          </cell>
        </row>
        <row r="69">
          <cell r="B69" t="str">
            <v xml:space="preserve">Macias  Torres  Enrique </v>
          </cell>
          <cell r="C69">
            <v>13</v>
          </cell>
          <cell r="D69">
            <v>0</v>
          </cell>
          <cell r="E69">
            <v>256.67</v>
          </cell>
          <cell r="F69">
            <v>272.20999999999998</v>
          </cell>
          <cell r="G69">
            <v>3336.71</v>
          </cell>
          <cell r="H69">
            <v>0</v>
          </cell>
          <cell r="I69">
            <v>0</v>
          </cell>
          <cell r="J69">
            <v>3336.71</v>
          </cell>
          <cell r="K69">
            <v>116.6</v>
          </cell>
          <cell r="L69">
            <v>0</v>
          </cell>
          <cell r="M69">
            <v>88.57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616.65</v>
          </cell>
          <cell r="T69">
            <v>-0.11</v>
          </cell>
          <cell r="U69">
            <v>821.71</v>
          </cell>
          <cell r="V69">
            <v>2515</v>
          </cell>
        </row>
        <row r="70">
          <cell r="B70" t="str">
            <v>Palacios Vega Luis Rosendo</v>
          </cell>
          <cell r="C70">
            <v>15</v>
          </cell>
          <cell r="D70">
            <v>0</v>
          </cell>
          <cell r="E70">
            <v>166.67</v>
          </cell>
          <cell r="F70">
            <v>174.2</v>
          </cell>
          <cell r="G70">
            <v>2500.0500000000002</v>
          </cell>
          <cell r="H70">
            <v>0</v>
          </cell>
          <cell r="I70">
            <v>0</v>
          </cell>
          <cell r="J70">
            <v>2500.0500000000002</v>
          </cell>
          <cell r="K70">
            <v>0</v>
          </cell>
          <cell r="L70">
            <v>-9.6199999999999992</v>
          </cell>
          <cell r="M70">
            <v>62.06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T70">
            <v>0.01</v>
          </cell>
          <cell r="U70">
            <v>52.45</v>
          </cell>
          <cell r="V70">
            <v>2447.6</v>
          </cell>
        </row>
        <row r="71">
          <cell r="B71" t="str">
            <v>Rondero Savin Jacinto</v>
          </cell>
          <cell r="C71">
            <v>15</v>
          </cell>
          <cell r="D71">
            <v>0</v>
          </cell>
          <cell r="E71">
            <v>233.33</v>
          </cell>
          <cell r="F71">
            <v>243.88</v>
          </cell>
          <cell r="G71">
            <v>3499.95</v>
          </cell>
          <cell r="H71">
            <v>0</v>
          </cell>
          <cell r="I71">
            <v>0</v>
          </cell>
          <cell r="J71">
            <v>3499.95</v>
          </cell>
          <cell r="K71">
            <v>134.36000000000001</v>
          </cell>
          <cell r="L71">
            <v>0</v>
          </cell>
          <cell r="M71">
            <v>86.88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T71">
            <v>-0.09</v>
          </cell>
          <cell r="U71">
            <v>221.15</v>
          </cell>
          <cell r="V71">
            <v>3278.8</v>
          </cell>
        </row>
        <row r="72">
          <cell r="B72" t="str">
            <v>Peña Lopez Abigail</v>
          </cell>
          <cell r="C72">
            <v>15</v>
          </cell>
          <cell r="D72">
            <v>0</v>
          </cell>
          <cell r="E72">
            <v>230</v>
          </cell>
          <cell r="F72">
            <v>243.93</v>
          </cell>
          <cell r="G72">
            <v>3450</v>
          </cell>
          <cell r="H72">
            <v>0</v>
          </cell>
          <cell r="I72">
            <v>0</v>
          </cell>
          <cell r="J72">
            <v>3450</v>
          </cell>
          <cell r="K72">
            <v>128.93</v>
          </cell>
          <cell r="L72">
            <v>0</v>
          </cell>
          <cell r="M72">
            <v>86.9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T72">
            <v>-0.03</v>
          </cell>
          <cell r="U72">
            <v>215.8</v>
          </cell>
          <cell r="V72">
            <v>3234.2</v>
          </cell>
        </row>
        <row r="73">
          <cell r="B73" t="str">
            <v>Hernandez Rodriguez Jorge</v>
          </cell>
          <cell r="C73">
            <v>15</v>
          </cell>
          <cell r="D73">
            <v>0</v>
          </cell>
          <cell r="E73">
            <v>233.33</v>
          </cell>
          <cell r="F73">
            <v>247.46</v>
          </cell>
          <cell r="G73">
            <v>3499.95</v>
          </cell>
          <cell r="H73">
            <v>0</v>
          </cell>
          <cell r="I73">
            <v>0</v>
          </cell>
          <cell r="J73">
            <v>3499.95</v>
          </cell>
          <cell r="K73">
            <v>134.36000000000001</v>
          </cell>
          <cell r="L73">
            <v>0</v>
          </cell>
          <cell r="M73">
            <v>88.16</v>
          </cell>
          <cell r="N73">
            <v>1463.13</v>
          </cell>
          <cell r="O73">
            <v>0</v>
          </cell>
          <cell r="P73">
            <v>15</v>
          </cell>
          <cell r="Q73">
            <v>0</v>
          </cell>
          <cell r="R73">
            <v>0</v>
          </cell>
          <cell r="T73">
            <v>-0.1</v>
          </cell>
          <cell r="U73">
            <v>1700.55</v>
          </cell>
          <cell r="V73">
            <v>1799.4</v>
          </cell>
        </row>
        <row r="74">
          <cell r="B74" t="str">
            <v>Orea Gonzalez Concepcion Esteban</v>
          </cell>
          <cell r="C74">
            <v>15</v>
          </cell>
          <cell r="D74">
            <v>0</v>
          </cell>
          <cell r="E74">
            <v>210</v>
          </cell>
          <cell r="F74">
            <v>222.72</v>
          </cell>
          <cell r="G74">
            <v>3150</v>
          </cell>
          <cell r="H74">
            <v>0</v>
          </cell>
          <cell r="I74">
            <v>0</v>
          </cell>
          <cell r="J74">
            <v>3150</v>
          </cell>
          <cell r="K74">
            <v>96.29</v>
          </cell>
          <cell r="L74">
            <v>0</v>
          </cell>
          <cell r="M74">
            <v>79.34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0.17</v>
          </cell>
          <cell r="U74">
            <v>175.8</v>
          </cell>
          <cell r="V74">
            <v>2974.2</v>
          </cell>
        </row>
        <row r="75">
          <cell r="B75" t="str">
            <v>Lizaran Maceda Jesus</v>
          </cell>
          <cell r="C75">
            <v>15</v>
          </cell>
          <cell r="D75">
            <v>0</v>
          </cell>
          <cell r="E75">
            <v>210</v>
          </cell>
          <cell r="F75">
            <v>222.72</v>
          </cell>
          <cell r="G75">
            <v>3150</v>
          </cell>
          <cell r="H75">
            <v>0</v>
          </cell>
          <cell r="I75">
            <v>0</v>
          </cell>
          <cell r="J75">
            <v>3150</v>
          </cell>
          <cell r="K75">
            <v>96.29</v>
          </cell>
          <cell r="L75">
            <v>0</v>
          </cell>
          <cell r="M75">
            <v>79.34</v>
          </cell>
          <cell r="N75">
            <v>0</v>
          </cell>
          <cell r="O75">
            <v>312.35000000000002</v>
          </cell>
          <cell r="P75">
            <v>15</v>
          </cell>
          <cell r="Q75">
            <v>0</v>
          </cell>
          <cell r="R75">
            <v>0</v>
          </cell>
          <cell r="T75">
            <v>0.02</v>
          </cell>
          <cell r="U75">
            <v>503</v>
          </cell>
          <cell r="V75">
            <v>2647</v>
          </cell>
        </row>
        <row r="76">
          <cell r="B76" t="str">
            <v>Alejandro Peña Deivi</v>
          </cell>
          <cell r="C76">
            <v>15</v>
          </cell>
          <cell r="D76">
            <v>0</v>
          </cell>
          <cell r="E76">
            <v>210</v>
          </cell>
          <cell r="F76">
            <v>222.72</v>
          </cell>
          <cell r="G76">
            <v>3150</v>
          </cell>
          <cell r="H76">
            <v>0</v>
          </cell>
          <cell r="I76">
            <v>0</v>
          </cell>
          <cell r="J76">
            <v>3150</v>
          </cell>
          <cell r="K76">
            <v>96.29</v>
          </cell>
          <cell r="L76">
            <v>0</v>
          </cell>
          <cell r="M76">
            <v>79.34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0.17</v>
          </cell>
          <cell r="U76">
            <v>175.8</v>
          </cell>
          <cell r="V76">
            <v>2974.2</v>
          </cell>
        </row>
        <row r="77">
          <cell r="B77" t="str">
            <v>Casas Chavarria Rafael</v>
          </cell>
          <cell r="C77">
            <v>15</v>
          </cell>
          <cell r="D77">
            <v>0</v>
          </cell>
          <cell r="E77">
            <v>210</v>
          </cell>
          <cell r="F77">
            <v>222.72</v>
          </cell>
          <cell r="G77">
            <v>3150</v>
          </cell>
          <cell r="H77">
            <v>0</v>
          </cell>
          <cell r="I77">
            <v>0</v>
          </cell>
          <cell r="J77">
            <v>3150</v>
          </cell>
          <cell r="K77">
            <v>96.29</v>
          </cell>
          <cell r="L77">
            <v>0</v>
          </cell>
          <cell r="M77">
            <v>79.34</v>
          </cell>
          <cell r="N77">
            <v>0</v>
          </cell>
          <cell r="O77">
            <v>961.79</v>
          </cell>
          <cell r="P77">
            <v>15</v>
          </cell>
          <cell r="Q77">
            <v>0</v>
          </cell>
          <cell r="R77">
            <v>0</v>
          </cell>
          <cell r="T77">
            <v>-0.02</v>
          </cell>
          <cell r="U77">
            <v>1152.4000000000001</v>
          </cell>
          <cell r="V77">
            <v>1997.6</v>
          </cell>
        </row>
        <row r="78">
          <cell r="B78" t="str">
            <v>Del Pilar Mendez Lucio</v>
          </cell>
          <cell r="C78">
            <v>15</v>
          </cell>
          <cell r="D78">
            <v>0</v>
          </cell>
          <cell r="E78">
            <v>200</v>
          </cell>
          <cell r="F78">
            <v>209.04</v>
          </cell>
          <cell r="G78">
            <v>3000</v>
          </cell>
          <cell r="H78">
            <v>0</v>
          </cell>
          <cell r="I78">
            <v>0</v>
          </cell>
          <cell r="J78">
            <v>3000</v>
          </cell>
          <cell r="K78">
            <v>59.69</v>
          </cell>
          <cell r="L78">
            <v>0</v>
          </cell>
          <cell r="M78">
            <v>74.48</v>
          </cell>
          <cell r="N78">
            <v>0</v>
          </cell>
          <cell r="O78">
            <v>1605.6</v>
          </cell>
          <cell r="P78">
            <v>15</v>
          </cell>
          <cell r="Q78">
            <v>0</v>
          </cell>
          <cell r="R78">
            <v>0</v>
          </cell>
          <cell r="T78">
            <v>0.03</v>
          </cell>
          <cell r="U78">
            <v>1754.8</v>
          </cell>
          <cell r="V78">
            <v>1245.2</v>
          </cell>
        </row>
        <row r="79">
          <cell r="B79" t="str">
            <v>Garcia Valderrama Jose De Jesus</v>
          </cell>
          <cell r="C79">
            <v>15</v>
          </cell>
          <cell r="D79">
            <v>0</v>
          </cell>
          <cell r="E79">
            <v>200</v>
          </cell>
          <cell r="F79">
            <v>209.04</v>
          </cell>
          <cell r="G79">
            <v>3000</v>
          </cell>
          <cell r="H79">
            <v>0</v>
          </cell>
          <cell r="I79">
            <v>0</v>
          </cell>
          <cell r="J79">
            <v>3000</v>
          </cell>
          <cell r="K79">
            <v>59.69</v>
          </cell>
          <cell r="L79">
            <v>0</v>
          </cell>
          <cell r="M79">
            <v>74.48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T79">
            <v>-0.17</v>
          </cell>
          <cell r="U79">
            <v>134</v>
          </cell>
          <cell r="V79">
            <v>2866</v>
          </cell>
        </row>
        <row r="80">
          <cell r="B80" t="str">
            <v>Gonzalez Ramirez Paul</v>
          </cell>
          <cell r="C80">
            <v>15</v>
          </cell>
          <cell r="D80">
            <v>0</v>
          </cell>
          <cell r="E80">
            <v>200</v>
          </cell>
          <cell r="F80">
            <v>209.04</v>
          </cell>
          <cell r="G80">
            <v>3000</v>
          </cell>
          <cell r="H80">
            <v>0</v>
          </cell>
          <cell r="I80">
            <v>0</v>
          </cell>
          <cell r="J80">
            <v>3000</v>
          </cell>
          <cell r="K80">
            <v>59.69</v>
          </cell>
          <cell r="L80">
            <v>0</v>
          </cell>
          <cell r="M80">
            <v>74.48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0.03</v>
          </cell>
          <cell r="U80">
            <v>134.19999999999999</v>
          </cell>
          <cell r="V80">
            <v>2865.8</v>
          </cell>
        </row>
        <row r="81">
          <cell r="B81" t="str">
            <v>Alejandro Vazquez Erasmo Miguel</v>
          </cell>
          <cell r="C81">
            <v>15</v>
          </cell>
          <cell r="D81">
            <v>0</v>
          </cell>
          <cell r="E81">
            <v>200</v>
          </cell>
          <cell r="F81">
            <v>212.11</v>
          </cell>
          <cell r="G81">
            <v>3000</v>
          </cell>
          <cell r="H81">
            <v>0</v>
          </cell>
          <cell r="I81">
            <v>0</v>
          </cell>
          <cell r="J81">
            <v>3000</v>
          </cell>
          <cell r="K81">
            <v>59.69</v>
          </cell>
          <cell r="L81">
            <v>0</v>
          </cell>
          <cell r="M81">
            <v>75.56</v>
          </cell>
          <cell r="N81">
            <v>0</v>
          </cell>
          <cell r="O81">
            <v>477.81</v>
          </cell>
          <cell r="P81">
            <v>15</v>
          </cell>
          <cell r="Q81">
            <v>0</v>
          </cell>
          <cell r="R81">
            <v>0</v>
          </cell>
          <cell r="T81">
            <v>-0.06</v>
          </cell>
          <cell r="U81">
            <v>628</v>
          </cell>
          <cell r="V81">
            <v>2372</v>
          </cell>
        </row>
        <row r="82">
          <cell r="B82" t="str">
            <v>Hernandez Ojeda Julio Cesar</v>
          </cell>
          <cell r="C82">
            <v>15</v>
          </cell>
          <cell r="D82">
            <v>0</v>
          </cell>
          <cell r="E82">
            <v>116.67</v>
          </cell>
          <cell r="F82">
            <v>123.73</v>
          </cell>
          <cell r="G82">
            <v>1750.05</v>
          </cell>
          <cell r="H82">
            <v>0</v>
          </cell>
          <cell r="I82">
            <v>0</v>
          </cell>
          <cell r="J82">
            <v>1750.05</v>
          </cell>
          <cell r="K82">
            <v>0</v>
          </cell>
          <cell r="L82">
            <v>-89.5</v>
          </cell>
          <cell r="M82">
            <v>44.08</v>
          </cell>
          <cell r="N82">
            <v>0</v>
          </cell>
          <cell r="O82">
            <v>854.85</v>
          </cell>
          <cell r="P82">
            <v>15</v>
          </cell>
          <cell r="Q82">
            <v>0</v>
          </cell>
          <cell r="R82">
            <v>0</v>
          </cell>
          <cell r="T82">
            <v>0.02</v>
          </cell>
          <cell r="U82">
            <v>824.45</v>
          </cell>
          <cell r="V82">
            <v>925.6</v>
          </cell>
        </row>
        <row r="83">
          <cell r="B83" t="str">
            <v>Serrano Esquivel Armando</v>
          </cell>
          <cell r="C83">
            <v>15</v>
          </cell>
          <cell r="D83">
            <v>0</v>
          </cell>
          <cell r="E83">
            <v>116.67</v>
          </cell>
          <cell r="F83">
            <v>123.73</v>
          </cell>
          <cell r="G83">
            <v>1750.05</v>
          </cell>
          <cell r="H83">
            <v>0</v>
          </cell>
          <cell r="I83">
            <v>0</v>
          </cell>
          <cell r="J83">
            <v>1750.05</v>
          </cell>
          <cell r="K83">
            <v>0</v>
          </cell>
          <cell r="L83">
            <v>-89.5</v>
          </cell>
          <cell r="M83">
            <v>44.08</v>
          </cell>
          <cell r="N83">
            <v>801.02</v>
          </cell>
          <cell r="O83">
            <v>0</v>
          </cell>
          <cell r="P83">
            <v>15</v>
          </cell>
          <cell r="Q83">
            <v>0</v>
          </cell>
          <cell r="R83">
            <v>0</v>
          </cell>
          <cell r="T83">
            <v>0.05</v>
          </cell>
          <cell r="U83">
            <v>770.65</v>
          </cell>
          <cell r="V83">
            <v>979.4</v>
          </cell>
        </row>
        <row r="84">
          <cell r="B84" t="str">
            <v>Coronado Vega Carlos Eduardo</v>
          </cell>
          <cell r="C84">
            <v>15</v>
          </cell>
          <cell r="D84">
            <v>0</v>
          </cell>
          <cell r="E84">
            <v>210</v>
          </cell>
          <cell r="F84">
            <v>222.72</v>
          </cell>
          <cell r="G84">
            <v>3150</v>
          </cell>
          <cell r="H84">
            <v>0</v>
          </cell>
          <cell r="I84">
            <v>0</v>
          </cell>
          <cell r="J84">
            <v>3150</v>
          </cell>
          <cell r="K84">
            <v>96.29</v>
          </cell>
          <cell r="L84">
            <v>0</v>
          </cell>
          <cell r="M84">
            <v>79.34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-0.03</v>
          </cell>
          <cell r="U84">
            <v>175.6</v>
          </cell>
          <cell r="V84">
            <v>2974.4</v>
          </cell>
        </row>
        <row r="85">
          <cell r="B85" t="str">
            <v>Montes De Oca Trujillo Gloria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  <cell r="J85">
            <v>2500.0500000000002</v>
          </cell>
          <cell r="K85">
            <v>0</v>
          </cell>
          <cell r="L85">
            <v>-9.6199999999999992</v>
          </cell>
          <cell r="M85">
            <v>62.97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0.1</v>
          </cell>
          <cell r="U85">
            <v>53.45</v>
          </cell>
          <cell r="V85">
            <v>2446.6</v>
          </cell>
        </row>
        <row r="86">
          <cell r="B86" t="str">
            <v>Morales Martinez Eduardo</v>
          </cell>
          <cell r="C86">
            <v>15</v>
          </cell>
          <cell r="D86">
            <v>0</v>
          </cell>
          <cell r="E86">
            <v>210</v>
          </cell>
          <cell r="F86">
            <v>222.72</v>
          </cell>
          <cell r="G86">
            <v>3150</v>
          </cell>
          <cell r="H86">
            <v>0</v>
          </cell>
          <cell r="I86">
            <v>0</v>
          </cell>
          <cell r="J86">
            <v>3150</v>
          </cell>
          <cell r="K86">
            <v>96.29</v>
          </cell>
          <cell r="L86">
            <v>0</v>
          </cell>
          <cell r="M86">
            <v>79.34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T86">
            <v>0.17</v>
          </cell>
          <cell r="U86">
            <v>175.8</v>
          </cell>
          <cell r="V86">
            <v>2974.2</v>
          </cell>
        </row>
        <row r="87">
          <cell r="B87" t="str">
            <v>Chavez Govea Edgar Aram</v>
          </cell>
          <cell r="C87">
            <v>15</v>
          </cell>
          <cell r="D87">
            <v>0</v>
          </cell>
          <cell r="E87">
            <v>233.33</v>
          </cell>
          <cell r="F87">
            <v>247.46</v>
          </cell>
          <cell r="G87">
            <v>3499.95</v>
          </cell>
          <cell r="H87">
            <v>0</v>
          </cell>
          <cell r="I87">
            <v>0</v>
          </cell>
          <cell r="J87">
            <v>3499.95</v>
          </cell>
          <cell r="K87">
            <v>134.36000000000001</v>
          </cell>
          <cell r="L87">
            <v>0</v>
          </cell>
          <cell r="M87">
            <v>88.16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-0.17</v>
          </cell>
          <cell r="U87">
            <v>222.35</v>
          </cell>
          <cell r="V87">
            <v>3277.6</v>
          </cell>
        </row>
        <row r="88">
          <cell r="B88" t="str">
            <v>Ramirez Elizalde Karen Viridiana</v>
          </cell>
          <cell r="C88">
            <v>15</v>
          </cell>
          <cell r="D88">
            <v>0</v>
          </cell>
          <cell r="E88">
            <v>200</v>
          </cell>
          <cell r="F88">
            <v>209.04</v>
          </cell>
          <cell r="G88">
            <v>3000</v>
          </cell>
          <cell r="H88">
            <v>0</v>
          </cell>
          <cell r="I88">
            <v>0</v>
          </cell>
          <cell r="J88">
            <v>3000</v>
          </cell>
          <cell r="K88">
            <v>59.69</v>
          </cell>
          <cell r="L88">
            <v>0</v>
          </cell>
          <cell r="M88">
            <v>74.48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0.03</v>
          </cell>
          <cell r="U88">
            <v>134.19999999999999</v>
          </cell>
          <cell r="V88">
            <v>2865.8</v>
          </cell>
        </row>
        <row r="89">
          <cell r="B89" t="str">
            <v>Cruz Perez Alejandro Nezahualcoyotl</v>
          </cell>
          <cell r="C89">
            <v>15</v>
          </cell>
          <cell r="D89">
            <v>0</v>
          </cell>
          <cell r="E89">
            <v>266.67</v>
          </cell>
          <cell r="F89">
            <v>282.81</v>
          </cell>
          <cell r="G89">
            <v>4000.05</v>
          </cell>
          <cell r="H89">
            <v>0</v>
          </cell>
          <cell r="I89">
            <v>0</v>
          </cell>
          <cell r="J89">
            <v>4000.05</v>
          </cell>
          <cell r="K89">
            <v>313.87</v>
          </cell>
          <cell r="L89">
            <v>0</v>
          </cell>
          <cell r="M89">
            <v>102.51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T89">
            <v>7.0000000000000007E-2</v>
          </cell>
          <cell r="U89">
            <v>416.45</v>
          </cell>
          <cell r="V89">
            <v>3583.6</v>
          </cell>
        </row>
        <row r="90">
          <cell r="B90" t="str">
            <v>Negrete Bejar Aide Sarai</v>
          </cell>
          <cell r="C90">
            <v>15</v>
          </cell>
          <cell r="D90">
            <v>0</v>
          </cell>
          <cell r="E90">
            <v>154</v>
          </cell>
          <cell r="F90">
            <v>160.96</v>
          </cell>
          <cell r="G90">
            <v>2310</v>
          </cell>
          <cell r="H90">
            <v>0</v>
          </cell>
          <cell r="I90">
            <v>0</v>
          </cell>
          <cell r="J90">
            <v>2310</v>
          </cell>
          <cell r="K90">
            <v>0</v>
          </cell>
          <cell r="L90">
            <v>-39.729999999999997</v>
          </cell>
          <cell r="M90">
            <v>57.34</v>
          </cell>
          <cell r="N90">
            <v>999.51</v>
          </cell>
          <cell r="O90">
            <v>0</v>
          </cell>
          <cell r="P90">
            <v>15</v>
          </cell>
          <cell r="Q90">
            <v>0</v>
          </cell>
          <cell r="R90">
            <v>0</v>
          </cell>
          <cell r="T90">
            <v>-0.12</v>
          </cell>
          <cell r="U90">
            <v>1032</v>
          </cell>
          <cell r="V90">
            <v>1278</v>
          </cell>
        </row>
        <row r="91">
          <cell r="B91" t="str">
            <v>Contreras Zetina Victor Hugo</v>
          </cell>
          <cell r="C91">
            <v>15</v>
          </cell>
          <cell r="D91">
            <v>0</v>
          </cell>
          <cell r="E91">
            <v>230</v>
          </cell>
          <cell r="F91">
            <v>243.91</v>
          </cell>
          <cell r="G91">
            <v>3450</v>
          </cell>
          <cell r="H91">
            <v>0</v>
          </cell>
          <cell r="I91">
            <v>0</v>
          </cell>
          <cell r="J91">
            <v>3450</v>
          </cell>
          <cell r="K91">
            <v>128.93</v>
          </cell>
          <cell r="L91">
            <v>0</v>
          </cell>
          <cell r="M91">
            <v>86.9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-0.03</v>
          </cell>
          <cell r="U91">
            <v>215.8</v>
          </cell>
          <cell r="V91">
            <v>3234.2</v>
          </cell>
        </row>
        <row r="92">
          <cell r="B92" t="str">
            <v>Gomez Oliveros Alin</v>
          </cell>
          <cell r="C92">
            <v>15</v>
          </cell>
          <cell r="D92">
            <v>0</v>
          </cell>
          <cell r="E92">
            <v>200</v>
          </cell>
          <cell r="F92">
            <v>212.11</v>
          </cell>
          <cell r="G92">
            <v>3000</v>
          </cell>
          <cell r="H92">
            <v>0</v>
          </cell>
          <cell r="I92">
            <v>0</v>
          </cell>
          <cell r="J92">
            <v>3000</v>
          </cell>
          <cell r="K92">
            <v>59.69</v>
          </cell>
          <cell r="L92">
            <v>0</v>
          </cell>
          <cell r="M92">
            <v>75.56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T92">
            <v>-0.05</v>
          </cell>
          <cell r="U92">
            <v>135.19999999999999</v>
          </cell>
          <cell r="V92">
            <v>2864.8</v>
          </cell>
        </row>
        <row r="93">
          <cell r="B93" t="str">
            <v>Aguilar Leal Karina Livier</v>
          </cell>
          <cell r="C93">
            <v>15</v>
          </cell>
          <cell r="D93">
            <v>0</v>
          </cell>
          <cell r="E93">
            <v>266.67</v>
          </cell>
          <cell r="F93">
            <v>282.81</v>
          </cell>
          <cell r="G93">
            <v>4000.05</v>
          </cell>
          <cell r="H93">
            <v>0</v>
          </cell>
          <cell r="I93">
            <v>0</v>
          </cell>
          <cell r="J93">
            <v>4000.05</v>
          </cell>
          <cell r="K93">
            <v>313.87</v>
          </cell>
          <cell r="L93">
            <v>0</v>
          </cell>
          <cell r="M93">
            <v>102.51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T93">
            <v>7.0000000000000007E-2</v>
          </cell>
          <cell r="U93">
            <v>416.45</v>
          </cell>
          <cell r="V93">
            <v>3583.6</v>
          </cell>
        </row>
        <row r="94">
          <cell r="B94" t="str">
            <v>Amezcua Contreras Martha Frine</v>
          </cell>
          <cell r="C94">
            <v>15</v>
          </cell>
          <cell r="D94">
            <v>0</v>
          </cell>
          <cell r="E94">
            <v>566.66999999999996</v>
          </cell>
          <cell r="F94">
            <v>600.98</v>
          </cell>
          <cell r="G94">
            <v>8500.0499999999993</v>
          </cell>
          <cell r="H94">
            <v>0</v>
          </cell>
          <cell r="I94">
            <v>0</v>
          </cell>
          <cell r="J94">
            <v>8500.0499999999993</v>
          </cell>
          <cell r="K94">
            <v>1177.3900000000001</v>
          </cell>
          <cell r="L94">
            <v>0</v>
          </cell>
          <cell r="M94">
            <v>234.96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-0.1</v>
          </cell>
          <cell r="U94">
            <v>1412.25</v>
          </cell>
          <cell r="V94">
            <v>7087.8</v>
          </cell>
        </row>
        <row r="95">
          <cell r="B95" t="str">
            <v>Guizar Perez Sergio</v>
          </cell>
          <cell r="C95">
            <v>13</v>
          </cell>
          <cell r="D95">
            <v>2</v>
          </cell>
          <cell r="E95">
            <v>250</v>
          </cell>
          <cell r="F95">
            <v>265.14</v>
          </cell>
          <cell r="G95">
            <v>3250</v>
          </cell>
          <cell r="H95">
            <v>500</v>
          </cell>
          <cell r="I95">
            <v>150</v>
          </cell>
          <cell r="J95">
            <v>3900</v>
          </cell>
          <cell r="K95">
            <v>286.67</v>
          </cell>
          <cell r="L95">
            <v>0</v>
          </cell>
          <cell r="M95">
            <v>95.15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-0.02</v>
          </cell>
          <cell r="U95">
            <v>381.8</v>
          </cell>
          <cell r="V95">
            <v>3518.2</v>
          </cell>
        </row>
        <row r="96">
          <cell r="B96" t="str">
            <v>Quinto Valle Martin</v>
          </cell>
          <cell r="C96">
            <v>15</v>
          </cell>
          <cell r="D96">
            <v>0</v>
          </cell>
          <cell r="E96">
            <v>333.33</v>
          </cell>
          <cell r="F96">
            <v>353.52</v>
          </cell>
          <cell r="G96">
            <v>4999.95</v>
          </cell>
          <cell r="H96">
            <v>0</v>
          </cell>
          <cell r="I96">
            <v>0</v>
          </cell>
          <cell r="J96">
            <v>4999.95</v>
          </cell>
          <cell r="K96">
            <v>461.63</v>
          </cell>
          <cell r="L96">
            <v>0</v>
          </cell>
          <cell r="M96">
            <v>131.94999999999999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500</v>
          </cell>
          <cell r="T96">
            <v>-0.03</v>
          </cell>
          <cell r="U96">
            <v>1093.55</v>
          </cell>
          <cell r="V96">
            <v>3906.4</v>
          </cell>
        </row>
        <row r="97">
          <cell r="B97" t="str">
            <v>Negrete Renteria Jose Luis</v>
          </cell>
          <cell r="C97">
            <v>15</v>
          </cell>
          <cell r="D97">
            <v>0</v>
          </cell>
          <cell r="E97">
            <v>281.67</v>
          </cell>
          <cell r="F97">
            <v>298.72000000000003</v>
          </cell>
          <cell r="G97">
            <v>4225.05</v>
          </cell>
          <cell r="H97">
            <v>0</v>
          </cell>
          <cell r="I97">
            <v>0</v>
          </cell>
          <cell r="J97">
            <v>4225.05</v>
          </cell>
          <cell r="K97">
            <v>338.35</v>
          </cell>
          <cell r="L97">
            <v>0</v>
          </cell>
          <cell r="M97">
            <v>109.14</v>
          </cell>
          <cell r="N97">
            <v>1637.48</v>
          </cell>
          <cell r="O97">
            <v>0</v>
          </cell>
          <cell r="P97">
            <v>15</v>
          </cell>
          <cell r="Q97">
            <v>0</v>
          </cell>
          <cell r="R97">
            <v>0</v>
          </cell>
          <cell r="T97">
            <v>-0.12</v>
          </cell>
          <cell r="U97">
            <v>2099.85</v>
          </cell>
          <cell r="V97">
            <v>2125.1999999999998</v>
          </cell>
        </row>
        <row r="98">
          <cell r="B98" t="str">
            <v>Alonso Flores Beda</v>
          </cell>
          <cell r="C98">
            <v>12</v>
          </cell>
          <cell r="D98">
            <v>3</v>
          </cell>
          <cell r="E98">
            <v>341.35</v>
          </cell>
          <cell r="F98">
            <v>357.25</v>
          </cell>
          <cell r="G98">
            <v>4096.2</v>
          </cell>
          <cell r="H98">
            <v>1024.05</v>
          </cell>
          <cell r="I98">
            <v>307.22000000000003</v>
          </cell>
          <cell r="J98">
            <v>5427.47</v>
          </cell>
          <cell r="K98">
            <v>483.19</v>
          </cell>
          <cell r="L98">
            <v>0</v>
          </cell>
          <cell r="M98">
            <v>133.51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T98">
            <v>-0.03</v>
          </cell>
          <cell r="U98">
            <v>616.66999999999996</v>
          </cell>
          <cell r="V98">
            <v>4810.8</v>
          </cell>
        </row>
        <row r="99">
          <cell r="B99" t="str">
            <v>Romero Mayoral Lorenzo</v>
          </cell>
          <cell r="C99">
            <v>15</v>
          </cell>
          <cell r="D99">
            <v>0</v>
          </cell>
          <cell r="E99">
            <v>266.67</v>
          </cell>
          <cell r="F99">
            <v>282.81</v>
          </cell>
          <cell r="G99">
            <v>4000.05</v>
          </cell>
          <cell r="H99">
            <v>0</v>
          </cell>
          <cell r="I99">
            <v>0</v>
          </cell>
          <cell r="J99">
            <v>4000.05</v>
          </cell>
          <cell r="K99">
            <v>313.87</v>
          </cell>
          <cell r="L99">
            <v>0</v>
          </cell>
          <cell r="M99">
            <v>102.51</v>
          </cell>
          <cell r="N99">
            <v>1088.47</v>
          </cell>
          <cell r="O99">
            <v>0</v>
          </cell>
          <cell r="P99">
            <v>15</v>
          </cell>
          <cell r="Q99">
            <v>0</v>
          </cell>
          <cell r="R99">
            <v>0</v>
          </cell>
          <cell r="T99">
            <v>0</v>
          </cell>
          <cell r="U99">
            <v>1519.85</v>
          </cell>
          <cell r="V99">
            <v>2480.1999999999998</v>
          </cell>
        </row>
        <row r="100">
          <cell r="B100" t="str">
            <v>Ramirez Vera Maria Del Carmen</v>
          </cell>
          <cell r="C100">
            <v>12</v>
          </cell>
          <cell r="D100">
            <v>3</v>
          </cell>
          <cell r="E100">
            <v>266.67</v>
          </cell>
          <cell r="F100">
            <v>282.81</v>
          </cell>
          <cell r="G100">
            <v>3200.04</v>
          </cell>
          <cell r="H100">
            <v>800.01</v>
          </cell>
          <cell r="I100">
            <v>240</v>
          </cell>
          <cell r="J100">
            <v>4240.05</v>
          </cell>
          <cell r="K100">
            <v>313.87</v>
          </cell>
          <cell r="L100">
            <v>0</v>
          </cell>
          <cell r="M100">
            <v>102.51</v>
          </cell>
          <cell r="N100">
            <v>878.84</v>
          </cell>
          <cell r="O100">
            <v>0</v>
          </cell>
          <cell r="P100">
            <v>15</v>
          </cell>
          <cell r="Q100">
            <v>0</v>
          </cell>
          <cell r="R100">
            <v>0</v>
          </cell>
          <cell r="T100">
            <v>0.03</v>
          </cell>
          <cell r="U100">
            <v>1310.25</v>
          </cell>
          <cell r="V100">
            <v>2929.8</v>
          </cell>
        </row>
        <row r="101">
          <cell r="B101" t="str">
            <v>Bueno Herrera Mariana Guadalupe</v>
          </cell>
          <cell r="C101">
            <v>15</v>
          </cell>
          <cell r="D101">
            <v>0</v>
          </cell>
          <cell r="E101">
            <v>266.67</v>
          </cell>
          <cell r="F101">
            <v>282.81</v>
          </cell>
          <cell r="G101">
            <v>4000.05</v>
          </cell>
          <cell r="H101">
            <v>0</v>
          </cell>
          <cell r="I101">
            <v>0</v>
          </cell>
          <cell r="J101">
            <v>4000.05</v>
          </cell>
          <cell r="K101">
            <v>313.87</v>
          </cell>
          <cell r="L101">
            <v>0</v>
          </cell>
          <cell r="M101">
            <v>102.51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T101">
            <v>7.0000000000000007E-2</v>
          </cell>
          <cell r="U101">
            <v>416.45</v>
          </cell>
          <cell r="V101">
            <v>3583.6</v>
          </cell>
        </row>
        <row r="102">
          <cell r="B102" t="str">
            <v>Lara Campos Maximino</v>
          </cell>
          <cell r="C102">
            <v>15</v>
          </cell>
          <cell r="D102">
            <v>0</v>
          </cell>
          <cell r="E102">
            <v>362.41</v>
          </cell>
          <cell r="F102">
            <v>379.29</v>
          </cell>
          <cell r="G102">
            <v>5436.15</v>
          </cell>
          <cell r="H102">
            <v>0</v>
          </cell>
          <cell r="I102">
            <v>0</v>
          </cell>
          <cell r="J102">
            <v>5436.15</v>
          </cell>
          <cell r="K102">
            <v>539.79</v>
          </cell>
          <cell r="L102">
            <v>0</v>
          </cell>
          <cell r="M102">
            <v>142.68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T102">
            <v>-0.12</v>
          </cell>
          <cell r="U102">
            <v>682.35</v>
          </cell>
          <cell r="V102">
            <v>4753.8</v>
          </cell>
        </row>
        <row r="103">
          <cell r="B103" t="str">
            <v>Rodriguez Diaz Cesar Salvador</v>
          </cell>
          <cell r="C103">
            <v>15</v>
          </cell>
          <cell r="D103">
            <v>0</v>
          </cell>
          <cell r="E103">
            <v>266.67</v>
          </cell>
          <cell r="F103">
            <v>282.8</v>
          </cell>
          <cell r="G103">
            <v>4000.05</v>
          </cell>
          <cell r="H103">
            <v>0</v>
          </cell>
          <cell r="I103">
            <v>0</v>
          </cell>
          <cell r="J103">
            <v>4000.05</v>
          </cell>
          <cell r="K103">
            <v>313.87</v>
          </cell>
          <cell r="L103">
            <v>0</v>
          </cell>
          <cell r="M103">
            <v>102.51</v>
          </cell>
          <cell r="N103">
            <v>565.24</v>
          </cell>
          <cell r="O103">
            <v>0</v>
          </cell>
          <cell r="P103">
            <v>15</v>
          </cell>
          <cell r="Q103">
            <v>0</v>
          </cell>
          <cell r="R103">
            <v>0</v>
          </cell>
          <cell r="T103">
            <v>0.03</v>
          </cell>
          <cell r="U103">
            <v>996.65</v>
          </cell>
          <cell r="V103">
            <v>3003.4</v>
          </cell>
        </row>
        <row r="104">
          <cell r="B104" t="str">
            <v>Marquez Alcaraz Martin</v>
          </cell>
          <cell r="C104">
            <v>15</v>
          </cell>
          <cell r="D104">
            <v>0</v>
          </cell>
          <cell r="E104">
            <v>266.67</v>
          </cell>
          <cell r="F104">
            <v>282.8</v>
          </cell>
          <cell r="G104">
            <v>4000.05</v>
          </cell>
          <cell r="H104">
            <v>0</v>
          </cell>
          <cell r="I104">
            <v>0</v>
          </cell>
          <cell r="J104">
            <v>4000.05</v>
          </cell>
          <cell r="K104">
            <v>313.87</v>
          </cell>
          <cell r="L104">
            <v>0</v>
          </cell>
          <cell r="M104">
            <v>102.51</v>
          </cell>
          <cell r="N104">
            <v>0</v>
          </cell>
          <cell r="O104">
            <v>1217.5999999999999</v>
          </cell>
          <cell r="P104">
            <v>15</v>
          </cell>
          <cell r="Q104">
            <v>0</v>
          </cell>
          <cell r="R104">
            <v>0</v>
          </cell>
          <cell r="T104">
            <v>7.0000000000000007E-2</v>
          </cell>
          <cell r="U104">
            <v>1649.05</v>
          </cell>
          <cell r="V104">
            <v>2351</v>
          </cell>
        </row>
        <row r="105">
          <cell r="B105" t="str">
            <v>Rojo Avelar Adrian</v>
          </cell>
          <cell r="C105">
            <v>15</v>
          </cell>
          <cell r="D105">
            <v>0</v>
          </cell>
          <cell r="E105">
            <v>200</v>
          </cell>
          <cell r="F105">
            <v>212.11</v>
          </cell>
          <cell r="G105">
            <v>3000</v>
          </cell>
          <cell r="H105">
            <v>0</v>
          </cell>
          <cell r="I105">
            <v>0</v>
          </cell>
          <cell r="J105">
            <v>3000</v>
          </cell>
          <cell r="K105">
            <v>59.69</v>
          </cell>
          <cell r="L105">
            <v>0</v>
          </cell>
          <cell r="M105">
            <v>75.56</v>
          </cell>
          <cell r="N105">
            <v>1075.99</v>
          </cell>
          <cell r="O105">
            <v>0</v>
          </cell>
          <cell r="P105">
            <v>15</v>
          </cell>
          <cell r="Q105">
            <v>0</v>
          </cell>
          <cell r="R105">
            <v>0</v>
          </cell>
          <cell r="T105">
            <v>-0.04</v>
          </cell>
          <cell r="U105">
            <v>1226.2</v>
          </cell>
          <cell r="V105">
            <v>1773.8</v>
          </cell>
        </row>
        <row r="106">
          <cell r="B106" t="str">
            <v>Marin  Avila Hector</v>
          </cell>
          <cell r="C106">
            <v>15</v>
          </cell>
          <cell r="D106">
            <v>0</v>
          </cell>
          <cell r="E106">
            <v>275</v>
          </cell>
          <cell r="F106">
            <v>287.43</v>
          </cell>
          <cell r="G106">
            <v>4125</v>
          </cell>
          <cell r="H106">
            <v>0</v>
          </cell>
          <cell r="I106">
            <v>0</v>
          </cell>
          <cell r="J106">
            <v>4125</v>
          </cell>
          <cell r="K106">
            <v>327.47000000000003</v>
          </cell>
          <cell r="L106">
            <v>0</v>
          </cell>
          <cell r="M106">
            <v>104.44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-0.11</v>
          </cell>
          <cell r="U106">
            <v>431.8</v>
          </cell>
          <cell r="V106">
            <v>3693.2</v>
          </cell>
        </row>
        <row r="107">
          <cell r="B107" t="str">
            <v>Hurtado Avalos J.jesus</v>
          </cell>
          <cell r="C107">
            <v>15</v>
          </cell>
          <cell r="D107">
            <v>0</v>
          </cell>
          <cell r="E107">
            <v>200</v>
          </cell>
          <cell r="F107">
            <v>212.11</v>
          </cell>
          <cell r="G107">
            <v>3000</v>
          </cell>
          <cell r="H107">
            <v>0</v>
          </cell>
          <cell r="I107">
            <v>0</v>
          </cell>
          <cell r="J107">
            <v>3000</v>
          </cell>
          <cell r="K107">
            <v>59.69</v>
          </cell>
          <cell r="L107">
            <v>0</v>
          </cell>
          <cell r="M107">
            <v>75.56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0.15</v>
          </cell>
          <cell r="U107">
            <v>135.4</v>
          </cell>
          <cell r="V107">
            <v>2864.6</v>
          </cell>
        </row>
        <row r="108">
          <cell r="B108" t="str">
            <v>Mora Cavazos Roberto Manuel</v>
          </cell>
          <cell r="C108">
            <v>15</v>
          </cell>
          <cell r="D108">
            <v>0</v>
          </cell>
          <cell r="E108">
            <v>266.67</v>
          </cell>
          <cell r="F108">
            <v>282.81</v>
          </cell>
          <cell r="G108">
            <v>4000</v>
          </cell>
          <cell r="H108">
            <v>0</v>
          </cell>
          <cell r="I108">
            <v>0</v>
          </cell>
          <cell r="J108">
            <v>4000</v>
          </cell>
          <cell r="K108">
            <v>313.87</v>
          </cell>
          <cell r="L108">
            <v>0</v>
          </cell>
          <cell r="M108">
            <v>102.51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-0.18</v>
          </cell>
          <cell r="U108">
            <v>416.2</v>
          </cell>
          <cell r="V108">
            <v>3583.8</v>
          </cell>
        </row>
        <row r="109">
          <cell r="B109" t="str">
            <v>Martinez Rivera Maria Teresa</v>
          </cell>
          <cell r="C109">
            <v>15</v>
          </cell>
          <cell r="D109">
            <v>0</v>
          </cell>
          <cell r="E109">
            <v>341.35</v>
          </cell>
          <cell r="F109">
            <v>357.25</v>
          </cell>
          <cell r="G109">
            <v>5120.25</v>
          </cell>
          <cell r="H109">
            <v>0</v>
          </cell>
          <cell r="I109">
            <v>0</v>
          </cell>
          <cell r="J109">
            <v>5120.25</v>
          </cell>
          <cell r="K109">
            <v>483.19</v>
          </cell>
          <cell r="L109">
            <v>0</v>
          </cell>
          <cell r="M109">
            <v>133.51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0.15</v>
          </cell>
          <cell r="U109">
            <v>616.85</v>
          </cell>
          <cell r="V109">
            <v>4503.3999999999996</v>
          </cell>
        </row>
        <row r="110">
          <cell r="B110" t="str">
            <v>Ramirez Vera Eustolia</v>
          </cell>
          <cell r="C110">
            <v>15</v>
          </cell>
          <cell r="D110">
            <v>0</v>
          </cell>
          <cell r="E110">
            <v>300.23</v>
          </cell>
          <cell r="F110">
            <v>318.41000000000003</v>
          </cell>
          <cell r="G110">
            <v>4503.45</v>
          </cell>
          <cell r="H110">
            <v>0</v>
          </cell>
          <cell r="I110">
            <v>0</v>
          </cell>
          <cell r="J110">
            <v>4503.45</v>
          </cell>
          <cell r="K110">
            <v>381.22</v>
          </cell>
          <cell r="L110">
            <v>0</v>
          </cell>
          <cell r="M110">
            <v>117.33</v>
          </cell>
          <cell r="N110">
            <v>428.6</v>
          </cell>
          <cell r="O110">
            <v>0</v>
          </cell>
          <cell r="P110">
            <v>15</v>
          </cell>
          <cell r="Q110">
            <v>0</v>
          </cell>
          <cell r="R110">
            <v>0</v>
          </cell>
          <cell r="T110">
            <v>-0.1</v>
          </cell>
          <cell r="U110">
            <v>942.05</v>
          </cell>
          <cell r="V110">
            <v>3561.4</v>
          </cell>
        </row>
        <row r="111">
          <cell r="B111" t="str">
            <v>Leal  Montaño Francisco</v>
          </cell>
          <cell r="C111">
            <v>15</v>
          </cell>
          <cell r="D111">
            <v>0</v>
          </cell>
          <cell r="E111">
            <v>200</v>
          </cell>
          <cell r="F111">
            <v>212.11</v>
          </cell>
          <cell r="G111">
            <v>3000</v>
          </cell>
          <cell r="H111">
            <v>0</v>
          </cell>
          <cell r="I111">
            <v>0</v>
          </cell>
          <cell r="J111">
            <v>3000</v>
          </cell>
          <cell r="K111">
            <v>59.69</v>
          </cell>
          <cell r="L111">
            <v>0</v>
          </cell>
          <cell r="M111">
            <v>75.56</v>
          </cell>
          <cell r="N111">
            <v>1018.71</v>
          </cell>
          <cell r="O111">
            <v>0</v>
          </cell>
          <cell r="P111">
            <v>15</v>
          </cell>
          <cell r="Q111">
            <v>0</v>
          </cell>
          <cell r="R111">
            <v>0</v>
          </cell>
          <cell r="T111">
            <v>0.04</v>
          </cell>
          <cell r="U111">
            <v>1169</v>
          </cell>
          <cell r="V111">
            <v>1831</v>
          </cell>
        </row>
        <row r="112">
          <cell r="B112" t="str">
            <v>Camarillo Canela Reynaldo</v>
          </cell>
          <cell r="C112">
            <v>15</v>
          </cell>
          <cell r="D112">
            <v>0</v>
          </cell>
          <cell r="E112">
            <v>185.83</v>
          </cell>
          <cell r="F112">
            <v>197.09</v>
          </cell>
          <cell r="G112">
            <v>2787.45</v>
          </cell>
          <cell r="H112">
            <v>0</v>
          </cell>
          <cell r="I112">
            <v>0</v>
          </cell>
          <cell r="J112">
            <v>2787.45</v>
          </cell>
          <cell r="K112">
            <v>36.57</v>
          </cell>
          <cell r="L112">
            <v>0</v>
          </cell>
          <cell r="M112">
            <v>70.22</v>
          </cell>
          <cell r="N112">
            <v>1366.67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T112">
            <v>-0.01</v>
          </cell>
          <cell r="U112">
            <v>1473.45</v>
          </cell>
          <cell r="V112">
            <v>1314</v>
          </cell>
        </row>
        <row r="113">
          <cell r="B113" t="str">
            <v>Romo Sandoval Ma De Lourdez</v>
          </cell>
          <cell r="C113">
            <v>15</v>
          </cell>
          <cell r="D113">
            <v>0</v>
          </cell>
          <cell r="E113">
            <v>333.33</v>
          </cell>
          <cell r="F113">
            <v>353.52</v>
          </cell>
          <cell r="G113">
            <v>4999.95</v>
          </cell>
          <cell r="H113">
            <v>0</v>
          </cell>
          <cell r="I113">
            <v>0</v>
          </cell>
          <cell r="J113">
            <v>4999.95</v>
          </cell>
          <cell r="K113">
            <v>461.63</v>
          </cell>
          <cell r="L113">
            <v>0</v>
          </cell>
          <cell r="M113">
            <v>131.94999999999999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T113">
            <v>0.17</v>
          </cell>
          <cell r="U113">
            <v>593.75</v>
          </cell>
          <cell r="V113">
            <v>4406.2</v>
          </cell>
        </row>
        <row r="114">
          <cell r="B114" t="str">
            <v>Benavides Reyes Jorge</v>
          </cell>
          <cell r="C114">
            <v>15</v>
          </cell>
          <cell r="D114">
            <v>0</v>
          </cell>
          <cell r="E114">
            <v>200</v>
          </cell>
          <cell r="F114">
            <v>209.04</v>
          </cell>
          <cell r="G114">
            <v>3000</v>
          </cell>
          <cell r="H114">
            <v>0</v>
          </cell>
          <cell r="I114">
            <v>0</v>
          </cell>
          <cell r="J114">
            <v>3000</v>
          </cell>
          <cell r="K114">
            <v>59.69</v>
          </cell>
          <cell r="L114">
            <v>0</v>
          </cell>
          <cell r="M114">
            <v>74.48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0.03</v>
          </cell>
          <cell r="U114">
            <v>134.19999999999999</v>
          </cell>
          <cell r="V114">
            <v>2865.8</v>
          </cell>
        </row>
        <row r="115">
          <cell r="B115" t="str">
            <v>Amezcua Magaña Tania Estefania</v>
          </cell>
          <cell r="C115">
            <v>15</v>
          </cell>
          <cell r="D115">
            <v>0</v>
          </cell>
          <cell r="E115">
            <v>233.33</v>
          </cell>
          <cell r="F115">
            <v>243.88</v>
          </cell>
          <cell r="G115">
            <v>3499.95</v>
          </cell>
          <cell r="H115">
            <v>0</v>
          </cell>
          <cell r="I115">
            <v>0</v>
          </cell>
          <cell r="J115">
            <v>3499.95</v>
          </cell>
          <cell r="K115">
            <v>134.36000000000001</v>
          </cell>
          <cell r="L115">
            <v>0</v>
          </cell>
          <cell r="M115">
            <v>86.88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T115">
            <v>0.11</v>
          </cell>
          <cell r="U115">
            <v>221.35</v>
          </cell>
          <cell r="V115">
            <v>3278.6</v>
          </cell>
        </row>
        <row r="116">
          <cell r="B116" t="str">
            <v>Diaz Ortiz Hiram Guillermo</v>
          </cell>
          <cell r="C116">
            <v>12</v>
          </cell>
          <cell r="D116">
            <v>0</v>
          </cell>
          <cell r="E116">
            <v>210</v>
          </cell>
          <cell r="F116">
            <v>219.49</v>
          </cell>
          <cell r="G116">
            <v>2520</v>
          </cell>
          <cell r="H116">
            <v>0</v>
          </cell>
          <cell r="I116">
            <v>0</v>
          </cell>
          <cell r="J116">
            <v>2520</v>
          </cell>
          <cell r="K116">
            <v>0</v>
          </cell>
          <cell r="L116">
            <v>-7.45</v>
          </cell>
          <cell r="M116">
            <v>62.55</v>
          </cell>
          <cell r="N116">
            <v>600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T116">
            <v>0.1</v>
          </cell>
          <cell r="U116">
            <v>655.20000000000005</v>
          </cell>
          <cell r="V116">
            <v>1864.8</v>
          </cell>
        </row>
      </sheetData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T9">
            <v>0</v>
          </cell>
          <cell r="V9">
            <v>0</v>
          </cell>
          <cell r="W9">
            <v>-0.04</v>
          </cell>
          <cell r="X9">
            <v>-12.02</v>
          </cell>
          <cell r="Y9">
            <v>2774.6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T10">
            <v>0</v>
          </cell>
          <cell r="V10">
            <v>0</v>
          </cell>
          <cell r="W10">
            <v>0.1</v>
          </cell>
          <cell r="X10">
            <v>13.2</v>
          </cell>
          <cell r="Y10">
            <v>2911.8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T11">
            <v>0</v>
          </cell>
          <cell r="V11">
            <v>0</v>
          </cell>
          <cell r="W11">
            <v>0.04</v>
          </cell>
          <cell r="X11">
            <v>189.08</v>
          </cell>
          <cell r="Y11">
            <v>4036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T12">
            <v>0</v>
          </cell>
          <cell r="V12">
            <v>0</v>
          </cell>
          <cell r="W12">
            <v>0.02</v>
          </cell>
          <cell r="X12">
            <v>450.95</v>
          </cell>
          <cell r="Y12">
            <v>5074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  <cell r="W13">
            <v>0.15</v>
          </cell>
          <cell r="X13">
            <v>430.35</v>
          </cell>
          <cell r="Y13">
            <v>4899.6000000000004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T14">
            <v>15</v>
          </cell>
          <cell r="V14">
            <v>0</v>
          </cell>
          <cell r="W14">
            <v>0.02</v>
          </cell>
          <cell r="X14">
            <v>1696.1</v>
          </cell>
          <cell r="Y14">
            <v>1927.6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  <cell r="W15">
            <v>-0.05</v>
          </cell>
          <cell r="X15">
            <v>430.15</v>
          </cell>
          <cell r="Y15">
            <v>4899.8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T16">
            <v>15</v>
          </cell>
          <cell r="V16">
            <v>0</v>
          </cell>
          <cell r="W16">
            <v>0</v>
          </cell>
          <cell r="X16">
            <v>1948.3</v>
          </cell>
          <cell r="Y16">
            <v>1675.4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T17">
            <v>15</v>
          </cell>
          <cell r="V17">
            <v>0</v>
          </cell>
          <cell r="W17">
            <v>-0.11</v>
          </cell>
          <cell r="X17">
            <v>969.6</v>
          </cell>
          <cell r="Y17">
            <v>3336.6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T18">
            <v>15</v>
          </cell>
          <cell r="V18">
            <v>0</v>
          </cell>
          <cell r="W18">
            <v>-0.06</v>
          </cell>
          <cell r="X18">
            <v>2099.31</v>
          </cell>
          <cell r="Y18">
            <v>3060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T19">
            <v>15</v>
          </cell>
          <cell r="V19">
            <v>268.35000000000002</v>
          </cell>
          <cell r="W19">
            <v>-0.01</v>
          </cell>
          <cell r="X19">
            <v>1966.04</v>
          </cell>
          <cell r="Y19">
            <v>2967.4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T20">
            <v>0</v>
          </cell>
          <cell r="V20">
            <v>0</v>
          </cell>
          <cell r="W20">
            <v>-0.05</v>
          </cell>
          <cell r="X20">
            <v>430.15</v>
          </cell>
          <cell r="Y20">
            <v>4899.8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T21">
            <v>15</v>
          </cell>
          <cell r="V21">
            <v>0</v>
          </cell>
          <cell r="W21">
            <v>0.04</v>
          </cell>
          <cell r="X21">
            <v>2291.5</v>
          </cell>
          <cell r="Y21">
            <v>1332.2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T22">
            <v>0</v>
          </cell>
          <cell r="V22">
            <v>417.6</v>
          </cell>
          <cell r="W22">
            <v>7.0000000000000007E-2</v>
          </cell>
          <cell r="X22">
            <v>3717</v>
          </cell>
          <cell r="Y22">
            <v>16969.2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T23">
            <v>0</v>
          </cell>
          <cell r="V23">
            <v>313.2</v>
          </cell>
          <cell r="W23">
            <v>-0.09</v>
          </cell>
          <cell r="X23">
            <v>419.9</v>
          </cell>
          <cell r="Y23">
            <v>3203.8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T24">
            <v>15</v>
          </cell>
          <cell r="V24">
            <v>0</v>
          </cell>
          <cell r="W24">
            <v>0.01</v>
          </cell>
          <cell r="X24">
            <v>1628.3</v>
          </cell>
          <cell r="Y24">
            <v>1995.4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T25">
            <v>0</v>
          </cell>
          <cell r="V25">
            <v>0</v>
          </cell>
          <cell r="W25">
            <v>-7.0000000000000007E-2</v>
          </cell>
          <cell r="X25">
            <v>53.28</v>
          </cell>
          <cell r="Y25">
            <v>3196.8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T26">
            <v>0</v>
          </cell>
          <cell r="V26">
            <v>0</v>
          </cell>
          <cell r="W26">
            <v>0.04</v>
          </cell>
          <cell r="X26">
            <v>189.08</v>
          </cell>
          <cell r="Y26">
            <v>4036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T27">
            <v>0</v>
          </cell>
          <cell r="V27">
            <v>0</v>
          </cell>
          <cell r="W27">
            <v>0.03</v>
          </cell>
          <cell r="X27">
            <v>395.68</v>
          </cell>
          <cell r="Y27">
            <v>4609.3999999999996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T28">
            <v>15</v>
          </cell>
          <cell r="V28">
            <v>0</v>
          </cell>
          <cell r="W28">
            <v>-0.06</v>
          </cell>
          <cell r="X28">
            <v>1844.8</v>
          </cell>
          <cell r="Y28">
            <v>4005.2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T29">
            <v>15</v>
          </cell>
          <cell r="V29">
            <v>0</v>
          </cell>
          <cell r="W29">
            <v>0.08</v>
          </cell>
          <cell r="X29">
            <v>798.54</v>
          </cell>
          <cell r="Y29">
            <v>4635.3999999999996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T30">
            <v>15</v>
          </cell>
          <cell r="V30">
            <v>0</v>
          </cell>
          <cell r="W30">
            <v>-7.0000000000000007E-2</v>
          </cell>
          <cell r="X30">
            <v>956.25</v>
          </cell>
          <cell r="Y30">
            <v>5056.2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T31">
            <v>0</v>
          </cell>
          <cell r="V31">
            <v>0</v>
          </cell>
          <cell r="W31">
            <v>-0.09</v>
          </cell>
          <cell r="X31">
            <v>197.3</v>
          </cell>
          <cell r="Y31">
            <v>4241.3999999999996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T32">
            <v>0</v>
          </cell>
          <cell r="V32">
            <v>0</v>
          </cell>
          <cell r="W32">
            <v>0.1</v>
          </cell>
          <cell r="X32">
            <v>13.2</v>
          </cell>
          <cell r="Y32">
            <v>2911.8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T33">
            <v>15</v>
          </cell>
          <cell r="V33">
            <v>0</v>
          </cell>
          <cell r="W33">
            <v>-0.05</v>
          </cell>
          <cell r="X33">
            <v>467.28</v>
          </cell>
          <cell r="Y33">
            <v>2782.8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T34">
            <v>15</v>
          </cell>
          <cell r="V34">
            <v>0</v>
          </cell>
          <cell r="W34">
            <v>-0.01</v>
          </cell>
          <cell r="X34">
            <v>996.95</v>
          </cell>
          <cell r="Y34">
            <v>1003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T35">
            <v>0</v>
          </cell>
          <cell r="V35">
            <v>0</v>
          </cell>
          <cell r="W35">
            <v>0.03</v>
          </cell>
          <cell r="X35">
            <v>222.55</v>
          </cell>
          <cell r="Y35">
            <v>4327.3999999999996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2" customWidth="1"/>
    <col min="2" max="2" width="10.5703125" style="22" bestFit="1" customWidth="1"/>
    <col min="3" max="3" width="30.5703125" style="22" customWidth="1"/>
    <col min="4" max="4" width="45.140625" style="22" customWidth="1"/>
    <col min="5" max="5" width="19.85546875" style="22" bestFit="1" customWidth="1"/>
    <col min="6" max="6" width="19.85546875" style="22" customWidth="1"/>
    <col min="7" max="7" width="19.85546875" style="22" bestFit="1" customWidth="1"/>
    <col min="8" max="8" width="17.140625" style="22" customWidth="1"/>
    <col min="9" max="9" width="17.140625" style="40" customWidth="1"/>
    <col min="10" max="10" width="17.140625" style="33" customWidth="1"/>
    <col min="11" max="16384" width="11.42578125" style="22"/>
  </cols>
  <sheetData>
    <row r="2" spans="2:10" ht="30.75" thickBot="1" x14ac:dyDescent="0.3">
      <c r="B2" s="26" t="s">
        <v>540</v>
      </c>
      <c r="C2" s="26" t="s">
        <v>541</v>
      </c>
      <c r="D2" s="26" t="s">
        <v>542</v>
      </c>
      <c r="E2" s="26" t="s">
        <v>124</v>
      </c>
      <c r="F2" s="26" t="s">
        <v>396</v>
      </c>
      <c r="G2" s="26" t="s">
        <v>477</v>
      </c>
      <c r="H2" s="32" t="s">
        <v>55</v>
      </c>
      <c r="I2" s="26" t="s">
        <v>533</v>
      </c>
      <c r="J2" s="34"/>
    </row>
    <row r="3" spans="2:10" ht="15.75" outlineLevel="2" thickTop="1" x14ac:dyDescent="0.25">
      <c r="B3" s="38" t="s">
        <v>17</v>
      </c>
      <c r="C3" s="39" t="s">
        <v>5</v>
      </c>
      <c r="D3" s="39" t="s">
        <v>321</v>
      </c>
      <c r="E3" s="39">
        <v>1558.05</v>
      </c>
      <c r="F3" s="39">
        <v>2975</v>
      </c>
      <c r="G3" s="39">
        <v>0</v>
      </c>
      <c r="H3" s="39">
        <v>4533.05</v>
      </c>
      <c r="I3" s="40" t="s">
        <v>535</v>
      </c>
    </row>
    <row r="4" spans="2:10" outlineLevel="2" x14ac:dyDescent="0.25">
      <c r="B4" s="22" t="s">
        <v>27</v>
      </c>
      <c r="C4" s="22" t="s">
        <v>5</v>
      </c>
      <c r="D4" s="22" t="s">
        <v>326</v>
      </c>
      <c r="E4" s="22">
        <v>2103.5399999999995</v>
      </c>
      <c r="G4" s="22">
        <v>234</v>
      </c>
      <c r="H4" s="22">
        <v>2337.5399999999995</v>
      </c>
      <c r="I4" s="40" t="s">
        <v>535</v>
      </c>
    </row>
    <row r="5" spans="2:10" outlineLevel="2" x14ac:dyDescent="0.25">
      <c r="B5" s="22" t="s">
        <v>21</v>
      </c>
      <c r="C5" s="22" t="s">
        <v>5</v>
      </c>
      <c r="D5" s="22" t="s">
        <v>323</v>
      </c>
      <c r="E5" s="22">
        <v>1558.0100000000004</v>
      </c>
      <c r="F5" s="16"/>
      <c r="G5" s="22">
        <v>0</v>
      </c>
      <c r="H5" s="22">
        <v>1558.0100000000004</v>
      </c>
      <c r="I5" s="40" t="s">
        <v>535</v>
      </c>
    </row>
    <row r="6" spans="2:10" outlineLevel="2" x14ac:dyDescent="0.25">
      <c r="B6" s="22" t="s">
        <v>41</v>
      </c>
      <c r="C6" s="22" t="s">
        <v>5</v>
      </c>
      <c r="D6" s="22" t="s">
        <v>133</v>
      </c>
      <c r="E6" s="22">
        <v>1608.0699999999997</v>
      </c>
      <c r="F6" s="16"/>
      <c r="G6" s="22">
        <v>0</v>
      </c>
      <c r="H6" s="22">
        <v>1608.0699999999997</v>
      </c>
      <c r="I6" s="40" t="s">
        <v>535</v>
      </c>
    </row>
    <row r="7" spans="2:10" outlineLevel="2" x14ac:dyDescent="0.25">
      <c r="B7" s="22" t="s">
        <v>23</v>
      </c>
      <c r="C7" s="22" t="s">
        <v>5</v>
      </c>
      <c r="D7" s="20" t="s">
        <v>324</v>
      </c>
      <c r="E7" s="22">
        <v>1891.2199999999991</v>
      </c>
      <c r="F7" s="16"/>
      <c r="G7" s="22">
        <v>0</v>
      </c>
      <c r="H7" s="22">
        <v>1891.2199999999991</v>
      </c>
      <c r="I7" s="40" t="s">
        <v>535</v>
      </c>
    </row>
    <row r="8" spans="2:10" outlineLevel="2" x14ac:dyDescent="0.25">
      <c r="B8" s="22" t="s">
        <v>39</v>
      </c>
      <c r="C8" s="22" t="s">
        <v>5</v>
      </c>
      <c r="D8" s="22" t="s">
        <v>333</v>
      </c>
      <c r="E8" s="22">
        <v>78.079999999999927</v>
      </c>
      <c r="F8" s="16"/>
      <c r="G8" s="22">
        <v>0</v>
      </c>
      <c r="H8" s="22">
        <v>78.079999999999927</v>
      </c>
      <c r="I8" s="40" t="s">
        <v>535</v>
      </c>
    </row>
    <row r="9" spans="2:10" outlineLevel="2" x14ac:dyDescent="0.25">
      <c r="B9" s="22" t="s">
        <v>218</v>
      </c>
      <c r="C9" s="22" t="s">
        <v>5</v>
      </c>
      <c r="D9" s="22" t="s">
        <v>327</v>
      </c>
      <c r="E9" s="22">
        <v>0</v>
      </c>
      <c r="F9" s="16"/>
      <c r="G9" s="22">
        <v>0</v>
      </c>
      <c r="H9" s="22">
        <v>0</v>
      </c>
      <c r="I9" s="40" t="s">
        <v>535</v>
      </c>
    </row>
    <row r="10" spans="2:10" outlineLevel="2" x14ac:dyDescent="0.25">
      <c r="B10" s="22" t="s">
        <v>19</v>
      </c>
      <c r="C10" s="22" t="s">
        <v>5</v>
      </c>
      <c r="D10" s="22" t="s">
        <v>322</v>
      </c>
      <c r="E10" s="22">
        <v>2600.8000000000002</v>
      </c>
      <c r="F10" s="16">
        <v>600</v>
      </c>
      <c r="G10" s="22">
        <v>0</v>
      </c>
      <c r="H10" s="22">
        <v>3200.8</v>
      </c>
      <c r="I10" s="40" t="s">
        <v>535</v>
      </c>
    </row>
    <row r="11" spans="2:10" outlineLevel="2" x14ac:dyDescent="0.25">
      <c r="B11" s="22" t="s">
        <v>9</v>
      </c>
      <c r="C11" s="22" t="s">
        <v>5</v>
      </c>
      <c r="D11" s="22" t="s">
        <v>314</v>
      </c>
      <c r="E11" s="22">
        <v>1474.6</v>
      </c>
      <c r="F11" s="31"/>
      <c r="G11" s="22">
        <v>0</v>
      </c>
      <c r="H11" s="22">
        <v>1474.6</v>
      </c>
      <c r="I11" s="40" t="s">
        <v>535</v>
      </c>
    </row>
    <row r="12" spans="2:10" outlineLevel="2" x14ac:dyDescent="0.25">
      <c r="B12" s="22" t="s">
        <v>31</v>
      </c>
      <c r="C12" s="22" t="s">
        <v>5</v>
      </c>
      <c r="D12" s="22" t="s">
        <v>132</v>
      </c>
      <c r="E12" s="22">
        <v>2600.9999999999995</v>
      </c>
      <c r="F12" s="16"/>
      <c r="G12" s="22">
        <v>0</v>
      </c>
      <c r="H12" s="22">
        <v>2600.9999999999995</v>
      </c>
      <c r="I12" s="40" t="s">
        <v>535</v>
      </c>
    </row>
    <row r="13" spans="2:10" outlineLevel="2" x14ac:dyDescent="0.25">
      <c r="B13" s="22" t="s">
        <v>15</v>
      </c>
      <c r="C13" s="22" t="s">
        <v>5</v>
      </c>
      <c r="D13" s="22" t="s">
        <v>320</v>
      </c>
      <c r="E13" s="22">
        <v>2601</v>
      </c>
      <c r="F13" s="16">
        <v>1125</v>
      </c>
      <c r="G13" s="22">
        <v>0</v>
      </c>
      <c r="H13" s="22">
        <v>3726</v>
      </c>
      <c r="I13" s="40" t="s">
        <v>535</v>
      </c>
    </row>
    <row r="14" spans="2:10" outlineLevel="2" x14ac:dyDescent="0.25">
      <c r="B14" s="22" t="s">
        <v>35</v>
      </c>
      <c r="C14" s="22" t="s">
        <v>5</v>
      </c>
      <c r="D14" s="22" t="s">
        <v>330</v>
      </c>
      <c r="E14" s="22">
        <v>1483.15</v>
      </c>
      <c r="F14" s="16">
        <v>1232</v>
      </c>
      <c r="G14" s="22">
        <v>0</v>
      </c>
      <c r="H14" s="22">
        <v>2715.15</v>
      </c>
      <c r="I14" s="40" t="s">
        <v>535</v>
      </c>
    </row>
    <row r="15" spans="2:10" outlineLevel="2" x14ac:dyDescent="0.25">
      <c r="B15" s="22" t="s">
        <v>11</v>
      </c>
      <c r="C15" s="22" t="s">
        <v>5</v>
      </c>
      <c r="D15" s="22" t="s">
        <v>315</v>
      </c>
      <c r="E15" s="22">
        <v>1587.9999999999995</v>
      </c>
      <c r="F15" s="16"/>
      <c r="G15" s="22">
        <v>0</v>
      </c>
      <c r="H15" s="22">
        <v>1587.9999999999995</v>
      </c>
      <c r="I15" s="40" t="s">
        <v>535</v>
      </c>
    </row>
    <row r="16" spans="2:10" outlineLevel="2" x14ac:dyDescent="0.25">
      <c r="B16" s="22" t="s">
        <v>13</v>
      </c>
      <c r="C16" s="22" t="s">
        <v>5</v>
      </c>
      <c r="D16" s="22" t="s">
        <v>316</v>
      </c>
      <c r="E16" s="22">
        <v>2378.1999999999994</v>
      </c>
      <c r="F16" s="16"/>
      <c r="G16" s="22">
        <v>0</v>
      </c>
      <c r="H16" s="22">
        <v>2378.1999999999994</v>
      </c>
      <c r="I16" s="40" t="s">
        <v>535</v>
      </c>
    </row>
    <row r="17" spans="2:9" outlineLevel="2" x14ac:dyDescent="0.25">
      <c r="B17" s="22" t="s">
        <v>389</v>
      </c>
      <c r="C17" s="22" t="s">
        <v>5</v>
      </c>
      <c r="D17" s="22" t="s">
        <v>390</v>
      </c>
      <c r="E17" s="22">
        <v>1587.9999999999995</v>
      </c>
      <c r="F17" s="16">
        <v>225</v>
      </c>
      <c r="G17" s="22">
        <v>0</v>
      </c>
      <c r="H17" s="22">
        <v>1812.9999999999995</v>
      </c>
      <c r="I17" s="40" t="s">
        <v>535</v>
      </c>
    </row>
    <row r="18" spans="2:9" outlineLevel="2" x14ac:dyDescent="0.25">
      <c r="B18" s="22" t="s">
        <v>411</v>
      </c>
      <c r="C18" s="2" t="s">
        <v>5</v>
      </c>
      <c r="D18" s="22" t="s">
        <v>500</v>
      </c>
      <c r="E18" s="22">
        <v>1803.2</v>
      </c>
      <c r="F18" s="16"/>
      <c r="H18" s="22">
        <v>1803.2</v>
      </c>
      <c r="I18" s="40" t="s">
        <v>535</v>
      </c>
    </row>
    <row r="19" spans="2:9" outlineLevel="2" x14ac:dyDescent="0.25">
      <c r="B19" s="27" t="s">
        <v>501</v>
      </c>
      <c r="C19" s="22" t="s">
        <v>57</v>
      </c>
      <c r="D19" s="22" t="s">
        <v>355</v>
      </c>
      <c r="E19" s="22">
        <v>2236.64</v>
      </c>
      <c r="F19" s="16">
        <v>2150</v>
      </c>
      <c r="G19" s="22">
        <v>0</v>
      </c>
      <c r="H19" s="22">
        <v>4386.6399999999994</v>
      </c>
      <c r="I19" s="40" t="s">
        <v>535</v>
      </c>
    </row>
    <row r="20" spans="2:9" outlineLevel="2" x14ac:dyDescent="0.25">
      <c r="B20" s="22" t="s">
        <v>503</v>
      </c>
      <c r="C20" s="22" t="s">
        <v>57</v>
      </c>
      <c r="D20" s="22" t="s">
        <v>349</v>
      </c>
      <c r="E20" s="22">
        <v>2271.77</v>
      </c>
      <c r="F20" s="16"/>
      <c r="G20" s="22">
        <v>0</v>
      </c>
      <c r="H20" s="22">
        <v>2271.77</v>
      </c>
      <c r="I20" s="40" t="s">
        <v>535</v>
      </c>
    </row>
    <row r="21" spans="2:9" outlineLevel="2" x14ac:dyDescent="0.25">
      <c r="B21" s="22" t="s">
        <v>504</v>
      </c>
      <c r="C21" s="22" t="s">
        <v>57</v>
      </c>
      <c r="D21" s="22" t="s">
        <v>388</v>
      </c>
      <c r="E21" s="22">
        <v>2257</v>
      </c>
      <c r="F21" s="31"/>
      <c r="G21" s="22">
        <v>0</v>
      </c>
      <c r="H21" s="22">
        <v>2257</v>
      </c>
      <c r="I21" s="40" t="s">
        <v>535</v>
      </c>
    </row>
    <row r="22" spans="2:9" outlineLevel="2" x14ac:dyDescent="0.25">
      <c r="B22" s="22" t="s">
        <v>505</v>
      </c>
      <c r="C22" s="22" t="s">
        <v>57</v>
      </c>
      <c r="D22" s="22" t="s">
        <v>391</v>
      </c>
      <c r="E22" s="22">
        <v>3723.8000000000006</v>
      </c>
      <c r="F22" s="16"/>
      <c r="G22" s="22">
        <v>0</v>
      </c>
      <c r="H22" s="22">
        <v>3723.8000000000006</v>
      </c>
      <c r="I22" s="40" t="s">
        <v>535</v>
      </c>
    </row>
    <row r="23" spans="2:9" outlineLevel="2" x14ac:dyDescent="0.25">
      <c r="B23" s="22" t="s">
        <v>506</v>
      </c>
      <c r="C23" s="22" t="s">
        <v>57</v>
      </c>
      <c r="D23" s="22" t="s">
        <v>392</v>
      </c>
      <c r="E23" s="22">
        <v>3753.7800000000007</v>
      </c>
      <c r="F23" s="16">
        <v>1280</v>
      </c>
      <c r="G23" s="22">
        <v>0</v>
      </c>
      <c r="H23" s="22">
        <v>5033.7800000000007</v>
      </c>
      <c r="I23" s="40" t="s">
        <v>535</v>
      </c>
    </row>
    <row r="24" spans="2:9" outlineLevel="2" x14ac:dyDescent="0.25">
      <c r="B24" s="22" t="s">
        <v>507</v>
      </c>
      <c r="C24" s="22" t="s">
        <v>57</v>
      </c>
      <c r="D24" s="22" t="s">
        <v>422</v>
      </c>
      <c r="E24" s="22">
        <v>2513.3999999999996</v>
      </c>
      <c r="F24" s="16"/>
      <c r="G24" s="22">
        <v>0</v>
      </c>
      <c r="H24" s="22">
        <v>2513.3999999999996</v>
      </c>
      <c r="I24" s="40" t="s">
        <v>535</v>
      </c>
    </row>
    <row r="25" spans="2:9" outlineLevel="2" x14ac:dyDescent="0.25">
      <c r="B25" s="22" t="s">
        <v>508</v>
      </c>
      <c r="C25" s="22" t="s">
        <v>57</v>
      </c>
      <c r="D25" s="22" t="s">
        <v>423</v>
      </c>
      <c r="E25" s="22">
        <v>3397.1400000000003</v>
      </c>
      <c r="F25" s="16">
        <v>1320</v>
      </c>
      <c r="G25" s="22">
        <v>0</v>
      </c>
      <c r="H25" s="22">
        <v>4717.1400000000003</v>
      </c>
      <c r="I25" s="40" t="s">
        <v>535</v>
      </c>
    </row>
    <row r="26" spans="2:9" outlineLevel="2" x14ac:dyDescent="0.25">
      <c r="B26" s="22" t="s">
        <v>509</v>
      </c>
      <c r="C26" s="22" t="s">
        <v>57</v>
      </c>
      <c r="D26" s="22" t="s">
        <v>424</v>
      </c>
      <c r="E26" s="22">
        <v>4412.1400000000003</v>
      </c>
      <c r="F26" s="16">
        <v>2320</v>
      </c>
      <c r="G26" s="22">
        <v>0</v>
      </c>
      <c r="H26" s="22">
        <v>6732.14</v>
      </c>
      <c r="I26" s="40" t="s">
        <v>535</v>
      </c>
    </row>
    <row r="27" spans="2:9" outlineLevel="2" x14ac:dyDescent="0.25">
      <c r="B27" s="22" t="s">
        <v>510</v>
      </c>
      <c r="C27" s="22" t="s">
        <v>57</v>
      </c>
      <c r="D27" s="22" t="s">
        <v>425</v>
      </c>
      <c r="E27" s="22">
        <v>1685.3000000000002</v>
      </c>
      <c r="F27" s="16">
        <v>4495</v>
      </c>
      <c r="G27" s="22">
        <v>0</v>
      </c>
      <c r="H27" s="22">
        <v>6180.3</v>
      </c>
      <c r="I27" s="40" t="s">
        <v>535</v>
      </c>
    </row>
    <row r="28" spans="2:9" outlineLevel="2" x14ac:dyDescent="0.25">
      <c r="B28" s="22" t="s">
        <v>511</v>
      </c>
      <c r="C28" s="22" t="s">
        <v>57</v>
      </c>
      <c r="D28" s="22" t="s">
        <v>426</v>
      </c>
      <c r="E28" s="22">
        <v>3382.260000000002</v>
      </c>
      <c r="F28" s="16">
        <v>950</v>
      </c>
      <c r="G28" s="22">
        <v>56.14</v>
      </c>
      <c r="H28" s="22">
        <v>4388.4000000000024</v>
      </c>
      <c r="I28" s="40" t="s">
        <v>535</v>
      </c>
    </row>
    <row r="29" spans="2:9" outlineLevel="2" x14ac:dyDescent="0.25">
      <c r="B29" s="22" t="s">
        <v>512</v>
      </c>
      <c r="C29" s="22" t="s">
        <v>57</v>
      </c>
      <c r="D29" s="22" t="s">
        <v>427</v>
      </c>
      <c r="E29" s="22">
        <v>2700.29</v>
      </c>
      <c r="F29" s="16">
        <v>680</v>
      </c>
      <c r="G29" s="22">
        <v>0</v>
      </c>
      <c r="H29" s="22">
        <v>3380.29</v>
      </c>
      <c r="I29" s="40" t="s">
        <v>535</v>
      </c>
    </row>
    <row r="30" spans="2:9" outlineLevel="2" x14ac:dyDescent="0.25">
      <c r="B30" s="22" t="s">
        <v>513</v>
      </c>
      <c r="C30" s="22" t="s">
        <v>57</v>
      </c>
      <c r="D30" s="22" t="s">
        <v>428</v>
      </c>
      <c r="E30" s="22">
        <v>1685.1999999999998</v>
      </c>
      <c r="F30" s="16"/>
      <c r="G30" s="22">
        <v>0</v>
      </c>
      <c r="H30" s="22">
        <v>1685.1999999999998</v>
      </c>
      <c r="I30" s="40" t="s">
        <v>535</v>
      </c>
    </row>
    <row r="31" spans="2:9" outlineLevel="2" x14ac:dyDescent="0.25">
      <c r="B31" s="22" t="s">
        <v>514</v>
      </c>
      <c r="C31" s="22" t="s">
        <v>57</v>
      </c>
      <c r="D31" s="22" t="s">
        <v>429</v>
      </c>
      <c r="E31" s="22">
        <v>2685.2</v>
      </c>
      <c r="F31" s="16"/>
      <c r="G31" s="22">
        <v>0</v>
      </c>
      <c r="H31" s="22">
        <v>2685.2</v>
      </c>
      <c r="I31" s="40" t="s">
        <v>535</v>
      </c>
    </row>
    <row r="32" spans="2:9" outlineLevel="2" x14ac:dyDescent="0.25">
      <c r="B32" s="22" t="s">
        <v>515</v>
      </c>
      <c r="C32" s="22" t="s">
        <v>57</v>
      </c>
      <c r="D32" s="22" t="s">
        <v>430</v>
      </c>
      <c r="E32" s="22">
        <v>1685.1999999999998</v>
      </c>
      <c r="F32" s="16"/>
      <c r="G32" s="22">
        <v>0</v>
      </c>
      <c r="H32" s="22">
        <v>1685.1999999999998</v>
      </c>
      <c r="I32" s="40" t="s">
        <v>535</v>
      </c>
    </row>
    <row r="33" spans="2:9" outlineLevel="2" x14ac:dyDescent="0.25">
      <c r="B33" s="22" t="s">
        <v>516</v>
      </c>
      <c r="C33" s="22" t="s">
        <v>57</v>
      </c>
      <c r="D33" s="22" t="s">
        <v>431</v>
      </c>
      <c r="E33" s="22">
        <v>1670.1999999999998</v>
      </c>
      <c r="F33" s="16"/>
      <c r="G33" s="22">
        <v>0</v>
      </c>
      <c r="H33" s="22">
        <v>1670.1999999999998</v>
      </c>
      <c r="I33" s="40" t="s">
        <v>535</v>
      </c>
    </row>
    <row r="34" spans="2:9" outlineLevel="2" x14ac:dyDescent="0.25">
      <c r="B34" s="22" t="s">
        <v>517</v>
      </c>
      <c r="C34" s="22" t="s">
        <v>57</v>
      </c>
      <c r="D34" s="22" t="s">
        <v>432</v>
      </c>
      <c r="E34" s="22">
        <v>2700.1400000000003</v>
      </c>
      <c r="F34" s="16"/>
      <c r="G34" s="22">
        <v>0</v>
      </c>
      <c r="H34" s="22">
        <v>2700.1400000000003</v>
      </c>
      <c r="I34" s="40" t="s">
        <v>535</v>
      </c>
    </row>
    <row r="35" spans="2:9" outlineLevel="2" x14ac:dyDescent="0.25">
      <c r="B35" s="22" t="s">
        <v>518</v>
      </c>
      <c r="C35" s="22" t="s">
        <v>57</v>
      </c>
      <c r="D35" s="22" t="s">
        <v>433</v>
      </c>
      <c r="E35" s="22">
        <v>2554.8000000000002</v>
      </c>
      <c r="F35" s="16"/>
      <c r="G35" s="22">
        <v>0</v>
      </c>
      <c r="H35" s="22">
        <v>2554.8000000000002</v>
      </c>
      <c r="I35" s="40" t="s">
        <v>535</v>
      </c>
    </row>
    <row r="36" spans="2:9" outlineLevel="2" x14ac:dyDescent="0.25">
      <c r="B36" s="22" t="s">
        <v>519</v>
      </c>
      <c r="C36" s="22" t="s">
        <v>57</v>
      </c>
      <c r="D36" s="22" t="s">
        <v>434</v>
      </c>
      <c r="E36" s="22">
        <v>1711.46</v>
      </c>
      <c r="F36" s="16"/>
      <c r="G36" s="22">
        <v>0</v>
      </c>
      <c r="H36" s="22">
        <v>1711.46</v>
      </c>
      <c r="I36" s="40" t="s">
        <v>535</v>
      </c>
    </row>
    <row r="37" spans="2:9" outlineLevel="2" x14ac:dyDescent="0.25">
      <c r="B37" s="22" t="s">
        <v>520</v>
      </c>
      <c r="C37" s="22" t="s">
        <v>57</v>
      </c>
      <c r="D37" s="22" t="s">
        <v>435</v>
      </c>
      <c r="E37" s="22">
        <v>2211.6499999999996</v>
      </c>
      <c r="F37" s="16"/>
      <c r="G37" s="22">
        <v>0</v>
      </c>
      <c r="H37" s="22">
        <v>2211.6499999999996</v>
      </c>
      <c r="I37" s="40" t="s">
        <v>535</v>
      </c>
    </row>
    <row r="38" spans="2:9" outlineLevel="2" x14ac:dyDescent="0.25">
      <c r="B38" s="22" t="s">
        <v>521</v>
      </c>
      <c r="C38" s="22" t="s">
        <v>57</v>
      </c>
      <c r="D38" s="22" t="s">
        <v>467</v>
      </c>
      <c r="E38" s="22">
        <v>2570.5700000000002</v>
      </c>
      <c r="F38" s="16"/>
      <c r="G38" s="22">
        <v>0</v>
      </c>
      <c r="H38" s="22">
        <v>2570.5700000000002</v>
      </c>
      <c r="I38" s="40" t="s">
        <v>535</v>
      </c>
    </row>
    <row r="39" spans="2:9" outlineLevel="2" x14ac:dyDescent="0.25">
      <c r="B39" s="22" t="s">
        <v>522</v>
      </c>
      <c r="C39" s="22" t="s">
        <v>57</v>
      </c>
      <c r="D39" s="22" t="s">
        <v>466</v>
      </c>
      <c r="E39" s="22">
        <v>2585.5300000000002</v>
      </c>
      <c r="F39" s="16"/>
      <c r="G39" s="22">
        <v>0</v>
      </c>
      <c r="H39" s="22">
        <v>2585.5300000000002</v>
      </c>
      <c r="I39" s="40" t="s">
        <v>535</v>
      </c>
    </row>
    <row r="40" spans="2:9" outlineLevel="2" x14ac:dyDescent="0.25">
      <c r="B40" s="22" t="s">
        <v>523</v>
      </c>
      <c r="C40" s="22" t="s">
        <v>57</v>
      </c>
      <c r="D40" s="22" t="s">
        <v>472</v>
      </c>
      <c r="E40" s="22">
        <v>2570.6</v>
      </c>
      <c r="F40" s="16">
        <v>2125</v>
      </c>
      <c r="G40" s="22">
        <v>0</v>
      </c>
      <c r="H40" s="22">
        <v>4695.6000000000004</v>
      </c>
      <c r="I40" s="40" t="s">
        <v>535</v>
      </c>
    </row>
    <row r="41" spans="2:9" outlineLevel="2" x14ac:dyDescent="0.25">
      <c r="B41" s="16" t="s">
        <v>213</v>
      </c>
      <c r="C41" s="22" t="s">
        <v>57</v>
      </c>
      <c r="D41" s="22" t="s">
        <v>351</v>
      </c>
      <c r="E41" s="22">
        <v>952.25000000000114</v>
      </c>
      <c r="F41" s="16">
        <v>16065.1</v>
      </c>
      <c r="G41" s="22">
        <v>10</v>
      </c>
      <c r="H41" s="22">
        <v>17027.350000000002</v>
      </c>
      <c r="I41" s="40" t="s">
        <v>535</v>
      </c>
    </row>
    <row r="42" spans="2:9" outlineLevel="2" x14ac:dyDescent="0.25">
      <c r="B42" s="22" t="s">
        <v>219</v>
      </c>
      <c r="C42" s="22" t="s">
        <v>57</v>
      </c>
      <c r="D42" s="22" t="s">
        <v>358</v>
      </c>
      <c r="E42" s="22">
        <v>1102.5900000000001</v>
      </c>
      <c r="F42" s="16"/>
      <c r="G42" s="22">
        <v>0</v>
      </c>
      <c r="H42" s="22">
        <v>1102.5900000000001</v>
      </c>
      <c r="I42" s="40" t="s">
        <v>535</v>
      </c>
    </row>
    <row r="43" spans="2:9" outlineLevel="2" x14ac:dyDescent="0.25">
      <c r="B43" s="22" t="s">
        <v>101</v>
      </c>
      <c r="C43" s="22" t="s">
        <v>57</v>
      </c>
      <c r="D43" s="22" t="s">
        <v>346</v>
      </c>
      <c r="E43" s="22">
        <v>152.50000000000017</v>
      </c>
      <c r="F43" s="16"/>
      <c r="G43" s="22">
        <v>0</v>
      </c>
      <c r="H43" s="22">
        <v>152.50000000000017</v>
      </c>
      <c r="I43" s="40" t="s">
        <v>535</v>
      </c>
    </row>
    <row r="44" spans="2:9" outlineLevel="2" x14ac:dyDescent="0.25">
      <c r="B44" s="21" t="s">
        <v>59</v>
      </c>
      <c r="C44" s="22" t="s">
        <v>57</v>
      </c>
      <c r="D44" s="21" t="s">
        <v>336</v>
      </c>
      <c r="E44" s="22">
        <v>231.80000000000035</v>
      </c>
      <c r="F44" s="16"/>
      <c r="G44" s="22">
        <v>0</v>
      </c>
      <c r="H44" s="22">
        <v>231.80000000000035</v>
      </c>
      <c r="I44" s="40" t="s">
        <v>535</v>
      </c>
    </row>
    <row r="45" spans="2:9" outlineLevel="2" x14ac:dyDescent="0.25">
      <c r="B45" s="22" t="s">
        <v>225</v>
      </c>
      <c r="C45" s="22" t="s">
        <v>57</v>
      </c>
      <c r="D45" s="22" t="s">
        <v>361</v>
      </c>
      <c r="E45" s="22">
        <v>1452.0999999999995</v>
      </c>
      <c r="F45" s="16">
        <v>2269.7199999999998</v>
      </c>
      <c r="G45" s="22">
        <v>0</v>
      </c>
      <c r="H45" s="22">
        <v>3721.8199999999993</v>
      </c>
      <c r="I45" s="40" t="s">
        <v>535</v>
      </c>
    </row>
    <row r="46" spans="2:9" outlineLevel="2" x14ac:dyDescent="0.25">
      <c r="B46" s="22" t="s">
        <v>73</v>
      </c>
      <c r="C46" s="22" t="s">
        <v>57</v>
      </c>
      <c r="D46" s="22" t="s">
        <v>338</v>
      </c>
      <c r="E46" s="22">
        <v>1549.9700000000007</v>
      </c>
      <c r="F46" s="16">
        <v>960</v>
      </c>
      <c r="G46" s="22">
        <v>0</v>
      </c>
      <c r="H46" s="22">
        <v>2509.9700000000007</v>
      </c>
      <c r="I46" s="40" t="s">
        <v>535</v>
      </c>
    </row>
    <row r="47" spans="2:9" outlineLevel="2" x14ac:dyDescent="0.25">
      <c r="B47" s="22" t="s">
        <v>105</v>
      </c>
      <c r="C47" s="22" t="s">
        <v>57</v>
      </c>
      <c r="D47" s="22" t="s">
        <v>348</v>
      </c>
      <c r="E47" s="22">
        <v>233.19999999999982</v>
      </c>
      <c r="F47" s="16"/>
      <c r="G47" s="22">
        <v>0</v>
      </c>
      <c r="H47" s="22">
        <v>233.19999999999982</v>
      </c>
      <c r="I47" s="40" t="s">
        <v>535</v>
      </c>
    </row>
    <row r="48" spans="2:9" outlineLevel="2" x14ac:dyDescent="0.25">
      <c r="B48" s="22" t="s">
        <v>372</v>
      </c>
      <c r="C48" s="22" t="s">
        <v>57</v>
      </c>
      <c r="D48" s="20" t="s">
        <v>373</v>
      </c>
      <c r="E48" s="22">
        <v>151.40000000000009</v>
      </c>
      <c r="F48" s="16"/>
      <c r="G48" s="22">
        <v>0</v>
      </c>
      <c r="H48" s="22">
        <v>151.40000000000009</v>
      </c>
      <c r="I48" s="40" t="s">
        <v>535</v>
      </c>
    </row>
    <row r="49" spans="2:9" outlineLevel="2" x14ac:dyDescent="0.25">
      <c r="B49" s="22" t="s">
        <v>377</v>
      </c>
      <c r="C49" s="22" t="s">
        <v>57</v>
      </c>
      <c r="D49" s="22" t="s">
        <v>378</v>
      </c>
      <c r="E49" s="22">
        <v>69.740000000000322</v>
      </c>
      <c r="F49" s="16">
        <v>3360</v>
      </c>
      <c r="G49" s="22">
        <v>0</v>
      </c>
      <c r="H49" s="22">
        <v>3429.7400000000002</v>
      </c>
      <c r="I49" s="40" t="s">
        <v>535</v>
      </c>
    </row>
    <row r="50" spans="2:9" outlineLevel="2" x14ac:dyDescent="0.25">
      <c r="B50" s="22" t="s">
        <v>227</v>
      </c>
      <c r="C50" s="22" t="s">
        <v>57</v>
      </c>
      <c r="D50" s="22" t="s">
        <v>364</v>
      </c>
      <c r="E50" s="22">
        <v>1437.13</v>
      </c>
      <c r="F50" s="16"/>
      <c r="G50" s="22">
        <v>0</v>
      </c>
      <c r="H50" s="22">
        <v>1437.13</v>
      </c>
      <c r="I50" s="40" t="s">
        <v>535</v>
      </c>
    </row>
    <row r="51" spans="2:9" outlineLevel="2" x14ac:dyDescent="0.25">
      <c r="B51" s="22" t="s">
        <v>83</v>
      </c>
      <c r="C51" s="22" t="s">
        <v>57</v>
      </c>
      <c r="D51" s="22" t="s">
        <v>341</v>
      </c>
      <c r="E51" s="22">
        <v>549.99999999999977</v>
      </c>
      <c r="F51" s="16"/>
      <c r="G51" s="22">
        <v>0</v>
      </c>
      <c r="H51" s="22">
        <v>549.99999999999977</v>
      </c>
      <c r="I51" s="40" t="s">
        <v>535</v>
      </c>
    </row>
    <row r="52" spans="2:9" outlineLevel="2" x14ac:dyDescent="0.25">
      <c r="B52" s="22" t="s">
        <v>209</v>
      </c>
      <c r="C52" s="22" t="s">
        <v>57</v>
      </c>
      <c r="D52" s="22" t="s">
        <v>350</v>
      </c>
      <c r="E52" s="22">
        <v>602.59999999999991</v>
      </c>
      <c r="F52" s="16">
        <v>1843.07</v>
      </c>
      <c r="G52" s="22">
        <v>0</v>
      </c>
      <c r="H52" s="22">
        <v>2445.67</v>
      </c>
      <c r="I52" s="40" t="s">
        <v>535</v>
      </c>
    </row>
    <row r="53" spans="2:9" outlineLevel="2" x14ac:dyDescent="0.25">
      <c r="B53" s="22" t="s">
        <v>85</v>
      </c>
      <c r="C53" s="22" t="s">
        <v>57</v>
      </c>
      <c r="D53" s="22" t="s">
        <v>342</v>
      </c>
      <c r="E53" s="22">
        <v>896.39999999999986</v>
      </c>
      <c r="F53" s="16"/>
      <c r="G53" s="22">
        <v>0</v>
      </c>
      <c r="H53" s="22">
        <v>896.39999999999986</v>
      </c>
      <c r="I53" s="40" t="s">
        <v>535</v>
      </c>
    </row>
    <row r="54" spans="2:9" outlineLevel="2" x14ac:dyDescent="0.25">
      <c r="B54" s="22" t="s">
        <v>215</v>
      </c>
      <c r="C54" s="22" t="s">
        <v>57</v>
      </c>
      <c r="D54" s="22" t="s">
        <v>353</v>
      </c>
      <c r="E54" s="22">
        <v>904.80000000000052</v>
      </c>
      <c r="F54" s="16"/>
      <c r="G54" s="22">
        <v>0</v>
      </c>
      <c r="H54" s="22">
        <v>904.80000000000052</v>
      </c>
      <c r="I54" s="40" t="s">
        <v>535</v>
      </c>
    </row>
    <row r="55" spans="2:9" outlineLevel="2" x14ac:dyDescent="0.25">
      <c r="B55" s="22" t="s">
        <v>71</v>
      </c>
      <c r="C55" s="22" t="s">
        <v>57</v>
      </c>
      <c r="D55" s="22" t="s">
        <v>367</v>
      </c>
      <c r="E55" s="22">
        <v>549.99999999999977</v>
      </c>
      <c r="F55" s="16"/>
      <c r="G55" s="22">
        <v>0</v>
      </c>
      <c r="H55" s="22">
        <v>549.99999999999977</v>
      </c>
      <c r="I55" s="40" t="s">
        <v>535</v>
      </c>
    </row>
    <row r="56" spans="2:9" outlineLevel="2" x14ac:dyDescent="0.25">
      <c r="B56" s="22" t="s">
        <v>226</v>
      </c>
      <c r="C56" s="22" t="s">
        <v>57</v>
      </c>
      <c r="D56" s="22" t="s">
        <v>362</v>
      </c>
      <c r="E56" s="22">
        <v>1475.2</v>
      </c>
      <c r="F56" s="16"/>
      <c r="G56" s="22">
        <v>0</v>
      </c>
      <c r="H56" s="22">
        <v>1475.2</v>
      </c>
      <c r="I56" s="40" t="s">
        <v>535</v>
      </c>
    </row>
    <row r="57" spans="2:9" outlineLevel="2" x14ac:dyDescent="0.25">
      <c r="B57" s="22" t="s">
        <v>87</v>
      </c>
      <c r="C57" s="22" t="s">
        <v>57</v>
      </c>
      <c r="D57" s="20" t="s">
        <v>374</v>
      </c>
      <c r="E57" s="22">
        <v>435.40000000000003</v>
      </c>
      <c r="F57" s="16"/>
      <c r="G57" s="22">
        <v>0</v>
      </c>
      <c r="H57" s="22">
        <v>435.40000000000003</v>
      </c>
      <c r="I57" s="40" t="s">
        <v>535</v>
      </c>
    </row>
    <row r="58" spans="2:9" outlineLevel="2" x14ac:dyDescent="0.25">
      <c r="B58" s="22" t="s">
        <v>115</v>
      </c>
      <c r="C58" s="22" t="s">
        <v>57</v>
      </c>
      <c r="D58" s="22" t="s">
        <v>365</v>
      </c>
      <c r="E58" s="22">
        <v>977.3499999999998</v>
      </c>
      <c r="F58" s="16"/>
      <c r="G58" s="22">
        <v>0</v>
      </c>
      <c r="H58" s="22">
        <v>977.3499999999998</v>
      </c>
      <c r="I58" s="40" t="s">
        <v>535</v>
      </c>
    </row>
    <row r="59" spans="2:9" outlineLevel="2" x14ac:dyDescent="0.25">
      <c r="B59" s="22" t="s">
        <v>103</v>
      </c>
      <c r="C59" s="22" t="s">
        <v>57</v>
      </c>
      <c r="D59" s="22" t="s">
        <v>347</v>
      </c>
      <c r="E59" s="22">
        <v>452.19999999999959</v>
      </c>
      <c r="F59" s="16">
        <v>260</v>
      </c>
      <c r="G59" s="22">
        <v>0</v>
      </c>
      <c r="H59" s="22">
        <v>712.19999999999959</v>
      </c>
      <c r="I59" s="40" t="s">
        <v>535</v>
      </c>
    </row>
    <row r="60" spans="2:9" outlineLevel="2" x14ac:dyDescent="0.25">
      <c r="B60" s="22" t="s">
        <v>370</v>
      </c>
      <c r="C60" s="22" t="s">
        <v>57</v>
      </c>
      <c r="D60" s="20" t="s">
        <v>371</v>
      </c>
      <c r="E60" s="22">
        <v>450.40000000000026</v>
      </c>
      <c r="F60" s="16">
        <v>1550</v>
      </c>
      <c r="G60" s="22">
        <v>0</v>
      </c>
      <c r="H60" s="22">
        <v>2000.4000000000003</v>
      </c>
      <c r="I60" s="40" t="s">
        <v>535</v>
      </c>
    </row>
    <row r="61" spans="2:9" outlineLevel="2" x14ac:dyDescent="0.25">
      <c r="B61" s="22" t="s">
        <v>81</v>
      </c>
      <c r="C61" s="22" t="s">
        <v>57</v>
      </c>
      <c r="D61" s="22" t="s">
        <v>340</v>
      </c>
      <c r="E61" s="22">
        <v>465.37999999999988</v>
      </c>
      <c r="F61" s="16"/>
      <c r="G61" s="22">
        <v>0</v>
      </c>
      <c r="H61" s="22">
        <v>465.37999999999988</v>
      </c>
      <c r="I61" s="40" t="s">
        <v>535</v>
      </c>
    </row>
    <row r="62" spans="2:9" outlineLevel="2" x14ac:dyDescent="0.25">
      <c r="B62" s="22" t="s">
        <v>91</v>
      </c>
      <c r="C62" s="22" t="s">
        <v>57</v>
      </c>
      <c r="D62" s="22" t="s">
        <v>344</v>
      </c>
      <c r="E62" s="22">
        <v>656.13000000000011</v>
      </c>
      <c r="F62" s="16">
        <v>1120</v>
      </c>
      <c r="G62" s="22">
        <v>0</v>
      </c>
      <c r="H62" s="22">
        <v>1776.13</v>
      </c>
      <c r="I62" s="40" t="s">
        <v>535</v>
      </c>
    </row>
    <row r="63" spans="2:9" outlineLevel="2" x14ac:dyDescent="0.25">
      <c r="B63" s="22" t="s">
        <v>79</v>
      </c>
      <c r="C63" s="22" t="s">
        <v>57</v>
      </c>
      <c r="D63" s="22" t="s">
        <v>339</v>
      </c>
      <c r="E63" s="22">
        <v>14.799999999999955</v>
      </c>
      <c r="F63" s="16"/>
      <c r="G63" s="22">
        <v>0</v>
      </c>
      <c r="H63" s="22">
        <v>14.799999999999955</v>
      </c>
      <c r="I63" s="40" t="s">
        <v>535</v>
      </c>
    </row>
    <row r="64" spans="2:9" outlineLevel="2" x14ac:dyDescent="0.25">
      <c r="B64" s="22" t="s">
        <v>217</v>
      </c>
      <c r="C64" s="22" t="s">
        <v>57</v>
      </c>
      <c r="D64" s="20" t="s">
        <v>357</v>
      </c>
      <c r="E64" s="22">
        <v>1169.9700000000003</v>
      </c>
      <c r="F64" s="16"/>
      <c r="G64" s="22">
        <v>0</v>
      </c>
      <c r="H64" s="22">
        <v>1169.9700000000003</v>
      </c>
      <c r="I64" s="40" t="s">
        <v>535</v>
      </c>
    </row>
    <row r="65" spans="2:9" outlineLevel="2" x14ac:dyDescent="0.25">
      <c r="B65" s="22" t="s">
        <v>93</v>
      </c>
      <c r="C65" s="22" t="s">
        <v>57</v>
      </c>
      <c r="D65" s="22" t="s">
        <v>345</v>
      </c>
      <c r="E65" s="22">
        <v>240.19999999999962</v>
      </c>
      <c r="F65" s="16"/>
      <c r="G65" s="22">
        <v>0</v>
      </c>
      <c r="H65" s="22">
        <v>240.19999999999962</v>
      </c>
      <c r="I65" s="40" t="s">
        <v>535</v>
      </c>
    </row>
    <row r="66" spans="2:9" outlineLevel="2" x14ac:dyDescent="0.25">
      <c r="B66" s="22" t="s">
        <v>216</v>
      </c>
      <c r="C66" s="22" t="s">
        <v>57</v>
      </c>
      <c r="D66" s="22" t="s">
        <v>356</v>
      </c>
      <c r="E66" s="22">
        <v>641.19999999999936</v>
      </c>
      <c r="F66" s="16">
        <v>350</v>
      </c>
      <c r="G66" s="22">
        <v>0</v>
      </c>
      <c r="H66" s="22">
        <v>991.19999999999936</v>
      </c>
      <c r="I66" s="40" t="s">
        <v>535</v>
      </c>
    </row>
    <row r="67" spans="2:9" outlineLevel="2" x14ac:dyDescent="0.25">
      <c r="B67" s="22" t="s">
        <v>221</v>
      </c>
      <c r="C67" s="22" t="s">
        <v>57</v>
      </c>
      <c r="D67" s="22" t="s">
        <v>360</v>
      </c>
      <c r="E67" s="22">
        <v>1467.1899999999996</v>
      </c>
      <c r="F67" s="16"/>
      <c r="G67" s="22">
        <v>0</v>
      </c>
      <c r="H67" s="22">
        <v>1467.1899999999996</v>
      </c>
      <c r="I67" s="40" t="s">
        <v>535</v>
      </c>
    </row>
    <row r="68" spans="2:9" outlineLevel="2" x14ac:dyDescent="0.25">
      <c r="B68" s="22" t="s">
        <v>113</v>
      </c>
      <c r="C68" s="22" t="s">
        <v>57</v>
      </c>
      <c r="D68" s="22" t="s">
        <v>363</v>
      </c>
      <c r="E68" s="22">
        <v>992.06999999999971</v>
      </c>
      <c r="F68" s="16"/>
      <c r="G68" s="22">
        <v>0</v>
      </c>
      <c r="H68" s="22">
        <v>992.06999999999971</v>
      </c>
      <c r="I68" s="40" t="s">
        <v>535</v>
      </c>
    </row>
    <row r="69" spans="2:9" outlineLevel="2" x14ac:dyDescent="0.25">
      <c r="B69" s="22" t="s">
        <v>229</v>
      </c>
      <c r="C69" s="22" t="s">
        <v>57</v>
      </c>
      <c r="D69" s="22" t="s">
        <v>366</v>
      </c>
      <c r="E69" s="22">
        <v>917.5</v>
      </c>
      <c r="F69" s="16"/>
      <c r="G69" s="22">
        <v>0</v>
      </c>
      <c r="H69" s="22">
        <v>917.5</v>
      </c>
      <c r="I69" s="40" t="s">
        <v>535</v>
      </c>
    </row>
    <row r="70" spans="2:9" outlineLevel="2" x14ac:dyDescent="0.25">
      <c r="B70" s="22" t="s">
        <v>220</v>
      </c>
      <c r="C70" s="22" t="s">
        <v>57</v>
      </c>
      <c r="D70" s="22" t="s">
        <v>359</v>
      </c>
      <c r="E70" s="22">
        <v>2202.2099999999996</v>
      </c>
      <c r="F70" s="16"/>
      <c r="G70" s="22">
        <v>0</v>
      </c>
      <c r="H70" s="22">
        <v>2202.2099999999996</v>
      </c>
      <c r="I70" s="40" t="s">
        <v>535</v>
      </c>
    </row>
    <row r="71" spans="2:9" outlineLevel="2" x14ac:dyDescent="0.25">
      <c r="B71" s="22" t="s">
        <v>67</v>
      </c>
      <c r="C71" s="22" t="s">
        <v>57</v>
      </c>
      <c r="D71" s="22" t="s">
        <v>337</v>
      </c>
      <c r="E71" s="22">
        <v>450.40000000000009</v>
      </c>
      <c r="F71" s="16"/>
      <c r="G71" s="22">
        <v>0</v>
      </c>
      <c r="H71" s="22">
        <v>450.40000000000009</v>
      </c>
      <c r="I71" s="40" t="s">
        <v>535</v>
      </c>
    </row>
    <row r="72" spans="2:9" outlineLevel="2" x14ac:dyDescent="0.25">
      <c r="B72" s="22" t="s">
        <v>89</v>
      </c>
      <c r="C72" s="22" t="s">
        <v>57</v>
      </c>
      <c r="D72" s="22" t="s">
        <v>343</v>
      </c>
      <c r="E72" s="22">
        <v>1167.5500000000002</v>
      </c>
      <c r="F72" s="16"/>
      <c r="G72" s="22">
        <v>20</v>
      </c>
      <c r="H72" s="22">
        <v>1187.5500000000002</v>
      </c>
      <c r="I72" s="40" t="s">
        <v>535</v>
      </c>
    </row>
    <row r="73" spans="2:9" outlineLevel="2" x14ac:dyDescent="0.25">
      <c r="B73" s="22" t="s">
        <v>387</v>
      </c>
      <c r="C73" s="22" t="s">
        <v>57</v>
      </c>
      <c r="D73" s="22" t="s">
        <v>386</v>
      </c>
      <c r="E73" s="22">
        <v>734.09999999999991</v>
      </c>
      <c r="F73" s="16">
        <v>1325</v>
      </c>
      <c r="G73" s="22">
        <v>5.4999999999999858</v>
      </c>
      <c r="H73" s="22">
        <v>2064.6</v>
      </c>
      <c r="I73" s="40" t="s">
        <v>535</v>
      </c>
    </row>
    <row r="74" spans="2:9" outlineLevel="2" x14ac:dyDescent="0.25">
      <c r="B74" s="22" t="s">
        <v>394</v>
      </c>
      <c r="C74" s="22" t="s">
        <v>57</v>
      </c>
      <c r="D74" s="22" t="s">
        <v>395</v>
      </c>
      <c r="E74" s="22">
        <v>755.07000000000028</v>
      </c>
      <c r="F74" s="16">
        <v>1275</v>
      </c>
      <c r="G74" s="22">
        <v>0</v>
      </c>
      <c r="H74" s="22">
        <v>2030.0700000000002</v>
      </c>
      <c r="I74" s="40" t="s">
        <v>535</v>
      </c>
    </row>
    <row r="75" spans="2:9" outlineLevel="2" x14ac:dyDescent="0.25">
      <c r="B75" s="22" t="s">
        <v>399</v>
      </c>
      <c r="C75" s="22" t="s">
        <v>57</v>
      </c>
      <c r="D75" s="22" t="s">
        <v>400</v>
      </c>
      <c r="E75" s="22">
        <v>452.19999999999982</v>
      </c>
      <c r="F75" s="16">
        <v>1375</v>
      </c>
      <c r="G75" s="22">
        <v>0</v>
      </c>
      <c r="H75" s="22">
        <v>1827.1999999999998</v>
      </c>
      <c r="I75" s="40" t="s">
        <v>535</v>
      </c>
    </row>
    <row r="76" spans="2:9" outlineLevel="2" x14ac:dyDescent="0.25">
      <c r="B76" s="22" t="s">
        <v>401</v>
      </c>
      <c r="C76" s="22" t="s">
        <v>57</v>
      </c>
      <c r="D76" s="22" t="s">
        <v>402</v>
      </c>
      <c r="E76" s="22">
        <v>22.599999999999909</v>
      </c>
      <c r="F76" s="16"/>
      <c r="G76" s="22">
        <v>0</v>
      </c>
      <c r="H76" s="22">
        <v>22.599999999999909</v>
      </c>
      <c r="I76" s="40" t="s">
        <v>535</v>
      </c>
    </row>
    <row r="77" spans="2:9" outlineLevel="2" x14ac:dyDescent="0.25">
      <c r="B77" s="22" t="s">
        <v>403</v>
      </c>
      <c r="C77" s="22" t="s">
        <v>57</v>
      </c>
      <c r="D77" s="22" t="s">
        <v>404</v>
      </c>
      <c r="E77" s="22">
        <v>152.49999999999983</v>
      </c>
      <c r="F77" s="16"/>
      <c r="G77" s="22">
        <v>0</v>
      </c>
      <c r="H77" s="22">
        <v>152.49999999999983</v>
      </c>
      <c r="I77" s="40" t="s">
        <v>535</v>
      </c>
    </row>
    <row r="78" spans="2:9" outlineLevel="2" x14ac:dyDescent="0.25">
      <c r="B78" s="22" t="s">
        <v>414</v>
      </c>
      <c r="C78" s="22" t="s">
        <v>57</v>
      </c>
      <c r="D78" s="22" t="s">
        <v>415</v>
      </c>
      <c r="E78" s="22">
        <v>452.2</v>
      </c>
      <c r="F78" s="16">
        <v>2900</v>
      </c>
      <c r="G78" s="22">
        <v>0</v>
      </c>
      <c r="H78" s="22">
        <v>3352.2</v>
      </c>
      <c r="I78" s="40" t="s">
        <v>535</v>
      </c>
    </row>
    <row r="79" spans="2:9" outlineLevel="2" x14ac:dyDescent="0.25">
      <c r="B79" s="22" t="s">
        <v>43</v>
      </c>
      <c r="C79" s="22" t="s">
        <v>57</v>
      </c>
      <c r="D79" s="22" t="s">
        <v>406</v>
      </c>
      <c r="E79" s="22">
        <v>452.39999999999986</v>
      </c>
      <c r="F79" s="16"/>
      <c r="G79" s="22">
        <v>0</v>
      </c>
      <c r="H79" s="22">
        <v>452.39999999999986</v>
      </c>
      <c r="I79" s="40" t="s">
        <v>535</v>
      </c>
    </row>
    <row r="80" spans="2:9" outlineLevel="2" x14ac:dyDescent="0.25">
      <c r="B80" s="22" t="s">
        <v>411</v>
      </c>
      <c r="C80" s="22" t="s">
        <v>57</v>
      </c>
      <c r="D80" s="22" t="s">
        <v>407</v>
      </c>
      <c r="E80" s="22">
        <v>1139.3999999999996</v>
      </c>
      <c r="F80" s="16"/>
      <c r="G80" s="22">
        <v>0</v>
      </c>
      <c r="H80" s="22">
        <v>1139.3999999999996</v>
      </c>
      <c r="I80" s="40" t="s">
        <v>535</v>
      </c>
    </row>
    <row r="81" spans="2:12" s="20" customFormat="1" outlineLevel="2" x14ac:dyDescent="0.25">
      <c r="B81" s="22" t="s">
        <v>412</v>
      </c>
      <c r="C81" s="22" t="s">
        <v>57</v>
      </c>
      <c r="D81" s="22" t="s">
        <v>408</v>
      </c>
      <c r="E81" s="22">
        <v>1139.3999999999996</v>
      </c>
      <c r="F81" s="16"/>
      <c r="G81" s="22">
        <v>0</v>
      </c>
      <c r="H81" s="22">
        <v>1139.3999999999996</v>
      </c>
      <c r="I81" s="40" t="s">
        <v>535</v>
      </c>
      <c r="J81" s="33"/>
      <c r="K81" s="22"/>
      <c r="L81" s="22"/>
    </row>
    <row r="82" spans="2:12" outlineLevel="2" x14ac:dyDescent="0.25">
      <c r="B82" s="22" t="s">
        <v>413</v>
      </c>
      <c r="C82" s="22" t="s">
        <v>57</v>
      </c>
      <c r="D82" s="22" t="s">
        <v>409</v>
      </c>
      <c r="E82" s="22">
        <v>1139.3999999999996</v>
      </c>
      <c r="F82" s="16"/>
      <c r="G82" s="22">
        <v>0</v>
      </c>
      <c r="H82" s="22">
        <v>1139.3999999999996</v>
      </c>
      <c r="I82" s="40" t="s">
        <v>535</v>
      </c>
    </row>
    <row r="83" spans="2:12" outlineLevel="2" x14ac:dyDescent="0.25">
      <c r="B83" s="16" t="s">
        <v>416</v>
      </c>
      <c r="C83" s="16" t="s">
        <v>57</v>
      </c>
      <c r="D83" s="16" t="s">
        <v>417</v>
      </c>
      <c r="E83" s="22">
        <v>152.40000000000009</v>
      </c>
      <c r="F83" s="16"/>
      <c r="G83" s="22">
        <v>0</v>
      </c>
      <c r="H83" s="22">
        <v>152.40000000000009</v>
      </c>
      <c r="I83" s="40" t="s">
        <v>535</v>
      </c>
    </row>
    <row r="84" spans="2:12" outlineLevel="2" x14ac:dyDescent="0.25">
      <c r="B84" s="16" t="s">
        <v>418</v>
      </c>
      <c r="C84" s="16" t="s">
        <v>57</v>
      </c>
      <c r="D84" s="16" t="s">
        <v>419</v>
      </c>
      <c r="E84" s="22">
        <v>452.19999999999982</v>
      </c>
      <c r="F84" s="16">
        <v>3050</v>
      </c>
      <c r="G84" s="22">
        <v>0</v>
      </c>
      <c r="H84" s="22">
        <v>3502.2</v>
      </c>
      <c r="I84" s="40" t="s">
        <v>535</v>
      </c>
    </row>
    <row r="85" spans="2:12" outlineLevel="2" x14ac:dyDescent="0.25">
      <c r="B85" s="22" t="s">
        <v>420</v>
      </c>
      <c r="C85" s="16" t="s">
        <v>57</v>
      </c>
      <c r="D85" s="22" t="s">
        <v>421</v>
      </c>
      <c r="E85" s="22">
        <v>70.599999999999994</v>
      </c>
      <c r="F85" s="16"/>
      <c r="G85" s="22">
        <v>0</v>
      </c>
      <c r="H85" s="22">
        <v>70.599999999999994</v>
      </c>
      <c r="I85" s="40" t="s">
        <v>535</v>
      </c>
    </row>
    <row r="86" spans="2:12" outlineLevel="2" x14ac:dyDescent="0.25">
      <c r="B86" s="22" t="s">
        <v>436</v>
      </c>
      <c r="C86" s="16" t="s">
        <v>57</v>
      </c>
      <c r="D86" s="22" t="s">
        <v>437</v>
      </c>
      <c r="E86" s="22">
        <v>452.19999999999982</v>
      </c>
      <c r="F86" s="16"/>
      <c r="G86" s="22">
        <v>0</v>
      </c>
      <c r="H86" s="22">
        <v>452.19999999999982</v>
      </c>
      <c r="I86" s="40" t="s">
        <v>535</v>
      </c>
    </row>
    <row r="87" spans="2:12" outlineLevel="2" x14ac:dyDescent="0.25">
      <c r="B87" s="22" t="s">
        <v>438</v>
      </c>
      <c r="C87" s="16" t="s">
        <v>57</v>
      </c>
      <c r="D87" s="22" t="s">
        <v>439</v>
      </c>
      <c r="E87" s="22">
        <v>137.59999999999991</v>
      </c>
      <c r="F87" s="16"/>
      <c r="G87" s="22">
        <v>0</v>
      </c>
      <c r="H87" s="22">
        <v>137.59999999999991</v>
      </c>
      <c r="I87" s="40" t="s">
        <v>535</v>
      </c>
    </row>
    <row r="88" spans="2:12" outlineLevel="2" x14ac:dyDescent="0.25">
      <c r="B88" s="22" t="s">
        <v>440</v>
      </c>
      <c r="C88" s="16" t="s">
        <v>57</v>
      </c>
      <c r="D88" s="22" t="s">
        <v>441</v>
      </c>
      <c r="E88" s="22">
        <v>248.20499999999993</v>
      </c>
      <c r="F88" s="16"/>
      <c r="G88" s="22">
        <v>0</v>
      </c>
      <c r="H88" s="22">
        <v>248.20499999999993</v>
      </c>
      <c r="I88" s="40" t="s">
        <v>535</v>
      </c>
    </row>
    <row r="89" spans="2:12" outlineLevel="2" x14ac:dyDescent="0.25">
      <c r="B89" s="22" t="s">
        <v>442</v>
      </c>
      <c r="C89" s="16" t="s">
        <v>57</v>
      </c>
      <c r="D89" s="22" t="s">
        <v>443</v>
      </c>
      <c r="E89" s="22">
        <v>452.19999999999982</v>
      </c>
      <c r="F89" s="16"/>
      <c r="G89" s="22">
        <v>0</v>
      </c>
      <c r="H89" s="22">
        <v>452.19999999999982</v>
      </c>
      <c r="I89" s="40" t="s">
        <v>535</v>
      </c>
    </row>
    <row r="90" spans="2:12" outlineLevel="2" x14ac:dyDescent="0.25">
      <c r="B90" s="22" t="s">
        <v>444</v>
      </c>
      <c r="C90" s="16" t="s">
        <v>57</v>
      </c>
      <c r="D90" s="22" t="s">
        <v>445</v>
      </c>
      <c r="E90" s="22">
        <v>442.80000000000064</v>
      </c>
      <c r="F90" s="16"/>
      <c r="G90" s="22">
        <v>0</v>
      </c>
      <c r="H90" s="22">
        <v>442.80000000000064</v>
      </c>
      <c r="I90" s="40" t="s">
        <v>535</v>
      </c>
    </row>
    <row r="91" spans="2:12" outlineLevel="2" x14ac:dyDescent="0.25">
      <c r="B91" s="22" t="s">
        <v>446</v>
      </c>
      <c r="C91" s="16" t="s">
        <v>57</v>
      </c>
      <c r="D91" s="22" t="s">
        <v>447</v>
      </c>
      <c r="E91" s="22">
        <v>452.19999999999982</v>
      </c>
      <c r="F91" s="16">
        <v>860</v>
      </c>
      <c r="G91" s="22">
        <v>0</v>
      </c>
      <c r="H91" s="22">
        <v>1312.1999999999998</v>
      </c>
      <c r="I91" s="40" t="s">
        <v>535</v>
      </c>
    </row>
    <row r="92" spans="2:12" outlineLevel="2" x14ac:dyDescent="0.25">
      <c r="B92" s="22" t="s">
        <v>448</v>
      </c>
      <c r="C92" s="16" t="s">
        <v>57</v>
      </c>
      <c r="D92" s="22" t="s">
        <v>449</v>
      </c>
      <c r="E92" s="22">
        <v>656.19999999999982</v>
      </c>
      <c r="F92" s="16"/>
      <c r="G92" s="22">
        <v>0</v>
      </c>
      <c r="H92" s="22">
        <v>656.19999999999982</v>
      </c>
      <c r="I92" s="40" t="s">
        <v>535</v>
      </c>
    </row>
    <row r="93" spans="2:12" outlineLevel="2" x14ac:dyDescent="0.25">
      <c r="B93" s="22" t="s">
        <v>450</v>
      </c>
      <c r="C93" s="16" t="s">
        <v>57</v>
      </c>
      <c r="D93" s="22" t="s">
        <v>451</v>
      </c>
      <c r="E93" s="22">
        <v>437.19999999999982</v>
      </c>
      <c r="F93" s="16"/>
      <c r="G93" s="22">
        <v>0</v>
      </c>
      <c r="H93" s="22">
        <v>437.19999999999982</v>
      </c>
      <c r="I93" s="40" t="s">
        <v>535</v>
      </c>
    </row>
    <row r="94" spans="2:12" outlineLevel="2" x14ac:dyDescent="0.25">
      <c r="B94" s="22" t="s">
        <v>452</v>
      </c>
      <c r="C94" s="16" t="s">
        <v>57</v>
      </c>
      <c r="D94" s="22" t="s">
        <v>453</v>
      </c>
      <c r="E94" s="22">
        <v>609.22499999999991</v>
      </c>
      <c r="F94" s="16">
        <v>1550</v>
      </c>
      <c r="G94" s="22">
        <v>0</v>
      </c>
      <c r="H94" s="22">
        <v>2159.2249999999999</v>
      </c>
      <c r="I94" s="40" t="s">
        <v>535</v>
      </c>
    </row>
    <row r="95" spans="2:12" outlineLevel="2" x14ac:dyDescent="0.25">
      <c r="B95" s="22" t="s">
        <v>454</v>
      </c>
      <c r="C95" s="16" t="s">
        <v>57</v>
      </c>
      <c r="D95" s="22" t="s">
        <v>455</v>
      </c>
      <c r="E95" s="22">
        <v>422.95499999999993</v>
      </c>
      <c r="F95" s="16">
        <v>1875</v>
      </c>
      <c r="G95" s="22">
        <v>0</v>
      </c>
      <c r="H95" s="22">
        <v>2297.9549999999999</v>
      </c>
      <c r="I95" s="40" t="s">
        <v>535</v>
      </c>
    </row>
    <row r="96" spans="2:12" outlineLevel="2" x14ac:dyDescent="0.25">
      <c r="B96" s="22" t="s">
        <v>456</v>
      </c>
      <c r="C96" s="16" t="s">
        <v>57</v>
      </c>
      <c r="D96" s="22" t="s">
        <v>457</v>
      </c>
      <c r="E96" s="22">
        <v>499.65500000000065</v>
      </c>
      <c r="F96" s="16">
        <v>125</v>
      </c>
      <c r="G96" s="22">
        <v>0</v>
      </c>
      <c r="H96" s="22">
        <v>624.65500000000065</v>
      </c>
      <c r="I96" s="40" t="s">
        <v>535</v>
      </c>
    </row>
    <row r="97" spans="2:9" ht="15.75" outlineLevel="2" x14ac:dyDescent="0.25">
      <c r="B97" s="30" t="s">
        <v>531</v>
      </c>
      <c r="C97" s="16" t="s">
        <v>57</v>
      </c>
      <c r="D97" s="30" t="s">
        <v>532</v>
      </c>
      <c r="E97" s="22">
        <v>450.6</v>
      </c>
      <c r="F97" s="16"/>
      <c r="H97" s="22">
        <v>450.6</v>
      </c>
      <c r="I97" s="40" t="s">
        <v>535</v>
      </c>
    </row>
    <row r="98" spans="2:9" outlineLevel="2" x14ac:dyDescent="0.25">
      <c r="B98" s="22" t="s">
        <v>458</v>
      </c>
      <c r="C98" s="16" t="s">
        <v>57</v>
      </c>
      <c r="D98" s="22" t="s">
        <v>459</v>
      </c>
      <c r="E98" s="22">
        <v>436.94999999999982</v>
      </c>
      <c r="F98" s="16">
        <v>4510</v>
      </c>
      <c r="G98" s="22">
        <v>0</v>
      </c>
      <c r="H98" s="22">
        <v>4946.95</v>
      </c>
      <c r="I98" s="40" t="s">
        <v>535</v>
      </c>
    </row>
    <row r="99" spans="2:9" outlineLevel="2" x14ac:dyDescent="0.25">
      <c r="B99" s="22" t="s">
        <v>460</v>
      </c>
      <c r="C99" s="16" t="s">
        <v>57</v>
      </c>
      <c r="D99" s="22" t="s">
        <v>461</v>
      </c>
      <c r="E99" s="22">
        <v>514.68499999999995</v>
      </c>
      <c r="F99" s="16"/>
      <c r="G99" s="22">
        <v>0</v>
      </c>
      <c r="H99" s="22">
        <v>514.68499999999995</v>
      </c>
      <c r="I99" s="40" t="s">
        <v>535</v>
      </c>
    </row>
    <row r="100" spans="2:9" outlineLevel="2" x14ac:dyDescent="0.25">
      <c r="B100" s="22" t="s">
        <v>464</v>
      </c>
      <c r="C100" s="16" t="s">
        <v>57</v>
      </c>
      <c r="D100" s="22" t="s">
        <v>465</v>
      </c>
      <c r="E100" s="22">
        <v>437.20000000000005</v>
      </c>
      <c r="F100" s="16"/>
      <c r="G100" s="22">
        <v>0</v>
      </c>
      <c r="H100" s="22">
        <v>437.20000000000005</v>
      </c>
      <c r="I100" s="40" t="s">
        <v>535</v>
      </c>
    </row>
    <row r="101" spans="2:9" outlineLevel="2" x14ac:dyDescent="0.25">
      <c r="B101" s="22" t="s">
        <v>468</v>
      </c>
      <c r="C101" s="16" t="s">
        <v>57</v>
      </c>
      <c r="D101" s="22" t="s">
        <v>469</v>
      </c>
      <c r="E101" s="22">
        <v>452.2</v>
      </c>
      <c r="F101" s="16"/>
      <c r="G101" s="22">
        <v>0</v>
      </c>
      <c r="H101" s="22">
        <v>452.2</v>
      </c>
      <c r="I101" s="40" t="s">
        <v>535</v>
      </c>
    </row>
    <row r="102" spans="2:9" outlineLevel="2" x14ac:dyDescent="0.25">
      <c r="B102" s="22" t="s">
        <v>470</v>
      </c>
      <c r="C102" s="16" t="s">
        <v>57</v>
      </c>
      <c r="D102" s="22" t="s">
        <v>471</v>
      </c>
      <c r="E102" s="22">
        <v>14.239999999999782</v>
      </c>
      <c r="F102" s="16"/>
      <c r="G102" s="22">
        <v>0</v>
      </c>
      <c r="H102" s="22">
        <v>14.239999999999782</v>
      </c>
      <c r="I102" s="40" t="s">
        <v>535</v>
      </c>
    </row>
    <row r="103" spans="2:9" outlineLevel="2" x14ac:dyDescent="0.25">
      <c r="B103" s="22" t="s">
        <v>473</v>
      </c>
      <c r="C103" s="16" t="s">
        <v>57</v>
      </c>
      <c r="D103" s="22" t="s">
        <v>474</v>
      </c>
      <c r="E103" s="22">
        <v>1139.3999999999996</v>
      </c>
      <c r="F103" s="16"/>
      <c r="G103" s="22">
        <v>0</v>
      </c>
      <c r="H103" s="22">
        <v>1139.3999999999996</v>
      </c>
      <c r="I103" s="40" t="s">
        <v>535</v>
      </c>
    </row>
    <row r="104" spans="2:9" outlineLevel="2" x14ac:dyDescent="0.25">
      <c r="B104" s="22" t="s">
        <v>475</v>
      </c>
      <c r="C104" s="16" t="s">
        <v>57</v>
      </c>
      <c r="D104" s="22" t="s">
        <v>476</v>
      </c>
      <c r="E104" s="22">
        <v>452.19999999999982</v>
      </c>
      <c r="F104" s="16">
        <v>3025</v>
      </c>
      <c r="G104" s="22">
        <v>0</v>
      </c>
      <c r="H104" s="22">
        <v>3477.2</v>
      </c>
      <c r="I104" s="40" t="s">
        <v>535</v>
      </c>
    </row>
    <row r="105" spans="2:9" outlineLevel="2" x14ac:dyDescent="0.25">
      <c r="B105" s="22" t="s">
        <v>478</v>
      </c>
      <c r="C105" s="16" t="s">
        <v>57</v>
      </c>
      <c r="D105" s="22" t="s">
        <v>479</v>
      </c>
      <c r="E105" s="22">
        <v>452.19999999999982</v>
      </c>
      <c r="F105" s="16">
        <v>2775</v>
      </c>
      <c r="G105" s="22">
        <v>0</v>
      </c>
      <c r="H105" s="22">
        <v>3227.2</v>
      </c>
      <c r="I105" s="40" t="s">
        <v>535</v>
      </c>
    </row>
    <row r="106" spans="2:9" outlineLevel="2" x14ac:dyDescent="0.25">
      <c r="B106" s="22" t="s">
        <v>480</v>
      </c>
      <c r="C106" s="16" t="s">
        <v>57</v>
      </c>
      <c r="D106" s="22" t="s">
        <v>481</v>
      </c>
      <c r="E106" s="22">
        <v>152.59999999999991</v>
      </c>
      <c r="F106" s="16"/>
      <c r="G106" s="22">
        <v>0</v>
      </c>
      <c r="H106" s="22">
        <v>152.59999999999991</v>
      </c>
      <c r="I106" s="40" t="s">
        <v>535</v>
      </c>
    </row>
    <row r="107" spans="2:9" outlineLevel="2" x14ac:dyDescent="0.25">
      <c r="B107" s="22" t="s">
        <v>482</v>
      </c>
      <c r="C107" s="16" t="s">
        <v>57</v>
      </c>
      <c r="D107" s="22" t="s">
        <v>483</v>
      </c>
      <c r="E107" s="22">
        <v>452.20000000000005</v>
      </c>
      <c r="F107" s="16"/>
      <c r="G107" s="22">
        <v>0</v>
      </c>
      <c r="H107" s="22">
        <v>452.20000000000005</v>
      </c>
      <c r="I107" s="40" t="s">
        <v>535</v>
      </c>
    </row>
    <row r="108" spans="2:9" outlineLevel="2" x14ac:dyDescent="0.25">
      <c r="B108" s="22" t="s">
        <v>484</v>
      </c>
      <c r="C108" s="16" t="s">
        <v>57</v>
      </c>
      <c r="D108" s="22" t="s">
        <v>485</v>
      </c>
      <c r="E108" s="22">
        <v>450.40000000000009</v>
      </c>
      <c r="F108" s="16"/>
      <c r="G108" s="22">
        <v>0</v>
      </c>
      <c r="H108" s="22">
        <v>450.40000000000009</v>
      </c>
      <c r="I108" s="40" t="s">
        <v>535</v>
      </c>
    </row>
    <row r="109" spans="2:9" outlineLevel="2" x14ac:dyDescent="0.25">
      <c r="B109" s="22" t="s">
        <v>486</v>
      </c>
      <c r="C109" s="16" t="s">
        <v>57</v>
      </c>
      <c r="D109" s="22" t="s">
        <v>487</v>
      </c>
      <c r="E109" s="22">
        <v>435.40000000000009</v>
      </c>
      <c r="F109" s="16">
        <v>1400</v>
      </c>
      <c r="G109" s="22">
        <v>0</v>
      </c>
      <c r="H109" s="22">
        <v>1835.4</v>
      </c>
      <c r="I109" s="40" t="s">
        <v>535</v>
      </c>
    </row>
    <row r="110" spans="2:9" outlineLevel="2" x14ac:dyDescent="0.25">
      <c r="B110" s="22" t="s">
        <v>490</v>
      </c>
      <c r="C110" s="16" t="s">
        <v>57</v>
      </c>
      <c r="D110" s="22" t="s">
        <v>488</v>
      </c>
      <c r="E110" s="22">
        <v>167.61999999999989</v>
      </c>
      <c r="F110" s="16"/>
      <c r="G110" s="22">
        <v>0</v>
      </c>
      <c r="H110" s="22">
        <v>167.61999999999989</v>
      </c>
      <c r="I110" s="40" t="s">
        <v>535</v>
      </c>
    </row>
    <row r="111" spans="2:9" outlineLevel="2" x14ac:dyDescent="0.25">
      <c r="B111" s="22" t="s">
        <v>492</v>
      </c>
      <c r="C111" s="16" t="s">
        <v>57</v>
      </c>
      <c r="D111" s="22" t="s">
        <v>493</v>
      </c>
      <c r="E111" s="22">
        <v>127</v>
      </c>
      <c r="F111" s="16"/>
      <c r="G111" s="22">
        <v>0</v>
      </c>
      <c r="H111" s="22">
        <v>127</v>
      </c>
      <c r="I111" s="40" t="s">
        <v>535</v>
      </c>
    </row>
    <row r="112" spans="2:9" outlineLevel="2" x14ac:dyDescent="0.25">
      <c r="B112" s="22" t="s">
        <v>494</v>
      </c>
      <c r="C112" s="16" t="s">
        <v>57</v>
      </c>
      <c r="D112" s="22" t="s">
        <v>495</v>
      </c>
      <c r="E112" s="22">
        <v>127</v>
      </c>
      <c r="F112" s="16"/>
      <c r="G112" s="22">
        <v>0</v>
      </c>
      <c r="H112" s="22">
        <v>127</v>
      </c>
      <c r="I112" s="40" t="s">
        <v>535</v>
      </c>
    </row>
    <row r="113" spans="1:9" outlineLevel="2" x14ac:dyDescent="0.25">
      <c r="B113" s="22" t="s">
        <v>491</v>
      </c>
      <c r="C113" s="16" t="s">
        <v>57</v>
      </c>
      <c r="D113" s="22" t="s">
        <v>489</v>
      </c>
      <c r="E113" s="22">
        <v>452.19999999999982</v>
      </c>
      <c r="F113" s="16"/>
      <c r="G113" s="22">
        <v>0</v>
      </c>
      <c r="H113" s="22">
        <v>452.19999999999982</v>
      </c>
      <c r="I113" s="40" t="s">
        <v>535</v>
      </c>
    </row>
    <row r="114" spans="1:9" ht="15.75" outlineLevel="2" x14ac:dyDescent="0.25">
      <c r="B114" s="30" t="s">
        <v>526</v>
      </c>
      <c r="C114" s="23" t="s">
        <v>57</v>
      </c>
      <c r="D114" s="30" t="s">
        <v>527</v>
      </c>
      <c r="E114" s="22">
        <v>428.5</v>
      </c>
      <c r="F114" s="16"/>
      <c r="H114" s="22">
        <v>428.5</v>
      </c>
      <c r="I114" s="40" t="s">
        <v>535</v>
      </c>
    </row>
    <row r="115" spans="1:9" ht="15.75" outlineLevel="2" x14ac:dyDescent="0.25">
      <c r="B115" s="30" t="s">
        <v>525</v>
      </c>
      <c r="C115" s="23" t="s">
        <v>57</v>
      </c>
      <c r="D115" s="30" t="s">
        <v>524</v>
      </c>
      <c r="E115" s="22">
        <v>151.29999999999981</v>
      </c>
      <c r="F115" s="16">
        <v>2275</v>
      </c>
      <c r="H115" s="22">
        <v>2426.2999999999997</v>
      </c>
      <c r="I115" s="40" t="s">
        <v>535</v>
      </c>
    </row>
    <row r="116" spans="1:9" ht="15.75" outlineLevel="2" x14ac:dyDescent="0.25">
      <c r="B116" s="30" t="s">
        <v>529</v>
      </c>
      <c r="C116" s="23" t="s">
        <v>57</v>
      </c>
      <c r="D116" s="30" t="s">
        <v>530</v>
      </c>
      <c r="E116" s="22">
        <v>47.93</v>
      </c>
      <c r="H116" s="22">
        <v>47.93</v>
      </c>
      <c r="I116" s="40" t="s">
        <v>535</v>
      </c>
    </row>
    <row r="117" spans="1:9" ht="15.75" outlineLevel="1" x14ac:dyDescent="0.25">
      <c r="A117" s="44" t="s">
        <v>537</v>
      </c>
      <c r="B117" s="30">
        <f t="shared" ref="B117:I117" si="0">SUBTOTAL(9,B3:B116)</f>
        <v>0</v>
      </c>
      <c r="C117" s="23">
        <f t="shared" si="0"/>
        <v>0</v>
      </c>
      <c r="D117" s="30">
        <f t="shared" si="0"/>
        <v>0</v>
      </c>
      <c r="E117" s="22">
        <f t="shared" si="0"/>
        <v>128157.35499999998</v>
      </c>
      <c r="F117" s="22">
        <f t="shared" si="0"/>
        <v>77574.89</v>
      </c>
      <c r="G117" s="22">
        <f t="shared" si="0"/>
        <v>325.64</v>
      </c>
      <c r="H117" s="22">
        <f t="shared" si="0"/>
        <v>206057.88500000013</v>
      </c>
      <c r="I117" s="40">
        <f t="shared" si="0"/>
        <v>0</v>
      </c>
    </row>
    <row r="118" spans="1:9" outlineLevel="2" x14ac:dyDescent="0.25">
      <c r="B118" s="22" t="s">
        <v>210</v>
      </c>
      <c r="C118" s="22" t="s">
        <v>5</v>
      </c>
      <c r="D118" s="13" t="s">
        <v>317</v>
      </c>
      <c r="E118" s="22">
        <v>13773.200000000003</v>
      </c>
      <c r="F118" s="16"/>
      <c r="G118" s="22">
        <v>0</v>
      </c>
      <c r="H118" s="22">
        <v>13773.200000000003</v>
      </c>
      <c r="I118" s="40" t="s">
        <v>536</v>
      </c>
    </row>
    <row r="119" spans="1:9" outlineLevel="2" x14ac:dyDescent="0.25">
      <c r="B119" s="22" t="s">
        <v>223</v>
      </c>
      <c r="C119" s="22" t="s">
        <v>5</v>
      </c>
      <c r="D119" s="22" t="s">
        <v>331</v>
      </c>
      <c r="E119" s="22">
        <v>12613.8</v>
      </c>
      <c r="F119" s="16"/>
      <c r="G119" s="22">
        <v>0</v>
      </c>
      <c r="H119" s="22">
        <v>12613.8</v>
      </c>
      <c r="I119" s="40" t="s">
        <v>536</v>
      </c>
    </row>
    <row r="120" spans="1:9" outlineLevel="2" x14ac:dyDescent="0.25">
      <c r="B120" s="22" t="s">
        <v>228</v>
      </c>
      <c r="C120" s="22" t="s">
        <v>5</v>
      </c>
      <c r="D120" s="20" t="s">
        <v>368</v>
      </c>
      <c r="E120" s="22">
        <v>9303.1999999999989</v>
      </c>
      <c r="F120" s="16"/>
      <c r="G120" s="22">
        <v>0</v>
      </c>
      <c r="H120" s="22">
        <v>9303.1999999999989</v>
      </c>
      <c r="I120" s="40" t="s">
        <v>536</v>
      </c>
    </row>
    <row r="121" spans="1:9" outlineLevel="1" x14ac:dyDescent="0.25">
      <c r="A121" s="44" t="s">
        <v>538</v>
      </c>
      <c r="B121" s="22">
        <f t="shared" ref="B121:I121" si="1">SUBTOTAL(9,B118:B120)</f>
        <v>0</v>
      </c>
      <c r="C121" s="22">
        <f t="shared" si="1"/>
        <v>0</v>
      </c>
      <c r="D121" s="20">
        <f t="shared" si="1"/>
        <v>0</v>
      </c>
      <c r="E121" s="22">
        <f t="shared" si="1"/>
        <v>35690.199999999997</v>
      </c>
      <c r="F121" s="16">
        <f t="shared" si="1"/>
        <v>0</v>
      </c>
      <c r="G121" s="22">
        <f t="shared" si="1"/>
        <v>0</v>
      </c>
      <c r="H121" s="22">
        <f t="shared" si="1"/>
        <v>35690.199999999997</v>
      </c>
      <c r="I121" s="40">
        <f t="shared" si="1"/>
        <v>0</v>
      </c>
    </row>
    <row r="122" spans="1:9" outlineLevel="2" x14ac:dyDescent="0.25">
      <c r="B122" s="14" t="s">
        <v>67</v>
      </c>
      <c r="C122" s="22" t="s">
        <v>5</v>
      </c>
      <c r="D122" s="22" t="s">
        <v>312</v>
      </c>
      <c r="E122" s="22">
        <v>3646.7899999999986</v>
      </c>
      <c r="F122" s="16"/>
      <c r="G122" s="22">
        <v>180</v>
      </c>
      <c r="H122" s="22">
        <v>3826.7899999999986</v>
      </c>
      <c r="I122" s="40" t="s">
        <v>534</v>
      </c>
    </row>
    <row r="123" spans="1:9" outlineLevel="2" x14ac:dyDescent="0.25">
      <c r="B123" s="22" t="s">
        <v>222</v>
      </c>
      <c r="C123" s="22" t="s">
        <v>5</v>
      </c>
      <c r="D123" s="22" t="s">
        <v>329</v>
      </c>
      <c r="E123" s="22">
        <v>3509.7599999999993</v>
      </c>
      <c r="F123" s="16"/>
      <c r="G123" s="22">
        <v>0</v>
      </c>
      <c r="H123" s="22">
        <v>3509.7599999999993</v>
      </c>
      <c r="I123" s="40" t="s">
        <v>534</v>
      </c>
    </row>
    <row r="124" spans="1:9" outlineLevel="2" x14ac:dyDescent="0.25">
      <c r="B124" s="22" t="s">
        <v>29</v>
      </c>
      <c r="C124" s="22" t="s">
        <v>5</v>
      </c>
      <c r="D124" s="22" t="s">
        <v>328</v>
      </c>
      <c r="E124" s="22">
        <v>5216.1200000000008</v>
      </c>
      <c r="F124" s="16"/>
      <c r="G124" s="22">
        <v>244.5</v>
      </c>
      <c r="H124" s="22">
        <v>5460.6200000000008</v>
      </c>
      <c r="I124" s="40" t="s">
        <v>534</v>
      </c>
    </row>
    <row r="125" spans="1:9" outlineLevel="2" x14ac:dyDescent="0.25">
      <c r="B125" s="22" t="s">
        <v>25</v>
      </c>
      <c r="C125" s="22" t="s">
        <v>5</v>
      </c>
      <c r="D125" s="22" t="s">
        <v>325</v>
      </c>
      <c r="E125" s="22">
        <v>2751.71</v>
      </c>
      <c r="F125" s="16">
        <v>900</v>
      </c>
      <c r="G125" s="22">
        <v>0</v>
      </c>
      <c r="H125" s="22">
        <v>3651.71</v>
      </c>
      <c r="I125" s="40" t="s">
        <v>534</v>
      </c>
    </row>
    <row r="126" spans="1:9" outlineLevel="2" x14ac:dyDescent="0.25">
      <c r="B126" s="22" t="s">
        <v>211</v>
      </c>
      <c r="C126" s="22" t="s">
        <v>5</v>
      </c>
      <c r="D126" s="22" t="s">
        <v>318</v>
      </c>
      <c r="E126" s="22">
        <v>2463.8000000000002</v>
      </c>
      <c r="F126" s="16"/>
      <c r="G126" s="22">
        <v>195</v>
      </c>
      <c r="H126" s="22">
        <v>2658.8</v>
      </c>
      <c r="I126" s="40" t="s">
        <v>534</v>
      </c>
    </row>
    <row r="127" spans="1:9" outlineLevel="2" x14ac:dyDescent="0.25">
      <c r="B127" s="22" t="s">
        <v>43</v>
      </c>
      <c r="C127" s="22" t="s">
        <v>5</v>
      </c>
      <c r="D127" s="22" t="s">
        <v>134</v>
      </c>
      <c r="E127" s="22">
        <v>6989.9</v>
      </c>
      <c r="F127" s="16">
        <v>2003</v>
      </c>
      <c r="G127" s="22">
        <v>0</v>
      </c>
      <c r="H127" s="22">
        <v>8992.9</v>
      </c>
      <c r="I127" s="40" t="s">
        <v>534</v>
      </c>
    </row>
    <row r="128" spans="1:9" outlineLevel="2" x14ac:dyDescent="0.25">
      <c r="B128" s="22" t="s">
        <v>224</v>
      </c>
      <c r="C128" s="22" t="s">
        <v>5</v>
      </c>
      <c r="D128" s="22" t="s">
        <v>332</v>
      </c>
      <c r="E128" s="22">
        <v>1891.1999999999998</v>
      </c>
      <c r="F128" s="16"/>
      <c r="G128" s="22">
        <v>0</v>
      </c>
      <c r="H128" s="22">
        <v>1891.1999999999998</v>
      </c>
      <c r="I128" s="40" t="s">
        <v>534</v>
      </c>
    </row>
    <row r="129" spans="1:11" outlineLevel="2" x14ac:dyDescent="0.25">
      <c r="B129" s="22" t="s">
        <v>212</v>
      </c>
      <c r="C129" s="22" t="s">
        <v>5</v>
      </c>
      <c r="D129" s="22" t="s">
        <v>319</v>
      </c>
      <c r="E129" s="22">
        <v>4176.8000000000011</v>
      </c>
      <c r="F129" s="16"/>
      <c r="G129" s="22">
        <v>0</v>
      </c>
      <c r="H129" s="22">
        <v>4176.8000000000011</v>
      </c>
      <c r="I129" s="40" t="s">
        <v>534</v>
      </c>
    </row>
    <row r="130" spans="1:11" outlineLevel="2" x14ac:dyDescent="0.25">
      <c r="B130" s="21" t="s">
        <v>393</v>
      </c>
      <c r="C130" s="22" t="s">
        <v>5</v>
      </c>
      <c r="D130" s="22" t="s">
        <v>334</v>
      </c>
      <c r="E130" s="22">
        <v>4546.2000000000007</v>
      </c>
      <c r="F130" s="16"/>
      <c r="G130" s="22">
        <v>0</v>
      </c>
      <c r="H130" s="22">
        <v>4546.2000000000007</v>
      </c>
      <c r="I130" s="40" t="s">
        <v>534</v>
      </c>
    </row>
    <row r="131" spans="1:11" outlineLevel="2" x14ac:dyDescent="0.25">
      <c r="B131" s="22" t="s">
        <v>462</v>
      </c>
      <c r="C131" s="22" t="s">
        <v>5</v>
      </c>
      <c r="D131" s="22" t="s">
        <v>463</v>
      </c>
      <c r="E131" s="22">
        <v>1803.1900000000003</v>
      </c>
      <c r="F131" s="16"/>
      <c r="G131" s="22">
        <v>0</v>
      </c>
      <c r="H131" s="22">
        <v>1803.1900000000003</v>
      </c>
      <c r="I131" s="40" t="s">
        <v>534</v>
      </c>
    </row>
    <row r="132" spans="1:11" outlineLevel="2" x14ac:dyDescent="0.25">
      <c r="B132" s="22" t="s">
        <v>502</v>
      </c>
      <c r="C132" s="22" t="s">
        <v>57</v>
      </c>
      <c r="D132" s="22" t="s">
        <v>354</v>
      </c>
      <c r="E132" s="22">
        <v>2917.21</v>
      </c>
      <c r="F132" s="16">
        <v>2280</v>
      </c>
      <c r="G132" s="22">
        <v>0</v>
      </c>
      <c r="H132" s="22">
        <v>5197.21</v>
      </c>
      <c r="I132" s="40" t="s">
        <v>534</v>
      </c>
    </row>
    <row r="133" spans="1:11" outlineLevel="2" x14ac:dyDescent="0.25">
      <c r="B133" s="22" t="s">
        <v>214</v>
      </c>
      <c r="C133" s="22" t="s">
        <v>57</v>
      </c>
      <c r="D133" s="22" t="s">
        <v>352</v>
      </c>
      <c r="E133" s="22">
        <v>2254.0000000000009</v>
      </c>
      <c r="F133" s="16"/>
      <c r="G133" s="22">
        <v>0</v>
      </c>
      <c r="H133" s="22">
        <v>2254.0000000000009</v>
      </c>
      <c r="I133" s="40" t="s">
        <v>534</v>
      </c>
    </row>
    <row r="134" spans="1:11" outlineLevel="1" x14ac:dyDescent="0.25">
      <c r="A134" s="44" t="s">
        <v>539</v>
      </c>
      <c r="B134" s="22">
        <f t="shared" ref="B134:I134" si="2">SUBTOTAL(9,B122:B133)</f>
        <v>0</v>
      </c>
      <c r="C134" s="22">
        <f t="shared" si="2"/>
        <v>0</v>
      </c>
      <c r="D134" s="22">
        <f t="shared" si="2"/>
        <v>0</v>
      </c>
      <c r="E134" s="22">
        <f t="shared" si="2"/>
        <v>42166.68</v>
      </c>
      <c r="F134" s="16">
        <f t="shared" si="2"/>
        <v>5183</v>
      </c>
      <c r="G134" s="22">
        <f t="shared" si="2"/>
        <v>619.5</v>
      </c>
      <c r="H134" s="22">
        <f t="shared" si="2"/>
        <v>47969.18</v>
      </c>
      <c r="I134" s="40">
        <f t="shared" si="2"/>
        <v>0</v>
      </c>
    </row>
    <row r="135" spans="1:11" ht="14.25" customHeight="1" x14ac:dyDescent="0.25">
      <c r="B135" s="25"/>
      <c r="C135" s="16"/>
      <c r="D135" s="24" t="s">
        <v>45</v>
      </c>
      <c r="E135" s="24">
        <f>SUM(E134,E121,E117)</f>
        <v>206014.23499999999</v>
      </c>
      <c r="F135" s="24">
        <f>SUM(F134,F121,F117)</f>
        <v>82757.89</v>
      </c>
      <c r="G135" s="24">
        <f>SUM(G134,G121,G117)</f>
        <v>945.14</v>
      </c>
      <c r="H135" s="24">
        <f>SUM(H134,H121,H117)</f>
        <v>289717.26500000013</v>
      </c>
      <c r="I135" s="41"/>
      <c r="J135" s="35"/>
      <c r="K135" s="24"/>
    </row>
    <row r="136" spans="1:11" ht="14.25" customHeight="1" x14ac:dyDescent="0.25">
      <c r="B136" s="25"/>
      <c r="C136" s="16"/>
      <c r="D136" s="24"/>
      <c r="E136" s="24"/>
      <c r="F136" s="24"/>
      <c r="G136" s="24"/>
      <c r="H136" s="24"/>
      <c r="I136" s="41"/>
      <c r="J136" s="35"/>
      <c r="K136" s="24"/>
    </row>
    <row r="137" spans="1:11" ht="14.25" customHeight="1" x14ac:dyDescent="0.25">
      <c r="B137" s="25"/>
      <c r="C137" s="16"/>
      <c r="D137" s="24"/>
      <c r="E137" s="24"/>
      <c r="F137" s="24"/>
      <c r="G137" s="24"/>
      <c r="H137" s="24"/>
      <c r="I137" s="41"/>
      <c r="J137" s="35"/>
      <c r="K137" s="24"/>
    </row>
    <row r="138" spans="1:11" ht="14.25" customHeight="1" x14ac:dyDescent="0.25">
      <c r="B138" s="25"/>
      <c r="C138" s="16"/>
      <c r="D138" s="24"/>
      <c r="E138" s="24"/>
      <c r="F138" s="24"/>
      <c r="G138" s="24"/>
      <c r="H138" s="24"/>
      <c r="I138" s="41"/>
      <c r="J138" s="35"/>
      <c r="K138" s="24"/>
    </row>
    <row r="139" spans="1:11" x14ac:dyDescent="0.25">
      <c r="B139" s="25"/>
      <c r="C139" s="16"/>
      <c r="D139" s="25"/>
      <c r="F139" s="25"/>
      <c r="G139" s="148" t="s">
        <v>535</v>
      </c>
      <c r="H139" s="148"/>
    </row>
    <row r="140" spans="1:11" x14ac:dyDescent="0.25">
      <c r="C140" s="25"/>
      <c r="E140" s="24"/>
      <c r="G140" s="28"/>
      <c r="H140" s="29">
        <f>+H117</f>
        <v>206057.88500000013</v>
      </c>
      <c r="I140" s="42"/>
      <c r="J140" s="36"/>
    </row>
    <row r="141" spans="1:11" x14ac:dyDescent="0.25">
      <c r="B141" s="25"/>
      <c r="C141" s="25"/>
      <c r="D141" s="25"/>
      <c r="G141" s="28" t="s">
        <v>528</v>
      </c>
      <c r="H141" s="29">
        <v>0</v>
      </c>
      <c r="I141" s="42"/>
      <c r="J141" s="36"/>
    </row>
    <row r="142" spans="1:11" x14ac:dyDescent="0.25">
      <c r="B142" s="25"/>
      <c r="D142" s="25"/>
      <c r="G142" s="28"/>
      <c r="H142" s="28">
        <f>+H140+H141</f>
        <v>206057.88500000013</v>
      </c>
      <c r="I142" s="43"/>
      <c r="J142" s="37"/>
    </row>
    <row r="143" spans="1:11" x14ac:dyDescent="0.25">
      <c r="B143" s="25"/>
      <c r="C143" s="25"/>
      <c r="D143" s="25"/>
      <c r="G143" s="28"/>
      <c r="H143" s="28">
        <f>+H142*2%</f>
        <v>4121.1577000000025</v>
      </c>
      <c r="I143" s="43"/>
      <c r="J143" s="37"/>
    </row>
    <row r="144" spans="1:11" x14ac:dyDescent="0.25">
      <c r="B144" s="25"/>
      <c r="C144" s="25"/>
      <c r="D144" s="25"/>
      <c r="E144" s="22">
        <v>0</v>
      </c>
      <c r="G144" s="28"/>
      <c r="H144" s="28">
        <f>+H142+H143</f>
        <v>210179.04270000014</v>
      </c>
      <c r="I144" s="43"/>
      <c r="J144" s="37"/>
    </row>
    <row r="145" spans="3:10" x14ac:dyDescent="0.25">
      <c r="C145" s="25"/>
      <c r="G145" s="28"/>
      <c r="H145" s="29"/>
      <c r="I145" s="42"/>
      <c r="J145" s="36"/>
    </row>
    <row r="146" spans="3:10" x14ac:dyDescent="0.25">
      <c r="C146" s="25"/>
      <c r="G146" s="28"/>
      <c r="H146" s="29"/>
      <c r="I146" s="42"/>
      <c r="J146" s="36"/>
    </row>
    <row r="147" spans="3:10" x14ac:dyDescent="0.25">
      <c r="G147" s="28"/>
      <c r="H147" s="28">
        <f>+H144</f>
        <v>210179.04270000014</v>
      </c>
      <c r="I147" s="43"/>
      <c r="J147" s="37"/>
    </row>
    <row r="148" spans="3:10" x14ac:dyDescent="0.25">
      <c r="G148" s="28"/>
      <c r="H148" s="29">
        <f>+H147*16%</f>
        <v>33628.64683200002</v>
      </c>
      <c r="I148" s="42"/>
      <c r="J148" s="36"/>
    </row>
    <row r="149" spans="3:10" x14ac:dyDescent="0.25">
      <c r="G149" s="28"/>
      <c r="H149" s="28">
        <f>+H147+H148</f>
        <v>243807.68953200016</v>
      </c>
      <c r="I149" s="43"/>
      <c r="J149" s="37"/>
    </row>
    <row r="151" spans="3:10" x14ac:dyDescent="0.25">
      <c r="G151" s="148" t="s">
        <v>543</v>
      </c>
      <c r="H151" s="148"/>
    </row>
    <row r="152" spans="3:10" x14ac:dyDescent="0.25">
      <c r="G152" s="28"/>
      <c r="H152" s="29">
        <f>+H121</f>
        <v>35690.199999999997</v>
      </c>
    </row>
    <row r="153" spans="3:10" x14ac:dyDescent="0.25">
      <c r="G153" s="28" t="s">
        <v>528</v>
      </c>
      <c r="H153" s="29">
        <v>0</v>
      </c>
    </row>
    <row r="154" spans="3:10" x14ac:dyDescent="0.25">
      <c r="G154" s="28"/>
      <c r="H154" s="28">
        <f>+H152+H153</f>
        <v>35690.199999999997</v>
      </c>
    </row>
    <row r="155" spans="3:10" x14ac:dyDescent="0.25">
      <c r="G155" s="28"/>
      <c r="H155" s="28">
        <f>+H154*2%</f>
        <v>713.80399999999997</v>
      </c>
    </row>
    <row r="156" spans="3:10" x14ac:dyDescent="0.25">
      <c r="G156" s="28"/>
      <c r="H156" s="28">
        <f>+H154+H155</f>
        <v>36404.003999999994</v>
      </c>
    </row>
    <row r="157" spans="3:10" x14ac:dyDescent="0.25">
      <c r="G157" s="28"/>
      <c r="H157" s="29"/>
    </row>
    <row r="158" spans="3:10" x14ac:dyDescent="0.25">
      <c r="G158" s="28"/>
      <c r="H158" s="29"/>
    </row>
    <row r="159" spans="3:10" x14ac:dyDescent="0.25">
      <c r="G159" s="28"/>
      <c r="H159" s="28">
        <f>+H156</f>
        <v>36404.003999999994</v>
      </c>
    </row>
    <row r="160" spans="3:10" x14ac:dyDescent="0.25">
      <c r="G160" s="28"/>
      <c r="H160" s="29">
        <f>+H159*16%</f>
        <v>5824.6406399999987</v>
      </c>
    </row>
    <row r="161" spans="7:10" x14ac:dyDescent="0.25">
      <c r="G161" s="28"/>
      <c r="H161" s="28">
        <f>+H159+H160</f>
        <v>42228.644639999991</v>
      </c>
    </row>
    <row r="163" spans="7:10" x14ac:dyDescent="0.25">
      <c r="G163" s="148" t="s">
        <v>534</v>
      </c>
      <c r="H163" s="148"/>
    </row>
    <row r="164" spans="7:10" x14ac:dyDescent="0.25">
      <c r="G164" s="28"/>
      <c r="H164" s="29">
        <f>+H134</f>
        <v>47969.18</v>
      </c>
    </row>
    <row r="165" spans="7:10" x14ac:dyDescent="0.25">
      <c r="G165" s="28" t="s">
        <v>528</v>
      </c>
      <c r="H165" s="29">
        <v>0</v>
      </c>
    </row>
    <row r="166" spans="7:10" x14ac:dyDescent="0.25">
      <c r="G166" s="28"/>
      <c r="H166" s="28">
        <f>+H164+H165</f>
        <v>47969.18</v>
      </c>
    </row>
    <row r="167" spans="7:10" x14ac:dyDescent="0.25">
      <c r="G167" s="28"/>
      <c r="H167" s="28">
        <f>+H166*2%</f>
        <v>959.3836</v>
      </c>
    </row>
    <row r="168" spans="7:10" x14ac:dyDescent="0.25">
      <c r="G168" s="28"/>
      <c r="H168" s="28">
        <f>+H166+H167</f>
        <v>48928.563600000001</v>
      </c>
    </row>
    <row r="169" spans="7:10" x14ac:dyDescent="0.25">
      <c r="G169" s="28"/>
      <c r="H169" s="29"/>
    </row>
    <row r="170" spans="7:10" x14ac:dyDescent="0.25">
      <c r="G170" s="28"/>
      <c r="H170" s="29"/>
    </row>
    <row r="171" spans="7:10" x14ac:dyDescent="0.25">
      <c r="G171" s="28"/>
      <c r="H171" s="28">
        <f>+H168</f>
        <v>48928.563600000001</v>
      </c>
    </row>
    <row r="172" spans="7:10" x14ac:dyDescent="0.25">
      <c r="G172" s="28"/>
      <c r="H172" s="29">
        <f>+H171*16%</f>
        <v>7828.5701760000002</v>
      </c>
      <c r="J172" s="45" t="s">
        <v>544</v>
      </c>
    </row>
    <row r="173" spans="7:10" x14ac:dyDescent="0.25">
      <c r="G173" s="28"/>
      <c r="H173" s="28">
        <f>+H171+H172</f>
        <v>56757.133776000002</v>
      </c>
      <c r="J173" s="45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3"/>
  <sheetViews>
    <sheetView showGridLines="0" zoomScale="80" zoomScaleNormal="80" workbookViewId="0">
      <pane xSplit="2" ySplit="8" topLeftCell="C31" activePane="bottomRight" state="frozen"/>
      <selection activeCell="B76" sqref="B76"/>
      <selection pane="topRight" activeCell="B76" sqref="B76"/>
      <selection pane="bottomLeft" activeCell="B76" sqref="B76"/>
      <selection pane="bottomRight" activeCell="M43" sqref="M43"/>
    </sheetView>
  </sheetViews>
  <sheetFormatPr baseColWidth="10" defaultColWidth="11.42578125" defaultRowHeight="12.75" x14ac:dyDescent="0.2"/>
  <cols>
    <col min="1" max="1" width="12.28515625" style="47" customWidth="1"/>
    <col min="2" max="2" width="42.140625" style="47" customWidth="1"/>
    <col min="3" max="3" width="13" style="47" customWidth="1"/>
    <col min="4" max="4" width="13.7109375" style="47" customWidth="1"/>
    <col min="5" max="6" width="18.42578125" style="47" hidden="1" customWidth="1"/>
    <col min="7" max="7" width="15" style="47" customWidth="1"/>
    <col min="8" max="8" width="16.140625" style="47" customWidth="1"/>
    <col min="9" max="9" width="13.7109375" style="47" customWidth="1"/>
    <col min="10" max="10" width="16.28515625" style="76" customWidth="1"/>
    <col min="11" max="13" width="16.28515625" style="47" customWidth="1"/>
    <col min="14" max="14" width="15.7109375" style="47" customWidth="1"/>
    <col min="15" max="18" width="16.140625" style="47" customWidth="1"/>
    <col min="19" max="23" width="15.7109375" style="47" customWidth="1"/>
    <col min="24" max="24" width="17.28515625" style="47" customWidth="1"/>
    <col min="25" max="25" width="17" style="47" customWidth="1"/>
    <col min="26" max="42" width="15.7109375" style="47" hidden="1" customWidth="1"/>
    <col min="43" max="43" width="17.140625" style="47" customWidth="1"/>
    <col min="44" max="44" width="13" style="47" customWidth="1"/>
    <col min="45" max="16384" width="11.42578125" style="47"/>
  </cols>
  <sheetData>
    <row r="1" spans="1:43" ht="18" customHeight="1" x14ac:dyDescent="0.2">
      <c r="A1" s="75"/>
      <c r="B1" s="151" t="s">
        <v>166</v>
      </c>
      <c r="C1" s="151"/>
      <c r="D1" s="151"/>
      <c r="E1" s="151"/>
      <c r="F1" s="151"/>
      <c r="G1" s="152"/>
      <c r="H1" s="84"/>
      <c r="I1" s="84"/>
    </row>
    <row r="2" spans="1:43" ht="24.95" customHeight="1" x14ac:dyDescent="0.2">
      <c r="A2" s="77"/>
      <c r="B2" s="153" t="s">
        <v>0</v>
      </c>
      <c r="C2" s="153"/>
      <c r="D2" s="153"/>
      <c r="E2" s="153"/>
      <c r="F2" s="153"/>
      <c r="G2" s="154"/>
      <c r="H2" s="78"/>
      <c r="I2" s="78"/>
    </row>
    <row r="3" spans="1:43" x14ac:dyDescent="0.2">
      <c r="B3" s="155" t="s">
        <v>167</v>
      </c>
      <c r="C3" s="155"/>
      <c r="D3" s="155"/>
      <c r="E3" s="155"/>
      <c r="F3" s="155"/>
      <c r="G3" s="155"/>
      <c r="H3" s="84"/>
      <c r="I3" s="84"/>
    </row>
    <row r="4" spans="1:43" x14ac:dyDescent="0.2">
      <c r="B4" s="85" t="s">
        <v>168</v>
      </c>
      <c r="C4" s="85"/>
      <c r="D4" s="85"/>
      <c r="E4" s="85"/>
      <c r="F4" s="85"/>
      <c r="G4" s="85"/>
      <c r="H4" s="84"/>
      <c r="I4" s="84"/>
    </row>
    <row r="5" spans="1:43" x14ac:dyDescent="0.2">
      <c r="B5" s="155" t="s">
        <v>169</v>
      </c>
      <c r="C5" s="155"/>
      <c r="D5" s="155"/>
      <c r="E5" s="155"/>
      <c r="F5" s="155"/>
      <c r="G5" s="155"/>
      <c r="H5" s="51"/>
      <c r="I5" s="51"/>
    </row>
    <row r="6" spans="1:43" x14ac:dyDescent="0.2">
      <c r="H6" s="51"/>
      <c r="I6" s="51"/>
    </row>
    <row r="8" spans="1:43" s="78" customFormat="1" ht="39" thickBot="1" x14ac:dyDescent="0.3">
      <c r="A8" s="48" t="s">
        <v>170</v>
      </c>
      <c r="B8" s="48" t="s">
        <v>171</v>
      </c>
      <c r="C8" s="48" t="s">
        <v>380</v>
      </c>
      <c r="D8" s="48" t="s">
        <v>398</v>
      </c>
      <c r="E8" s="48" t="s">
        <v>545</v>
      </c>
      <c r="F8" s="48" t="s">
        <v>546</v>
      </c>
      <c r="G8" s="48" t="s">
        <v>136</v>
      </c>
      <c r="H8" s="48" t="s">
        <v>375</v>
      </c>
      <c r="I8" s="48" t="s">
        <v>376</v>
      </c>
      <c r="J8" s="48" t="s">
        <v>137</v>
      </c>
      <c r="K8" s="48" t="s">
        <v>138</v>
      </c>
      <c r="L8" s="48" t="s">
        <v>139</v>
      </c>
      <c r="M8" s="49" t="s">
        <v>140</v>
      </c>
      <c r="N8" s="48" t="s">
        <v>141</v>
      </c>
      <c r="O8" s="48" t="s">
        <v>142</v>
      </c>
      <c r="P8" s="48" t="s">
        <v>143</v>
      </c>
      <c r="Q8" s="48" t="s">
        <v>496</v>
      </c>
      <c r="R8" s="48" t="s">
        <v>144</v>
      </c>
      <c r="S8" s="48" t="s">
        <v>498</v>
      </c>
      <c r="T8" s="48" t="s">
        <v>497</v>
      </c>
      <c r="U8" s="48" t="s">
        <v>311</v>
      </c>
      <c r="V8" s="48" t="s">
        <v>135</v>
      </c>
      <c r="W8" s="48" t="s">
        <v>145</v>
      </c>
      <c r="X8" s="49" t="s">
        <v>146</v>
      </c>
      <c r="Y8" s="50" t="s">
        <v>147</v>
      </c>
      <c r="Z8" s="48" t="s">
        <v>150</v>
      </c>
      <c r="AA8" s="48" t="s">
        <v>151</v>
      </c>
      <c r="AB8" s="48" t="s">
        <v>152</v>
      </c>
      <c r="AC8" s="48" t="s">
        <v>148</v>
      </c>
      <c r="AD8" s="48" t="s">
        <v>149</v>
      </c>
      <c r="AE8" s="48" t="s">
        <v>604</v>
      </c>
      <c r="AF8" s="48" t="s">
        <v>153</v>
      </c>
      <c r="AG8" s="48" t="s">
        <v>154</v>
      </c>
      <c r="AH8" s="48" t="s">
        <v>155</v>
      </c>
      <c r="AI8" s="48" t="s">
        <v>156</v>
      </c>
      <c r="AJ8" s="48" t="s">
        <v>157</v>
      </c>
      <c r="AK8" s="48" t="s">
        <v>158</v>
      </c>
      <c r="AL8" s="48" t="s">
        <v>159</v>
      </c>
      <c r="AM8" s="48" t="s">
        <v>160</v>
      </c>
      <c r="AN8" s="48" t="s">
        <v>161</v>
      </c>
      <c r="AO8" s="48" t="s">
        <v>162</v>
      </c>
      <c r="AP8" s="48" t="s">
        <v>608</v>
      </c>
      <c r="AQ8" s="48" t="s">
        <v>597</v>
      </c>
    </row>
    <row r="9" spans="1:43" ht="13.5" thickTop="1" x14ac:dyDescent="0.2">
      <c r="A9" s="47" t="s">
        <v>9</v>
      </c>
      <c r="B9" s="47" t="s">
        <v>314</v>
      </c>
      <c r="C9" s="47">
        <v>15</v>
      </c>
      <c r="D9" s="47">
        <v>0</v>
      </c>
      <c r="E9" s="47">
        <v>141.66999999999999</v>
      </c>
      <c r="F9" s="47">
        <v>150.25</v>
      </c>
      <c r="G9" s="47">
        <v>2125.0500000000002</v>
      </c>
      <c r="H9" s="52">
        <v>0</v>
      </c>
      <c r="I9" s="52">
        <v>0</v>
      </c>
      <c r="J9" s="52">
        <v>212.51</v>
      </c>
      <c r="K9" s="52">
        <v>212.51</v>
      </c>
      <c r="L9" s="52">
        <v>212.51</v>
      </c>
      <c r="M9" s="52">
        <v>2762.58</v>
      </c>
      <c r="N9" s="52">
        <v>0</v>
      </c>
      <c r="O9" s="62">
        <v>-65.5</v>
      </c>
      <c r="P9" s="52">
        <v>53.52</v>
      </c>
      <c r="Q9" s="52">
        <v>0</v>
      </c>
      <c r="R9" s="52">
        <v>0</v>
      </c>
      <c r="S9" s="52"/>
      <c r="T9" s="52">
        <v>0</v>
      </c>
      <c r="U9" s="52"/>
      <c r="V9" s="52">
        <v>0</v>
      </c>
      <c r="W9" s="52">
        <v>-0.04</v>
      </c>
      <c r="X9" s="52">
        <v>-12.02</v>
      </c>
      <c r="Y9" s="52">
        <v>2774.6</v>
      </c>
      <c r="Z9" s="52">
        <v>14.09</v>
      </c>
      <c r="AA9" s="52">
        <v>25.35</v>
      </c>
      <c r="AB9" s="52">
        <v>14.08</v>
      </c>
      <c r="AC9" s="62">
        <v>-188.71</v>
      </c>
      <c r="AD9" s="52">
        <v>123.22</v>
      </c>
      <c r="AE9" s="52"/>
      <c r="AF9" s="52">
        <v>39.44</v>
      </c>
      <c r="AG9" s="52">
        <v>70.989999999999995</v>
      </c>
      <c r="AH9" s="52">
        <v>297.98</v>
      </c>
      <c r="AI9" s="52">
        <v>2762.58</v>
      </c>
      <c r="AJ9" s="52">
        <v>254.91000000000003</v>
      </c>
      <c r="AK9" s="52">
        <v>55.25</v>
      </c>
      <c r="AL9" s="52">
        <v>11.27</v>
      </c>
      <c r="AM9" s="52">
        <v>408.41</v>
      </c>
      <c r="AN9" s="52">
        <v>112.69</v>
      </c>
      <c r="AO9" s="52">
        <v>232.37</v>
      </c>
      <c r="AP9" s="52">
        <v>151.2739568502902</v>
      </c>
      <c r="AQ9" s="47" t="s">
        <v>596</v>
      </c>
    </row>
    <row r="10" spans="1:43" x14ac:dyDescent="0.2">
      <c r="A10" s="47" t="s">
        <v>11</v>
      </c>
      <c r="B10" s="47" t="s">
        <v>315</v>
      </c>
      <c r="C10" s="47">
        <v>15</v>
      </c>
      <c r="D10" s="47">
        <v>0</v>
      </c>
      <c r="E10" s="47">
        <v>150</v>
      </c>
      <c r="F10" s="47">
        <v>159.07</v>
      </c>
      <c r="G10" s="47">
        <v>2250</v>
      </c>
      <c r="H10" s="52">
        <v>0</v>
      </c>
      <c r="I10" s="52">
        <v>0</v>
      </c>
      <c r="J10" s="52">
        <v>225</v>
      </c>
      <c r="K10" s="52">
        <v>225</v>
      </c>
      <c r="L10" s="52">
        <v>225</v>
      </c>
      <c r="M10" s="52">
        <v>2925</v>
      </c>
      <c r="N10" s="52">
        <v>0</v>
      </c>
      <c r="O10" s="62">
        <v>-43.57</v>
      </c>
      <c r="P10" s="52">
        <v>56.67</v>
      </c>
      <c r="Q10" s="52">
        <v>0</v>
      </c>
      <c r="R10" s="52">
        <v>0</v>
      </c>
      <c r="S10" s="52"/>
      <c r="T10" s="52">
        <v>0</v>
      </c>
      <c r="U10" s="52"/>
      <c r="V10" s="52">
        <v>0</v>
      </c>
      <c r="W10" s="52">
        <v>0.1</v>
      </c>
      <c r="X10" s="52">
        <v>13.2</v>
      </c>
      <c r="Y10" s="52">
        <v>2911.8</v>
      </c>
      <c r="Z10" s="52">
        <v>14.91</v>
      </c>
      <c r="AA10" s="52">
        <v>26.84</v>
      </c>
      <c r="AB10" s="52">
        <v>14.92</v>
      </c>
      <c r="AC10" s="62">
        <v>-174.78</v>
      </c>
      <c r="AD10" s="52">
        <v>131.21</v>
      </c>
      <c r="AE10" s="52"/>
      <c r="AF10" s="52">
        <v>41.76</v>
      </c>
      <c r="AG10" s="52">
        <v>75.16</v>
      </c>
      <c r="AH10" s="52">
        <v>300.29000000000002</v>
      </c>
      <c r="AI10" s="52">
        <v>2925</v>
      </c>
      <c r="AJ10" s="52">
        <v>257.55</v>
      </c>
      <c r="AK10" s="52">
        <v>58.5</v>
      </c>
      <c r="AL10" s="52">
        <v>11.93</v>
      </c>
      <c r="AM10" s="52">
        <v>417.21</v>
      </c>
      <c r="AN10" s="52">
        <v>119.31</v>
      </c>
      <c r="AO10" s="52">
        <v>233.69</v>
      </c>
      <c r="AP10" s="52">
        <v>160.16865622604314</v>
      </c>
      <c r="AQ10" s="47" t="s">
        <v>596</v>
      </c>
    </row>
    <row r="11" spans="1:43" x14ac:dyDescent="0.2">
      <c r="A11" s="47" t="s">
        <v>211</v>
      </c>
      <c r="B11" s="47" t="s">
        <v>318</v>
      </c>
      <c r="C11" s="47">
        <v>15</v>
      </c>
      <c r="D11" s="47">
        <v>0</v>
      </c>
      <c r="E11" s="47">
        <v>216.67</v>
      </c>
      <c r="F11" s="47">
        <v>229.79</v>
      </c>
      <c r="G11" s="47">
        <v>3250.05</v>
      </c>
      <c r="H11" s="52">
        <v>0</v>
      </c>
      <c r="I11" s="52">
        <v>0</v>
      </c>
      <c r="J11" s="52">
        <v>325.01</v>
      </c>
      <c r="K11" s="52">
        <v>325.01</v>
      </c>
      <c r="L11" s="52">
        <v>325.01</v>
      </c>
      <c r="M11" s="52">
        <v>4225.08</v>
      </c>
      <c r="N11" s="52">
        <v>107.17</v>
      </c>
      <c r="O11" s="52">
        <v>0</v>
      </c>
      <c r="P11" s="52">
        <v>81.87</v>
      </c>
      <c r="Q11" s="52">
        <v>0</v>
      </c>
      <c r="R11" s="52">
        <v>0</v>
      </c>
      <c r="S11" s="52"/>
      <c r="T11" s="52">
        <v>0</v>
      </c>
      <c r="U11" s="52"/>
      <c r="V11" s="52">
        <v>0</v>
      </c>
      <c r="W11" s="52">
        <v>0.04</v>
      </c>
      <c r="X11" s="52">
        <v>189.08</v>
      </c>
      <c r="Y11" s="52">
        <v>4036</v>
      </c>
      <c r="Z11" s="52">
        <v>21.54</v>
      </c>
      <c r="AA11" s="52">
        <v>38.78</v>
      </c>
      <c r="AB11" s="52">
        <v>21.55</v>
      </c>
      <c r="AC11" s="62">
        <v>-125.1</v>
      </c>
      <c r="AD11" s="52">
        <v>232.27</v>
      </c>
      <c r="AE11" s="52"/>
      <c r="AF11" s="52">
        <v>60.32</v>
      </c>
      <c r="AG11" s="52">
        <v>108.58</v>
      </c>
      <c r="AH11" s="52">
        <v>318.86</v>
      </c>
      <c r="AI11" s="52">
        <v>4225.08</v>
      </c>
      <c r="AJ11" s="52">
        <v>278.77</v>
      </c>
      <c r="AK11" s="52">
        <v>84.5</v>
      </c>
      <c r="AL11" s="52">
        <v>17.23</v>
      </c>
      <c r="AM11" s="52">
        <v>487.76</v>
      </c>
      <c r="AN11" s="52">
        <v>172.34</v>
      </c>
      <c r="AO11" s="52">
        <v>244.3</v>
      </c>
      <c r="AP11" s="52">
        <v>231.35828496331177</v>
      </c>
      <c r="AQ11" s="47" t="s">
        <v>596</v>
      </c>
    </row>
    <row r="12" spans="1:43" x14ac:dyDescent="0.2">
      <c r="A12" s="47" t="s">
        <v>212</v>
      </c>
      <c r="B12" s="47" t="s">
        <v>319</v>
      </c>
      <c r="C12" s="47">
        <v>15</v>
      </c>
      <c r="D12" s="47">
        <v>0</v>
      </c>
      <c r="E12" s="47">
        <v>283.33</v>
      </c>
      <c r="F12" s="47">
        <v>300.49</v>
      </c>
      <c r="G12" s="47">
        <v>4249.95</v>
      </c>
      <c r="H12" s="52">
        <v>0</v>
      </c>
      <c r="I12" s="52">
        <v>0</v>
      </c>
      <c r="J12" s="52">
        <v>425</v>
      </c>
      <c r="K12" s="52">
        <v>425</v>
      </c>
      <c r="L12" s="52">
        <v>425</v>
      </c>
      <c r="M12" s="52">
        <v>5524.95</v>
      </c>
      <c r="N12" s="52">
        <v>341.06</v>
      </c>
      <c r="O12" s="52">
        <v>0</v>
      </c>
      <c r="P12" s="52">
        <v>109.87</v>
      </c>
      <c r="Q12" s="52">
        <v>0</v>
      </c>
      <c r="R12" s="52">
        <v>0</v>
      </c>
      <c r="S12" s="52"/>
      <c r="T12" s="52">
        <v>0</v>
      </c>
      <c r="U12" s="52"/>
      <c r="V12" s="52">
        <v>0</v>
      </c>
      <c r="W12" s="52">
        <v>0.02</v>
      </c>
      <c r="X12" s="52">
        <v>450.95</v>
      </c>
      <c r="Y12" s="52">
        <v>5074</v>
      </c>
      <c r="Z12" s="52">
        <v>28.17</v>
      </c>
      <c r="AA12" s="52">
        <v>50.71</v>
      </c>
      <c r="AB12" s="52">
        <v>30.99</v>
      </c>
      <c r="AC12" s="52">
        <v>0</v>
      </c>
      <c r="AD12" s="52">
        <v>341.06</v>
      </c>
      <c r="AE12" s="52"/>
      <c r="AF12" s="52">
        <v>78.88</v>
      </c>
      <c r="AG12" s="52">
        <v>141.97999999999999</v>
      </c>
      <c r="AH12" s="52">
        <v>345.18</v>
      </c>
      <c r="AI12" s="52">
        <v>5524.95</v>
      </c>
      <c r="AJ12" s="52">
        <v>299.98</v>
      </c>
      <c r="AK12" s="52">
        <v>110.5</v>
      </c>
      <c r="AL12" s="52">
        <v>22.54</v>
      </c>
      <c r="AM12" s="52">
        <v>566.04</v>
      </c>
      <c r="AN12" s="52">
        <v>225.37</v>
      </c>
      <c r="AO12" s="52">
        <v>254.9</v>
      </c>
      <c r="AP12" s="52">
        <v>302.53723579016531</v>
      </c>
      <c r="AQ12" s="46" t="s">
        <v>596</v>
      </c>
    </row>
    <row r="13" spans="1:43" x14ac:dyDescent="0.2">
      <c r="A13" s="47" t="s">
        <v>15</v>
      </c>
      <c r="B13" s="47" t="s">
        <v>320</v>
      </c>
      <c r="C13" s="47">
        <v>15</v>
      </c>
      <c r="D13" s="47">
        <v>0</v>
      </c>
      <c r="E13" s="47">
        <v>273.33</v>
      </c>
      <c r="F13" s="47">
        <v>289.87</v>
      </c>
      <c r="G13" s="47">
        <v>4099.95</v>
      </c>
      <c r="H13" s="52">
        <v>0</v>
      </c>
      <c r="I13" s="52">
        <v>0</v>
      </c>
      <c r="J13" s="52">
        <v>410</v>
      </c>
      <c r="K13" s="52">
        <v>410</v>
      </c>
      <c r="L13" s="52">
        <v>410</v>
      </c>
      <c r="M13" s="52">
        <v>5329.95</v>
      </c>
      <c r="N13" s="52">
        <v>324.74</v>
      </c>
      <c r="O13" s="52">
        <v>0</v>
      </c>
      <c r="P13" s="52">
        <v>105.46</v>
      </c>
      <c r="Q13" s="52">
        <v>0</v>
      </c>
      <c r="R13" s="52">
        <v>0</v>
      </c>
      <c r="S13" s="52"/>
      <c r="T13" s="52">
        <v>0</v>
      </c>
      <c r="U13" s="52"/>
      <c r="V13" s="52">
        <v>0</v>
      </c>
      <c r="W13" s="52">
        <v>0.15</v>
      </c>
      <c r="X13" s="52">
        <v>430.35</v>
      </c>
      <c r="Y13" s="52">
        <v>4899.6000000000004</v>
      </c>
      <c r="Z13" s="52">
        <v>27.18</v>
      </c>
      <c r="AA13" s="52">
        <v>48.92</v>
      </c>
      <c r="AB13" s="52">
        <v>29.36</v>
      </c>
      <c r="AC13" s="52">
        <v>0</v>
      </c>
      <c r="AD13" s="52">
        <v>324.74</v>
      </c>
      <c r="AE13" s="52"/>
      <c r="AF13" s="52">
        <v>76.09</v>
      </c>
      <c r="AG13" s="52">
        <v>136.96</v>
      </c>
      <c r="AH13" s="52">
        <v>340.64</v>
      </c>
      <c r="AI13" s="52">
        <v>5329.95</v>
      </c>
      <c r="AJ13" s="52">
        <v>296.79000000000002</v>
      </c>
      <c r="AK13" s="52">
        <v>106.6</v>
      </c>
      <c r="AL13" s="52">
        <v>21.74</v>
      </c>
      <c r="AM13" s="52">
        <v>553.69000000000005</v>
      </c>
      <c r="AN13" s="52">
        <v>217.4</v>
      </c>
      <c r="AO13" s="52">
        <v>253.31</v>
      </c>
      <c r="AP13" s="52">
        <v>291.85932537509575</v>
      </c>
      <c r="AQ13" s="46" t="s">
        <v>596</v>
      </c>
    </row>
    <row r="14" spans="1:43" x14ac:dyDescent="0.2">
      <c r="A14" s="47" t="s">
        <v>17</v>
      </c>
      <c r="B14" s="47" t="s">
        <v>321</v>
      </c>
      <c r="C14" s="47">
        <v>15</v>
      </c>
      <c r="D14" s="47">
        <v>0</v>
      </c>
      <c r="E14" s="47">
        <v>185.83</v>
      </c>
      <c r="F14" s="47">
        <v>197.07</v>
      </c>
      <c r="G14" s="47">
        <v>2787.45</v>
      </c>
      <c r="H14" s="52">
        <v>0</v>
      </c>
      <c r="I14" s="52">
        <v>0</v>
      </c>
      <c r="J14" s="52">
        <v>278.75</v>
      </c>
      <c r="K14" s="52">
        <v>278.75</v>
      </c>
      <c r="L14" s="52">
        <v>278.75</v>
      </c>
      <c r="M14" s="52">
        <v>3623.7</v>
      </c>
      <c r="N14" s="52">
        <v>36.57</v>
      </c>
      <c r="O14" s="52">
        <v>0</v>
      </c>
      <c r="P14" s="52">
        <v>70.22</v>
      </c>
      <c r="Q14" s="52">
        <v>0</v>
      </c>
      <c r="R14" s="52">
        <v>1574.29</v>
      </c>
      <c r="S14" s="52"/>
      <c r="T14" s="52">
        <v>15</v>
      </c>
      <c r="U14" s="52"/>
      <c r="V14" s="52">
        <v>0</v>
      </c>
      <c r="W14" s="52">
        <v>0.02</v>
      </c>
      <c r="X14" s="52">
        <v>1696.1</v>
      </c>
      <c r="Y14" s="52">
        <v>1927.6</v>
      </c>
      <c r="Z14" s="52">
        <v>18.48</v>
      </c>
      <c r="AA14" s="52">
        <v>33.26</v>
      </c>
      <c r="AB14" s="52">
        <v>18.48</v>
      </c>
      <c r="AC14" s="62">
        <v>-145.38</v>
      </c>
      <c r="AD14" s="52">
        <v>181.94</v>
      </c>
      <c r="AE14" s="52"/>
      <c r="AF14" s="52">
        <v>51.73</v>
      </c>
      <c r="AG14" s="52">
        <v>93.12</v>
      </c>
      <c r="AH14" s="52">
        <v>310.27</v>
      </c>
      <c r="AI14" s="52">
        <v>3623.7</v>
      </c>
      <c r="AJ14" s="52">
        <v>268.95</v>
      </c>
      <c r="AK14" s="52">
        <v>72.47</v>
      </c>
      <c r="AL14" s="52">
        <v>14.78</v>
      </c>
      <c r="AM14" s="52">
        <v>455.12</v>
      </c>
      <c r="AN14" s="52">
        <v>147.80000000000001</v>
      </c>
      <c r="AO14" s="52">
        <v>239.39000000000001</v>
      </c>
      <c r="AP14" s="52">
        <v>198.42760924323733</v>
      </c>
      <c r="AQ14" s="47" t="s">
        <v>596</v>
      </c>
    </row>
    <row r="15" spans="1:43" x14ac:dyDescent="0.2">
      <c r="A15" s="47" t="s">
        <v>19</v>
      </c>
      <c r="B15" s="47" t="s">
        <v>322</v>
      </c>
      <c r="C15" s="47">
        <v>15</v>
      </c>
      <c r="D15" s="47">
        <v>0</v>
      </c>
      <c r="E15" s="47">
        <v>273.33</v>
      </c>
      <c r="F15" s="47">
        <v>289.87</v>
      </c>
      <c r="G15" s="47">
        <v>4099.95</v>
      </c>
      <c r="H15" s="52">
        <v>0</v>
      </c>
      <c r="I15" s="52">
        <v>0</v>
      </c>
      <c r="J15" s="52">
        <v>410</v>
      </c>
      <c r="K15" s="52">
        <v>410</v>
      </c>
      <c r="L15" s="52">
        <v>410</v>
      </c>
      <c r="M15" s="52">
        <v>5329.95</v>
      </c>
      <c r="N15" s="52">
        <v>324.74</v>
      </c>
      <c r="O15" s="52">
        <v>0</v>
      </c>
      <c r="P15" s="52">
        <v>105.46</v>
      </c>
      <c r="Q15" s="52">
        <v>0</v>
      </c>
      <c r="R15" s="52">
        <v>0</v>
      </c>
      <c r="S15" s="52"/>
      <c r="T15" s="52">
        <v>0</v>
      </c>
      <c r="U15" s="52"/>
      <c r="V15" s="52">
        <v>0</v>
      </c>
      <c r="W15" s="62">
        <v>-0.05</v>
      </c>
      <c r="X15" s="52">
        <v>430.15</v>
      </c>
      <c r="Y15" s="52">
        <v>4899.8</v>
      </c>
      <c r="Z15" s="52">
        <v>27.18</v>
      </c>
      <c r="AA15" s="52">
        <v>48.92</v>
      </c>
      <c r="AB15" s="52">
        <v>29.36</v>
      </c>
      <c r="AC15" s="52">
        <v>0</v>
      </c>
      <c r="AD15" s="52">
        <v>324.74</v>
      </c>
      <c r="AE15" s="52"/>
      <c r="AF15" s="52">
        <v>76.09</v>
      </c>
      <c r="AG15" s="52">
        <v>136.96</v>
      </c>
      <c r="AH15" s="52">
        <v>340.64</v>
      </c>
      <c r="AI15" s="52">
        <v>5329.95</v>
      </c>
      <c r="AJ15" s="52">
        <v>296.79000000000002</v>
      </c>
      <c r="AK15" s="52">
        <v>106.6</v>
      </c>
      <c r="AL15" s="52">
        <v>21.74</v>
      </c>
      <c r="AM15" s="52">
        <v>553.69000000000005</v>
      </c>
      <c r="AN15" s="52">
        <v>217.4</v>
      </c>
      <c r="AO15" s="52">
        <v>253.31</v>
      </c>
      <c r="AP15" s="52">
        <v>291.85932537509575</v>
      </c>
      <c r="AQ15" s="47" t="s">
        <v>596</v>
      </c>
    </row>
    <row r="16" spans="1:43" x14ac:dyDescent="0.2">
      <c r="A16" s="47" t="s">
        <v>21</v>
      </c>
      <c r="B16" s="47" t="s">
        <v>323</v>
      </c>
      <c r="C16" s="47">
        <v>15</v>
      </c>
      <c r="D16" s="47">
        <v>0</v>
      </c>
      <c r="E16" s="47">
        <v>185.83</v>
      </c>
      <c r="F16" s="47">
        <v>197.07</v>
      </c>
      <c r="G16" s="47">
        <v>2787.45</v>
      </c>
      <c r="H16" s="52">
        <v>0</v>
      </c>
      <c r="I16" s="52">
        <v>0</v>
      </c>
      <c r="J16" s="52">
        <v>278.75</v>
      </c>
      <c r="K16" s="52">
        <v>278.75</v>
      </c>
      <c r="L16" s="52">
        <v>278.75</v>
      </c>
      <c r="M16" s="52">
        <v>3623.7</v>
      </c>
      <c r="N16" s="52">
        <v>36.57</v>
      </c>
      <c r="O16" s="52">
        <v>0</v>
      </c>
      <c r="P16" s="52">
        <v>70.22</v>
      </c>
      <c r="Q16" s="52">
        <v>0</v>
      </c>
      <c r="R16" s="52">
        <v>1826.51</v>
      </c>
      <c r="S16" s="52"/>
      <c r="T16" s="52">
        <v>15</v>
      </c>
      <c r="U16" s="52"/>
      <c r="V16" s="52">
        <v>0</v>
      </c>
      <c r="W16" s="62">
        <v>0</v>
      </c>
      <c r="X16" s="52">
        <v>1948.3</v>
      </c>
      <c r="Y16" s="52">
        <v>1675.4</v>
      </c>
      <c r="Z16" s="52">
        <v>18.48</v>
      </c>
      <c r="AA16" s="52">
        <v>33.26</v>
      </c>
      <c r="AB16" s="52">
        <v>18.48</v>
      </c>
      <c r="AC16" s="62">
        <v>-145.38</v>
      </c>
      <c r="AD16" s="52">
        <v>181.94</v>
      </c>
      <c r="AE16" s="52"/>
      <c r="AF16" s="52">
        <v>51.73</v>
      </c>
      <c r="AG16" s="52">
        <v>93.12</v>
      </c>
      <c r="AH16" s="52">
        <v>310.27</v>
      </c>
      <c r="AI16" s="52">
        <v>3623.7</v>
      </c>
      <c r="AJ16" s="52">
        <v>268.95</v>
      </c>
      <c r="AK16" s="52">
        <v>72.47</v>
      </c>
      <c r="AL16" s="52">
        <v>14.78</v>
      </c>
      <c r="AM16" s="52">
        <v>455.12</v>
      </c>
      <c r="AN16" s="52">
        <v>147.80000000000001</v>
      </c>
      <c r="AO16" s="52">
        <v>239.39000000000001</v>
      </c>
      <c r="AP16" s="52">
        <v>198.42760924323733</v>
      </c>
      <c r="AQ16" s="47" t="s">
        <v>596</v>
      </c>
    </row>
    <row r="17" spans="1:46" x14ac:dyDescent="0.2">
      <c r="A17" s="47" t="s">
        <v>23</v>
      </c>
      <c r="B17" s="47" t="s">
        <v>324</v>
      </c>
      <c r="C17" s="47">
        <v>15</v>
      </c>
      <c r="D17" s="47">
        <v>0</v>
      </c>
      <c r="E17" s="47">
        <v>220.83</v>
      </c>
      <c r="F17" s="47">
        <v>234.19</v>
      </c>
      <c r="G17" s="47">
        <v>3312.45</v>
      </c>
      <c r="H17" s="52">
        <v>0</v>
      </c>
      <c r="I17" s="52">
        <v>0</v>
      </c>
      <c r="J17" s="52">
        <v>331.25</v>
      </c>
      <c r="K17" s="52">
        <v>331.25</v>
      </c>
      <c r="L17" s="52">
        <v>331.25</v>
      </c>
      <c r="M17" s="52">
        <v>4306.2</v>
      </c>
      <c r="N17" s="52">
        <v>113.96</v>
      </c>
      <c r="O17" s="52">
        <v>0</v>
      </c>
      <c r="P17" s="52">
        <v>83.43</v>
      </c>
      <c r="Q17" s="52">
        <v>0</v>
      </c>
      <c r="R17" s="52">
        <v>757.32</v>
      </c>
      <c r="S17" s="52"/>
      <c r="T17" s="52">
        <v>15</v>
      </c>
      <c r="U17" s="52"/>
      <c r="V17" s="52">
        <v>0</v>
      </c>
      <c r="W17" s="62">
        <v>-0.11</v>
      </c>
      <c r="X17" s="52">
        <v>969.6</v>
      </c>
      <c r="Y17" s="52">
        <v>3336.6</v>
      </c>
      <c r="Z17" s="52">
        <v>21.96</v>
      </c>
      <c r="AA17" s="52">
        <v>39.520000000000003</v>
      </c>
      <c r="AB17" s="52">
        <v>21.95</v>
      </c>
      <c r="AC17" s="62">
        <v>-125.1</v>
      </c>
      <c r="AD17" s="52">
        <v>239.06</v>
      </c>
      <c r="AE17" s="52"/>
      <c r="AF17" s="52">
        <v>61.47</v>
      </c>
      <c r="AG17" s="52">
        <v>110.65</v>
      </c>
      <c r="AH17" s="52">
        <v>320.01</v>
      </c>
      <c r="AI17" s="52">
        <v>4306.2</v>
      </c>
      <c r="AJ17" s="52">
        <v>280.09000000000003</v>
      </c>
      <c r="AK17" s="52">
        <v>86.12</v>
      </c>
      <c r="AL17" s="52">
        <v>17.559999999999999</v>
      </c>
      <c r="AM17" s="52">
        <v>492.13</v>
      </c>
      <c r="AN17" s="52">
        <v>175.64</v>
      </c>
      <c r="AO17" s="52">
        <v>244.96</v>
      </c>
      <c r="AP17" s="52">
        <v>235.80029569598071</v>
      </c>
      <c r="AQ17" s="47" t="s">
        <v>596</v>
      </c>
    </row>
    <row r="18" spans="1:46" x14ac:dyDescent="0.2">
      <c r="A18" s="47" t="s">
        <v>25</v>
      </c>
      <c r="B18" s="47" t="s">
        <v>325</v>
      </c>
      <c r="C18" s="47">
        <v>15</v>
      </c>
      <c r="D18" s="47">
        <v>0</v>
      </c>
      <c r="E18" s="47">
        <v>264.58</v>
      </c>
      <c r="F18" s="47">
        <v>276.54000000000002</v>
      </c>
      <c r="G18" s="47">
        <v>3968.7</v>
      </c>
      <c r="H18" s="52">
        <v>0</v>
      </c>
      <c r="I18" s="52">
        <v>0</v>
      </c>
      <c r="J18" s="52">
        <v>396.87</v>
      </c>
      <c r="K18" s="52">
        <v>396.87</v>
      </c>
      <c r="L18" s="52">
        <v>396.87</v>
      </c>
      <c r="M18" s="52">
        <v>5159.3100000000004</v>
      </c>
      <c r="N18" s="52">
        <v>310.45999999999998</v>
      </c>
      <c r="O18" s="52">
        <v>0</v>
      </c>
      <c r="P18" s="52">
        <v>99.91</v>
      </c>
      <c r="Q18" s="52">
        <v>0</v>
      </c>
      <c r="R18" s="52">
        <v>1674</v>
      </c>
      <c r="S18" s="52"/>
      <c r="T18" s="52">
        <v>15</v>
      </c>
      <c r="U18" s="52"/>
      <c r="V18" s="52">
        <v>0</v>
      </c>
      <c r="W18" s="62">
        <v>-0.06</v>
      </c>
      <c r="X18" s="52">
        <v>2099.31</v>
      </c>
      <c r="Y18" s="52">
        <v>3060</v>
      </c>
      <c r="Z18" s="52">
        <v>25.93</v>
      </c>
      <c r="AA18" s="52">
        <v>46.67</v>
      </c>
      <c r="AB18" s="52">
        <v>27.31</v>
      </c>
      <c r="AC18" s="52">
        <v>0</v>
      </c>
      <c r="AD18" s="52">
        <v>310.45999999999998</v>
      </c>
      <c r="AE18" s="52"/>
      <c r="AF18" s="52">
        <v>72.59</v>
      </c>
      <c r="AG18" s="52">
        <v>130.66</v>
      </c>
      <c r="AH18" s="52">
        <v>334.94</v>
      </c>
      <c r="AI18" s="52">
        <v>5159.3100000000004</v>
      </c>
      <c r="AJ18" s="52">
        <v>292.79000000000002</v>
      </c>
      <c r="AK18" s="52">
        <v>103.19</v>
      </c>
      <c r="AL18" s="52">
        <v>20.74</v>
      </c>
      <c r="AM18" s="52">
        <v>538.19000000000005</v>
      </c>
      <c r="AN18" s="52">
        <v>207.4</v>
      </c>
      <c r="AO18" s="52">
        <v>251.31</v>
      </c>
      <c r="AP18" s="52">
        <v>282.51615376190989</v>
      </c>
      <c r="AQ18" s="47" t="s">
        <v>596</v>
      </c>
    </row>
    <row r="19" spans="1:46" x14ac:dyDescent="0.2">
      <c r="A19" s="47" t="s">
        <v>27</v>
      </c>
      <c r="B19" s="47" t="s">
        <v>326</v>
      </c>
      <c r="C19" s="47">
        <v>15</v>
      </c>
      <c r="D19" s="47">
        <v>0</v>
      </c>
      <c r="E19" s="47">
        <v>238.33</v>
      </c>
      <c r="F19" s="47">
        <v>252.75</v>
      </c>
      <c r="G19" s="47">
        <v>3574.95</v>
      </c>
      <c r="H19" s="52">
        <v>0</v>
      </c>
      <c r="I19" s="52">
        <v>285.99</v>
      </c>
      <c r="J19" s="52">
        <v>357.5</v>
      </c>
      <c r="K19" s="52">
        <v>357.5</v>
      </c>
      <c r="L19" s="52">
        <v>357.5</v>
      </c>
      <c r="M19" s="52">
        <v>4933.4399999999996</v>
      </c>
      <c r="N19" s="52">
        <v>160.25</v>
      </c>
      <c r="O19" s="52">
        <v>0</v>
      </c>
      <c r="P19" s="52">
        <v>90.05</v>
      </c>
      <c r="Q19" s="52">
        <v>0</v>
      </c>
      <c r="R19" s="52">
        <v>1432.4</v>
      </c>
      <c r="S19" s="52"/>
      <c r="T19" s="52">
        <v>15</v>
      </c>
      <c r="U19" s="52"/>
      <c r="V19" s="52">
        <v>268.35000000000002</v>
      </c>
      <c r="W19" s="52">
        <v>-0.01</v>
      </c>
      <c r="X19" s="52">
        <v>1966.04</v>
      </c>
      <c r="Y19" s="52">
        <v>2967.4</v>
      </c>
      <c r="Z19" s="52">
        <v>23.7</v>
      </c>
      <c r="AA19" s="52">
        <v>42.65</v>
      </c>
      <c r="AB19" s="52">
        <v>23.7</v>
      </c>
      <c r="AC19" s="62">
        <v>-107.37</v>
      </c>
      <c r="AD19" s="52">
        <v>267.62</v>
      </c>
      <c r="AE19" s="52"/>
      <c r="AF19" s="52">
        <v>66.349999999999994</v>
      </c>
      <c r="AG19" s="52">
        <v>119.42</v>
      </c>
      <c r="AH19" s="52">
        <v>324.89</v>
      </c>
      <c r="AI19" s="52">
        <v>4933.4399999999996</v>
      </c>
      <c r="AJ19" s="52">
        <v>285.64999999999998</v>
      </c>
      <c r="AK19" s="52">
        <v>98.67</v>
      </c>
      <c r="AL19" s="52">
        <v>18.96</v>
      </c>
      <c r="AM19" s="52">
        <v>510.66</v>
      </c>
      <c r="AN19" s="52">
        <v>189.56</v>
      </c>
      <c r="AO19" s="52">
        <v>247.74</v>
      </c>
      <c r="AP19" s="52">
        <v>254.48663892235243</v>
      </c>
      <c r="AQ19" s="47" t="s">
        <v>596</v>
      </c>
    </row>
    <row r="20" spans="1:46" x14ac:dyDescent="0.2">
      <c r="A20" s="47" t="s">
        <v>31</v>
      </c>
      <c r="B20" s="47" t="s">
        <v>132</v>
      </c>
      <c r="C20" s="47">
        <v>15</v>
      </c>
      <c r="D20" s="47">
        <v>0</v>
      </c>
      <c r="E20" s="47">
        <v>273.33</v>
      </c>
      <c r="F20" s="47">
        <v>289.87</v>
      </c>
      <c r="G20" s="47">
        <v>4099.95</v>
      </c>
      <c r="H20" s="52">
        <v>0</v>
      </c>
      <c r="I20" s="52">
        <v>0</v>
      </c>
      <c r="J20" s="52">
        <v>410</v>
      </c>
      <c r="K20" s="52">
        <v>410</v>
      </c>
      <c r="L20" s="52">
        <v>410</v>
      </c>
      <c r="M20" s="52">
        <v>5329.95</v>
      </c>
      <c r="N20" s="52">
        <v>324.74</v>
      </c>
      <c r="O20" s="52">
        <v>0</v>
      </c>
      <c r="P20" s="52">
        <v>105.46</v>
      </c>
      <c r="Q20" s="52">
        <v>0</v>
      </c>
      <c r="R20" s="52">
        <v>0</v>
      </c>
      <c r="S20" s="52"/>
      <c r="T20" s="52">
        <v>0</v>
      </c>
      <c r="U20" s="52"/>
      <c r="V20" s="52">
        <v>0</v>
      </c>
      <c r="W20" s="62">
        <v>-0.05</v>
      </c>
      <c r="X20" s="52">
        <v>430.15</v>
      </c>
      <c r="Y20" s="52">
        <v>4899.8</v>
      </c>
      <c r="Z20" s="52">
        <v>27.18</v>
      </c>
      <c r="AA20" s="52">
        <v>48.92</v>
      </c>
      <c r="AB20" s="52">
        <v>29.36</v>
      </c>
      <c r="AC20" s="52">
        <v>0</v>
      </c>
      <c r="AD20" s="52">
        <v>324.74</v>
      </c>
      <c r="AE20" s="52"/>
      <c r="AF20" s="52">
        <v>76.09</v>
      </c>
      <c r="AG20" s="52">
        <v>136.96</v>
      </c>
      <c r="AH20" s="52">
        <v>340.64</v>
      </c>
      <c r="AI20" s="52">
        <v>5329.95</v>
      </c>
      <c r="AJ20" s="52">
        <v>296.79000000000002</v>
      </c>
      <c r="AK20" s="52">
        <v>106.6</v>
      </c>
      <c r="AL20" s="52">
        <v>21.74</v>
      </c>
      <c r="AM20" s="52">
        <v>553.69000000000005</v>
      </c>
      <c r="AN20" s="52">
        <v>217.4</v>
      </c>
      <c r="AO20" s="52">
        <v>253.31</v>
      </c>
      <c r="AP20" s="52">
        <v>291.85932537509575</v>
      </c>
      <c r="AQ20" s="47" t="s">
        <v>596</v>
      </c>
    </row>
    <row r="21" spans="1:46" s="46" customFormat="1" x14ac:dyDescent="0.2">
      <c r="A21" s="47" t="s">
        <v>35</v>
      </c>
      <c r="B21" s="47" t="s">
        <v>330</v>
      </c>
      <c r="C21" s="47">
        <v>15</v>
      </c>
      <c r="D21" s="47">
        <v>0</v>
      </c>
      <c r="E21" s="47">
        <v>185.83</v>
      </c>
      <c r="F21" s="47">
        <v>197.07</v>
      </c>
      <c r="G21" s="47">
        <v>2787.45</v>
      </c>
      <c r="H21" s="52">
        <v>0</v>
      </c>
      <c r="I21" s="52">
        <v>0</v>
      </c>
      <c r="J21" s="52">
        <v>278.75</v>
      </c>
      <c r="K21" s="52">
        <v>278.75</v>
      </c>
      <c r="L21" s="52">
        <v>278.75</v>
      </c>
      <c r="M21" s="52">
        <v>3623.7</v>
      </c>
      <c r="N21" s="52">
        <v>36.57</v>
      </c>
      <c r="O21" s="52">
        <v>0</v>
      </c>
      <c r="P21" s="52">
        <v>70.22</v>
      </c>
      <c r="Q21" s="52">
        <v>0</v>
      </c>
      <c r="R21" s="52">
        <v>2169.67</v>
      </c>
      <c r="S21" s="52"/>
      <c r="T21" s="52">
        <v>15</v>
      </c>
      <c r="U21" s="52"/>
      <c r="V21" s="52">
        <v>0</v>
      </c>
      <c r="W21" s="52">
        <v>0.04</v>
      </c>
      <c r="X21" s="52">
        <v>2291.5</v>
      </c>
      <c r="Y21" s="52">
        <v>1332.2</v>
      </c>
      <c r="Z21" s="52">
        <v>18.48</v>
      </c>
      <c r="AA21" s="52">
        <v>33.26</v>
      </c>
      <c r="AB21" s="52">
        <v>18.48</v>
      </c>
      <c r="AC21" s="52">
        <v>-145.38</v>
      </c>
      <c r="AD21" s="52">
        <v>181.94</v>
      </c>
      <c r="AE21" s="52"/>
      <c r="AF21" s="52">
        <v>51.73</v>
      </c>
      <c r="AG21" s="52">
        <v>93.12</v>
      </c>
      <c r="AH21" s="52">
        <v>310.27</v>
      </c>
      <c r="AI21" s="52">
        <v>3623.7</v>
      </c>
      <c r="AJ21" s="52">
        <v>268.95</v>
      </c>
      <c r="AK21" s="52">
        <v>72.47</v>
      </c>
      <c r="AL21" s="52">
        <v>14.78</v>
      </c>
      <c r="AM21" s="52">
        <v>455.12</v>
      </c>
      <c r="AN21" s="52">
        <v>147.80000000000001</v>
      </c>
      <c r="AO21" s="52">
        <v>239.39000000000001</v>
      </c>
      <c r="AP21" s="52">
        <v>198.42760924323733</v>
      </c>
      <c r="AQ21" s="47" t="s">
        <v>596</v>
      </c>
      <c r="AR21" s="47"/>
      <c r="AS21" s="47"/>
      <c r="AT21" s="47"/>
    </row>
    <row r="22" spans="1:46" x14ac:dyDescent="0.2">
      <c r="A22" s="47" t="s">
        <v>223</v>
      </c>
      <c r="B22" s="47" t="s">
        <v>331</v>
      </c>
      <c r="C22" s="47">
        <v>15</v>
      </c>
      <c r="D22" s="47">
        <v>0</v>
      </c>
      <c r="E22" s="47">
        <v>1060.83</v>
      </c>
      <c r="F22" s="47">
        <v>1125.06</v>
      </c>
      <c r="G22" s="47">
        <v>15912.45</v>
      </c>
      <c r="H22" s="52">
        <v>0</v>
      </c>
      <c r="I22" s="52">
        <v>0</v>
      </c>
      <c r="J22" s="52">
        <v>1591.25</v>
      </c>
      <c r="K22" s="52">
        <v>1591.25</v>
      </c>
      <c r="L22" s="52">
        <v>1591.25</v>
      </c>
      <c r="M22" s="52">
        <v>20686.2</v>
      </c>
      <c r="N22" s="52">
        <v>2846.24</v>
      </c>
      <c r="O22" s="52">
        <v>0</v>
      </c>
      <c r="P22" s="52">
        <v>453.09</v>
      </c>
      <c r="Q22" s="52">
        <v>0</v>
      </c>
      <c r="R22" s="52">
        <v>0</v>
      </c>
      <c r="S22" s="52"/>
      <c r="T22" s="52">
        <v>0</v>
      </c>
      <c r="U22" s="52"/>
      <c r="V22" s="52">
        <v>417.6</v>
      </c>
      <c r="W22" s="62">
        <v>7.0000000000000007E-2</v>
      </c>
      <c r="X22" s="52">
        <v>3717</v>
      </c>
      <c r="Y22" s="52">
        <v>16969.2</v>
      </c>
      <c r="Z22" s="52">
        <v>105.47</v>
      </c>
      <c r="AA22" s="52">
        <v>189.85</v>
      </c>
      <c r="AB22" s="52">
        <v>157.77000000000001</v>
      </c>
      <c r="AC22" s="62">
        <v>0</v>
      </c>
      <c r="AD22" s="52">
        <v>2846.24</v>
      </c>
      <c r="AE22" s="52"/>
      <c r="AF22" s="52">
        <v>295.33</v>
      </c>
      <c r="AG22" s="52">
        <v>531.59</v>
      </c>
      <c r="AH22" s="52">
        <v>697.68</v>
      </c>
      <c r="AI22" s="52">
        <v>20686.2</v>
      </c>
      <c r="AJ22" s="52">
        <v>547.35</v>
      </c>
      <c r="AK22" s="52">
        <v>413.72</v>
      </c>
      <c r="AL22" s="52">
        <v>84.38</v>
      </c>
      <c r="AM22" s="52">
        <v>1524.6</v>
      </c>
      <c r="AN22" s="52">
        <v>843.79</v>
      </c>
      <c r="AO22" s="52">
        <v>378.59000000000003</v>
      </c>
      <c r="AP22" s="52">
        <v>1132.7447705618222</v>
      </c>
      <c r="AQ22" s="47" t="s">
        <v>596</v>
      </c>
    </row>
    <row r="23" spans="1:46" x14ac:dyDescent="0.2">
      <c r="A23" s="47" t="s">
        <v>39</v>
      </c>
      <c r="B23" s="47" t="s">
        <v>333</v>
      </c>
      <c r="C23" s="47">
        <v>15</v>
      </c>
      <c r="D23" s="47">
        <v>0</v>
      </c>
      <c r="E23" s="47">
        <v>185.83</v>
      </c>
      <c r="F23" s="47">
        <v>197.07</v>
      </c>
      <c r="G23" s="47">
        <v>2787.45</v>
      </c>
      <c r="H23" s="52">
        <v>0</v>
      </c>
      <c r="I23" s="52">
        <v>0</v>
      </c>
      <c r="J23" s="52">
        <v>278.75</v>
      </c>
      <c r="K23" s="52">
        <v>278.75</v>
      </c>
      <c r="L23" s="52">
        <v>278.75</v>
      </c>
      <c r="M23" s="52">
        <v>3623.7</v>
      </c>
      <c r="N23" s="52">
        <v>36.57</v>
      </c>
      <c r="O23" s="62">
        <v>0</v>
      </c>
      <c r="P23" s="52">
        <v>70.22</v>
      </c>
      <c r="Q23" s="52">
        <v>0</v>
      </c>
      <c r="R23" s="52">
        <v>0</v>
      </c>
      <c r="S23" s="52"/>
      <c r="T23" s="52">
        <v>0</v>
      </c>
      <c r="U23" s="52"/>
      <c r="V23" s="52">
        <v>313.2</v>
      </c>
      <c r="W23" s="62">
        <v>-0.09</v>
      </c>
      <c r="X23" s="52">
        <v>419.9</v>
      </c>
      <c r="Y23" s="52">
        <v>3203.8</v>
      </c>
      <c r="Z23" s="52">
        <v>18.48</v>
      </c>
      <c r="AA23" s="52">
        <v>33.26</v>
      </c>
      <c r="AB23" s="52">
        <v>18.48</v>
      </c>
      <c r="AC23" s="62">
        <v>-145.38</v>
      </c>
      <c r="AD23" s="52">
        <v>181.94</v>
      </c>
      <c r="AE23" s="52"/>
      <c r="AF23" s="52">
        <v>51.73</v>
      </c>
      <c r="AG23" s="52">
        <v>93.12</v>
      </c>
      <c r="AH23" s="52">
        <v>310.27</v>
      </c>
      <c r="AI23" s="52">
        <v>3623.7</v>
      </c>
      <c r="AJ23" s="52">
        <v>268.95</v>
      </c>
      <c r="AK23" s="52">
        <v>72.47</v>
      </c>
      <c r="AL23" s="52">
        <v>14.78</v>
      </c>
      <c r="AM23" s="52">
        <v>455.12</v>
      </c>
      <c r="AN23" s="52">
        <v>147.80000000000001</v>
      </c>
      <c r="AO23" s="52">
        <v>239.39000000000001</v>
      </c>
      <c r="AP23" s="52">
        <v>198.42760924323733</v>
      </c>
      <c r="AQ23" s="47" t="s">
        <v>596</v>
      </c>
    </row>
    <row r="24" spans="1:46" x14ac:dyDescent="0.2">
      <c r="A24" s="47" t="s">
        <v>41</v>
      </c>
      <c r="B24" s="47" t="s">
        <v>133</v>
      </c>
      <c r="C24" s="47">
        <v>15</v>
      </c>
      <c r="D24" s="47">
        <v>0</v>
      </c>
      <c r="E24" s="47">
        <v>185.83</v>
      </c>
      <c r="F24" s="47">
        <v>197.07</v>
      </c>
      <c r="G24" s="47">
        <v>2787.45</v>
      </c>
      <c r="H24" s="52">
        <v>0</v>
      </c>
      <c r="I24" s="52">
        <v>0</v>
      </c>
      <c r="J24" s="52">
        <v>278.75</v>
      </c>
      <c r="K24" s="52">
        <v>278.75</v>
      </c>
      <c r="L24" s="52">
        <v>278.75</v>
      </c>
      <c r="M24" s="52">
        <v>3623.7</v>
      </c>
      <c r="N24" s="52">
        <v>36.57</v>
      </c>
      <c r="O24" s="52">
        <v>0</v>
      </c>
      <c r="P24" s="52">
        <v>70.22</v>
      </c>
      <c r="Q24" s="52">
        <v>0</v>
      </c>
      <c r="R24" s="52">
        <v>1506.5</v>
      </c>
      <c r="S24" s="52"/>
      <c r="T24" s="52">
        <v>15</v>
      </c>
      <c r="U24" s="52"/>
      <c r="V24" s="52">
        <v>0</v>
      </c>
      <c r="W24" s="52">
        <v>0.01</v>
      </c>
      <c r="X24" s="52">
        <v>1628.3</v>
      </c>
      <c r="Y24" s="52">
        <v>1995.4</v>
      </c>
      <c r="Z24" s="52">
        <v>18.48</v>
      </c>
      <c r="AA24" s="52">
        <v>33.26</v>
      </c>
      <c r="AB24" s="52">
        <v>18.48</v>
      </c>
      <c r="AC24" s="62">
        <v>-145.38</v>
      </c>
      <c r="AD24" s="52">
        <v>181.94</v>
      </c>
      <c r="AE24" s="52"/>
      <c r="AF24" s="52">
        <v>51.73</v>
      </c>
      <c r="AG24" s="52">
        <v>93.12</v>
      </c>
      <c r="AH24" s="52">
        <v>310.27</v>
      </c>
      <c r="AI24" s="52">
        <v>3623.7</v>
      </c>
      <c r="AJ24" s="52">
        <v>268.95</v>
      </c>
      <c r="AK24" s="52">
        <v>72.47</v>
      </c>
      <c r="AL24" s="52">
        <v>14.78</v>
      </c>
      <c r="AM24" s="52">
        <v>455.12</v>
      </c>
      <c r="AN24" s="52">
        <v>147.80000000000001</v>
      </c>
      <c r="AO24" s="52">
        <v>239.39000000000001</v>
      </c>
      <c r="AP24" s="52">
        <v>198.42760924323733</v>
      </c>
      <c r="AQ24" s="47" t="s">
        <v>596</v>
      </c>
    </row>
    <row r="25" spans="1:46" x14ac:dyDescent="0.2">
      <c r="A25" s="47" t="s">
        <v>410</v>
      </c>
      <c r="B25" s="47" t="s">
        <v>368</v>
      </c>
      <c r="C25" s="47">
        <v>15</v>
      </c>
      <c r="D25" s="47">
        <v>0</v>
      </c>
      <c r="E25" s="47">
        <v>166.67</v>
      </c>
      <c r="F25" s="47">
        <v>176.76</v>
      </c>
      <c r="G25" s="47">
        <v>2500.0500000000002</v>
      </c>
      <c r="H25" s="52">
        <v>0</v>
      </c>
      <c r="I25" s="52">
        <v>0</v>
      </c>
      <c r="J25" s="52">
        <v>250.01</v>
      </c>
      <c r="K25" s="52">
        <v>250.01</v>
      </c>
      <c r="L25" s="52">
        <v>250.01</v>
      </c>
      <c r="M25" s="52">
        <v>3250.08</v>
      </c>
      <c r="N25" s="52">
        <v>0</v>
      </c>
      <c r="O25" s="52">
        <v>-9.6199999999999992</v>
      </c>
      <c r="P25" s="52">
        <v>62.97</v>
      </c>
      <c r="Q25" s="52">
        <v>0</v>
      </c>
      <c r="R25" s="52">
        <v>0</v>
      </c>
      <c r="S25" s="52"/>
      <c r="T25" s="52">
        <v>0</v>
      </c>
      <c r="U25" s="52"/>
      <c r="V25" s="52">
        <v>0</v>
      </c>
      <c r="W25" s="62">
        <v>-7.0000000000000007E-2</v>
      </c>
      <c r="X25" s="52">
        <v>53.28</v>
      </c>
      <c r="Y25" s="52">
        <v>3196.8</v>
      </c>
      <c r="Z25" s="52">
        <v>16.57</v>
      </c>
      <c r="AA25" s="52">
        <v>29.83</v>
      </c>
      <c r="AB25" s="52">
        <v>16.57</v>
      </c>
      <c r="AC25" s="52">
        <v>-160.30000000000001</v>
      </c>
      <c r="AD25" s="52">
        <v>150.66999999999999</v>
      </c>
      <c r="AE25" s="52"/>
      <c r="AF25" s="52">
        <v>46.4</v>
      </c>
      <c r="AG25" s="52">
        <v>83.52</v>
      </c>
      <c r="AH25" s="52">
        <v>304.94</v>
      </c>
      <c r="AI25" s="52">
        <v>3250.08</v>
      </c>
      <c r="AJ25" s="52">
        <v>262.86</v>
      </c>
      <c r="AK25" s="52">
        <v>65</v>
      </c>
      <c r="AL25" s="52">
        <v>13.26</v>
      </c>
      <c r="AM25" s="52">
        <v>434.86</v>
      </c>
      <c r="AN25" s="52">
        <v>132.57</v>
      </c>
      <c r="AO25" s="52">
        <v>236.34</v>
      </c>
      <c r="AP25" s="52">
        <v>177.96873288796405</v>
      </c>
      <c r="AQ25" s="47" t="s">
        <v>596</v>
      </c>
    </row>
    <row r="26" spans="1:46" x14ac:dyDescent="0.2">
      <c r="A26" s="52" t="s">
        <v>569</v>
      </c>
      <c r="B26" s="52" t="s">
        <v>570</v>
      </c>
      <c r="C26" s="52">
        <v>15</v>
      </c>
      <c r="D26" s="52">
        <v>0</v>
      </c>
      <c r="E26" s="52">
        <v>216.67</v>
      </c>
      <c r="F26" s="52">
        <v>229.79</v>
      </c>
      <c r="G26" s="52">
        <v>3250.05</v>
      </c>
      <c r="H26" s="52">
        <v>0</v>
      </c>
      <c r="I26" s="52">
        <v>0</v>
      </c>
      <c r="J26" s="52">
        <v>325.01</v>
      </c>
      <c r="K26" s="52">
        <v>325.01</v>
      </c>
      <c r="L26" s="52">
        <v>325.01</v>
      </c>
      <c r="M26" s="52">
        <v>4225.08</v>
      </c>
      <c r="N26" s="52">
        <v>107.17</v>
      </c>
      <c r="O26" s="52">
        <v>0</v>
      </c>
      <c r="P26" s="52">
        <v>81.87</v>
      </c>
      <c r="Q26" s="52">
        <v>0</v>
      </c>
      <c r="R26" s="52">
        <v>0</v>
      </c>
      <c r="S26" s="52"/>
      <c r="T26" s="52">
        <v>0</v>
      </c>
      <c r="U26" s="52"/>
      <c r="V26" s="52">
        <v>0</v>
      </c>
      <c r="W26" s="52">
        <v>0.04</v>
      </c>
      <c r="X26" s="52">
        <v>189.08</v>
      </c>
      <c r="Y26" s="52">
        <v>4036</v>
      </c>
      <c r="Z26" s="52">
        <v>21.54</v>
      </c>
      <c r="AA26" s="52">
        <v>38.78</v>
      </c>
      <c r="AB26" s="52">
        <v>21.55</v>
      </c>
      <c r="AC26" s="62">
        <v>-125.1</v>
      </c>
      <c r="AD26" s="52">
        <v>232.27</v>
      </c>
      <c r="AE26" s="52"/>
      <c r="AF26" s="52">
        <v>60.32</v>
      </c>
      <c r="AG26" s="52">
        <v>108.58</v>
      </c>
      <c r="AH26" s="52">
        <v>318.86</v>
      </c>
      <c r="AI26" s="52">
        <v>4225.08</v>
      </c>
      <c r="AJ26" s="52">
        <v>278.77</v>
      </c>
      <c r="AK26" s="52">
        <v>84.5</v>
      </c>
      <c r="AL26" s="52">
        <v>17.23</v>
      </c>
      <c r="AM26" s="52">
        <v>487.76</v>
      </c>
      <c r="AN26" s="52">
        <v>172.34</v>
      </c>
      <c r="AO26" s="52">
        <v>244.3</v>
      </c>
      <c r="AP26" s="52">
        <v>231.35828496331177</v>
      </c>
      <c r="AQ26" s="47" t="s">
        <v>596</v>
      </c>
    </row>
    <row r="27" spans="1:46" x14ac:dyDescent="0.2">
      <c r="A27" s="52" t="s">
        <v>585</v>
      </c>
      <c r="B27" s="52" t="s">
        <v>586</v>
      </c>
      <c r="C27" s="52">
        <v>15</v>
      </c>
      <c r="D27" s="52">
        <v>0</v>
      </c>
      <c r="E27" s="52">
        <v>256.67</v>
      </c>
      <c r="F27" s="52">
        <v>272.20999999999998</v>
      </c>
      <c r="G27" s="52">
        <v>3850.05</v>
      </c>
      <c r="H27" s="52">
        <v>0</v>
      </c>
      <c r="I27" s="52">
        <v>0</v>
      </c>
      <c r="J27" s="52">
        <v>385.01</v>
      </c>
      <c r="K27" s="52">
        <v>385.01</v>
      </c>
      <c r="L27" s="52">
        <v>385.01</v>
      </c>
      <c r="M27" s="52">
        <v>5005.08</v>
      </c>
      <c r="N27" s="52">
        <v>297.55</v>
      </c>
      <c r="O27" s="52">
        <v>0</v>
      </c>
      <c r="P27" s="52">
        <v>98.1</v>
      </c>
      <c r="Q27" s="52">
        <v>0</v>
      </c>
      <c r="R27" s="52">
        <v>0</v>
      </c>
      <c r="S27" s="52"/>
      <c r="T27" s="52">
        <v>0</v>
      </c>
      <c r="U27" s="52"/>
      <c r="V27" s="52">
        <v>0</v>
      </c>
      <c r="W27" s="52">
        <v>0.03</v>
      </c>
      <c r="X27" s="52">
        <v>395.68</v>
      </c>
      <c r="Y27" s="52">
        <v>4609.3999999999996</v>
      </c>
      <c r="Z27" s="52">
        <v>25.52</v>
      </c>
      <c r="AA27" s="52">
        <v>45.94</v>
      </c>
      <c r="AB27" s="52">
        <v>26.64</v>
      </c>
      <c r="AC27" s="62">
        <v>0</v>
      </c>
      <c r="AD27" s="52">
        <v>297.55</v>
      </c>
      <c r="AE27" s="52"/>
      <c r="AF27" s="52">
        <v>71.459999999999994</v>
      </c>
      <c r="AG27" s="52">
        <v>128.62</v>
      </c>
      <c r="AH27" s="52">
        <v>333.08</v>
      </c>
      <c r="AI27" s="52">
        <v>5005.08</v>
      </c>
      <c r="AJ27" s="52">
        <v>291.49</v>
      </c>
      <c r="AK27" s="52">
        <v>100.1</v>
      </c>
      <c r="AL27" s="52">
        <v>20.420000000000002</v>
      </c>
      <c r="AM27" s="52">
        <v>533.16</v>
      </c>
      <c r="AN27" s="52">
        <v>204.16</v>
      </c>
      <c r="AO27" s="52">
        <v>250.66000000000003</v>
      </c>
      <c r="AP27" s="52">
        <v>274.06992662358999</v>
      </c>
      <c r="AQ27" s="47" t="s">
        <v>596</v>
      </c>
    </row>
    <row r="28" spans="1:46" s="81" customFormat="1" x14ac:dyDescent="0.2">
      <c r="A28" s="80" t="s">
        <v>172</v>
      </c>
      <c r="C28" s="81" t="s">
        <v>163</v>
      </c>
      <c r="D28" s="81" t="s">
        <v>163</v>
      </c>
      <c r="E28" s="81" t="s">
        <v>163</v>
      </c>
      <c r="F28" s="81" t="s">
        <v>163</v>
      </c>
      <c r="G28" s="81" t="s">
        <v>163</v>
      </c>
      <c r="H28" s="81" t="s">
        <v>163</v>
      </c>
      <c r="I28" s="81" t="s">
        <v>163</v>
      </c>
      <c r="J28" s="81" t="s">
        <v>163</v>
      </c>
      <c r="K28" s="81" t="s">
        <v>163</v>
      </c>
      <c r="L28" s="81" t="s">
        <v>163</v>
      </c>
      <c r="M28" s="81" t="s">
        <v>163</v>
      </c>
      <c r="N28" s="81" t="s">
        <v>163</v>
      </c>
      <c r="O28" s="81" t="s">
        <v>163</v>
      </c>
      <c r="P28" s="81" t="s">
        <v>163</v>
      </c>
      <c r="Q28" s="81" t="s">
        <v>163</v>
      </c>
      <c r="R28" s="81" t="s">
        <v>163</v>
      </c>
      <c r="S28" s="81" t="s">
        <v>163</v>
      </c>
      <c r="T28" s="81" t="s">
        <v>163</v>
      </c>
      <c r="U28" s="81" t="s">
        <v>163</v>
      </c>
      <c r="V28" s="81" t="s">
        <v>163</v>
      </c>
      <c r="W28" s="81" t="s">
        <v>163</v>
      </c>
      <c r="X28" s="81" t="s">
        <v>163</v>
      </c>
      <c r="Y28" s="81" t="s">
        <v>163</v>
      </c>
      <c r="Z28" s="81" t="s">
        <v>163</v>
      </c>
      <c r="AA28" s="81" t="s">
        <v>163</v>
      </c>
      <c r="AB28" s="81" t="s">
        <v>163</v>
      </c>
      <c r="AC28" s="81" t="s">
        <v>163</v>
      </c>
      <c r="AD28" s="81" t="s">
        <v>163</v>
      </c>
      <c r="AF28" s="81" t="s">
        <v>163</v>
      </c>
      <c r="AG28" s="81" t="s">
        <v>163</v>
      </c>
      <c r="AH28" s="81" t="s">
        <v>163</v>
      </c>
      <c r="AI28" s="81" t="s">
        <v>163</v>
      </c>
      <c r="AJ28" s="81" t="s">
        <v>163</v>
      </c>
      <c r="AK28" s="81" t="s">
        <v>163</v>
      </c>
      <c r="AL28" s="81" t="s">
        <v>163</v>
      </c>
      <c r="AM28" s="81" t="s">
        <v>163</v>
      </c>
      <c r="AN28" s="81" t="s">
        <v>163</v>
      </c>
      <c r="AO28" s="81" t="s">
        <v>163</v>
      </c>
      <c r="AP28" s="81" t="s">
        <v>163</v>
      </c>
      <c r="AQ28" s="47"/>
      <c r="AR28" s="47"/>
      <c r="AS28" s="47"/>
    </row>
    <row r="29" spans="1:46" x14ac:dyDescent="0.2">
      <c r="A29" s="68">
        <f t="shared" ref="A29:AP29" si="0">SUM(A9:A28)</f>
        <v>0</v>
      </c>
      <c r="B29" s="68">
        <f t="shared" si="0"/>
        <v>0</v>
      </c>
      <c r="C29" s="68">
        <f t="shared" si="0"/>
        <v>285</v>
      </c>
      <c r="D29" s="68">
        <f t="shared" si="0"/>
        <v>0</v>
      </c>
      <c r="E29" s="68">
        <f t="shared" si="0"/>
        <v>4965.3899999999994</v>
      </c>
      <c r="F29" s="68">
        <f t="shared" si="0"/>
        <v>5261.86</v>
      </c>
      <c r="G29" s="68">
        <f t="shared" si="0"/>
        <v>74480.849999999991</v>
      </c>
      <c r="H29" s="68">
        <f t="shared" si="0"/>
        <v>0</v>
      </c>
      <c r="I29" s="68">
        <f t="shared" si="0"/>
        <v>285.99</v>
      </c>
      <c r="J29" s="68">
        <f t="shared" si="0"/>
        <v>7448.17</v>
      </c>
      <c r="K29" s="68">
        <f t="shared" si="0"/>
        <v>7448.17</v>
      </c>
      <c r="L29" s="68">
        <f t="shared" si="0"/>
        <v>7448.17</v>
      </c>
      <c r="M29" s="68">
        <f t="shared" si="0"/>
        <v>97111.349999999991</v>
      </c>
      <c r="N29" s="68">
        <f t="shared" si="0"/>
        <v>5440.9299999999994</v>
      </c>
      <c r="O29" s="68">
        <f t="shared" si="0"/>
        <v>-118.69</v>
      </c>
      <c r="P29" s="68">
        <f t="shared" si="0"/>
        <v>1938.83</v>
      </c>
      <c r="Q29" s="68">
        <f t="shared" si="0"/>
        <v>0</v>
      </c>
      <c r="R29" s="68">
        <f t="shared" si="0"/>
        <v>10940.69</v>
      </c>
      <c r="S29" s="68">
        <f t="shared" si="0"/>
        <v>0</v>
      </c>
      <c r="T29" s="68">
        <f t="shared" si="0"/>
        <v>105</v>
      </c>
      <c r="U29" s="68">
        <f t="shared" si="0"/>
        <v>0</v>
      </c>
      <c r="V29" s="68">
        <f t="shared" si="0"/>
        <v>999.15000000000009</v>
      </c>
      <c r="W29" s="68">
        <f t="shared" si="0"/>
        <v>4.0000000000000063E-2</v>
      </c>
      <c r="X29" s="68">
        <f t="shared" si="0"/>
        <v>19305.95</v>
      </c>
      <c r="Y29" s="68">
        <f t="shared" si="0"/>
        <v>77805.399999999994</v>
      </c>
      <c r="Z29" s="68">
        <f t="shared" si="0"/>
        <v>493.34000000000003</v>
      </c>
      <c r="AA29" s="68">
        <f t="shared" si="0"/>
        <v>887.98</v>
      </c>
      <c r="AB29" s="68">
        <f t="shared" si="0"/>
        <v>557.51</v>
      </c>
      <c r="AC29" s="68">
        <f t="shared" si="0"/>
        <v>-1733.36</v>
      </c>
      <c r="AD29" s="68">
        <f t="shared" si="0"/>
        <v>7055.55</v>
      </c>
      <c r="AE29" s="68">
        <f t="shared" si="0"/>
        <v>0</v>
      </c>
      <c r="AF29" s="68">
        <f t="shared" si="0"/>
        <v>1381.2400000000002</v>
      </c>
      <c r="AG29" s="68">
        <f t="shared" si="0"/>
        <v>2486.23</v>
      </c>
      <c r="AH29" s="68">
        <f t="shared" si="0"/>
        <v>6469.98</v>
      </c>
      <c r="AI29" s="68">
        <f t="shared" si="0"/>
        <v>97111.349999999991</v>
      </c>
      <c r="AJ29" s="68">
        <f t="shared" si="0"/>
        <v>5565.33</v>
      </c>
      <c r="AK29" s="68">
        <f t="shared" si="0"/>
        <v>1942.2</v>
      </c>
      <c r="AL29" s="68">
        <f t="shared" si="0"/>
        <v>394.64</v>
      </c>
      <c r="AM29" s="68">
        <f t="shared" si="0"/>
        <v>10337.450000000003</v>
      </c>
      <c r="AN29" s="68">
        <f t="shared" si="0"/>
        <v>3946.3700000000008</v>
      </c>
      <c r="AO29" s="68">
        <f t="shared" si="0"/>
        <v>4776.04</v>
      </c>
      <c r="AP29" s="68">
        <f t="shared" si="0"/>
        <v>5301.9989595882171</v>
      </c>
    </row>
    <row r="30" spans="1:46" x14ac:dyDescent="0.2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</row>
    <row r="31" spans="1:46" ht="15.75" x14ac:dyDescent="0.25">
      <c r="A31" s="68"/>
      <c r="B31" s="68"/>
      <c r="L31" s="156" t="s">
        <v>618</v>
      </c>
      <c r="M31" s="156"/>
      <c r="O31" s="149" t="s">
        <v>666</v>
      </c>
      <c r="P31" s="149"/>
    </row>
    <row r="32" spans="1:46" ht="15.75" x14ac:dyDescent="0.25">
      <c r="A32" s="68"/>
      <c r="B32" s="68"/>
      <c r="L32" s="82" t="s">
        <v>46</v>
      </c>
      <c r="M32" s="83">
        <f>+Y29</f>
        <v>77805.399999999994</v>
      </c>
      <c r="O32" s="150" t="s">
        <v>617</v>
      </c>
      <c r="P32" s="150"/>
    </row>
    <row r="33" spans="1:18" x14ac:dyDescent="0.2">
      <c r="A33" s="68"/>
      <c r="B33" s="68"/>
      <c r="L33" s="82" t="s">
        <v>47</v>
      </c>
      <c r="M33" s="83">
        <f>+V29</f>
        <v>999.15000000000009</v>
      </c>
      <c r="O33" s="82" t="s">
        <v>48</v>
      </c>
      <c r="P33" s="83">
        <f>+AP29</f>
        <v>5301.9989595882171</v>
      </c>
    </row>
    <row r="34" spans="1:18" x14ac:dyDescent="0.2">
      <c r="A34" s="68"/>
      <c r="B34" s="68"/>
      <c r="L34" s="82" t="s">
        <v>177</v>
      </c>
      <c r="M34" s="83">
        <f>+S29+R29+Q29+T29</f>
        <v>11045.69</v>
      </c>
      <c r="O34" s="82" t="s">
        <v>49</v>
      </c>
      <c r="P34" s="83">
        <f>+P33*2%</f>
        <v>106.03997919176435</v>
      </c>
    </row>
    <row r="35" spans="1:18" x14ac:dyDescent="0.2">
      <c r="A35" s="68"/>
      <c r="B35" s="68"/>
      <c r="L35" s="82" t="s">
        <v>335</v>
      </c>
      <c r="M35" s="83">
        <f>+U29</f>
        <v>0</v>
      </c>
      <c r="O35" s="82" t="s">
        <v>50</v>
      </c>
      <c r="P35" s="83">
        <f>+P33+P34</f>
        <v>5408.0389387799814</v>
      </c>
    </row>
    <row r="36" spans="1:18" x14ac:dyDescent="0.2">
      <c r="A36" s="68"/>
      <c r="B36" s="68"/>
      <c r="L36" s="82" t="s">
        <v>48</v>
      </c>
      <c r="M36" s="83">
        <f>SUM(M32:M35)</f>
        <v>89850.239999999991</v>
      </c>
      <c r="O36" s="82" t="s">
        <v>52</v>
      </c>
      <c r="P36" s="83">
        <f>+P33*2%</f>
        <v>106.03997919176435</v>
      </c>
    </row>
    <row r="37" spans="1:18" x14ac:dyDescent="0.2">
      <c r="L37" s="82" t="s">
        <v>49</v>
      </c>
      <c r="M37" s="83">
        <f>+M36*2%</f>
        <v>1797.0047999999999</v>
      </c>
      <c r="O37" s="82" t="s">
        <v>53</v>
      </c>
      <c r="P37" s="83">
        <f>+P35+P36</f>
        <v>5514.0789179717458</v>
      </c>
    </row>
    <row r="38" spans="1:18" x14ac:dyDescent="0.2">
      <c r="L38" s="82" t="s">
        <v>50</v>
      </c>
      <c r="M38" s="83">
        <f>+M36+M37</f>
        <v>91647.244799999986</v>
      </c>
      <c r="O38" s="82" t="s">
        <v>54</v>
      </c>
      <c r="P38" s="83">
        <f>+P37*16%</f>
        <v>882.25262687547934</v>
      </c>
    </row>
    <row r="39" spans="1:18" x14ac:dyDescent="0.2">
      <c r="L39" s="82" t="s">
        <v>51</v>
      </c>
      <c r="M39" s="83">
        <f>+P29+AF29+AG29+AH29+AJ29+AL29+AN29+AO29</f>
        <v>26958.660000000003</v>
      </c>
      <c r="O39" s="82" t="s">
        <v>55</v>
      </c>
      <c r="P39" s="83">
        <f>+P37+P38</f>
        <v>6396.3315448472249</v>
      </c>
    </row>
    <row r="40" spans="1:18" x14ac:dyDescent="0.2">
      <c r="L40" s="82" t="s">
        <v>52</v>
      </c>
      <c r="M40" s="83">
        <f>+M29*2%</f>
        <v>1942.2269999999999</v>
      </c>
    </row>
    <row r="41" spans="1:18" x14ac:dyDescent="0.2">
      <c r="L41" s="82" t="s">
        <v>53</v>
      </c>
      <c r="M41" s="83">
        <f>+M38+M39+M40</f>
        <v>120548.13179999999</v>
      </c>
    </row>
    <row r="42" spans="1:18" x14ac:dyDescent="0.2">
      <c r="L42" s="82" t="s">
        <v>54</v>
      </c>
      <c r="M42" s="83">
        <f>+M41*16%</f>
        <v>19287.701087999998</v>
      </c>
    </row>
    <row r="43" spans="1:18" x14ac:dyDescent="0.2">
      <c r="L43" s="82" t="s">
        <v>55</v>
      </c>
      <c r="M43" s="83">
        <f>+M41+M42</f>
        <v>139835.83288799998</v>
      </c>
    </row>
    <row r="44" spans="1:18" ht="15.75" customHeight="1" x14ac:dyDescent="0.25">
      <c r="H44" s="150" t="s">
        <v>684</v>
      </c>
      <c r="I44" s="150"/>
      <c r="J44" s="47"/>
      <c r="K44" s="150" t="s">
        <v>681</v>
      </c>
      <c r="L44" s="150"/>
      <c r="N44" s="150" t="s">
        <v>682</v>
      </c>
      <c r="O44" s="150"/>
      <c r="Q44" s="150" t="s">
        <v>683</v>
      </c>
      <c r="R44" s="150"/>
    </row>
    <row r="45" spans="1:18" x14ac:dyDescent="0.2">
      <c r="H45" s="82" t="s">
        <v>53</v>
      </c>
      <c r="I45" s="83">
        <f>+M41*4%</f>
        <v>4821.9252719999995</v>
      </c>
      <c r="J45" s="47"/>
      <c r="K45" s="82" t="s">
        <v>53</v>
      </c>
      <c r="L45" s="83">
        <f>+M41*12%</f>
        <v>14465.775815999998</v>
      </c>
      <c r="N45" s="82" t="s">
        <v>53</v>
      </c>
      <c r="O45" s="83">
        <f>+M41*11%</f>
        <v>13260.294497999999</v>
      </c>
      <c r="Q45" s="82" t="s">
        <v>53</v>
      </c>
      <c r="R45" s="83">
        <f>+M41*73%</f>
        <v>88000.136213999984</v>
      </c>
    </row>
    <row r="46" spans="1:18" x14ac:dyDescent="0.2">
      <c r="H46" s="82" t="s">
        <v>54</v>
      </c>
      <c r="I46" s="83">
        <f>+I45*16%</f>
        <v>771.50804351999989</v>
      </c>
      <c r="J46" s="47"/>
      <c r="K46" s="82" t="s">
        <v>54</v>
      </c>
      <c r="L46" s="83">
        <f>+L45*16%</f>
        <v>2314.5241305599998</v>
      </c>
      <c r="N46" s="82" t="s">
        <v>54</v>
      </c>
      <c r="O46" s="83">
        <f>+O45*16%</f>
        <v>2121.6471196799998</v>
      </c>
      <c r="Q46" s="82" t="s">
        <v>54</v>
      </c>
      <c r="R46" s="83">
        <f>+R45*16%</f>
        <v>14080.021794239998</v>
      </c>
    </row>
    <row r="47" spans="1:18" x14ac:dyDescent="0.2">
      <c r="H47" s="82" t="s">
        <v>55</v>
      </c>
      <c r="I47" s="83">
        <f>+I45+I46</f>
        <v>5593.4333155199993</v>
      </c>
      <c r="J47" s="47"/>
      <c r="K47" s="82" t="s">
        <v>55</v>
      </c>
      <c r="L47" s="83">
        <f>+L45+L46</f>
        <v>16780.299946559997</v>
      </c>
      <c r="N47" s="82" t="s">
        <v>55</v>
      </c>
      <c r="O47" s="83">
        <f>+O45+O46</f>
        <v>15381.941617679999</v>
      </c>
      <c r="Q47" s="82" t="s">
        <v>55</v>
      </c>
      <c r="R47" s="83">
        <f>+R45+R46</f>
        <v>102080.15800823999</v>
      </c>
    </row>
    <row r="48" spans="1:18" x14ac:dyDescent="0.2">
      <c r="J48" s="47"/>
    </row>
    <row r="49" spans="8:18" x14ac:dyDescent="0.2">
      <c r="J49" s="47"/>
    </row>
    <row r="50" spans="8:18" ht="15.75" customHeight="1" x14ac:dyDescent="0.25">
      <c r="H50" s="150" t="s">
        <v>684</v>
      </c>
      <c r="I50" s="150"/>
      <c r="J50" s="47"/>
      <c r="K50" s="150" t="s">
        <v>681</v>
      </c>
      <c r="L50" s="150"/>
      <c r="N50" s="150" t="s">
        <v>682</v>
      </c>
      <c r="O50" s="150"/>
      <c r="Q50" s="150" t="s">
        <v>683</v>
      </c>
      <c r="R50" s="150"/>
    </row>
    <row r="51" spans="8:18" x14ac:dyDescent="0.2">
      <c r="H51" s="82" t="s">
        <v>53</v>
      </c>
      <c r="I51" s="83">
        <f>+P37*4%</f>
        <v>220.56315671886983</v>
      </c>
      <c r="J51" s="47"/>
      <c r="K51" s="82" t="s">
        <v>53</v>
      </c>
      <c r="L51" s="83">
        <f>+P37*12%</f>
        <v>661.68947015660945</v>
      </c>
      <c r="N51" s="82" t="s">
        <v>53</v>
      </c>
      <c r="O51" s="83">
        <f>+P37*11%</f>
        <v>606.548680976892</v>
      </c>
      <c r="Q51" s="82" t="s">
        <v>53</v>
      </c>
      <c r="R51" s="83">
        <f>+P37*73%</f>
        <v>4025.2776101193745</v>
      </c>
    </row>
    <row r="52" spans="8:18" x14ac:dyDescent="0.2">
      <c r="H52" s="82" t="s">
        <v>54</v>
      </c>
      <c r="I52" s="83">
        <f>+I51*16%</f>
        <v>35.290105075019177</v>
      </c>
      <c r="J52" s="47"/>
      <c r="K52" s="82" t="s">
        <v>54</v>
      </c>
      <c r="L52" s="83">
        <f>+L51*16%</f>
        <v>105.87031522505751</v>
      </c>
      <c r="N52" s="82" t="s">
        <v>54</v>
      </c>
      <c r="O52" s="83">
        <f>+O51*16%</f>
        <v>97.047788956302725</v>
      </c>
      <c r="Q52" s="82" t="s">
        <v>54</v>
      </c>
      <c r="R52" s="83">
        <f>+R51*16%</f>
        <v>644.04441761909993</v>
      </c>
    </row>
    <row r="53" spans="8:18" x14ac:dyDescent="0.2">
      <c r="H53" s="82" t="s">
        <v>55</v>
      </c>
      <c r="I53" s="83">
        <f>+I51+I52</f>
        <v>255.853261793889</v>
      </c>
      <c r="J53" s="47"/>
      <c r="K53" s="82" t="s">
        <v>55</v>
      </c>
      <c r="L53" s="83">
        <f>+L51+L52</f>
        <v>767.55978538166698</v>
      </c>
      <c r="N53" s="82" t="s">
        <v>55</v>
      </c>
      <c r="O53" s="83">
        <f>+O51+O52</f>
        <v>703.59646993319473</v>
      </c>
      <c r="Q53" s="82" t="s">
        <v>55</v>
      </c>
      <c r="R53" s="83">
        <f>+R51+R52</f>
        <v>4669.3220277384744</v>
      </c>
    </row>
  </sheetData>
  <autoFilter ref="A8:AS29" xr:uid="{00000000-0009-0000-0000-000001000000}"/>
  <mergeCells count="15">
    <mergeCell ref="Q44:R44"/>
    <mergeCell ref="Q50:R50"/>
    <mergeCell ref="H44:I44"/>
    <mergeCell ref="K44:L44"/>
    <mergeCell ref="N44:O44"/>
    <mergeCell ref="H50:I50"/>
    <mergeCell ref="K50:L50"/>
    <mergeCell ref="N50:O50"/>
    <mergeCell ref="O31:P31"/>
    <mergeCell ref="O32:P32"/>
    <mergeCell ref="B1:G1"/>
    <mergeCell ref="B2:G2"/>
    <mergeCell ref="B3:G3"/>
    <mergeCell ref="B5:G5"/>
    <mergeCell ref="L31:M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26"/>
  <sheetViews>
    <sheetView showGridLines="0" tabSelected="1" zoomScale="80" zoomScaleNormal="80" workbookViewId="0">
      <pane xSplit="2" ySplit="8" topLeftCell="C84" activePane="bottomRight" state="frozen"/>
      <selection pane="topRight" activeCell="C1" sqref="C1"/>
      <selection pane="bottomLeft" activeCell="A10" sqref="A10"/>
      <selection pane="bottomRight" activeCell="J96" sqref="J96"/>
    </sheetView>
  </sheetViews>
  <sheetFormatPr baseColWidth="10" defaultColWidth="11.42578125" defaultRowHeight="12.75" x14ac:dyDescent="0.2"/>
  <cols>
    <col min="1" max="1" width="11.42578125" style="55"/>
    <col min="2" max="2" width="45" style="55" customWidth="1"/>
    <col min="3" max="4" width="15" style="55" customWidth="1"/>
    <col min="5" max="5" width="13.28515625" style="55" hidden="1" customWidth="1"/>
    <col min="6" max="6" width="20.28515625" style="55" hidden="1" customWidth="1"/>
    <col min="7" max="7" width="19.5703125" style="55" customWidth="1"/>
    <col min="8" max="8" width="15.28515625" style="55" customWidth="1"/>
    <col min="9" max="9" width="21.85546875" style="55" customWidth="1"/>
    <col min="10" max="10" width="18.7109375" style="55" customWidth="1"/>
    <col min="11" max="11" width="17.5703125" style="55" customWidth="1"/>
    <col min="12" max="12" width="16.85546875" style="55" customWidth="1"/>
    <col min="13" max="13" width="15.7109375" style="55" customWidth="1"/>
    <col min="14" max="16" width="20.28515625" style="55" customWidth="1"/>
    <col min="17" max="17" width="16.85546875" style="55" customWidth="1"/>
    <col min="18" max="18" width="16.140625" style="55" customWidth="1"/>
    <col min="19" max="19" width="20.28515625" style="55" customWidth="1"/>
    <col min="20" max="20" width="15.42578125" style="55" customWidth="1"/>
    <col min="21" max="21" width="17.140625" style="55" customWidth="1"/>
    <col min="22" max="22" width="18.7109375" style="55" customWidth="1"/>
    <col min="23" max="23" width="17.85546875" style="55" customWidth="1"/>
    <col min="24" max="25" width="13.85546875" style="55" customWidth="1"/>
    <col min="26" max="27" width="19.28515625" style="55" customWidth="1"/>
    <col min="28" max="28" width="13.85546875" style="55" customWidth="1"/>
    <col min="29" max="31" width="13.5703125" style="55" customWidth="1"/>
    <col min="32" max="32" width="15.42578125" style="55" customWidth="1"/>
    <col min="33" max="36" width="13.5703125" style="55" customWidth="1"/>
    <col min="37" max="37" width="13.5703125" style="58" customWidth="1"/>
    <col min="38" max="39" width="13.5703125" style="55" customWidth="1"/>
    <col min="40" max="41" width="11.42578125" style="55" customWidth="1"/>
    <col min="42" max="16384" width="11.42578125" style="55"/>
  </cols>
  <sheetData>
    <row r="1" spans="1:43" x14ac:dyDescent="0.2">
      <c r="A1" s="53"/>
      <c r="B1" s="157" t="s">
        <v>166</v>
      </c>
      <c r="C1" s="157"/>
      <c r="D1" s="157"/>
      <c r="E1" s="157"/>
      <c r="F1" s="157"/>
      <c r="G1" s="158"/>
      <c r="H1" s="158"/>
      <c r="I1" s="158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4"/>
      <c r="AL1" s="52"/>
      <c r="AM1" s="52"/>
    </row>
    <row r="2" spans="1:43" x14ac:dyDescent="0.2">
      <c r="A2" s="56"/>
      <c r="B2" s="159" t="s">
        <v>173</v>
      </c>
      <c r="C2" s="159"/>
      <c r="D2" s="159"/>
      <c r="E2" s="159"/>
      <c r="F2" s="159"/>
      <c r="G2" s="160"/>
      <c r="H2" s="160"/>
      <c r="I2" s="160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4"/>
      <c r="AL2" s="52"/>
      <c r="AM2" s="52"/>
    </row>
    <row r="3" spans="1:43" x14ac:dyDescent="0.2">
      <c r="A3" s="52"/>
      <c r="B3" s="161" t="s">
        <v>167</v>
      </c>
      <c r="C3" s="161"/>
      <c r="D3" s="161"/>
      <c r="E3" s="161"/>
      <c r="F3" s="161"/>
      <c r="G3" s="161"/>
      <c r="H3" s="161"/>
      <c r="I3" s="161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4"/>
      <c r="AL3" s="52"/>
      <c r="AM3" s="52"/>
    </row>
    <row r="4" spans="1:43" x14ac:dyDescent="0.2">
      <c r="A4" s="52"/>
      <c r="B4" s="86" t="s">
        <v>174</v>
      </c>
      <c r="C4" s="86"/>
      <c r="D4" s="86"/>
      <c r="E4" s="86"/>
      <c r="F4" s="86"/>
      <c r="G4" s="86"/>
      <c r="H4" s="86"/>
      <c r="I4" s="86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4"/>
      <c r="AL4" s="52"/>
      <c r="AM4" s="52"/>
    </row>
    <row r="5" spans="1:43" x14ac:dyDescent="0.2">
      <c r="A5" s="52"/>
      <c r="B5" s="161" t="s">
        <v>175</v>
      </c>
      <c r="C5" s="161"/>
      <c r="D5" s="161"/>
      <c r="E5" s="161"/>
      <c r="F5" s="161"/>
      <c r="G5" s="161"/>
      <c r="H5" s="161"/>
      <c r="I5" s="161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4"/>
      <c r="AL5" s="52"/>
      <c r="AM5" s="52"/>
    </row>
    <row r="6" spans="1:43" x14ac:dyDescent="0.2">
      <c r="A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4"/>
      <c r="AL6" s="52"/>
      <c r="AM6" s="52"/>
    </row>
    <row r="7" spans="1:43" x14ac:dyDescent="0.2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</row>
    <row r="8" spans="1:43" ht="30.75" customHeight="1" thickBot="1" x14ac:dyDescent="0.25">
      <c r="A8" s="59" t="s">
        <v>170</v>
      </c>
      <c r="B8" s="59" t="s">
        <v>171</v>
      </c>
      <c r="C8" s="59" t="s">
        <v>380</v>
      </c>
      <c r="D8" s="59" t="s">
        <v>398</v>
      </c>
      <c r="E8" s="59" t="s">
        <v>545</v>
      </c>
      <c r="F8" s="59" t="s">
        <v>546</v>
      </c>
      <c r="G8" s="59" t="s">
        <v>136</v>
      </c>
      <c r="H8" s="59" t="s">
        <v>375</v>
      </c>
      <c r="I8" s="59" t="s">
        <v>376</v>
      </c>
      <c r="J8" s="59" t="s">
        <v>140</v>
      </c>
      <c r="K8" s="59" t="s">
        <v>141</v>
      </c>
      <c r="L8" s="59" t="s">
        <v>142</v>
      </c>
      <c r="M8" s="59" t="s">
        <v>143</v>
      </c>
      <c r="N8" s="59" t="s">
        <v>144</v>
      </c>
      <c r="O8" s="59" t="s">
        <v>498</v>
      </c>
      <c r="P8" s="59" t="s">
        <v>499</v>
      </c>
      <c r="Q8" s="59" t="s">
        <v>593</v>
      </c>
      <c r="R8" s="59" t="s">
        <v>135</v>
      </c>
      <c r="S8" s="59" t="s">
        <v>202</v>
      </c>
      <c r="T8" s="59" t="s">
        <v>145</v>
      </c>
      <c r="U8" s="59" t="s">
        <v>146</v>
      </c>
      <c r="V8" s="60" t="s">
        <v>147</v>
      </c>
      <c r="W8" s="59" t="s">
        <v>150</v>
      </c>
      <c r="X8" s="59" t="s">
        <v>151</v>
      </c>
      <c r="Y8" s="59" t="s">
        <v>152</v>
      </c>
      <c r="Z8" s="59" t="s">
        <v>148</v>
      </c>
      <c r="AA8" s="59" t="s">
        <v>149</v>
      </c>
      <c r="AB8" s="59" t="s">
        <v>604</v>
      </c>
      <c r="AC8" s="59" t="s">
        <v>153</v>
      </c>
      <c r="AD8" s="59" t="s">
        <v>154</v>
      </c>
      <c r="AE8" s="59" t="s">
        <v>155</v>
      </c>
      <c r="AF8" s="59" t="s">
        <v>156</v>
      </c>
      <c r="AG8" s="59" t="s">
        <v>157</v>
      </c>
      <c r="AH8" s="59" t="s">
        <v>158</v>
      </c>
      <c r="AI8" s="59" t="s">
        <v>159</v>
      </c>
      <c r="AJ8" s="59" t="s">
        <v>160</v>
      </c>
      <c r="AK8" s="59" t="s">
        <v>161</v>
      </c>
      <c r="AL8" s="59" t="s">
        <v>162</v>
      </c>
      <c r="AM8" s="59" t="s">
        <v>608</v>
      </c>
      <c r="AN8" s="59" t="s">
        <v>533</v>
      </c>
    </row>
    <row r="9" spans="1:43" ht="13.5" thickTop="1" x14ac:dyDescent="0.2">
      <c r="A9" s="52" t="s">
        <v>67</v>
      </c>
      <c r="B9" s="61" t="s">
        <v>337</v>
      </c>
      <c r="C9" s="52">
        <v>15</v>
      </c>
      <c r="D9" s="52">
        <v>0</v>
      </c>
      <c r="E9" s="52">
        <v>266.67</v>
      </c>
      <c r="F9" s="52">
        <v>278.72000000000003</v>
      </c>
      <c r="G9" s="52">
        <v>4000.05</v>
      </c>
      <c r="H9" s="52">
        <v>0</v>
      </c>
      <c r="I9" s="52">
        <v>0</v>
      </c>
      <c r="J9" s="52">
        <v>4000.05</v>
      </c>
      <c r="K9" s="52">
        <v>313.87</v>
      </c>
      <c r="L9" s="52">
        <v>0</v>
      </c>
      <c r="M9" s="52">
        <v>100.81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/>
      <c r="T9" s="62">
        <v>-0.03</v>
      </c>
      <c r="U9" s="52">
        <v>414.65</v>
      </c>
      <c r="V9" s="52">
        <v>3585.4</v>
      </c>
      <c r="W9" s="52">
        <v>26.13</v>
      </c>
      <c r="X9" s="52">
        <v>47.03</v>
      </c>
      <c r="Y9" s="52">
        <v>27.65</v>
      </c>
      <c r="Z9" s="52">
        <v>0</v>
      </c>
      <c r="AA9" s="52">
        <v>313.87</v>
      </c>
      <c r="AC9" s="52">
        <v>73.16</v>
      </c>
      <c r="AD9" s="55">
        <v>131.69999999999999</v>
      </c>
      <c r="AE9" s="55">
        <v>335.88</v>
      </c>
      <c r="AF9" s="55">
        <v>4000.05</v>
      </c>
      <c r="AG9" s="55">
        <v>268.34000000000003</v>
      </c>
      <c r="AH9" s="55">
        <v>80</v>
      </c>
      <c r="AI9" s="52">
        <v>33.299999999999997</v>
      </c>
      <c r="AJ9" s="52">
        <v>540.74</v>
      </c>
      <c r="AK9" s="52">
        <v>209.04</v>
      </c>
      <c r="AL9" s="52">
        <v>226.53</v>
      </c>
      <c r="AM9" s="52">
        <v>219.03679772204578</v>
      </c>
      <c r="AN9" s="55" t="s">
        <v>596</v>
      </c>
    </row>
    <row r="10" spans="1:43" x14ac:dyDescent="0.2">
      <c r="A10" s="52" t="s">
        <v>75</v>
      </c>
      <c r="B10" s="61" t="s">
        <v>548</v>
      </c>
      <c r="C10" s="52">
        <v>15</v>
      </c>
      <c r="D10" s="52">
        <v>0</v>
      </c>
      <c r="E10" s="52">
        <v>266.67</v>
      </c>
      <c r="F10" s="52">
        <v>278.72000000000003</v>
      </c>
      <c r="G10" s="52">
        <v>4000.05</v>
      </c>
      <c r="H10" s="52">
        <v>0</v>
      </c>
      <c r="I10" s="52">
        <v>0</v>
      </c>
      <c r="J10" s="52">
        <v>4000.05</v>
      </c>
      <c r="K10" s="52">
        <v>313.87</v>
      </c>
      <c r="L10" s="52">
        <v>0</v>
      </c>
      <c r="M10" s="52">
        <v>100.81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/>
      <c r="T10" s="52">
        <v>0.17</v>
      </c>
      <c r="U10" s="52">
        <v>414.85</v>
      </c>
      <c r="V10" s="52">
        <v>3585.2</v>
      </c>
      <c r="W10" s="52">
        <v>26.13</v>
      </c>
      <c r="X10" s="52">
        <v>47.03</v>
      </c>
      <c r="Y10" s="52">
        <v>27.65</v>
      </c>
      <c r="Z10" s="62">
        <v>0</v>
      </c>
      <c r="AA10" s="52">
        <v>313.87</v>
      </c>
      <c r="AC10" s="52">
        <v>73.16</v>
      </c>
      <c r="AD10" s="55">
        <v>131.69999999999999</v>
      </c>
      <c r="AE10" s="55">
        <v>335.88</v>
      </c>
      <c r="AF10" s="55">
        <v>4000.05</v>
      </c>
      <c r="AG10" s="55">
        <v>268.34000000000003</v>
      </c>
      <c r="AH10" s="55">
        <v>80</v>
      </c>
      <c r="AI10" s="52">
        <v>33.299999999999997</v>
      </c>
      <c r="AJ10" s="52">
        <v>540.74</v>
      </c>
      <c r="AK10" s="52">
        <v>209.04</v>
      </c>
      <c r="AL10" s="52">
        <v>226.53</v>
      </c>
      <c r="AM10" s="52">
        <v>219.03679772204578</v>
      </c>
      <c r="AN10" s="55" t="s">
        <v>596</v>
      </c>
    </row>
    <row r="11" spans="1:43" x14ac:dyDescent="0.2">
      <c r="A11" s="52" t="s">
        <v>77</v>
      </c>
      <c r="B11" s="52" t="s">
        <v>607</v>
      </c>
      <c r="C11" s="52">
        <v>15</v>
      </c>
      <c r="D11" s="52">
        <v>0</v>
      </c>
      <c r="E11" s="52">
        <v>200</v>
      </c>
      <c r="F11" s="52">
        <v>209.04</v>
      </c>
      <c r="G11" s="52">
        <v>3000</v>
      </c>
      <c r="H11" s="52">
        <v>0</v>
      </c>
      <c r="I11" s="52">
        <v>0</v>
      </c>
      <c r="J11" s="52">
        <v>3000</v>
      </c>
      <c r="K11" s="52">
        <v>59.69</v>
      </c>
      <c r="L11" s="52">
        <v>0</v>
      </c>
      <c r="M11" s="52">
        <v>74.48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/>
      <c r="T11" s="52">
        <v>0.03</v>
      </c>
      <c r="U11" s="52">
        <v>134.19999999999999</v>
      </c>
      <c r="V11" s="52">
        <v>2865.8</v>
      </c>
      <c r="W11" s="52">
        <v>19.600000000000001</v>
      </c>
      <c r="X11" s="52">
        <v>35.28</v>
      </c>
      <c r="Y11" s="52">
        <v>19.600000000000001</v>
      </c>
      <c r="Z11" s="62">
        <v>-145.38</v>
      </c>
      <c r="AA11" s="52">
        <v>205.07</v>
      </c>
      <c r="AC11" s="52">
        <v>54.87</v>
      </c>
      <c r="AD11" s="55">
        <v>98.77</v>
      </c>
      <c r="AE11" s="55">
        <v>313.41000000000003</v>
      </c>
      <c r="AF11" s="55">
        <v>3000</v>
      </c>
      <c r="AG11" s="55">
        <v>247.43</v>
      </c>
      <c r="AH11" s="55">
        <v>60</v>
      </c>
      <c r="AI11" s="52">
        <v>24.98</v>
      </c>
      <c r="AJ11" s="52">
        <v>467.05</v>
      </c>
      <c r="AK11" s="52">
        <v>156.78</v>
      </c>
      <c r="AL11" s="52">
        <v>216.07999999999998</v>
      </c>
      <c r="AM11" s="52">
        <v>164.27554484722373</v>
      </c>
      <c r="AN11" s="55" t="s">
        <v>596</v>
      </c>
    </row>
    <row r="12" spans="1:43" s="58" customFormat="1" x14ac:dyDescent="0.2">
      <c r="A12" s="52" t="s">
        <v>81</v>
      </c>
      <c r="B12" s="61" t="s">
        <v>340</v>
      </c>
      <c r="C12" s="52">
        <v>15</v>
      </c>
      <c r="D12" s="52">
        <v>0</v>
      </c>
      <c r="E12" s="52">
        <v>266.67</v>
      </c>
      <c r="F12" s="52">
        <v>278.72000000000003</v>
      </c>
      <c r="G12" s="52">
        <v>4000.05</v>
      </c>
      <c r="H12" s="52">
        <v>0</v>
      </c>
      <c r="I12" s="52">
        <v>0</v>
      </c>
      <c r="J12" s="52">
        <v>4000.05</v>
      </c>
      <c r="K12" s="52">
        <v>313.87</v>
      </c>
      <c r="L12" s="52">
        <v>0</v>
      </c>
      <c r="M12" s="52">
        <v>100.81</v>
      </c>
      <c r="N12" s="52">
        <v>877.59</v>
      </c>
      <c r="O12" s="52">
        <v>0</v>
      </c>
      <c r="P12" s="52">
        <v>15</v>
      </c>
      <c r="Q12" s="52">
        <v>0</v>
      </c>
      <c r="R12" s="52">
        <v>0</v>
      </c>
      <c r="S12" s="52"/>
      <c r="T12" s="62">
        <v>-0.02</v>
      </c>
      <c r="U12" s="52">
        <v>1307.25</v>
      </c>
      <c r="V12" s="52">
        <v>2692.8</v>
      </c>
      <c r="W12" s="52">
        <v>26.13</v>
      </c>
      <c r="X12" s="52">
        <v>47.03</v>
      </c>
      <c r="Y12" s="52">
        <v>27.65</v>
      </c>
      <c r="Z12" s="52">
        <v>0</v>
      </c>
      <c r="AA12" s="52">
        <v>313.87</v>
      </c>
      <c r="AB12" s="55"/>
      <c r="AC12" s="52">
        <v>73.16</v>
      </c>
      <c r="AD12" s="55">
        <v>131.69999999999999</v>
      </c>
      <c r="AE12" s="55">
        <v>335.88</v>
      </c>
      <c r="AF12" s="55">
        <v>4000.05</v>
      </c>
      <c r="AG12" s="55">
        <v>268.34000000000003</v>
      </c>
      <c r="AH12" s="55">
        <v>80</v>
      </c>
      <c r="AI12" s="52">
        <v>33.299999999999997</v>
      </c>
      <c r="AJ12" s="52">
        <v>540.74</v>
      </c>
      <c r="AK12" s="52">
        <v>209.04</v>
      </c>
      <c r="AL12" s="52">
        <v>226.53</v>
      </c>
      <c r="AM12" s="52">
        <v>219.03679772204578</v>
      </c>
      <c r="AN12" s="55" t="s">
        <v>596</v>
      </c>
      <c r="AO12" s="55"/>
      <c r="AP12" s="55"/>
      <c r="AQ12" s="55"/>
    </row>
    <row r="13" spans="1:43" x14ac:dyDescent="0.2">
      <c r="A13" s="52" t="s">
        <v>85</v>
      </c>
      <c r="B13" s="61" t="s">
        <v>342</v>
      </c>
      <c r="C13" s="52">
        <v>15</v>
      </c>
      <c r="D13" s="52">
        <v>0</v>
      </c>
      <c r="E13" s="52">
        <v>400</v>
      </c>
      <c r="F13" s="52">
        <v>424.2</v>
      </c>
      <c r="G13" s="52">
        <v>6000</v>
      </c>
      <c r="H13" s="52">
        <v>0</v>
      </c>
      <c r="I13" s="52">
        <v>0</v>
      </c>
      <c r="J13" s="52">
        <v>6000</v>
      </c>
      <c r="K13" s="52">
        <v>643.38</v>
      </c>
      <c r="L13" s="52">
        <v>0</v>
      </c>
      <c r="M13" s="52">
        <v>161.36000000000001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/>
      <c r="T13" s="62">
        <v>0.06</v>
      </c>
      <c r="U13" s="52">
        <v>804.8</v>
      </c>
      <c r="V13" s="52">
        <v>5195.2</v>
      </c>
      <c r="W13" s="52">
        <v>39.770000000000003</v>
      </c>
      <c r="X13" s="52">
        <v>71.58</v>
      </c>
      <c r="Y13" s="52">
        <v>50.01</v>
      </c>
      <c r="Z13" s="52">
        <v>0</v>
      </c>
      <c r="AA13" s="52">
        <v>643.38</v>
      </c>
      <c r="AC13" s="52">
        <v>111.35</v>
      </c>
      <c r="AD13" s="55">
        <v>200.43</v>
      </c>
      <c r="AE13" s="55">
        <v>398.06</v>
      </c>
      <c r="AF13" s="55">
        <v>6000</v>
      </c>
      <c r="AG13" s="55">
        <v>311.98</v>
      </c>
      <c r="AH13" s="55">
        <v>120</v>
      </c>
      <c r="AI13" s="52">
        <v>50.69</v>
      </c>
      <c r="AJ13" s="52">
        <v>709.84</v>
      </c>
      <c r="AK13" s="52">
        <v>318.14999999999998</v>
      </c>
      <c r="AL13" s="52">
        <v>248.35</v>
      </c>
      <c r="AM13" s="52">
        <v>328.55108969444746</v>
      </c>
      <c r="AN13" s="55" t="s">
        <v>596</v>
      </c>
    </row>
    <row r="14" spans="1:43" x14ac:dyDescent="0.2">
      <c r="A14" s="54" t="s">
        <v>87</v>
      </c>
      <c r="B14" s="54" t="s">
        <v>549</v>
      </c>
      <c r="C14" s="52">
        <v>15</v>
      </c>
      <c r="D14" s="52">
        <v>0</v>
      </c>
      <c r="E14" s="52">
        <v>266.67</v>
      </c>
      <c r="F14" s="52">
        <v>278.72000000000003</v>
      </c>
      <c r="G14" s="52">
        <v>4000.05</v>
      </c>
      <c r="H14" s="52">
        <v>0</v>
      </c>
      <c r="I14" s="52">
        <v>0</v>
      </c>
      <c r="J14" s="52">
        <v>4000.05</v>
      </c>
      <c r="K14" s="52">
        <v>313.87</v>
      </c>
      <c r="L14" s="52">
        <v>0</v>
      </c>
      <c r="M14" s="52">
        <v>100.81</v>
      </c>
      <c r="N14" s="52">
        <v>0</v>
      </c>
      <c r="O14" s="52">
        <v>0</v>
      </c>
      <c r="P14" s="52">
        <v>0</v>
      </c>
      <c r="Q14" s="54">
        <v>0</v>
      </c>
      <c r="R14" s="52">
        <v>0</v>
      </c>
      <c r="S14" s="54"/>
      <c r="T14" s="62">
        <v>-0.03</v>
      </c>
      <c r="U14" s="52">
        <v>414.65</v>
      </c>
      <c r="V14" s="52">
        <v>3585.4</v>
      </c>
      <c r="W14" s="52">
        <v>26.13</v>
      </c>
      <c r="X14" s="52">
        <v>47.03</v>
      </c>
      <c r="Y14" s="52">
        <v>27.65</v>
      </c>
      <c r="Z14" s="62">
        <v>0</v>
      </c>
      <c r="AA14" s="52">
        <v>313.87</v>
      </c>
      <c r="AB14" s="58"/>
      <c r="AC14" s="52">
        <v>73.16</v>
      </c>
      <c r="AD14" s="58">
        <v>131.69999999999999</v>
      </c>
      <c r="AE14" s="58">
        <v>335.88</v>
      </c>
      <c r="AF14" s="58">
        <v>4000.05</v>
      </c>
      <c r="AG14" s="58">
        <v>268.34000000000003</v>
      </c>
      <c r="AH14" s="58">
        <v>80</v>
      </c>
      <c r="AI14" s="52">
        <v>33.299999999999997</v>
      </c>
      <c r="AJ14" s="52">
        <v>540.74</v>
      </c>
      <c r="AK14" s="52">
        <v>209.04</v>
      </c>
      <c r="AL14" s="52">
        <v>226.53</v>
      </c>
      <c r="AM14" s="52">
        <v>219.03679772204578</v>
      </c>
      <c r="AN14" s="55" t="s">
        <v>596</v>
      </c>
    </row>
    <row r="15" spans="1:43" s="58" customFormat="1" x14ac:dyDescent="0.2">
      <c r="A15" s="52" t="s">
        <v>89</v>
      </c>
      <c r="B15" s="61" t="s">
        <v>343</v>
      </c>
      <c r="C15" s="52">
        <v>15</v>
      </c>
      <c r="D15" s="52">
        <v>0</v>
      </c>
      <c r="E15" s="52">
        <v>200</v>
      </c>
      <c r="F15" s="52">
        <v>212.1</v>
      </c>
      <c r="G15" s="52">
        <v>3000</v>
      </c>
      <c r="H15" s="52">
        <v>0</v>
      </c>
      <c r="I15" s="52">
        <v>0</v>
      </c>
      <c r="J15" s="52">
        <v>3000</v>
      </c>
      <c r="K15" s="52">
        <v>59.69</v>
      </c>
      <c r="L15" s="52">
        <v>0</v>
      </c>
      <c r="M15" s="52">
        <v>75.55</v>
      </c>
      <c r="N15" s="52">
        <v>1359.23</v>
      </c>
      <c r="O15" s="52">
        <v>0</v>
      </c>
      <c r="P15" s="52">
        <v>15</v>
      </c>
      <c r="Q15" s="52">
        <v>0</v>
      </c>
      <c r="R15" s="52">
        <v>0</v>
      </c>
      <c r="S15" s="52"/>
      <c r="T15" s="62">
        <v>-7.0000000000000007E-2</v>
      </c>
      <c r="U15" s="52">
        <v>1509.4</v>
      </c>
      <c r="V15" s="52">
        <v>1490.6</v>
      </c>
      <c r="W15" s="52">
        <v>19.88</v>
      </c>
      <c r="X15" s="52">
        <v>35.79</v>
      </c>
      <c r="Y15" s="52">
        <v>19.88</v>
      </c>
      <c r="Z15" s="52">
        <v>-145.38</v>
      </c>
      <c r="AA15" s="52">
        <v>205.07</v>
      </c>
      <c r="AB15" s="55"/>
      <c r="AC15" s="52">
        <v>55.68</v>
      </c>
      <c r="AD15" s="55">
        <v>100.22</v>
      </c>
      <c r="AE15" s="55">
        <v>314.22000000000003</v>
      </c>
      <c r="AF15" s="55">
        <v>3000</v>
      </c>
      <c r="AG15" s="55">
        <v>248.35</v>
      </c>
      <c r="AH15" s="55">
        <v>60</v>
      </c>
      <c r="AI15" s="52">
        <v>25.34</v>
      </c>
      <c r="AJ15" s="52">
        <v>470.12</v>
      </c>
      <c r="AK15" s="52">
        <v>159.08000000000001</v>
      </c>
      <c r="AL15" s="52">
        <v>216.54</v>
      </c>
      <c r="AM15" s="52">
        <v>164.27554484722373</v>
      </c>
      <c r="AN15" s="55" t="s">
        <v>596</v>
      </c>
      <c r="AO15" s="55"/>
      <c r="AP15" s="55"/>
      <c r="AQ15" s="55"/>
    </row>
    <row r="16" spans="1:43" x14ac:dyDescent="0.2">
      <c r="A16" s="52" t="s">
        <v>91</v>
      </c>
      <c r="B16" s="61" t="s">
        <v>344</v>
      </c>
      <c r="C16" s="52">
        <v>15</v>
      </c>
      <c r="D16" s="52">
        <v>0</v>
      </c>
      <c r="E16" s="52">
        <v>333.33</v>
      </c>
      <c r="F16" s="52">
        <v>353.5</v>
      </c>
      <c r="G16" s="52">
        <v>4999.95</v>
      </c>
      <c r="H16" s="52">
        <v>0</v>
      </c>
      <c r="I16" s="52">
        <v>0</v>
      </c>
      <c r="J16" s="52">
        <v>4999.95</v>
      </c>
      <c r="K16" s="52">
        <v>461.63</v>
      </c>
      <c r="L16" s="52">
        <v>0</v>
      </c>
      <c r="M16" s="52">
        <v>131.93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/>
      <c r="T16" s="52">
        <v>-0.01</v>
      </c>
      <c r="U16" s="52">
        <v>593.54999999999995</v>
      </c>
      <c r="V16" s="52">
        <v>4406.3999999999996</v>
      </c>
      <c r="W16" s="52">
        <v>33.14</v>
      </c>
      <c r="X16" s="52">
        <v>59.65</v>
      </c>
      <c r="Y16" s="52">
        <v>39.14</v>
      </c>
      <c r="Z16" s="62">
        <v>0</v>
      </c>
      <c r="AA16" s="52">
        <v>461.63</v>
      </c>
      <c r="AC16" s="52">
        <v>92.79</v>
      </c>
      <c r="AD16" s="55">
        <v>167.03</v>
      </c>
      <c r="AE16" s="55">
        <v>367.84</v>
      </c>
      <c r="AF16" s="55">
        <v>4999.95</v>
      </c>
      <c r="AG16" s="55">
        <v>290.77</v>
      </c>
      <c r="AH16" s="55">
        <v>100</v>
      </c>
      <c r="AI16" s="52">
        <v>42.24</v>
      </c>
      <c r="AJ16" s="52">
        <v>627.66</v>
      </c>
      <c r="AK16" s="52">
        <v>265.12</v>
      </c>
      <c r="AL16" s="52">
        <v>237.74</v>
      </c>
      <c r="AM16" s="52">
        <v>273.78983681962541</v>
      </c>
      <c r="AN16" s="55" t="s">
        <v>596</v>
      </c>
    </row>
    <row r="17" spans="1:43" x14ac:dyDescent="0.2">
      <c r="A17" s="52" t="s">
        <v>93</v>
      </c>
      <c r="B17" s="61" t="s">
        <v>345</v>
      </c>
      <c r="C17" s="52">
        <v>15</v>
      </c>
      <c r="D17" s="52">
        <v>0</v>
      </c>
      <c r="E17" s="52">
        <v>233.33</v>
      </c>
      <c r="F17" s="52">
        <v>247.45</v>
      </c>
      <c r="G17" s="52">
        <v>3499.95</v>
      </c>
      <c r="H17" s="52">
        <v>0</v>
      </c>
      <c r="I17" s="52">
        <v>0</v>
      </c>
      <c r="J17" s="52">
        <v>3499.95</v>
      </c>
      <c r="K17" s="52">
        <v>134.36000000000001</v>
      </c>
      <c r="L17" s="52">
        <v>0</v>
      </c>
      <c r="M17" s="52">
        <v>88.16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/>
      <c r="T17" s="62">
        <v>0.03</v>
      </c>
      <c r="U17" s="52">
        <v>222.55</v>
      </c>
      <c r="V17" s="52">
        <v>3277.4</v>
      </c>
      <c r="W17" s="52">
        <v>23.2</v>
      </c>
      <c r="X17" s="52">
        <v>41.76</v>
      </c>
      <c r="Y17" s="52">
        <v>23.2</v>
      </c>
      <c r="Z17" s="62">
        <v>-125.1</v>
      </c>
      <c r="AA17" s="52">
        <v>259.45999999999998</v>
      </c>
      <c r="AC17" s="52">
        <v>64.95</v>
      </c>
      <c r="AD17" s="55">
        <v>116.92</v>
      </c>
      <c r="AE17" s="55">
        <v>323.49</v>
      </c>
      <c r="AF17" s="55">
        <v>3499.95</v>
      </c>
      <c r="AG17" s="55">
        <v>258.95</v>
      </c>
      <c r="AH17" s="55">
        <v>70</v>
      </c>
      <c r="AI17" s="52">
        <v>29.57</v>
      </c>
      <c r="AJ17" s="52">
        <v>505.36</v>
      </c>
      <c r="AK17" s="52">
        <v>185.58</v>
      </c>
      <c r="AL17" s="52">
        <v>221.84</v>
      </c>
      <c r="AM17" s="52">
        <v>191.65206439601357</v>
      </c>
      <c r="AN17" s="55" t="s">
        <v>596</v>
      </c>
    </row>
    <row r="18" spans="1:43" x14ac:dyDescent="0.2">
      <c r="A18" s="54" t="s">
        <v>561</v>
      </c>
      <c r="B18" s="61" t="s">
        <v>560</v>
      </c>
      <c r="C18" s="52">
        <v>15</v>
      </c>
      <c r="D18" s="52">
        <v>0</v>
      </c>
      <c r="E18" s="52">
        <v>200</v>
      </c>
      <c r="F18" s="52">
        <v>212.11</v>
      </c>
      <c r="G18" s="52">
        <v>3000</v>
      </c>
      <c r="H18" s="52">
        <v>0</v>
      </c>
      <c r="I18" s="52">
        <v>0</v>
      </c>
      <c r="J18" s="52">
        <v>3000</v>
      </c>
      <c r="K18" s="54">
        <v>59.69</v>
      </c>
      <c r="L18" s="54">
        <v>0</v>
      </c>
      <c r="M18" s="54">
        <v>75.56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/>
      <c r="T18" s="63">
        <v>-0.05</v>
      </c>
      <c r="U18" s="54">
        <v>135.19999999999999</v>
      </c>
      <c r="V18" s="54">
        <v>2864.8</v>
      </c>
      <c r="W18" s="54">
        <v>19.89</v>
      </c>
      <c r="X18" s="54">
        <v>35.79</v>
      </c>
      <c r="Y18" s="54">
        <v>19.88</v>
      </c>
      <c r="Z18" s="63">
        <v>-145.38</v>
      </c>
      <c r="AA18" s="54">
        <v>205.07</v>
      </c>
      <c r="AB18" s="58"/>
      <c r="AC18" s="54">
        <v>55.68</v>
      </c>
      <c r="AD18" s="58">
        <v>100.22</v>
      </c>
      <c r="AE18" s="58">
        <v>314.22000000000003</v>
      </c>
      <c r="AF18" s="58">
        <v>3000</v>
      </c>
      <c r="AG18" s="58">
        <v>248.35</v>
      </c>
      <c r="AH18" s="58">
        <v>60</v>
      </c>
      <c r="AI18" s="54">
        <v>25.34</v>
      </c>
      <c r="AJ18" s="54">
        <v>470.12</v>
      </c>
      <c r="AK18" s="54">
        <v>159.08000000000001</v>
      </c>
      <c r="AL18" s="54">
        <v>216.54</v>
      </c>
      <c r="AM18" s="54">
        <v>164.27554484722373</v>
      </c>
      <c r="AN18" s="58" t="s">
        <v>596</v>
      </c>
    </row>
    <row r="19" spans="1:43" s="58" customFormat="1" x14ac:dyDescent="0.2">
      <c r="A19" s="52" t="s">
        <v>101</v>
      </c>
      <c r="B19" s="61" t="s">
        <v>346</v>
      </c>
      <c r="C19" s="52">
        <v>14</v>
      </c>
      <c r="D19" s="52">
        <v>0</v>
      </c>
      <c r="E19" s="52">
        <v>200</v>
      </c>
      <c r="F19" s="52">
        <v>212.1</v>
      </c>
      <c r="G19" s="52">
        <v>2800</v>
      </c>
      <c r="H19" s="52">
        <v>0</v>
      </c>
      <c r="I19" s="52">
        <v>0</v>
      </c>
      <c r="J19" s="52">
        <v>2800</v>
      </c>
      <c r="K19" s="52">
        <v>37.93</v>
      </c>
      <c r="L19" s="52">
        <v>0</v>
      </c>
      <c r="M19" s="52">
        <v>71.849999999999994</v>
      </c>
      <c r="N19" s="52">
        <v>0</v>
      </c>
      <c r="O19" s="52">
        <v>0</v>
      </c>
      <c r="P19" s="52">
        <v>0</v>
      </c>
      <c r="Q19" s="52">
        <v>600</v>
      </c>
      <c r="R19" s="52">
        <v>0</v>
      </c>
      <c r="S19" s="52"/>
      <c r="T19" s="52">
        <v>0.02</v>
      </c>
      <c r="U19" s="52">
        <v>709.8</v>
      </c>
      <c r="V19" s="52">
        <v>2090.1999999999998</v>
      </c>
      <c r="W19" s="52">
        <v>18.559999999999999</v>
      </c>
      <c r="X19" s="52">
        <v>33.409999999999997</v>
      </c>
      <c r="Y19" s="52">
        <v>19.88</v>
      </c>
      <c r="Z19" s="52">
        <v>-145.38</v>
      </c>
      <c r="AA19" s="52">
        <v>183.31</v>
      </c>
      <c r="AB19" s="55"/>
      <c r="AC19" s="52">
        <v>55.68</v>
      </c>
      <c r="AD19" s="55">
        <v>100.22</v>
      </c>
      <c r="AE19" s="55">
        <v>314.22000000000003</v>
      </c>
      <c r="AF19" s="55">
        <v>2800</v>
      </c>
      <c r="AG19" s="55">
        <v>248.35</v>
      </c>
      <c r="AH19" s="55">
        <v>56</v>
      </c>
      <c r="AI19" s="52">
        <v>25.34</v>
      </c>
      <c r="AJ19" s="52">
        <v>470.12</v>
      </c>
      <c r="AK19" s="52">
        <v>159.08000000000001</v>
      </c>
      <c r="AL19" s="52">
        <v>216.54</v>
      </c>
      <c r="AM19" s="52">
        <v>164.27554484722373</v>
      </c>
      <c r="AN19" s="55" t="s">
        <v>596</v>
      </c>
      <c r="AO19" s="55"/>
      <c r="AP19" s="55"/>
      <c r="AQ19" s="55"/>
    </row>
    <row r="20" spans="1:43" x14ac:dyDescent="0.2">
      <c r="A20" s="54" t="s">
        <v>227</v>
      </c>
      <c r="B20" s="54" t="s">
        <v>364</v>
      </c>
      <c r="C20" s="54">
        <v>15</v>
      </c>
      <c r="D20" s="54">
        <v>0</v>
      </c>
      <c r="E20" s="54">
        <v>266.67</v>
      </c>
      <c r="F20" s="54">
        <v>282.81</v>
      </c>
      <c r="G20" s="54">
        <v>4000.05</v>
      </c>
      <c r="H20" s="54">
        <v>0</v>
      </c>
      <c r="I20" s="54">
        <v>0</v>
      </c>
      <c r="J20" s="54">
        <v>4000.05</v>
      </c>
      <c r="K20" s="54">
        <v>313.87</v>
      </c>
      <c r="L20" s="54">
        <v>0</v>
      </c>
      <c r="M20" s="54">
        <v>102.51</v>
      </c>
      <c r="N20" s="54">
        <v>0</v>
      </c>
      <c r="O20" s="54">
        <v>0</v>
      </c>
      <c r="P20" s="54">
        <v>0</v>
      </c>
      <c r="Q20" s="54">
        <v>0</v>
      </c>
      <c r="R20" s="54">
        <v>1666.67</v>
      </c>
      <c r="S20" s="54"/>
      <c r="T20" s="63">
        <v>0</v>
      </c>
      <c r="U20" s="54">
        <v>2083.0500000000002</v>
      </c>
      <c r="V20" s="54">
        <v>1917</v>
      </c>
      <c r="W20" s="54">
        <v>26.51</v>
      </c>
      <c r="X20" s="54">
        <v>47.72</v>
      </c>
      <c r="Y20" s="54">
        <v>28.28</v>
      </c>
      <c r="Z20" s="54">
        <v>0</v>
      </c>
      <c r="AA20" s="54">
        <v>313.87</v>
      </c>
      <c r="AB20" s="58"/>
      <c r="AC20" s="54">
        <v>74.239999999999995</v>
      </c>
      <c r="AD20" s="58">
        <v>133.63</v>
      </c>
      <c r="AE20" s="58">
        <v>337.62</v>
      </c>
      <c r="AF20" s="58">
        <v>4000.05</v>
      </c>
      <c r="AG20" s="58">
        <v>269.56</v>
      </c>
      <c r="AH20" s="58">
        <v>80</v>
      </c>
      <c r="AI20" s="54">
        <v>33.79</v>
      </c>
      <c r="AJ20" s="54">
        <v>545.49</v>
      </c>
      <c r="AK20" s="54">
        <v>212.11</v>
      </c>
      <c r="AL20" s="54">
        <v>227.14</v>
      </c>
      <c r="AM20" s="54">
        <v>219.03679772204578</v>
      </c>
      <c r="AN20" s="55" t="s">
        <v>596</v>
      </c>
    </row>
    <row r="21" spans="1:43" s="58" customFormat="1" x14ac:dyDescent="0.2">
      <c r="A21" s="54" t="s">
        <v>377</v>
      </c>
      <c r="B21" s="54" t="s">
        <v>378</v>
      </c>
      <c r="C21" s="54">
        <v>15</v>
      </c>
      <c r="D21" s="54">
        <v>0</v>
      </c>
      <c r="E21" s="54">
        <v>166.67</v>
      </c>
      <c r="F21" s="54">
        <v>174.2</v>
      </c>
      <c r="G21" s="54">
        <v>2500.0500000000002</v>
      </c>
      <c r="H21" s="54">
        <v>0</v>
      </c>
      <c r="I21" s="54">
        <v>0</v>
      </c>
      <c r="J21" s="54">
        <v>2500.0500000000002</v>
      </c>
      <c r="K21" s="54">
        <v>0</v>
      </c>
      <c r="L21" s="54">
        <v>-9.6199999999999992</v>
      </c>
      <c r="M21" s="54">
        <v>62.06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/>
      <c r="T21" s="54">
        <v>0.01</v>
      </c>
      <c r="U21" s="54">
        <v>52.45</v>
      </c>
      <c r="V21" s="54">
        <v>2447.6</v>
      </c>
      <c r="W21" s="54">
        <v>16.329999999999998</v>
      </c>
      <c r="X21" s="54">
        <v>29.4</v>
      </c>
      <c r="Y21" s="54">
        <v>16.329999999999998</v>
      </c>
      <c r="Z21" s="63">
        <v>-160.30000000000001</v>
      </c>
      <c r="AA21" s="54">
        <v>150.66999999999999</v>
      </c>
      <c r="AC21" s="54">
        <v>45.73</v>
      </c>
      <c r="AD21" s="58">
        <v>82.31</v>
      </c>
      <c r="AE21" s="58">
        <v>304.27</v>
      </c>
      <c r="AF21" s="58">
        <v>2500.0500000000002</v>
      </c>
      <c r="AG21" s="58">
        <v>236.98</v>
      </c>
      <c r="AH21" s="58">
        <v>50</v>
      </c>
      <c r="AI21" s="54">
        <v>20.82</v>
      </c>
      <c r="AJ21" s="54">
        <v>432.31</v>
      </c>
      <c r="AK21" s="54">
        <v>130.65</v>
      </c>
      <c r="AL21" s="54">
        <v>210.85</v>
      </c>
      <c r="AM21" s="54">
        <v>136.89902529843388</v>
      </c>
      <c r="AN21" s="55" t="s">
        <v>596</v>
      </c>
      <c r="AO21" s="55"/>
      <c r="AP21" s="55"/>
      <c r="AQ21" s="55"/>
    </row>
    <row r="22" spans="1:43" x14ac:dyDescent="0.2">
      <c r="A22" s="54" t="s">
        <v>399</v>
      </c>
      <c r="B22" s="54" t="s">
        <v>400</v>
      </c>
      <c r="C22" s="54">
        <v>15</v>
      </c>
      <c r="D22" s="54">
        <v>0</v>
      </c>
      <c r="E22" s="54">
        <v>266.67</v>
      </c>
      <c r="F22" s="54">
        <v>282.81</v>
      </c>
      <c r="G22" s="54">
        <v>4000.05</v>
      </c>
      <c r="H22" s="54">
        <v>0</v>
      </c>
      <c r="I22" s="54">
        <v>0</v>
      </c>
      <c r="J22" s="54">
        <v>4000.05</v>
      </c>
      <c r="K22" s="54">
        <v>313.87</v>
      </c>
      <c r="L22" s="54">
        <v>0</v>
      </c>
      <c r="M22" s="54">
        <v>102.51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/>
      <c r="T22" s="54">
        <v>7.0000000000000007E-2</v>
      </c>
      <c r="U22" s="54">
        <v>416.45</v>
      </c>
      <c r="V22" s="54">
        <v>3583.6</v>
      </c>
      <c r="W22" s="54">
        <v>26.51</v>
      </c>
      <c r="X22" s="54">
        <v>47.72</v>
      </c>
      <c r="Y22" s="54">
        <v>28.28</v>
      </c>
      <c r="Z22" s="54">
        <v>0</v>
      </c>
      <c r="AA22" s="54">
        <v>313.87</v>
      </c>
      <c r="AB22" s="58"/>
      <c r="AC22" s="54">
        <v>74.239999999999995</v>
      </c>
      <c r="AD22" s="58">
        <v>133.63</v>
      </c>
      <c r="AE22" s="58">
        <v>337.62</v>
      </c>
      <c r="AF22" s="58">
        <v>4000.05</v>
      </c>
      <c r="AG22" s="58">
        <v>269.56</v>
      </c>
      <c r="AH22" s="58">
        <v>80</v>
      </c>
      <c r="AI22" s="54">
        <v>33.79</v>
      </c>
      <c r="AJ22" s="54">
        <v>545.49</v>
      </c>
      <c r="AK22" s="54">
        <v>212.11</v>
      </c>
      <c r="AL22" s="54">
        <v>227.14</v>
      </c>
      <c r="AM22" s="54">
        <v>219.03679772204578</v>
      </c>
      <c r="AN22" s="55" t="s">
        <v>596</v>
      </c>
    </row>
    <row r="23" spans="1:43" s="58" customFormat="1" x14ac:dyDescent="0.2">
      <c r="A23" s="54" t="s">
        <v>414</v>
      </c>
      <c r="B23" s="54" t="s">
        <v>415</v>
      </c>
      <c r="C23" s="54">
        <v>15</v>
      </c>
      <c r="D23" s="54">
        <v>0</v>
      </c>
      <c r="E23" s="54">
        <v>266.67</v>
      </c>
      <c r="F23" s="54">
        <v>282.81</v>
      </c>
      <c r="G23" s="54">
        <v>4000.05</v>
      </c>
      <c r="H23" s="54">
        <v>0</v>
      </c>
      <c r="I23" s="54">
        <v>0</v>
      </c>
      <c r="J23" s="54">
        <v>4000.05</v>
      </c>
      <c r="K23" s="54">
        <v>313.87</v>
      </c>
      <c r="L23" s="54">
        <v>0</v>
      </c>
      <c r="M23" s="54">
        <v>102.51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/>
      <c r="T23" s="54">
        <v>-0.13</v>
      </c>
      <c r="U23" s="54">
        <v>416.25</v>
      </c>
      <c r="V23" s="54">
        <v>3583.8</v>
      </c>
      <c r="W23" s="54">
        <v>26.51</v>
      </c>
      <c r="X23" s="54">
        <v>47.72</v>
      </c>
      <c r="Y23" s="54">
        <v>28.28</v>
      </c>
      <c r="Z23" s="54">
        <v>0</v>
      </c>
      <c r="AA23" s="54">
        <v>313.87</v>
      </c>
      <c r="AC23" s="54">
        <v>74.239999999999995</v>
      </c>
      <c r="AD23" s="58">
        <v>133.63</v>
      </c>
      <c r="AE23" s="58">
        <v>337.62</v>
      </c>
      <c r="AF23" s="58">
        <v>4000.05</v>
      </c>
      <c r="AG23" s="58">
        <v>269.56</v>
      </c>
      <c r="AH23" s="58">
        <v>80</v>
      </c>
      <c r="AI23" s="54">
        <v>33.79</v>
      </c>
      <c r="AJ23" s="54">
        <v>545.49</v>
      </c>
      <c r="AK23" s="54">
        <v>212.11</v>
      </c>
      <c r="AL23" s="54">
        <v>227.14</v>
      </c>
      <c r="AM23" s="54">
        <v>219.03679772204578</v>
      </c>
      <c r="AN23" s="55" t="s">
        <v>596</v>
      </c>
      <c r="AO23" s="55"/>
      <c r="AP23" s="55"/>
      <c r="AQ23" s="55"/>
    </row>
    <row r="24" spans="1:43" s="58" customFormat="1" x14ac:dyDescent="0.2">
      <c r="A24" s="54" t="s">
        <v>403</v>
      </c>
      <c r="B24" s="54" t="s">
        <v>404</v>
      </c>
      <c r="C24" s="54">
        <v>15</v>
      </c>
      <c r="D24" s="54">
        <v>0</v>
      </c>
      <c r="E24" s="54">
        <v>200</v>
      </c>
      <c r="F24" s="54">
        <v>212.11</v>
      </c>
      <c r="G24" s="54">
        <v>3000</v>
      </c>
      <c r="H24" s="54">
        <v>0</v>
      </c>
      <c r="I24" s="54">
        <v>0</v>
      </c>
      <c r="J24" s="54">
        <v>3000</v>
      </c>
      <c r="K24" s="54">
        <v>59.69</v>
      </c>
      <c r="L24" s="54">
        <v>0</v>
      </c>
      <c r="M24" s="54">
        <v>75.56</v>
      </c>
      <c r="N24" s="54">
        <v>0</v>
      </c>
      <c r="O24" s="54">
        <v>1120.4000000000001</v>
      </c>
      <c r="P24" s="54">
        <v>15</v>
      </c>
      <c r="Q24" s="54">
        <v>600</v>
      </c>
      <c r="R24" s="54">
        <v>0</v>
      </c>
      <c r="S24" s="54"/>
      <c r="T24" s="54">
        <v>-0.05</v>
      </c>
      <c r="U24" s="54">
        <v>1870.6</v>
      </c>
      <c r="V24" s="54">
        <v>1129.4000000000001</v>
      </c>
      <c r="W24" s="54">
        <v>19.89</v>
      </c>
      <c r="X24" s="54">
        <v>35.79</v>
      </c>
      <c r="Y24" s="54">
        <v>19.88</v>
      </c>
      <c r="Z24" s="63">
        <v>-145.38</v>
      </c>
      <c r="AA24" s="54">
        <v>205.07</v>
      </c>
      <c r="AC24" s="54">
        <v>55.68</v>
      </c>
      <c r="AD24" s="58">
        <v>100.22</v>
      </c>
      <c r="AE24" s="58">
        <v>314.22000000000003</v>
      </c>
      <c r="AF24" s="58">
        <v>3000</v>
      </c>
      <c r="AG24" s="58">
        <v>248.35</v>
      </c>
      <c r="AH24" s="58">
        <v>60</v>
      </c>
      <c r="AI24" s="54">
        <v>25.34</v>
      </c>
      <c r="AJ24" s="54">
        <v>470.12</v>
      </c>
      <c r="AK24" s="54">
        <v>159.08000000000001</v>
      </c>
      <c r="AL24" s="54">
        <v>216.54</v>
      </c>
      <c r="AM24" s="54">
        <v>164.27554484722373</v>
      </c>
      <c r="AN24" s="55" t="s">
        <v>596</v>
      </c>
      <c r="AO24" s="55"/>
      <c r="AP24" s="55"/>
      <c r="AQ24" s="55"/>
    </row>
    <row r="25" spans="1:43" s="58" customFormat="1" x14ac:dyDescent="0.2">
      <c r="A25" s="54" t="s">
        <v>411</v>
      </c>
      <c r="B25" s="54" t="s">
        <v>407</v>
      </c>
      <c r="C25" s="54">
        <v>15</v>
      </c>
      <c r="D25" s="54">
        <v>0</v>
      </c>
      <c r="E25" s="54">
        <v>466.67</v>
      </c>
      <c r="F25" s="54">
        <v>494.92</v>
      </c>
      <c r="G25" s="54">
        <v>7000.05</v>
      </c>
      <c r="H25" s="54">
        <v>0</v>
      </c>
      <c r="I25" s="54">
        <v>0</v>
      </c>
      <c r="J25" s="54">
        <v>7000.05</v>
      </c>
      <c r="K25" s="54">
        <v>856.99</v>
      </c>
      <c r="L25" s="54">
        <v>0</v>
      </c>
      <c r="M25" s="54">
        <v>190.81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/>
      <c r="T25" s="63">
        <v>0.05</v>
      </c>
      <c r="U25" s="54">
        <v>1047.8499999999999</v>
      </c>
      <c r="V25" s="54">
        <v>5952.2</v>
      </c>
      <c r="W25" s="54">
        <v>46.4</v>
      </c>
      <c r="X25" s="54">
        <v>83.52</v>
      </c>
      <c r="Y25" s="54">
        <v>60.89</v>
      </c>
      <c r="Z25" s="54">
        <v>0</v>
      </c>
      <c r="AA25" s="54">
        <v>856.99</v>
      </c>
      <c r="AC25" s="54">
        <v>129.91999999999999</v>
      </c>
      <c r="AD25" s="58">
        <v>233.85</v>
      </c>
      <c r="AE25" s="58">
        <v>428.3</v>
      </c>
      <c r="AF25" s="58">
        <v>7000.05</v>
      </c>
      <c r="AG25" s="58">
        <v>333.2</v>
      </c>
      <c r="AH25" s="58">
        <v>140</v>
      </c>
      <c r="AI25" s="54">
        <v>59.14</v>
      </c>
      <c r="AJ25" s="54">
        <v>792.07</v>
      </c>
      <c r="AK25" s="54">
        <v>371.19</v>
      </c>
      <c r="AL25" s="54">
        <v>258.95999999999998</v>
      </c>
      <c r="AM25" s="54">
        <v>383.3123425692695</v>
      </c>
      <c r="AN25" s="55" t="s">
        <v>596</v>
      </c>
      <c r="AO25" s="55"/>
      <c r="AP25" s="55"/>
      <c r="AQ25" s="55"/>
    </row>
    <row r="26" spans="1:43" s="58" customFormat="1" x14ac:dyDescent="0.2">
      <c r="A26" s="54" t="s">
        <v>413</v>
      </c>
      <c r="B26" s="54" t="s">
        <v>409</v>
      </c>
      <c r="C26" s="54">
        <v>15</v>
      </c>
      <c r="D26" s="54">
        <v>0</v>
      </c>
      <c r="E26" s="54">
        <v>466.67</v>
      </c>
      <c r="F26" s="54">
        <v>494.92</v>
      </c>
      <c r="G26" s="54">
        <v>7000.05</v>
      </c>
      <c r="H26" s="54">
        <v>0</v>
      </c>
      <c r="I26" s="54">
        <v>0</v>
      </c>
      <c r="J26" s="54">
        <v>7000.05</v>
      </c>
      <c r="K26" s="54">
        <v>856.99</v>
      </c>
      <c r="L26" s="54">
        <v>0</v>
      </c>
      <c r="M26" s="54">
        <v>190.81</v>
      </c>
      <c r="N26" s="54">
        <v>0</v>
      </c>
      <c r="O26" s="54">
        <v>0</v>
      </c>
      <c r="P26" s="54">
        <v>0</v>
      </c>
      <c r="Q26" s="54">
        <v>0</v>
      </c>
      <c r="R26" s="54">
        <v>0</v>
      </c>
      <c r="S26" s="54"/>
      <c r="T26" s="63">
        <v>0.05</v>
      </c>
      <c r="U26" s="54">
        <v>1047.8499999999999</v>
      </c>
      <c r="V26" s="54">
        <v>5952.2</v>
      </c>
      <c r="W26" s="54">
        <v>46.4</v>
      </c>
      <c r="X26" s="54">
        <v>83.52</v>
      </c>
      <c r="Y26" s="54">
        <v>60.89</v>
      </c>
      <c r="Z26" s="54">
        <v>0</v>
      </c>
      <c r="AA26" s="54">
        <v>856.99</v>
      </c>
      <c r="AC26" s="54">
        <v>129.91999999999999</v>
      </c>
      <c r="AD26" s="58">
        <v>233.85</v>
      </c>
      <c r="AE26" s="58">
        <v>428.3</v>
      </c>
      <c r="AF26" s="58">
        <v>7000.05</v>
      </c>
      <c r="AG26" s="58">
        <v>333.2</v>
      </c>
      <c r="AH26" s="58">
        <v>140</v>
      </c>
      <c r="AI26" s="54">
        <v>59.14</v>
      </c>
      <c r="AJ26" s="54">
        <v>792.07</v>
      </c>
      <c r="AK26" s="54">
        <v>371.19</v>
      </c>
      <c r="AL26" s="54">
        <v>258.95999999999998</v>
      </c>
      <c r="AM26" s="54">
        <v>383.3123425692695</v>
      </c>
      <c r="AN26" s="55" t="s">
        <v>596</v>
      </c>
      <c r="AO26" s="55"/>
      <c r="AP26" s="55"/>
      <c r="AQ26" s="55"/>
    </row>
    <row r="27" spans="1:43" s="58" customFormat="1" x14ac:dyDescent="0.2">
      <c r="A27" s="54" t="s">
        <v>416</v>
      </c>
      <c r="B27" s="54" t="s">
        <v>417</v>
      </c>
      <c r="C27" s="54">
        <v>15</v>
      </c>
      <c r="D27" s="54">
        <v>0</v>
      </c>
      <c r="E27" s="54">
        <v>200</v>
      </c>
      <c r="F27" s="54">
        <v>212.11</v>
      </c>
      <c r="G27" s="54">
        <v>3000</v>
      </c>
      <c r="H27" s="54">
        <v>0</v>
      </c>
      <c r="I27" s="54">
        <v>0</v>
      </c>
      <c r="J27" s="54">
        <v>3000</v>
      </c>
      <c r="K27" s="54">
        <v>59.69</v>
      </c>
      <c r="L27" s="54">
        <v>0</v>
      </c>
      <c r="M27" s="54">
        <v>75.56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/>
      <c r="T27" s="54">
        <v>-0.05</v>
      </c>
      <c r="U27" s="54">
        <v>135.19999999999999</v>
      </c>
      <c r="V27" s="54">
        <v>2864.8</v>
      </c>
      <c r="W27" s="54">
        <v>19.89</v>
      </c>
      <c r="X27" s="54">
        <v>35.79</v>
      </c>
      <c r="Y27" s="54">
        <v>19.88</v>
      </c>
      <c r="Z27" s="63">
        <v>-145.38</v>
      </c>
      <c r="AA27" s="54">
        <v>205.07</v>
      </c>
      <c r="AC27" s="54">
        <v>55.68</v>
      </c>
      <c r="AD27" s="58">
        <v>100.22</v>
      </c>
      <c r="AE27" s="58">
        <v>314.22000000000003</v>
      </c>
      <c r="AF27" s="58">
        <v>3000</v>
      </c>
      <c r="AG27" s="58">
        <v>248.35</v>
      </c>
      <c r="AH27" s="58">
        <v>60</v>
      </c>
      <c r="AI27" s="54">
        <v>25.34</v>
      </c>
      <c r="AJ27" s="54">
        <v>470.12</v>
      </c>
      <c r="AK27" s="54">
        <v>159.08000000000001</v>
      </c>
      <c r="AL27" s="54">
        <v>216.54</v>
      </c>
      <c r="AM27" s="54">
        <v>164.27554484722373</v>
      </c>
      <c r="AN27" s="55" t="s">
        <v>596</v>
      </c>
      <c r="AO27" s="55"/>
      <c r="AP27" s="55"/>
      <c r="AQ27" s="55"/>
    </row>
    <row r="28" spans="1:43" s="58" customFormat="1" x14ac:dyDescent="0.2">
      <c r="A28" s="54" t="s">
        <v>418</v>
      </c>
      <c r="B28" s="54" t="s">
        <v>419</v>
      </c>
      <c r="C28" s="54">
        <v>15</v>
      </c>
      <c r="D28" s="54">
        <v>0</v>
      </c>
      <c r="E28" s="54">
        <v>266.67</v>
      </c>
      <c r="F28" s="54">
        <v>282.81</v>
      </c>
      <c r="G28" s="54">
        <v>4000.05</v>
      </c>
      <c r="H28" s="54">
        <v>0</v>
      </c>
      <c r="I28" s="54">
        <v>0</v>
      </c>
      <c r="J28" s="54">
        <v>4000.05</v>
      </c>
      <c r="K28" s="54">
        <v>313.87</v>
      </c>
      <c r="L28" s="54">
        <v>0</v>
      </c>
      <c r="M28" s="54">
        <v>102.51</v>
      </c>
      <c r="N28" s="54">
        <v>0</v>
      </c>
      <c r="O28" s="54">
        <v>0</v>
      </c>
      <c r="P28" s="54">
        <v>0</v>
      </c>
      <c r="Q28" s="54">
        <v>0</v>
      </c>
      <c r="R28" s="54">
        <v>0</v>
      </c>
      <c r="S28" s="54"/>
      <c r="T28" s="54">
        <v>7.0000000000000007E-2</v>
      </c>
      <c r="U28" s="54">
        <v>416.45</v>
      </c>
      <c r="V28" s="54">
        <v>3583.6</v>
      </c>
      <c r="W28" s="54">
        <v>26.51</v>
      </c>
      <c r="X28" s="54">
        <v>47.72</v>
      </c>
      <c r="Y28" s="54">
        <v>28.28</v>
      </c>
      <c r="Z28" s="54">
        <v>0</v>
      </c>
      <c r="AA28" s="54">
        <v>313.87</v>
      </c>
      <c r="AC28" s="54">
        <v>74.239999999999995</v>
      </c>
      <c r="AD28" s="58">
        <v>133.63</v>
      </c>
      <c r="AE28" s="58">
        <v>337.62</v>
      </c>
      <c r="AF28" s="58">
        <v>4000.05</v>
      </c>
      <c r="AG28" s="58">
        <v>269.56</v>
      </c>
      <c r="AH28" s="58">
        <v>80</v>
      </c>
      <c r="AI28" s="54">
        <v>33.79</v>
      </c>
      <c r="AJ28" s="54">
        <v>545.49</v>
      </c>
      <c r="AK28" s="54">
        <v>212.11</v>
      </c>
      <c r="AL28" s="54">
        <v>227.14</v>
      </c>
      <c r="AM28" s="54">
        <v>219.03679772204578</v>
      </c>
      <c r="AN28" s="55" t="s">
        <v>596</v>
      </c>
      <c r="AO28" s="55"/>
      <c r="AP28" s="55"/>
      <c r="AQ28" s="55"/>
    </row>
    <row r="29" spans="1:43" s="58" customFormat="1" x14ac:dyDescent="0.2">
      <c r="A29" s="54" t="s">
        <v>436</v>
      </c>
      <c r="B29" s="54" t="s">
        <v>437</v>
      </c>
      <c r="C29" s="54">
        <v>15</v>
      </c>
      <c r="D29" s="54">
        <v>0</v>
      </c>
      <c r="E29" s="54">
        <v>266.67</v>
      </c>
      <c r="F29" s="54">
        <v>282.81</v>
      </c>
      <c r="G29" s="54">
        <v>4000.05</v>
      </c>
      <c r="H29" s="54">
        <v>0</v>
      </c>
      <c r="I29" s="54">
        <v>0</v>
      </c>
      <c r="J29" s="54">
        <v>4000.05</v>
      </c>
      <c r="K29" s="54">
        <v>313.87</v>
      </c>
      <c r="L29" s="54">
        <v>0</v>
      </c>
      <c r="M29" s="54">
        <v>102.51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/>
      <c r="T29" s="54">
        <v>7.0000000000000007E-2</v>
      </c>
      <c r="U29" s="54">
        <v>416.45</v>
      </c>
      <c r="V29" s="54">
        <v>3583.6</v>
      </c>
      <c r="W29" s="54">
        <v>26.51</v>
      </c>
      <c r="X29" s="54">
        <v>47.72</v>
      </c>
      <c r="Y29" s="54">
        <v>28.28</v>
      </c>
      <c r="Z29" s="54">
        <v>0</v>
      </c>
      <c r="AA29" s="54">
        <v>313.87</v>
      </c>
      <c r="AC29" s="54">
        <v>74.239999999999995</v>
      </c>
      <c r="AD29" s="58">
        <v>133.63</v>
      </c>
      <c r="AE29" s="58">
        <v>337.62</v>
      </c>
      <c r="AF29" s="58">
        <v>4000.05</v>
      </c>
      <c r="AG29" s="58">
        <v>269.56</v>
      </c>
      <c r="AH29" s="58">
        <v>80</v>
      </c>
      <c r="AI29" s="54">
        <v>33.79</v>
      </c>
      <c r="AJ29" s="54">
        <v>545.49</v>
      </c>
      <c r="AK29" s="54">
        <v>212.11</v>
      </c>
      <c r="AL29" s="54">
        <v>227.14</v>
      </c>
      <c r="AM29" s="54">
        <v>219.03679772204578</v>
      </c>
      <c r="AN29" s="55" t="s">
        <v>596</v>
      </c>
      <c r="AO29" s="55"/>
      <c r="AP29" s="55"/>
      <c r="AQ29" s="55"/>
    </row>
    <row r="30" spans="1:43" s="58" customFormat="1" x14ac:dyDescent="0.2">
      <c r="A30" s="54" t="s">
        <v>446</v>
      </c>
      <c r="B30" s="54" t="s">
        <v>447</v>
      </c>
      <c r="C30" s="54">
        <v>15</v>
      </c>
      <c r="D30" s="54">
        <v>0</v>
      </c>
      <c r="E30" s="54">
        <v>266.67</v>
      </c>
      <c r="F30" s="54">
        <v>282.81</v>
      </c>
      <c r="G30" s="54">
        <v>4000</v>
      </c>
      <c r="H30" s="54">
        <v>0</v>
      </c>
      <c r="I30" s="54">
        <v>0</v>
      </c>
      <c r="J30" s="54">
        <v>4000</v>
      </c>
      <c r="K30" s="54">
        <v>313.87</v>
      </c>
      <c r="L30" s="54">
        <v>0</v>
      </c>
      <c r="M30" s="54">
        <v>102.51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/>
      <c r="T30" s="54">
        <v>0.02</v>
      </c>
      <c r="U30" s="54">
        <v>416.4</v>
      </c>
      <c r="V30" s="54">
        <v>3583.6</v>
      </c>
      <c r="W30" s="54">
        <v>26.51</v>
      </c>
      <c r="X30" s="54">
        <v>47.72</v>
      </c>
      <c r="Y30" s="54">
        <v>28.28</v>
      </c>
      <c r="Z30" s="54">
        <v>0</v>
      </c>
      <c r="AA30" s="54">
        <v>313.87</v>
      </c>
      <c r="AC30" s="54">
        <v>74.239999999999995</v>
      </c>
      <c r="AD30" s="58">
        <v>133.63</v>
      </c>
      <c r="AE30" s="58">
        <v>337.62</v>
      </c>
      <c r="AF30" s="58">
        <v>4000</v>
      </c>
      <c r="AG30" s="58">
        <v>269.56</v>
      </c>
      <c r="AH30" s="58">
        <v>80</v>
      </c>
      <c r="AI30" s="54">
        <v>33.79</v>
      </c>
      <c r="AJ30" s="54">
        <v>545.49</v>
      </c>
      <c r="AK30" s="54">
        <v>212.11</v>
      </c>
      <c r="AL30" s="54">
        <v>227.14</v>
      </c>
      <c r="AM30" s="54">
        <v>219.03679772204578</v>
      </c>
      <c r="AN30" s="55" t="s">
        <v>596</v>
      </c>
      <c r="AO30" s="55"/>
      <c r="AP30" s="55"/>
      <c r="AQ30" s="55"/>
    </row>
    <row r="31" spans="1:43" s="58" customFormat="1" x14ac:dyDescent="0.2">
      <c r="A31" s="54" t="s">
        <v>448</v>
      </c>
      <c r="B31" s="54" t="s">
        <v>449</v>
      </c>
      <c r="C31" s="54">
        <v>15</v>
      </c>
      <c r="D31" s="54">
        <v>0</v>
      </c>
      <c r="E31" s="54">
        <v>333.33</v>
      </c>
      <c r="F31" s="54">
        <v>353.52</v>
      </c>
      <c r="G31" s="54">
        <v>5000</v>
      </c>
      <c r="H31" s="54">
        <v>0</v>
      </c>
      <c r="I31" s="54">
        <v>0</v>
      </c>
      <c r="J31" s="54">
        <v>5000</v>
      </c>
      <c r="K31" s="54">
        <v>461.64</v>
      </c>
      <c r="L31" s="54">
        <v>0</v>
      </c>
      <c r="M31" s="54">
        <v>131.94999999999999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/>
      <c r="T31" s="54">
        <v>0.01</v>
      </c>
      <c r="U31" s="54">
        <v>593.6</v>
      </c>
      <c r="V31" s="54">
        <v>4406.3999999999996</v>
      </c>
      <c r="W31" s="54">
        <v>33.14</v>
      </c>
      <c r="X31" s="54">
        <v>59.66</v>
      </c>
      <c r="Y31" s="54">
        <v>39.15</v>
      </c>
      <c r="Z31" s="54">
        <v>0</v>
      </c>
      <c r="AA31" s="54">
        <v>461.64</v>
      </c>
      <c r="AC31" s="54">
        <v>92.8</v>
      </c>
      <c r="AD31" s="58">
        <v>167.04</v>
      </c>
      <c r="AE31" s="58">
        <v>367.85</v>
      </c>
      <c r="AF31" s="58">
        <v>5000</v>
      </c>
      <c r="AG31" s="58">
        <v>290.77</v>
      </c>
      <c r="AH31" s="58">
        <v>100</v>
      </c>
      <c r="AI31" s="54">
        <v>42.24</v>
      </c>
      <c r="AJ31" s="54">
        <v>627.69000000000005</v>
      </c>
      <c r="AK31" s="54">
        <v>265.14</v>
      </c>
      <c r="AL31" s="54">
        <v>237.75</v>
      </c>
      <c r="AM31" s="54">
        <v>273.78983681962541</v>
      </c>
      <c r="AN31" s="55" t="s">
        <v>596</v>
      </c>
      <c r="AO31" s="55"/>
      <c r="AP31" s="55"/>
      <c r="AQ31" s="55"/>
    </row>
    <row r="32" spans="1:43" s="58" customFormat="1" x14ac:dyDescent="0.2">
      <c r="A32" s="54" t="s">
        <v>450</v>
      </c>
      <c r="B32" s="54" t="s">
        <v>451</v>
      </c>
      <c r="C32" s="54">
        <v>15</v>
      </c>
      <c r="D32" s="54">
        <v>0</v>
      </c>
      <c r="E32" s="54">
        <v>266.67</v>
      </c>
      <c r="F32" s="54">
        <v>282.81</v>
      </c>
      <c r="G32" s="54">
        <v>4000</v>
      </c>
      <c r="H32" s="54">
        <v>0</v>
      </c>
      <c r="I32" s="54">
        <v>0</v>
      </c>
      <c r="J32" s="54">
        <v>4000</v>
      </c>
      <c r="K32" s="54">
        <v>313.87</v>
      </c>
      <c r="L32" s="54">
        <v>0</v>
      </c>
      <c r="M32" s="54">
        <v>102.51</v>
      </c>
      <c r="N32" s="54">
        <v>0</v>
      </c>
      <c r="O32" s="54">
        <v>0</v>
      </c>
      <c r="P32" s="54">
        <v>0</v>
      </c>
      <c r="Q32" s="54">
        <v>0</v>
      </c>
      <c r="R32" s="54">
        <v>345.25</v>
      </c>
      <c r="S32" s="54"/>
      <c r="T32" s="54">
        <v>-0.03</v>
      </c>
      <c r="U32" s="54">
        <v>761.6</v>
      </c>
      <c r="V32" s="54">
        <v>3238.4</v>
      </c>
      <c r="W32" s="54">
        <v>26.51</v>
      </c>
      <c r="X32" s="54">
        <v>47.72</v>
      </c>
      <c r="Y32" s="54">
        <v>28.28</v>
      </c>
      <c r="Z32" s="54">
        <v>0</v>
      </c>
      <c r="AA32" s="54">
        <v>313.87</v>
      </c>
      <c r="AC32" s="54">
        <v>74.239999999999995</v>
      </c>
      <c r="AD32" s="58">
        <v>133.63</v>
      </c>
      <c r="AE32" s="58">
        <v>337.62</v>
      </c>
      <c r="AF32" s="58">
        <v>4000</v>
      </c>
      <c r="AG32" s="58">
        <v>269.56</v>
      </c>
      <c r="AH32" s="58">
        <v>80</v>
      </c>
      <c r="AI32" s="54">
        <v>33.79</v>
      </c>
      <c r="AJ32" s="54">
        <v>545.49</v>
      </c>
      <c r="AK32" s="54">
        <v>212.11</v>
      </c>
      <c r="AL32" s="54">
        <v>227.14</v>
      </c>
      <c r="AM32" s="54">
        <v>219.03679772204578</v>
      </c>
      <c r="AN32" s="55" t="s">
        <v>596</v>
      </c>
      <c r="AO32" s="55"/>
      <c r="AP32" s="55"/>
      <c r="AQ32" s="55"/>
    </row>
    <row r="33" spans="1:43" s="58" customFormat="1" x14ac:dyDescent="0.2">
      <c r="A33" s="54" t="s">
        <v>452</v>
      </c>
      <c r="B33" s="54" t="s">
        <v>453</v>
      </c>
      <c r="C33" s="54">
        <v>15</v>
      </c>
      <c r="D33" s="54">
        <v>0</v>
      </c>
      <c r="E33" s="54">
        <v>318.33</v>
      </c>
      <c r="F33" s="54">
        <v>337.61</v>
      </c>
      <c r="G33" s="54">
        <v>4775</v>
      </c>
      <c r="H33" s="54">
        <v>0</v>
      </c>
      <c r="I33" s="54">
        <v>0</v>
      </c>
      <c r="J33" s="54">
        <v>4775</v>
      </c>
      <c r="K33" s="54">
        <v>424.67</v>
      </c>
      <c r="L33" s="54">
        <v>0</v>
      </c>
      <c r="M33" s="54">
        <v>125.32</v>
      </c>
      <c r="N33" s="54">
        <v>1528.5</v>
      </c>
      <c r="O33" s="54">
        <v>0</v>
      </c>
      <c r="P33" s="54">
        <v>15</v>
      </c>
      <c r="Q33" s="54">
        <v>0</v>
      </c>
      <c r="R33" s="54">
        <v>0</v>
      </c>
      <c r="S33" s="54"/>
      <c r="T33" s="63">
        <v>-0.09</v>
      </c>
      <c r="U33" s="54">
        <v>2093.4</v>
      </c>
      <c r="V33" s="54">
        <v>2681.6</v>
      </c>
      <c r="W33" s="54">
        <v>31.65</v>
      </c>
      <c r="X33" s="54">
        <v>56.97</v>
      </c>
      <c r="Y33" s="54">
        <v>36.700000000000003</v>
      </c>
      <c r="Z33" s="54">
        <v>0</v>
      </c>
      <c r="AA33" s="54">
        <v>424.67</v>
      </c>
      <c r="AC33" s="54">
        <v>88.62</v>
      </c>
      <c r="AD33" s="58">
        <v>159.52000000000001</v>
      </c>
      <c r="AE33" s="58">
        <v>361.04</v>
      </c>
      <c r="AF33" s="58">
        <v>4775</v>
      </c>
      <c r="AG33" s="58">
        <v>286</v>
      </c>
      <c r="AH33" s="58">
        <v>95.5</v>
      </c>
      <c r="AI33" s="54">
        <v>40.340000000000003</v>
      </c>
      <c r="AJ33" s="54">
        <v>609.17999999999995</v>
      </c>
      <c r="AK33" s="54">
        <v>253.21</v>
      </c>
      <c r="AL33" s="54">
        <v>235.36</v>
      </c>
      <c r="AM33" s="54">
        <v>261.46917095608364</v>
      </c>
      <c r="AN33" s="55" t="s">
        <v>596</v>
      </c>
      <c r="AO33" s="55"/>
      <c r="AP33" s="55"/>
      <c r="AQ33" s="55"/>
    </row>
    <row r="34" spans="1:43" s="58" customFormat="1" x14ac:dyDescent="0.2">
      <c r="A34" s="54" t="s">
        <v>454</v>
      </c>
      <c r="B34" s="54" t="s">
        <v>455</v>
      </c>
      <c r="C34" s="54">
        <v>15</v>
      </c>
      <c r="D34" s="54">
        <v>0</v>
      </c>
      <c r="E34" s="54">
        <v>250</v>
      </c>
      <c r="F34" s="54">
        <v>265.14</v>
      </c>
      <c r="G34" s="54">
        <v>3750</v>
      </c>
      <c r="H34" s="54">
        <v>0</v>
      </c>
      <c r="I34" s="54">
        <v>0</v>
      </c>
      <c r="J34" s="54">
        <v>3750</v>
      </c>
      <c r="K34" s="54">
        <v>286.67</v>
      </c>
      <c r="L34" s="54">
        <v>0</v>
      </c>
      <c r="M34" s="54">
        <v>95.15</v>
      </c>
      <c r="N34" s="54">
        <v>0</v>
      </c>
      <c r="O34" s="54">
        <v>1346.54</v>
      </c>
      <c r="P34" s="54">
        <v>15</v>
      </c>
      <c r="Q34" s="54">
        <v>0</v>
      </c>
      <c r="R34" s="54">
        <v>848.88</v>
      </c>
      <c r="S34" s="54"/>
      <c r="T34" s="54">
        <v>-0.04</v>
      </c>
      <c r="U34" s="54">
        <v>2592.1999999999998</v>
      </c>
      <c r="V34" s="54">
        <v>1157.8</v>
      </c>
      <c r="W34" s="54">
        <v>24.86</v>
      </c>
      <c r="X34" s="54">
        <v>44.74</v>
      </c>
      <c r="Y34" s="54">
        <v>25.55</v>
      </c>
      <c r="Z34" s="54">
        <v>0</v>
      </c>
      <c r="AA34" s="54">
        <v>286.67</v>
      </c>
      <c r="AC34" s="54">
        <v>69.599999999999994</v>
      </c>
      <c r="AD34" s="58">
        <v>125.28</v>
      </c>
      <c r="AE34" s="58">
        <v>330.07</v>
      </c>
      <c r="AF34" s="58">
        <v>3750</v>
      </c>
      <c r="AG34" s="58">
        <v>264.26</v>
      </c>
      <c r="AH34" s="58">
        <v>75</v>
      </c>
      <c r="AI34" s="54">
        <v>31.68</v>
      </c>
      <c r="AJ34" s="54">
        <v>524.95000000000005</v>
      </c>
      <c r="AK34" s="54">
        <v>198.85</v>
      </c>
      <c r="AL34" s="54">
        <v>224.49</v>
      </c>
      <c r="AM34" s="54">
        <v>205.34443105902966</v>
      </c>
      <c r="AN34" s="55" t="s">
        <v>596</v>
      </c>
      <c r="AO34" s="55"/>
      <c r="AP34" s="55"/>
      <c r="AQ34" s="55"/>
    </row>
    <row r="35" spans="1:43" s="58" customFormat="1" x14ac:dyDescent="0.2">
      <c r="A35" s="54" t="s">
        <v>456</v>
      </c>
      <c r="B35" s="54" t="s">
        <v>457</v>
      </c>
      <c r="C35" s="54">
        <v>15</v>
      </c>
      <c r="D35" s="54">
        <v>0</v>
      </c>
      <c r="E35" s="54">
        <v>283.33</v>
      </c>
      <c r="F35" s="54">
        <v>300.49</v>
      </c>
      <c r="G35" s="54">
        <v>4250</v>
      </c>
      <c r="H35" s="54">
        <v>0</v>
      </c>
      <c r="I35" s="54">
        <v>0</v>
      </c>
      <c r="J35" s="54">
        <v>4250</v>
      </c>
      <c r="K35" s="54">
        <v>341.07</v>
      </c>
      <c r="L35" s="54">
        <v>0</v>
      </c>
      <c r="M35" s="54">
        <v>109.87</v>
      </c>
      <c r="N35" s="54">
        <v>0</v>
      </c>
      <c r="O35" s="54">
        <v>0</v>
      </c>
      <c r="P35" s="54">
        <v>0</v>
      </c>
      <c r="Q35" s="54">
        <v>0</v>
      </c>
      <c r="R35" s="54">
        <v>0</v>
      </c>
      <c r="S35" s="54"/>
      <c r="T35" s="63">
        <v>0.06</v>
      </c>
      <c r="U35" s="54">
        <v>451</v>
      </c>
      <c r="V35" s="54">
        <v>3799</v>
      </c>
      <c r="W35" s="54">
        <v>28.17</v>
      </c>
      <c r="X35" s="54">
        <v>50.71</v>
      </c>
      <c r="Y35" s="54">
        <v>30.99</v>
      </c>
      <c r="Z35" s="54">
        <v>0</v>
      </c>
      <c r="AA35" s="54">
        <v>341.07</v>
      </c>
      <c r="AC35" s="54">
        <v>78.88</v>
      </c>
      <c r="AD35" s="58">
        <v>141.97999999999999</v>
      </c>
      <c r="AE35" s="58">
        <v>345.18</v>
      </c>
      <c r="AF35" s="58">
        <v>4250</v>
      </c>
      <c r="AG35" s="58">
        <v>274.87</v>
      </c>
      <c r="AH35" s="58">
        <v>85</v>
      </c>
      <c r="AI35" s="54">
        <v>35.9</v>
      </c>
      <c r="AJ35" s="54">
        <v>566.04</v>
      </c>
      <c r="AK35" s="54">
        <v>225.37</v>
      </c>
      <c r="AL35" s="54">
        <v>229.79</v>
      </c>
      <c r="AM35" s="54">
        <v>232.72095060781947</v>
      </c>
      <c r="AN35" s="55" t="s">
        <v>596</v>
      </c>
      <c r="AO35" s="55"/>
      <c r="AP35" s="55"/>
      <c r="AQ35" s="55"/>
    </row>
    <row r="36" spans="1:43" s="58" customFormat="1" x14ac:dyDescent="0.2">
      <c r="A36" s="54" t="s">
        <v>531</v>
      </c>
      <c r="B36" s="54" t="s">
        <v>532</v>
      </c>
      <c r="C36" s="54">
        <v>15</v>
      </c>
      <c r="D36" s="54">
        <v>0</v>
      </c>
      <c r="E36" s="54">
        <v>266.67</v>
      </c>
      <c r="F36" s="54">
        <v>278.72000000000003</v>
      </c>
      <c r="G36" s="54">
        <v>4000.05</v>
      </c>
      <c r="H36" s="54">
        <v>0</v>
      </c>
      <c r="I36" s="54">
        <v>0</v>
      </c>
      <c r="J36" s="54">
        <v>4000.05</v>
      </c>
      <c r="K36" s="54">
        <v>313.87</v>
      </c>
      <c r="L36" s="54">
        <v>0</v>
      </c>
      <c r="M36" s="54">
        <v>100.81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/>
      <c r="T36" s="54">
        <v>-0.03</v>
      </c>
      <c r="U36" s="54">
        <v>414.65</v>
      </c>
      <c r="V36" s="54">
        <v>3585.4</v>
      </c>
      <c r="W36" s="54">
        <v>26.13</v>
      </c>
      <c r="X36" s="54">
        <v>47.03</v>
      </c>
      <c r="Y36" s="54">
        <v>27.65</v>
      </c>
      <c r="Z36" s="54">
        <v>0</v>
      </c>
      <c r="AA36" s="54">
        <v>313.87</v>
      </c>
      <c r="AC36" s="54">
        <v>73.17</v>
      </c>
      <c r="AD36" s="58">
        <v>131.69999999999999</v>
      </c>
      <c r="AE36" s="58">
        <v>335.88</v>
      </c>
      <c r="AF36" s="58">
        <v>4000.05</v>
      </c>
      <c r="AG36" s="58">
        <v>268.34000000000003</v>
      </c>
      <c r="AH36" s="58">
        <v>80</v>
      </c>
      <c r="AI36" s="54">
        <v>33.299999999999997</v>
      </c>
      <c r="AJ36" s="54">
        <v>540.75</v>
      </c>
      <c r="AK36" s="54">
        <v>209.04</v>
      </c>
      <c r="AL36" s="54">
        <v>226.53</v>
      </c>
      <c r="AM36" s="54">
        <v>219.03679772204578</v>
      </c>
      <c r="AN36" s="55" t="s">
        <v>596</v>
      </c>
      <c r="AO36" s="55"/>
      <c r="AP36" s="55"/>
      <c r="AQ36" s="55"/>
    </row>
    <row r="37" spans="1:43" s="58" customFormat="1" x14ac:dyDescent="0.2">
      <c r="A37" s="54" t="s">
        <v>460</v>
      </c>
      <c r="B37" s="54" t="s">
        <v>461</v>
      </c>
      <c r="C37" s="54">
        <v>15</v>
      </c>
      <c r="D37" s="54">
        <v>0</v>
      </c>
      <c r="E37" s="54">
        <v>283.33</v>
      </c>
      <c r="F37" s="54">
        <v>300.49</v>
      </c>
      <c r="G37" s="54">
        <v>4250</v>
      </c>
      <c r="H37" s="54">
        <v>0</v>
      </c>
      <c r="I37" s="54">
        <v>0</v>
      </c>
      <c r="J37" s="54">
        <v>4250</v>
      </c>
      <c r="K37" s="54">
        <v>341.07</v>
      </c>
      <c r="L37" s="54">
        <v>0</v>
      </c>
      <c r="M37" s="54">
        <v>109.87</v>
      </c>
      <c r="N37" s="54">
        <v>0</v>
      </c>
      <c r="O37" s="54">
        <v>592.54</v>
      </c>
      <c r="P37" s="54">
        <v>15</v>
      </c>
      <c r="Q37" s="54">
        <v>0</v>
      </c>
      <c r="R37" s="54">
        <v>322.5</v>
      </c>
      <c r="S37" s="54"/>
      <c r="T37" s="63">
        <v>0.02</v>
      </c>
      <c r="U37" s="54">
        <v>1381</v>
      </c>
      <c r="V37" s="54">
        <v>2869</v>
      </c>
      <c r="W37" s="54">
        <v>28.17</v>
      </c>
      <c r="X37" s="54">
        <v>50.71</v>
      </c>
      <c r="Y37" s="54">
        <v>30.99</v>
      </c>
      <c r="Z37" s="54">
        <v>0</v>
      </c>
      <c r="AA37" s="54">
        <v>341.07</v>
      </c>
      <c r="AC37" s="54">
        <v>78.88</v>
      </c>
      <c r="AD37" s="58">
        <v>141.97999999999999</v>
      </c>
      <c r="AE37" s="58">
        <v>345.18</v>
      </c>
      <c r="AF37" s="58">
        <v>4250</v>
      </c>
      <c r="AG37" s="58">
        <v>274.87</v>
      </c>
      <c r="AH37" s="58">
        <v>85</v>
      </c>
      <c r="AI37" s="54">
        <v>35.9</v>
      </c>
      <c r="AJ37" s="54">
        <v>566.04</v>
      </c>
      <c r="AK37" s="54">
        <v>225.37</v>
      </c>
      <c r="AL37" s="54">
        <v>229.79</v>
      </c>
      <c r="AM37" s="54">
        <v>232.72095060781947</v>
      </c>
      <c r="AN37" s="55" t="s">
        <v>596</v>
      </c>
      <c r="AO37" s="55"/>
      <c r="AP37" s="55"/>
      <c r="AQ37" s="55"/>
    </row>
    <row r="38" spans="1:43" s="58" customFormat="1" x14ac:dyDescent="0.2">
      <c r="A38" s="54" t="s">
        <v>464</v>
      </c>
      <c r="B38" s="54" t="s">
        <v>465</v>
      </c>
      <c r="C38" s="54">
        <v>15</v>
      </c>
      <c r="D38" s="54">
        <v>0</v>
      </c>
      <c r="E38" s="54">
        <v>266.67</v>
      </c>
      <c r="F38" s="54">
        <v>282.81</v>
      </c>
      <c r="G38" s="54">
        <v>4000.05</v>
      </c>
      <c r="H38" s="54">
        <v>0</v>
      </c>
      <c r="I38" s="54">
        <v>0</v>
      </c>
      <c r="J38" s="54">
        <v>4000.05</v>
      </c>
      <c r="K38" s="54">
        <v>313.87</v>
      </c>
      <c r="L38" s="54">
        <v>0</v>
      </c>
      <c r="M38" s="54">
        <v>102.51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/>
      <c r="T38" s="63">
        <v>7.0000000000000007E-2</v>
      </c>
      <c r="U38" s="54">
        <v>416.45</v>
      </c>
      <c r="V38" s="54">
        <v>3583.6</v>
      </c>
      <c r="W38" s="54">
        <v>26.51</v>
      </c>
      <c r="X38" s="54">
        <v>47.72</v>
      </c>
      <c r="Y38" s="54">
        <v>28.28</v>
      </c>
      <c r="Z38" s="54">
        <v>0</v>
      </c>
      <c r="AA38" s="54">
        <v>313.87</v>
      </c>
      <c r="AC38" s="54">
        <v>74.239999999999995</v>
      </c>
      <c r="AD38" s="58">
        <v>133.63</v>
      </c>
      <c r="AE38" s="58">
        <v>337.62</v>
      </c>
      <c r="AF38" s="58">
        <v>4000.05</v>
      </c>
      <c r="AG38" s="58">
        <v>269.56</v>
      </c>
      <c r="AH38" s="58">
        <v>80</v>
      </c>
      <c r="AI38" s="54">
        <v>33.79</v>
      </c>
      <c r="AJ38" s="54">
        <v>545.49</v>
      </c>
      <c r="AK38" s="54">
        <v>212.11</v>
      </c>
      <c r="AL38" s="54">
        <v>227.14</v>
      </c>
      <c r="AM38" s="54">
        <v>219.03679772204578</v>
      </c>
      <c r="AN38" s="55" t="s">
        <v>596</v>
      </c>
      <c r="AO38" s="55"/>
      <c r="AP38" s="55"/>
      <c r="AQ38" s="55"/>
    </row>
    <row r="39" spans="1:43" s="58" customFormat="1" x14ac:dyDescent="0.2">
      <c r="A39" s="54" t="s">
        <v>468</v>
      </c>
      <c r="B39" s="54" t="s">
        <v>469</v>
      </c>
      <c r="C39" s="54">
        <v>15</v>
      </c>
      <c r="D39" s="54">
        <v>0</v>
      </c>
      <c r="E39" s="54">
        <v>266.67</v>
      </c>
      <c r="F39" s="54">
        <v>282.81</v>
      </c>
      <c r="G39" s="54">
        <v>4000.05</v>
      </c>
      <c r="H39" s="54">
        <v>0</v>
      </c>
      <c r="I39" s="54">
        <v>0</v>
      </c>
      <c r="J39" s="54">
        <v>4000.05</v>
      </c>
      <c r="K39" s="54">
        <v>313.87</v>
      </c>
      <c r="L39" s="54">
        <v>0</v>
      </c>
      <c r="M39" s="54">
        <v>102.51</v>
      </c>
      <c r="N39" s="54">
        <v>1848.35</v>
      </c>
      <c r="O39" s="54">
        <v>0</v>
      </c>
      <c r="P39" s="54">
        <v>15</v>
      </c>
      <c r="Q39" s="54">
        <v>0</v>
      </c>
      <c r="R39" s="54">
        <v>400</v>
      </c>
      <c r="S39" s="54"/>
      <c r="T39" s="54">
        <v>-0.08</v>
      </c>
      <c r="U39" s="54">
        <v>2679.65</v>
      </c>
      <c r="V39" s="54">
        <v>1320.4</v>
      </c>
      <c r="W39" s="54">
        <v>26.51</v>
      </c>
      <c r="X39" s="54">
        <v>47.72</v>
      </c>
      <c r="Y39" s="54">
        <v>28.28</v>
      </c>
      <c r="Z39" s="54">
        <v>0</v>
      </c>
      <c r="AA39" s="54">
        <v>313.87</v>
      </c>
      <c r="AC39" s="54">
        <v>74.239999999999995</v>
      </c>
      <c r="AD39" s="58">
        <v>133.63</v>
      </c>
      <c r="AE39" s="58">
        <v>337.62</v>
      </c>
      <c r="AF39" s="58">
        <v>4000.05</v>
      </c>
      <c r="AG39" s="58">
        <v>269.56</v>
      </c>
      <c r="AH39" s="58">
        <v>80</v>
      </c>
      <c r="AI39" s="54">
        <v>33.79</v>
      </c>
      <c r="AJ39" s="54">
        <v>545.49</v>
      </c>
      <c r="AK39" s="54">
        <v>212.11</v>
      </c>
      <c r="AL39" s="54">
        <v>227.14</v>
      </c>
      <c r="AM39" s="54">
        <v>219.03679772204578</v>
      </c>
      <c r="AN39" s="55" t="s">
        <v>596</v>
      </c>
      <c r="AO39" s="55"/>
      <c r="AP39" s="55"/>
      <c r="AQ39" s="55"/>
    </row>
    <row r="40" spans="1:43" s="58" customFormat="1" x14ac:dyDescent="0.2">
      <c r="A40" s="54" t="s">
        <v>473</v>
      </c>
      <c r="B40" s="54" t="s">
        <v>474</v>
      </c>
      <c r="C40" s="54">
        <v>15</v>
      </c>
      <c r="D40" s="54">
        <v>0</v>
      </c>
      <c r="E40" s="54">
        <v>466.67</v>
      </c>
      <c r="F40" s="54">
        <v>494.92</v>
      </c>
      <c r="G40" s="54">
        <v>7000.05</v>
      </c>
      <c r="H40" s="54">
        <v>0</v>
      </c>
      <c r="I40" s="54">
        <v>0</v>
      </c>
      <c r="J40" s="54">
        <v>7000.05</v>
      </c>
      <c r="K40" s="54">
        <v>856.99</v>
      </c>
      <c r="L40" s="54">
        <v>0</v>
      </c>
      <c r="M40" s="54">
        <v>190.81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/>
      <c r="T40" s="54">
        <v>0.05</v>
      </c>
      <c r="U40" s="54">
        <v>1047.8499999999999</v>
      </c>
      <c r="V40" s="54">
        <v>5952.2</v>
      </c>
      <c r="W40" s="54">
        <v>46.4</v>
      </c>
      <c r="X40" s="54">
        <v>83.52</v>
      </c>
      <c r="Y40" s="54">
        <v>60.89</v>
      </c>
      <c r="Z40" s="54">
        <v>0</v>
      </c>
      <c r="AA40" s="54">
        <v>856.99</v>
      </c>
      <c r="AC40" s="54">
        <v>129.91999999999999</v>
      </c>
      <c r="AD40" s="58">
        <v>233.85</v>
      </c>
      <c r="AE40" s="58">
        <v>428.3</v>
      </c>
      <c r="AF40" s="58">
        <v>7000.05</v>
      </c>
      <c r="AG40" s="58">
        <v>333.2</v>
      </c>
      <c r="AH40" s="58">
        <v>140</v>
      </c>
      <c r="AI40" s="54">
        <v>59.14</v>
      </c>
      <c r="AJ40" s="54">
        <v>792.07</v>
      </c>
      <c r="AK40" s="54">
        <v>371.19</v>
      </c>
      <c r="AL40" s="54">
        <v>258.95999999999998</v>
      </c>
      <c r="AM40" s="54">
        <v>383.3123425692695</v>
      </c>
      <c r="AN40" s="55" t="s">
        <v>596</v>
      </c>
      <c r="AO40" s="55"/>
      <c r="AP40" s="55"/>
      <c r="AQ40" s="55"/>
    </row>
    <row r="41" spans="1:43" s="58" customFormat="1" x14ac:dyDescent="0.2">
      <c r="A41" s="54" t="s">
        <v>475</v>
      </c>
      <c r="B41" s="54" t="s">
        <v>551</v>
      </c>
      <c r="C41" s="54">
        <v>15</v>
      </c>
      <c r="D41" s="54">
        <v>0</v>
      </c>
      <c r="E41" s="54">
        <v>266.67</v>
      </c>
      <c r="F41" s="54">
        <v>282.81</v>
      </c>
      <c r="G41" s="54">
        <v>4000.05</v>
      </c>
      <c r="H41" s="54">
        <v>0</v>
      </c>
      <c r="I41" s="54">
        <v>0</v>
      </c>
      <c r="J41" s="54">
        <v>4000.05</v>
      </c>
      <c r="K41" s="54">
        <v>313.87</v>
      </c>
      <c r="L41" s="54">
        <v>0</v>
      </c>
      <c r="M41" s="54">
        <v>102.51</v>
      </c>
      <c r="N41" s="54">
        <v>0</v>
      </c>
      <c r="O41" s="54">
        <v>0</v>
      </c>
      <c r="P41" s="54">
        <v>0</v>
      </c>
      <c r="Q41" s="54">
        <v>0</v>
      </c>
      <c r="R41" s="54">
        <v>688.8</v>
      </c>
      <c r="S41" s="54"/>
      <c r="T41" s="63">
        <v>-0.13</v>
      </c>
      <c r="U41" s="54">
        <v>1105.05</v>
      </c>
      <c r="V41" s="54">
        <v>2895</v>
      </c>
      <c r="W41" s="54">
        <v>26.51</v>
      </c>
      <c r="X41" s="54">
        <v>47.72</v>
      </c>
      <c r="Y41" s="54">
        <v>28.28</v>
      </c>
      <c r="Z41" s="54">
        <v>0</v>
      </c>
      <c r="AA41" s="54">
        <v>313.87</v>
      </c>
      <c r="AC41" s="54">
        <v>74.239999999999995</v>
      </c>
      <c r="AD41" s="58">
        <v>133.63</v>
      </c>
      <c r="AE41" s="58">
        <v>337.62</v>
      </c>
      <c r="AF41" s="58">
        <v>4000.05</v>
      </c>
      <c r="AG41" s="58">
        <v>269.56</v>
      </c>
      <c r="AH41" s="58">
        <v>80</v>
      </c>
      <c r="AI41" s="54">
        <v>33.79</v>
      </c>
      <c r="AJ41" s="54">
        <v>545.49</v>
      </c>
      <c r="AK41" s="54">
        <v>212.11</v>
      </c>
      <c r="AL41" s="54">
        <v>227.14</v>
      </c>
      <c r="AM41" s="54">
        <v>219.03679772204578</v>
      </c>
      <c r="AN41" s="55" t="s">
        <v>596</v>
      </c>
      <c r="AO41" s="55"/>
      <c r="AP41" s="55"/>
      <c r="AQ41" s="55"/>
    </row>
    <row r="42" spans="1:43" s="58" customFormat="1" x14ac:dyDescent="0.2">
      <c r="A42" s="54" t="s">
        <v>478</v>
      </c>
      <c r="B42" s="54" t="s">
        <v>479</v>
      </c>
      <c r="C42" s="54">
        <v>15</v>
      </c>
      <c r="D42" s="54">
        <v>0</v>
      </c>
      <c r="E42" s="54">
        <v>266.67</v>
      </c>
      <c r="F42" s="54">
        <v>282.81</v>
      </c>
      <c r="G42" s="54">
        <v>4000.05</v>
      </c>
      <c r="H42" s="54">
        <v>0</v>
      </c>
      <c r="I42" s="54">
        <v>0</v>
      </c>
      <c r="J42" s="54">
        <v>4000.05</v>
      </c>
      <c r="K42" s="54">
        <v>313.87</v>
      </c>
      <c r="L42" s="54">
        <v>0</v>
      </c>
      <c r="M42" s="54">
        <v>102.51</v>
      </c>
      <c r="N42" s="54">
        <v>0</v>
      </c>
      <c r="O42" s="54">
        <v>0</v>
      </c>
      <c r="P42" s="54">
        <v>0</v>
      </c>
      <c r="Q42" s="54">
        <v>0</v>
      </c>
      <c r="R42" s="54">
        <v>0</v>
      </c>
      <c r="S42" s="54"/>
      <c r="T42" s="54">
        <v>7.0000000000000007E-2</v>
      </c>
      <c r="U42" s="54">
        <v>416.45</v>
      </c>
      <c r="V42" s="54">
        <v>3583.6</v>
      </c>
      <c r="W42" s="54">
        <v>26.51</v>
      </c>
      <c r="X42" s="54">
        <v>47.72</v>
      </c>
      <c r="Y42" s="54">
        <v>28.28</v>
      </c>
      <c r="Z42" s="54">
        <v>0</v>
      </c>
      <c r="AA42" s="54">
        <v>313.87</v>
      </c>
      <c r="AC42" s="54">
        <v>74.239999999999995</v>
      </c>
      <c r="AD42" s="58">
        <v>133.63</v>
      </c>
      <c r="AE42" s="58">
        <v>337.62</v>
      </c>
      <c r="AF42" s="58">
        <v>4000.05</v>
      </c>
      <c r="AG42" s="58">
        <v>269.56</v>
      </c>
      <c r="AH42" s="58">
        <v>80</v>
      </c>
      <c r="AI42" s="54">
        <v>33.79</v>
      </c>
      <c r="AJ42" s="54">
        <v>545.49</v>
      </c>
      <c r="AK42" s="54">
        <v>212.11</v>
      </c>
      <c r="AL42" s="54">
        <v>227.14</v>
      </c>
      <c r="AM42" s="54">
        <v>219.03679772204578</v>
      </c>
      <c r="AN42" s="55" t="s">
        <v>596</v>
      </c>
      <c r="AO42" s="55"/>
      <c r="AP42" s="55"/>
      <c r="AQ42" s="55"/>
    </row>
    <row r="43" spans="1:43" s="58" customFormat="1" x14ac:dyDescent="0.2">
      <c r="A43" s="54" t="s">
        <v>480</v>
      </c>
      <c r="B43" s="54" t="s">
        <v>481</v>
      </c>
      <c r="C43" s="54">
        <v>15</v>
      </c>
      <c r="D43" s="54">
        <v>0</v>
      </c>
      <c r="E43" s="54">
        <v>200</v>
      </c>
      <c r="F43" s="54">
        <v>212.11</v>
      </c>
      <c r="G43" s="54">
        <v>3000</v>
      </c>
      <c r="H43" s="54">
        <v>0</v>
      </c>
      <c r="I43" s="54">
        <v>0</v>
      </c>
      <c r="J43" s="54">
        <v>3000</v>
      </c>
      <c r="K43" s="54">
        <v>59.69</v>
      </c>
      <c r="L43" s="54">
        <v>0</v>
      </c>
      <c r="M43" s="54">
        <v>75.56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/>
      <c r="T43" s="54">
        <v>-0.05</v>
      </c>
      <c r="U43" s="54">
        <v>135.19999999999999</v>
      </c>
      <c r="V43" s="54">
        <v>2864.8</v>
      </c>
      <c r="W43" s="54">
        <v>19.89</v>
      </c>
      <c r="X43" s="54">
        <v>35.79</v>
      </c>
      <c r="Y43" s="54">
        <v>19.88</v>
      </c>
      <c r="Z43" s="54">
        <v>-145.38</v>
      </c>
      <c r="AA43" s="54">
        <v>205.07</v>
      </c>
      <c r="AC43" s="54">
        <v>55.68</v>
      </c>
      <c r="AD43" s="58">
        <v>100.22</v>
      </c>
      <c r="AE43" s="58">
        <v>314.22000000000003</v>
      </c>
      <c r="AF43" s="58">
        <v>3000</v>
      </c>
      <c r="AG43" s="58">
        <v>248.35</v>
      </c>
      <c r="AH43" s="58">
        <v>60</v>
      </c>
      <c r="AI43" s="54">
        <v>25.34</v>
      </c>
      <c r="AJ43" s="54">
        <v>470.12</v>
      </c>
      <c r="AK43" s="54">
        <v>159.08000000000001</v>
      </c>
      <c r="AL43" s="54">
        <v>216.54</v>
      </c>
      <c r="AM43" s="54">
        <v>164.27554484722373</v>
      </c>
      <c r="AN43" s="55" t="s">
        <v>596</v>
      </c>
      <c r="AO43" s="55"/>
      <c r="AP43" s="55"/>
      <c r="AQ43" s="55"/>
    </row>
    <row r="44" spans="1:43" s="58" customFormat="1" x14ac:dyDescent="0.2">
      <c r="A44" s="54" t="s">
        <v>482</v>
      </c>
      <c r="B44" s="54" t="s">
        <v>483</v>
      </c>
      <c r="C44" s="54">
        <v>15</v>
      </c>
      <c r="D44" s="54">
        <v>0</v>
      </c>
      <c r="E44" s="54">
        <v>266.67</v>
      </c>
      <c r="F44" s="54">
        <v>282.81</v>
      </c>
      <c r="G44" s="54">
        <v>4000.05</v>
      </c>
      <c r="H44" s="54">
        <v>0</v>
      </c>
      <c r="I44" s="54">
        <v>0</v>
      </c>
      <c r="J44" s="54">
        <v>4000.05</v>
      </c>
      <c r="K44" s="54">
        <v>313.87</v>
      </c>
      <c r="L44" s="54">
        <v>0</v>
      </c>
      <c r="M44" s="54">
        <v>102.51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4"/>
      <c r="T44" s="63">
        <v>-0.13</v>
      </c>
      <c r="U44" s="54">
        <v>416.25</v>
      </c>
      <c r="V44" s="54">
        <v>3583.8</v>
      </c>
      <c r="W44" s="54">
        <v>26.51</v>
      </c>
      <c r="X44" s="54">
        <v>47.72</v>
      </c>
      <c r="Y44" s="54">
        <v>28.28</v>
      </c>
      <c r="Z44" s="63">
        <v>0</v>
      </c>
      <c r="AA44" s="54">
        <v>313.87</v>
      </c>
      <c r="AC44" s="54">
        <v>74.239999999999995</v>
      </c>
      <c r="AD44" s="58">
        <v>133.63</v>
      </c>
      <c r="AE44" s="58">
        <v>337.62</v>
      </c>
      <c r="AF44" s="58">
        <v>4000.05</v>
      </c>
      <c r="AG44" s="58">
        <v>269.56</v>
      </c>
      <c r="AH44" s="58">
        <v>80</v>
      </c>
      <c r="AI44" s="54">
        <v>33.79</v>
      </c>
      <c r="AJ44" s="54">
        <v>545.49</v>
      </c>
      <c r="AK44" s="54">
        <v>212.11</v>
      </c>
      <c r="AL44" s="54">
        <v>227.14</v>
      </c>
      <c r="AM44" s="54">
        <v>219.03679772204578</v>
      </c>
      <c r="AN44" s="55" t="s">
        <v>596</v>
      </c>
      <c r="AO44" s="55"/>
      <c r="AP44" s="55"/>
      <c r="AQ44" s="55"/>
    </row>
    <row r="45" spans="1:43" s="58" customFormat="1" x14ac:dyDescent="0.2">
      <c r="A45" s="54" t="s">
        <v>484</v>
      </c>
      <c r="B45" s="54" t="s">
        <v>485</v>
      </c>
      <c r="C45" s="54">
        <v>15</v>
      </c>
      <c r="D45" s="54">
        <v>0</v>
      </c>
      <c r="E45" s="54">
        <v>266.67</v>
      </c>
      <c r="F45" s="54">
        <v>278.72000000000003</v>
      </c>
      <c r="G45" s="54">
        <v>4000.05</v>
      </c>
      <c r="H45" s="54">
        <v>0</v>
      </c>
      <c r="I45" s="54">
        <v>0</v>
      </c>
      <c r="J45" s="54">
        <v>4000.05</v>
      </c>
      <c r="K45" s="54">
        <v>313.87</v>
      </c>
      <c r="L45" s="54">
        <v>0</v>
      </c>
      <c r="M45" s="54">
        <v>100.81</v>
      </c>
      <c r="N45" s="54">
        <v>0</v>
      </c>
      <c r="O45" s="54">
        <v>0</v>
      </c>
      <c r="P45" s="54">
        <v>0</v>
      </c>
      <c r="Q45" s="54">
        <v>0</v>
      </c>
      <c r="R45" s="54">
        <v>0</v>
      </c>
      <c r="S45" s="54"/>
      <c r="T45" s="54">
        <v>-0.03</v>
      </c>
      <c r="U45" s="54">
        <v>414.65</v>
      </c>
      <c r="V45" s="54">
        <v>3585.4</v>
      </c>
      <c r="W45" s="54">
        <v>26.13</v>
      </c>
      <c r="X45" s="54">
        <v>47.03</v>
      </c>
      <c r="Y45" s="54">
        <v>27.65</v>
      </c>
      <c r="Z45" s="54">
        <v>0</v>
      </c>
      <c r="AA45" s="54">
        <v>313.87</v>
      </c>
      <c r="AC45" s="54">
        <v>73.17</v>
      </c>
      <c r="AD45" s="58">
        <v>131.69999999999999</v>
      </c>
      <c r="AE45" s="58">
        <v>335.88</v>
      </c>
      <c r="AF45" s="58">
        <v>4000.05</v>
      </c>
      <c r="AG45" s="58">
        <v>268.34000000000003</v>
      </c>
      <c r="AH45" s="58">
        <v>80</v>
      </c>
      <c r="AI45" s="54">
        <v>33.299999999999997</v>
      </c>
      <c r="AJ45" s="54">
        <v>540.75</v>
      </c>
      <c r="AK45" s="54">
        <v>209.04</v>
      </c>
      <c r="AL45" s="54">
        <v>226.53</v>
      </c>
      <c r="AM45" s="54">
        <v>219.03679772204578</v>
      </c>
      <c r="AN45" s="55" t="s">
        <v>596</v>
      </c>
      <c r="AO45" s="55"/>
      <c r="AP45" s="55"/>
      <c r="AQ45" s="55"/>
    </row>
    <row r="46" spans="1:43" s="58" customFormat="1" x14ac:dyDescent="0.2">
      <c r="A46" s="54" t="s">
        <v>486</v>
      </c>
      <c r="B46" s="54" t="s">
        <v>487</v>
      </c>
      <c r="C46" s="54">
        <v>15</v>
      </c>
      <c r="D46" s="54">
        <v>0</v>
      </c>
      <c r="E46" s="54">
        <v>266.67</v>
      </c>
      <c r="F46" s="54">
        <v>278.72000000000003</v>
      </c>
      <c r="G46" s="54">
        <v>4000.05</v>
      </c>
      <c r="H46" s="54">
        <v>0</v>
      </c>
      <c r="I46" s="54">
        <v>0</v>
      </c>
      <c r="J46" s="54">
        <v>4000.05</v>
      </c>
      <c r="K46" s="54">
        <v>313.87</v>
      </c>
      <c r="L46" s="54">
        <v>0</v>
      </c>
      <c r="M46" s="54">
        <v>100.81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4"/>
      <c r="T46" s="63">
        <v>-0.03</v>
      </c>
      <c r="U46" s="54">
        <v>414.65</v>
      </c>
      <c r="V46" s="54">
        <v>3585.4</v>
      </c>
      <c r="W46" s="54">
        <v>26.13</v>
      </c>
      <c r="X46" s="54">
        <v>47.03</v>
      </c>
      <c r="Y46" s="54">
        <v>27.65</v>
      </c>
      <c r="Z46" s="54">
        <v>0</v>
      </c>
      <c r="AA46" s="54">
        <v>313.87</v>
      </c>
      <c r="AC46" s="54">
        <v>73.17</v>
      </c>
      <c r="AD46" s="58">
        <v>131.69999999999999</v>
      </c>
      <c r="AE46" s="58">
        <v>335.88</v>
      </c>
      <c r="AF46" s="58">
        <v>4000.05</v>
      </c>
      <c r="AG46" s="58">
        <v>268.34000000000003</v>
      </c>
      <c r="AH46" s="58">
        <v>80</v>
      </c>
      <c r="AI46" s="54">
        <v>33.299999999999997</v>
      </c>
      <c r="AJ46" s="54">
        <v>540.75</v>
      </c>
      <c r="AK46" s="54">
        <v>209.04</v>
      </c>
      <c r="AL46" s="54">
        <v>226.53</v>
      </c>
      <c r="AM46" s="54">
        <v>219.03679772204578</v>
      </c>
      <c r="AN46" s="55" t="s">
        <v>596</v>
      </c>
      <c r="AO46" s="55"/>
      <c r="AP46" s="55"/>
      <c r="AQ46" s="55"/>
    </row>
    <row r="47" spans="1:43" s="58" customFormat="1" x14ac:dyDescent="0.2">
      <c r="A47" s="54" t="s">
        <v>502</v>
      </c>
      <c r="B47" s="54" t="s">
        <v>354</v>
      </c>
      <c r="C47" s="54">
        <v>15</v>
      </c>
      <c r="D47" s="54">
        <v>0</v>
      </c>
      <c r="E47" s="54">
        <v>220.83</v>
      </c>
      <c r="F47" s="54">
        <v>234.2</v>
      </c>
      <c r="G47" s="54">
        <v>3312.45</v>
      </c>
      <c r="H47" s="54">
        <v>0</v>
      </c>
      <c r="I47" s="54">
        <v>0</v>
      </c>
      <c r="J47" s="54">
        <v>3312.45</v>
      </c>
      <c r="K47" s="54">
        <v>113.96</v>
      </c>
      <c r="L47" s="54">
        <v>0</v>
      </c>
      <c r="M47" s="54">
        <v>83.43</v>
      </c>
      <c r="N47" s="54">
        <v>2034.26</v>
      </c>
      <c r="O47" s="54">
        <v>0</v>
      </c>
      <c r="P47" s="54">
        <v>15</v>
      </c>
      <c r="Q47" s="54">
        <v>0</v>
      </c>
      <c r="R47" s="54">
        <v>0</v>
      </c>
      <c r="S47" s="54"/>
      <c r="T47" s="63">
        <v>0</v>
      </c>
      <c r="U47" s="54">
        <v>2246.65</v>
      </c>
      <c r="V47" s="54">
        <v>1065.8</v>
      </c>
      <c r="W47" s="54">
        <v>21.96</v>
      </c>
      <c r="X47" s="54">
        <v>39.520000000000003</v>
      </c>
      <c r="Y47" s="54">
        <v>21.95</v>
      </c>
      <c r="Z47" s="63">
        <v>-125.1</v>
      </c>
      <c r="AA47" s="54">
        <v>239.06</v>
      </c>
      <c r="AC47" s="54">
        <v>61.48</v>
      </c>
      <c r="AD47" s="58">
        <v>110.66</v>
      </c>
      <c r="AE47" s="58">
        <v>320.02</v>
      </c>
      <c r="AF47" s="58">
        <v>3312.45</v>
      </c>
      <c r="AG47" s="58">
        <v>254.98000000000002</v>
      </c>
      <c r="AH47" s="58">
        <v>66.25</v>
      </c>
      <c r="AI47" s="54">
        <v>27.98</v>
      </c>
      <c r="AJ47" s="54">
        <v>492.16</v>
      </c>
      <c r="AK47" s="54">
        <v>175.65</v>
      </c>
      <c r="AL47" s="54">
        <v>219.85</v>
      </c>
      <c r="AM47" s="54">
        <v>181.3848428430621</v>
      </c>
      <c r="AN47" s="55" t="s">
        <v>596</v>
      </c>
      <c r="AO47" s="55"/>
      <c r="AP47" s="55"/>
      <c r="AQ47" s="55"/>
    </row>
    <row r="48" spans="1:43" s="58" customFormat="1" x14ac:dyDescent="0.2">
      <c r="A48" s="54" t="s">
        <v>503</v>
      </c>
      <c r="B48" s="54" t="s">
        <v>349</v>
      </c>
      <c r="C48" s="54">
        <v>15</v>
      </c>
      <c r="D48" s="54">
        <v>0</v>
      </c>
      <c r="E48" s="54">
        <v>150</v>
      </c>
      <c r="F48" s="54">
        <v>156.78</v>
      </c>
      <c r="G48" s="54">
        <v>2250</v>
      </c>
      <c r="H48" s="54">
        <v>0</v>
      </c>
      <c r="I48" s="54">
        <v>0</v>
      </c>
      <c r="J48" s="54">
        <v>2250</v>
      </c>
      <c r="K48" s="54">
        <v>0</v>
      </c>
      <c r="L48" s="54">
        <v>-43.57</v>
      </c>
      <c r="M48" s="54">
        <v>55.86</v>
      </c>
      <c r="N48" s="54">
        <v>0</v>
      </c>
      <c r="O48" s="54">
        <v>763.03</v>
      </c>
      <c r="P48" s="54">
        <v>15</v>
      </c>
      <c r="Q48" s="54">
        <v>0</v>
      </c>
      <c r="R48" s="54">
        <v>0</v>
      </c>
      <c r="S48" s="54"/>
      <c r="T48" s="54">
        <v>0.08</v>
      </c>
      <c r="U48" s="54">
        <v>790.4</v>
      </c>
      <c r="V48" s="54">
        <v>1459.6</v>
      </c>
      <c r="W48" s="54">
        <v>14.7</v>
      </c>
      <c r="X48" s="54">
        <v>26.46</v>
      </c>
      <c r="Y48" s="54">
        <v>14.7</v>
      </c>
      <c r="Z48" s="63">
        <v>-174.78</v>
      </c>
      <c r="AA48" s="54">
        <v>131.21</v>
      </c>
      <c r="AC48" s="54">
        <v>41.15</v>
      </c>
      <c r="AD48" s="58">
        <v>74.08</v>
      </c>
      <c r="AE48" s="58">
        <v>299.69</v>
      </c>
      <c r="AF48" s="58">
        <v>2250</v>
      </c>
      <c r="AG48" s="58">
        <v>231.75</v>
      </c>
      <c r="AH48" s="58">
        <v>45</v>
      </c>
      <c r="AI48" s="54">
        <v>18.73</v>
      </c>
      <c r="AJ48" s="54">
        <v>414.92</v>
      </c>
      <c r="AK48" s="54">
        <v>117.58</v>
      </c>
      <c r="AL48" s="54">
        <v>208.24</v>
      </c>
      <c r="AM48" s="54">
        <v>123.2066586354178</v>
      </c>
      <c r="AN48" s="55" t="s">
        <v>596</v>
      </c>
      <c r="AO48" s="55"/>
      <c r="AP48" s="55"/>
      <c r="AQ48" s="55"/>
    </row>
    <row r="49" spans="1:43" s="58" customFormat="1" x14ac:dyDescent="0.2">
      <c r="A49" s="54" t="s">
        <v>504</v>
      </c>
      <c r="B49" s="54" t="s">
        <v>388</v>
      </c>
      <c r="C49" s="54">
        <v>15</v>
      </c>
      <c r="D49" s="54">
        <v>0</v>
      </c>
      <c r="E49" s="54">
        <v>150</v>
      </c>
      <c r="F49" s="54">
        <v>156.78</v>
      </c>
      <c r="G49" s="54">
        <v>2250</v>
      </c>
      <c r="H49" s="54">
        <v>0</v>
      </c>
      <c r="I49" s="54">
        <v>0</v>
      </c>
      <c r="J49" s="54">
        <v>2250</v>
      </c>
      <c r="K49" s="54">
        <v>0</v>
      </c>
      <c r="L49" s="63">
        <v>-43.57</v>
      </c>
      <c r="M49" s="54">
        <v>55.86</v>
      </c>
      <c r="N49" s="54">
        <v>0</v>
      </c>
      <c r="O49" s="54">
        <v>0</v>
      </c>
      <c r="P49" s="54">
        <v>0</v>
      </c>
      <c r="Q49" s="54">
        <v>0</v>
      </c>
      <c r="R49" s="54">
        <v>0</v>
      </c>
      <c r="S49" s="54"/>
      <c r="T49" s="54">
        <v>-0.09</v>
      </c>
      <c r="U49" s="54">
        <v>12.2</v>
      </c>
      <c r="V49" s="54">
        <v>2237.8000000000002</v>
      </c>
      <c r="W49" s="54">
        <v>14.7</v>
      </c>
      <c r="X49" s="54">
        <v>26.46</v>
      </c>
      <c r="Y49" s="54">
        <v>14.7</v>
      </c>
      <c r="Z49" s="63">
        <v>-174.78</v>
      </c>
      <c r="AA49" s="54">
        <v>131.21</v>
      </c>
      <c r="AC49" s="54">
        <v>41.15</v>
      </c>
      <c r="AD49" s="58">
        <v>74.08</v>
      </c>
      <c r="AE49" s="58">
        <v>299.69</v>
      </c>
      <c r="AF49" s="58">
        <v>2250</v>
      </c>
      <c r="AG49" s="58">
        <v>231.75</v>
      </c>
      <c r="AH49" s="58">
        <v>45</v>
      </c>
      <c r="AI49" s="54">
        <v>18.73</v>
      </c>
      <c r="AJ49" s="54">
        <v>414.92</v>
      </c>
      <c r="AK49" s="54">
        <v>117.58</v>
      </c>
      <c r="AL49" s="54">
        <v>208.24</v>
      </c>
      <c r="AM49" s="54">
        <v>123.2066586354178</v>
      </c>
      <c r="AN49" s="55" t="s">
        <v>596</v>
      </c>
      <c r="AO49" s="55"/>
      <c r="AP49" s="55"/>
      <c r="AQ49" s="55"/>
    </row>
    <row r="50" spans="1:43" s="58" customFormat="1" x14ac:dyDescent="0.2">
      <c r="A50" s="54" t="s">
        <v>505</v>
      </c>
      <c r="B50" s="54" t="s">
        <v>391</v>
      </c>
      <c r="C50" s="54">
        <v>15</v>
      </c>
      <c r="D50" s="54">
        <v>0</v>
      </c>
      <c r="E50" s="54">
        <v>233.33</v>
      </c>
      <c r="F50" s="54">
        <v>243.88</v>
      </c>
      <c r="G50" s="54">
        <v>3499.95</v>
      </c>
      <c r="H50" s="54">
        <v>0</v>
      </c>
      <c r="I50" s="54">
        <v>0</v>
      </c>
      <c r="J50" s="54">
        <v>3499.95</v>
      </c>
      <c r="K50" s="54">
        <v>134.36000000000001</v>
      </c>
      <c r="L50" s="63">
        <v>0</v>
      </c>
      <c r="M50" s="54">
        <v>86.88</v>
      </c>
      <c r="N50" s="54">
        <v>0</v>
      </c>
      <c r="O50" s="54">
        <v>0</v>
      </c>
      <c r="P50" s="54">
        <v>0</v>
      </c>
      <c r="Q50" s="54">
        <v>0</v>
      </c>
      <c r="R50" s="54">
        <v>0</v>
      </c>
      <c r="S50" s="54"/>
      <c r="T50" s="63">
        <v>-0.09</v>
      </c>
      <c r="U50" s="54">
        <v>221.15</v>
      </c>
      <c r="V50" s="54">
        <v>3278.8</v>
      </c>
      <c r="W50" s="54">
        <v>22.86</v>
      </c>
      <c r="X50" s="54">
        <v>41.15</v>
      </c>
      <c r="Y50" s="54">
        <v>22.87</v>
      </c>
      <c r="Z50" s="63">
        <v>-125.1</v>
      </c>
      <c r="AA50" s="54">
        <v>259.45999999999998</v>
      </c>
      <c r="AC50" s="54">
        <v>64.02</v>
      </c>
      <c r="AD50" s="58">
        <v>115.23</v>
      </c>
      <c r="AE50" s="58">
        <v>322.56</v>
      </c>
      <c r="AF50" s="58">
        <v>3499.95</v>
      </c>
      <c r="AG50" s="58">
        <v>257.88</v>
      </c>
      <c r="AH50" s="58">
        <v>70</v>
      </c>
      <c r="AI50" s="54">
        <v>29.14</v>
      </c>
      <c r="AJ50" s="54">
        <v>501.81</v>
      </c>
      <c r="AK50" s="54">
        <v>182.91</v>
      </c>
      <c r="AL50" s="54">
        <v>221.3</v>
      </c>
      <c r="AM50" s="54">
        <v>191.65206439601357</v>
      </c>
      <c r="AN50" s="55" t="s">
        <v>596</v>
      </c>
      <c r="AO50" s="55"/>
      <c r="AP50" s="55"/>
      <c r="AQ50" s="55"/>
    </row>
    <row r="51" spans="1:43" s="58" customFormat="1" x14ac:dyDescent="0.2">
      <c r="A51" s="54" t="s">
        <v>506</v>
      </c>
      <c r="B51" s="54" t="s">
        <v>392</v>
      </c>
      <c r="C51" s="54">
        <v>15</v>
      </c>
      <c r="D51" s="54">
        <v>0</v>
      </c>
      <c r="E51" s="54">
        <v>233.33</v>
      </c>
      <c r="F51" s="54">
        <v>243.88</v>
      </c>
      <c r="G51" s="54">
        <v>3499.95</v>
      </c>
      <c r="H51" s="54">
        <v>0</v>
      </c>
      <c r="I51" s="54">
        <v>0</v>
      </c>
      <c r="J51" s="54">
        <v>3499.95</v>
      </c>
      <c r="K51" s="54">
        <v>134.36000000000001</v>
      </c>
      <c r="L51" s="54">
        <v>0</v>
      </c>
      <c r="M51" s="54">
        <v>86.88</v>
      </c>
      <c r="N51" s="54">
        <v>0</v>
      </c>
      <c r="O51" s="54">
        <v>0</v>
      </c>
      <c r="P51" s="54">
        <v>0</v>
      </c>
      <c r="Q51" s="54">
        <v>0</v>
      </c>
      <c r="R51" s="54">
        <v>909.5</v>
      </c>
      <c r="S51" s="52"/>
      <c r="T51" s="52">
        <v>0.08</v>
      </c>
      <c r="U51" s="52">
        <v>1130.82</v>
      </c>
      <c r="V51" s="52">
        <v>2369.13</v>
      </c>
      <c r="W51" s="54">
        <v>22.86</v>
      </c>
      <c r="X51" s="54">
        <v>41.15</v>
      </c>
      <c r="Y51" s="54">
        <v>22.87</v>
      </c>
      <c r="Z51" s="63">
        <v>-125.1</v>
      </c>
      <c r="AA51" s="54">
        <v>259.45999999999998</v>
      </c>
      <c r="AC51" s="54">
        <v>64.02</v>
      </c>
      <c r="AD51" s="58">
        <v>115.23</v>
      </c>
      <c r="AE51" s="58">
        <v>322.56</v>
      </c>
      <c r="AF51" s="58">
        <v>3499.95</v>
      </c>
      <c r="AG51" s="58">
        <v>257.88</v>
      </c>
      <c r="AH51" s="58">
        <v>70</v>
      </c>
      <c r="AI51" s="54">
        <v>29.14</v>
      </c>
      <c r="AJ51" s="54">
        <v>501.81</v>
      </c>
      <c r="AK51" s="54">
        <v>182.91</v>
      </c>
      <c r="AL51" s="54">
        <v>221.3</v>
      </c>
      <c r="AM51" s="54">
        <v>191.65206439601357</v>
      </c>
      <c r="AN51" s="55" t="s">
        <v>596</v>
      </c>
      <c r="AO51" s="55"/>
      <c r="AP51" s="55"/>
      <c r="AQ51" s="55"/>
    </row>
    <row r="52" spans="1:43" s="58" customFormat="1" x14ac:dyDescent="0.2">
      <c r="A52" s="54" t="s">
        <v>508</v>
      </c>
      <c r="B52" s="54" t="s">
        <v>423</v>
      </c>
      <c r="C52" s="54">
        <v>15</v>
      </c>
      <c r="D52" s="54">
        <v>0</v>
      </c>
      <c r="E52" s="54">
        <v>312.87</v>
      </c>
      <c r="F52" s="54">
        <v>327.01</v>
      </c>
      <c r="G52" s="54">
        <v>4693.05</v>
      </c>
      <c r="H52" s="54">
        <v>0</v>
      </c>
      <c r="I52" s="54">
        <v>0</v>
      </c>
      <c r="J52" s="54">
        <v>4693.05</v>
      </c>
      <c r="K52" s="54">
        <v>411.56</v>
      </c>
      <c r="L52" s="54">
        <v>0</v>
      </c>
      <c r="M52" s="54">
        <v>120.9</v>
      </c>
      <c r="N52" s="54">
        <v>1881.2</v>
      </c>
      <c r="O52" s="54">
        <v>0</v>
      </c>
      <c r="P52" s="54">
        <v>15</v>
      </c>
      <c r="Q52" s="54">
        <v>0</v>
      </c>
      <c r="R52" s="54">
        <v>301.5</v>
      </c>
      <c r="S52" s="54"/>
      <c r="T52" s="54">
        <v>0.09</v>
      </c>
      <c r="U52" s="54">
        <v>2730.25</v>
      </c>
      <c r="V52" s="54">
        <v>1962.8</v>
      </c>
      <c r="W52" s="54">
        <v>30.66</v>
      </c>
      <c r="X52" s="54">
        <v>55.18</v>
      </c>
      <c r="Y52" s="54">
        <v>35.06</v>
      </c>
      <c r="Z52" s="63">
        <v>0</v>
      </c>
      <c r="AA52" s="54">
        <v>411.56</v>
      </c>
      <c r="AC52" s="54">
        <v>85.84</v>
      </c>
      <c r="AD52" s="58">
        <v>154.51</v>
      </c>
      <c r="AE52" s="58">
        <v>356.51</v>
      </c>
      <c r="AF52" s="58">
        <v>4693.05</v>
      </c>
      <c r="AG52" s="58">
        <v>282.82</v>
      </c>
      <c r="AH52" s="58">
        <v>93.86</v>
      </c>
      <c r="AI52" s="54">
        <v>39.07</v>
      </c>
      <c r="AJ52" s="54">
        <v>596.86</v>
      </c>
      <c r="AK52" s="54">
        <v>245.26</v>
      </c>
      <c r="AL52" s="54">
        <v>233.76999999999998</v>
      </c>
      <c r="AM52" s="54">
        <v>256.98444858175446</v>
      </c>
      <c r="AN52" s="55" t="s">
        <v>596</v>
      </c>
      <c r="AO52" s="55"/>
      <c r="AP52" s="55"/>
      <c r="AQ52" s="55"/>
    </row>
    <row r="53" spans="1:43" s="58" customFormat="1" x14ac:dyDescent="0.2">
      <c r="A53" s="54" t="s">
        <v>509</v>
      </c>
      <c r="B53" s="54" t="s">
        <v>424</v>
      </c>
      <c r="C53" s="54">
        <v>15</v>
      </c>
      <c r="D53" s="54">
        <v>0</v>
      </c>
      <c r="E53" s="54">
        <v>312.87</v>
      </c>
      <c r="F53" s="54">
        <v>327.01</v>
      </c>
      <c r="G53" s="54">
        <v>4693.05</v>
      </c>
      <c r="H53" s="54">
        <v>0</v>
      </c>
      <c r="I53" s="54">
        <v>0</v>
      </c>
      <c r="J53" s="54">
        <v>4693.05</v>
      </c>
      <c r="K53" s="54">
        <v>411.56</v>
      </c>
      <c r="L53" s="54">
        <v>0</v>
      </c>
      <c r="M53" s="54">
        <v>120.9</v>
      </c>
      <c r="N53" s="54">
        <v>2177.34</v>
      </c>
      <c r="O53" s="54">
        <v>0</v>
      </c>
      <c r="P53" s="54">
        <v>15</v>
      </c>
      <c r="Q53" s="54">
        <v>0</v>
      </c>
      <c r="R53" s="54">
        <v>395.82</v>
      </c>
      <c r="S53" s="54"/>
      <c r="T53" s="63">
        <v>0.03</v>
      </c>
      <c r="U53" s="54">
        <v>3120.65</v>
      </c>
      <c r="V53" s="54">
        <v>1572.4</v>
      </c>
      <c r="W53" s="54">
        <v>30.66</v>
      </c>
      <c r="X53" s="54">
        <v>55.18</v>
      </c>
      <c r="Y53" s="54">
        <v>35.06</v>
      </c>
      <c r="Z53" s="54">
        <v>0</v>
      </c>
      <c r="AA53" s="54">
        <v>411.56</v>
      </c>
      <c r="AC53" s="54">
        <v>85.84</v>
      </c>
      <c r="AD53" s="58">
        <v>154.51</v>
      </c>
      <c r="AE53" s="58">
        <v>356.51</v>
      </c>
      <c r="AF53" s="58">
        <v>4693.05</v>
      </c>
      <c r="AG53" s="58">
        <v>282.82</v>
      </c>
      <c r="AH53" s="58">
        <v>93.86</v>
      </c>
      <c r="AI53" s="54">
        <v>39.07</v>
      </c>
      <c r="AJ53" s="54">
        <v>596.86</v>
      </c>
      <c r="AK53" s="54">
        <v>245.26</v>
      </c>
      <c r="AL53" s="54">
        <v>233.76999999999998</v>
      </c>
      <c r="AM53" s="54">
        <v>256.98444858175446</v>
      </c>
      <c r="AN53" s="55" t="s">
        <v>596</v>
      </c>
      <c r="AO53" s="55"/>
      <c r="AP53" s="55"/>
      <c r="AQ53" s="55"/>
    </row>
    <row r="54" spans="1:43" s="58" customFormat="1" x14ac:dyDescent="0.2">
      <c r="A54" s="54" t="s">
        <v>510</v>
      </c>
      <c r="B54" s="54" t="s">
        <v>425</v>
      </c>
      <c r="C54" s="54">
        <v>15</v>
      </c>
      <c r="D54" s="54">
        <v>0</v>
      </c>
      <c r="E54" s="54">
        <v>238.84</v>
      </c>
      <c r="F54" s="54">
        <v>249.64</v>
      </c>
      <c r="G54" s="54">
        <v>3582.6</v>
      </c>
      <c r="H54" s="54">
        <v>0</v>
      </c>
      <c r="I54" s="54">
        <v>0</v>
      </c>
      <c r="J54" s="54">
        <v>3582.6</v>
      </c>
      <c r="K54" s="54">
        <v>161.08000000000001</v>
      </c>
      <c r="L54" s="54">
        <v>0</v>
      </c>
      <c r="M54" s="54">
        <v>88.93</v>
      </c>
      <c r="N54" s="54">
        <v>0</v>
      </c>
      <c r="O54" s="54">
        <v>0</v>
      </c>
      <c r="P54" s="54">
        <v>0</v>
      </c>
      <c r="Q54" s="54">
        <v>0</v>
      </c>
      <c r="R54" s="54">
        <v>253.5</v>
      </c>
      <c r="S54" s="54"/>
      <c r="T54" s="63">
        <v>-0.11</v>
      </c>
      <c r="U54" s="54">
        <v>503.4</v>
      </c>
      <c r="V54" s="54">
        <v>3079.2</v>
      </c>
      <c r="W54" s="54">
        <v>23.4</v>
      </c>
      <c r="X54" s="54">
        <v>42.13</v>
      </c>
      <c r="Y54" s="54">
        <v>23.4</v>
      </c>
      <c r="Z54" s="54">
        <v>-107.37</v>
      </c>
      <c r="AA54" s="54">
        <v>268.45999999999998</v>
      </c>
      <c r="AC54" s="54">
        <v>65.53</v>
      </c>
      <c r="AD54" s="58">
        <v>117.95</v>
      </c>
      <c r="AE54" s="58">
        <v>324.07</v>
      </c>
      <c r="AF54" s="58">
        <v>3582.6</v>
      </c>
      <c r="AG54" s="58">
        <v>259.61</v>
      </c>
      <c r="AH54" s="58">
        <v>71.650000000000006</v>
      </c>
      <c r="AI54" s="54">
        <v>29.83</v>
      </c>
      <c r="AJ54" s="54">
        <v>507.55</v>
      </c>
      <c r="AK54" s="54">
        <v>187.23</v>
      </c>
      <c r="AL54" s="54">
        <v>222.17000000000002</v>
      </c>
      <c r="AM54" s="54">
        <v>196.17785565655458</v>
      </c>
      <c r="AN54" s="55" t="s">
        <v>596</v>
      </c>
      <c r="AO54" s="55"/>
      <c r="AP54" s="55"/>
      <c r="AQ54" s="55"/>
    </row>
    <row r="55" spans="1:43" s="58" customFormat="1" x14ac:dyDescent="0.2">
      <c r="A55" s="54" t="s">
        <v>512</v>
      </c>
      <c r="B55" s="54" t="s">
        <v>427</v>
      </c>
      <c r="C55" s="54">
        <v>12</v>
      </c>
      <c r="D55" s="54">
        <v>0</v>
      </c>
      <c r="E55" s="54">
        <v>238.84</v>
      </c>
      <c r="F55" s="54">
        <v>249.64</v>
      </c>
      <c r="G55" s="54">
        <v>2866.08</v>
      </c>
      <c r="H55" s="54">
        <v>0</v>
      </c>
      <c r="I55" s="54">
        <v>0</v>
      </c>
      <c r="J55" s="54">
        <v>2866.08</v>
      </c>
      <c r="K55" s="54">
        <v>45.12</v>
      </c>
      <c r="L55" s="54">
        <v>0</v>
      </c>
      <c r="M55" s="54">
        <v>71.14</v>
      </c>
      <c r="N55" s="54">
        <v>1202.43</v>
      </c>
      <c r="O55" s="54">
        <v>0</v>
      </c>
      <c r="P55" s="54">
        <v>15</v>
      </c>
      <c r="Q55" s="54">
        <v>0</v>
      </c>
      <c r="R55" s="54">
        <v>310</v>
      </c>
      <c r="S55" s="54"/>
      <c r="T55" s="63">
        <v>-0.01</v>
      </c>
      <c r="U55" s="54">
        <v>1643.68</v>
      </c>
      <c r="V55" s="54">
        <v>1222.4000000000001</v>
      </c>
      <c r="W55" s="54">
        <v>23.4</v>
      </c>
      <c r="X55" s="54">
        <v>42.13</v>
      </c>
      <c r="Y55" s="54">
        <v>23.4</v>
      </c>
      <c r="Z55" s="63">
        <v>-107.37</v>
      </c>
      <c r="AA55" s="54">
        <v>268.45999999999998</v>
      </c>
      <c r="AC55" s="54">
        <v>65.53</v>
      </c>
      <c r="AD55" s="58">
        <v>117.95</v>
      </c>
      <c r="AE55" s="58">
        <v>324.07</v>
      </c>
      <c r="AF55" s="58">
        <v>3582.6</v>
      </c>
      <c r="AG55" s="58">
        <v>259.61</v>
      </c>
      <c r="AH55" s="58">
        <v>71.650000000000006</v>
      </c>
      <c r="AI55" s="54">
        <v>29.83</v>
      </c>
      <c r="AJ55" s="54">
        <v>507.55</v>
      </c>
      <c r="AK55" s="54">
        <v>187.23</v>
      </c>
      <c r="AL55" s="54">
        <v>222.17000000000002</v>
      </c>
      <c r="AM55" s="54">
        <v>196.17785565655458</v>
      </c>
      <c r="AN55" s="55" t="s">
        <v>596</v>
      </c>
      <c r="AO55" s="55"/>
      <c r="AP55" s="55"/>
      <c r="AQ55" s="55"/>
    </row>
    <row r="56" spans="1:43" s="58" customFormat="1" x14ac:dyDescent="0.2">
      <c r="A56" s="54" t="s">
        <v>513</v>
      </c>
      <c r="B56" s="54" t="s">
        <v>428</v>
      </c>
      <c r="C56" s="54">
        <v>15</v>
      </c>
      <c r="D56" s="54">
        <v>0</v>
      </c>
      <c r="E56" s="54">
        <v>238.84</v>
      </c>
      <c r="F56" s="54">
        <v>249.64</v>
      </c>
      <c r="G56" s="54">
        <v>3582.6</v>
      </c>
      <c r="H56" s="54">
        <v>0</v>
      </c>
      <c r="I56" s="54">
        <v>0</v>
      </c>
      <c r="J56" s="54">
        <v>3582.6</v>
      </c>
      <c r="K56" s="54">
        <v>161.08000000000001</v>
      </c>
      <c r="L56" s="54">
        <v>0</v>
      </c>
      <c r="M56" s="54">
        <v>88.93</v>
      </c>
      <c r="N56" s="54">
        <v>0</v>
      </c>
      <c r="O56" s="54">
        <v>1122.6300000000001</v>
      </c>
      <c r="P56" s="54">
        <v>15</v>
      </c>
      <c r="Q56" s="54">
        <v>0</v>
      </c>
      <c r="R56" s="54">
        <v>0</v>
      </c>
      <c r="S56" s="54"/>
      <c r="T56" s="54">
        <v>-0.04</v>
      </c>
      <c r="U56" s="54">
        <v>1387.6</v>
      </c>
      <c r="V56" s="54">
        <v>2195</v>
      </c>
      <c r="W56" s="54">
        <v>23.4</v>
      </c>
      <c r="X56" s="54">
        <v>42.13</v>
      </c>
      <c r="Y56" s="54">
        <v>23.4</v>
      </c>
      <c r="Z56" s="54">
        <v>-107.37</v>
      </c>
      <c r="AA56" s="54">
        <v>268.45999999999998</v>
      </c>
      <c r="AC56" s="54">
        <v>65.53</v>
      </c>
      <c r="AD56" s="58">
        <v>117.95</v>
      </c>
      <c r="AE56" s="58">
        <v>324.07</v>
      </c>
      <c r="AF56" s="58">
        <v>3582.6</v>
      </c>
      <c r="AG56" s="58">
        <v>259.61</v>
      </c>
      <c r="AH56" s="58">
        <v>71.650000000000006</v>
      </c>
      <c r="AI56" s="54">
        <v>29.83</v>
      </c>
      <c r="AJ56" s="54">
        <v>507.55</v>
      </c>
      <c r="AK56" s="54">
        <v>187.23</v>
      </c>
      <c r="AL56" s="54">
        <v>222.17000000000002</v>
      </c>
      <c r="AM56" s="54">
        <v>196.17785565655458</v>
      </c>
      <c r="AN56" s="55" t="s">
        <v>596</v>
      </c>
      <c r="AO56" s="55"/>
      <c r="AP56" s="55"/>
      <c r="AQ56" s="55"/>
    </row>
    <row r="57" spans="1:43" s="58" customFormat="1" x14ac:dyDescent="0.2">
      <c r="A57" s="54" t="s">
        <v>514</v>
      </c>
      <c r="B57" s="54" t="s">
        <v>429</v>
      </c>
      <c r="C57" s="54">
        <v>15</v>
      </c>
      <c r="D57" s="54">
        <v>0</v>
      </c>
      <c r="E57" s="54">
        <v>238.84</v>
      </c>
      <c r="F57" s="54">
        <v>249.64</v>
      </c>
      <c r="G57" s="54">
        <v>3582.6</v>
      </c>
      <c r="H57" s="54">
        <v>0</v>
      </c>
      <c r="I57" s="54">
        <v>0</v>
      </c>
      <c r="J57" s="54">
        <v>3582.6</v>
      </c>
      <c r="K57" s="54">
        <v>161.08000000000001</v>
      </c>
      <c r="L57" s="54">
        <v>0</v>
      </c>
      <c r="M57" s="54">
        <v>88.93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/>
      <c r="T57" s="54">
        <v>-0.01</v>
      </c>
      <c r="U57" s="54">
        <v>250</v>
      </c>
      <c r="V57" s="54">
        <v>3332.6</v>
      </c>
      <c r="W57" s="54">
        <v>23.4</v>
      </c>
      <c r="X57" s="54">
        <v>42.13</v>
      </c>
      <c r="Y57" s="54">
        <v>23.4</v>
      </c>
      <c r="Z57" s="63">
        <v>-107.37</v>
      </c>
      <c r="AA57" s="54">
        <v>268.45999999999998</v>
      </c>
      <c r="AC57" s="54">
        <v>65.53</v>
      </c>
      <c r="AD57" s="58">
        <v>117.95</v>
      </c>
      <c r="AE57" s="58">
        <v>324.07</v>
      </c>
      <c r="AF57" s="58">
        <v>3582.6</v>
      </c>
      <c r="AG57" s="58">
        <v>259.61</v>
      </c>
      <c r="AH57" s="58">
        <v>71.650000000000006</v>
      </c>
      <c r="AI57" s="54">
        <v>29.83</v>
      </c>
      <c r="AJ57" s="54">
        <v>507.55</v>
      </c>
      <c r="AK57" s="54">
        <v>187.23</v>
      </c>
      <c r="AL57" s="54">
        <v>222.17000000000002</v>
      </c>
      <c r="AM57" s="54">
        <v>196.17785565655458</v>
      </c>
      <c r="AN57" s="55" t="s">
        <v>596</v>
      </c>
      <c r="AO57" s="55"/>
      <c r="AP57" s="55"/>
      <c r="AQ57" s="55"/>
    </row>
    <row r="58" spans="1:43" s="58" customFormat="1" x14ac:dyDescent="0.2">
      <c r="A58" s="52" t="s">
        <v>515</v>
      </c>
      <c r="B58" s="52" t="s">
        <v>430</v>
      </c>
      <c r="C58" s="54">
        <v>15</v>
      </c>
      <c r="D58" s="54">
        <v>0</v>
      </c>
      <c r="E58" s="54">
        <v>200</v>
      </c>
      <c r="F58" s="54">
        <v>212.11</v>
      </c>
      <c r="G58" s="54">
        <v>3000</v>
      </c>
      <c r="H58" s="54">
        <v>0</v>
      </c>
      <c r="I58" s="54">
        <v>0</v>
      </c>
      <c r="J58" s="54">
        <v>3000</v>
      </c>
      <c r="K58" s="54">
        <v>59.69</v>
      </c>
      <c r="L58" s="54">
        <v>0</v>
      </c>
      <c r="M58" s="54">
        <v>75.56</v>
      </c>
      <c r="N58" s="54">
        <v>0</v>
      </c>
      <c r="O58" s="54">
        <v>0</v>
      </c>
      <c r="P58" s="54">
        <v>0</v>
      </c>
      <c r="Q58" s="54">
        <v>0</v>
      </c>
      <c r="R58" s="54">
        <v>0</v>
      </c>
      <c r="S58" s="54"/>
      <c r="T58" s="54">
        <v>-0.05</v>
      </c>
      <c r="U58" s="54">
        <v>135.19999999999999</v>
      </c>
      <c r="V58" s="54">
        <v>2864.8</v>
      </c>
      <c r="W58" s="54">
        <v>19.89</v>
      </c>
      <c r="X58" s="54">
        <v>35.79</v>
      </c>
      <c r="Y58" s="54">
        <v>19.88</v>
      </c>
      <c r="Z58" s="63">
        <v>-145.38</v>
      </c>
      <c r="AA58" s="54">
        <v>205.07</v>
      </c>
      <c r="AC58" s="54">
        <v>55.68</v>
      </c>
      <c r="AD58" s="58">
        <v>100.22</v>
      </c>
      <c r="AE58" s="58">
        <v>314.22000000000003</v>
      </c>
      <c r="AF58" s="58">
        <v>3000</v>
      </c>
      <c r="AG58" s="58">
        <v>248.35</v>
      </c>
      <c r="AH58" s="58">
        <v>60</v>
      </c>
      <c r="AI58" s="54">
        <v>25.34</v>
      </c>
      <c r="AJ58" s="54">
        <v>470.12</v>
      </c>
      <c r="AK58" s="54">
        <v>159.08000000000001</v>
      </c>
      <c r="AL58" s="54">
        <v>216.54</v>
      </c>
      <c r="AM58" s="54">
        <v>164.27554484722373</v>
      </c>
      <c r="AN58" s="55" t="s">
        <v>596</v>
      </c>
      <c r="AO58" s="55"/>
      <c r="AP58" s="55"/>
      <c r="AQ58" s="55"/>
    </row>
    <row r="59" spans="1:43" s="58" customFormat="1" x14ac:dyDescent="0.2">
      <c r="A59" s="54" t="s">
        <v>516</v>
      </c>
      <c r="B59" s="54" t="s">
        <v>431</v>
      </c>
      <c r="C59" s="54">
        <v>15</v>
      </c>
      <c r="D59" s="54">
        <v>0</v>
      </c>
      <c r="E59" s="54">
        <v>238.84</v>
      </c>
      <c r="F59" s="54">
        <v>249.64</v>
      </c>
      <c r="G59" s="54">
        <v>3582.6</v>
      </c>
      <c r="H59" s="54">
        <v>0</v>
      </c>
      <c r="I59" s="54">
        <v>0</v>
      </c>
      <c r="J59" s="54">
        <v>3582.6</v>
      </c>
      <c r="K59" s="54">
        <v>161.08000000000001</v>
      </c>
      <c r="L59" s="54">
        <v>0</v>
      </c>
      <c r="M59" s="54">
        <v>88.93</v>
      </c>
      <c r="N59" s="54">
        <v>692.93</v>
      </c>
      <c r="O59" s="54">
        <v>0</v>
      </c>
      <c r="P59" s="54">
        <v>15</v>
      </c>
      <c r="Q59" s="54">
        <v>0</v>
      </c>
      <c r="R59" s="54">
        <v>550.83000000000004</v>
      </c>
      <c r="S59" s="52"/>
      <c r="T59" s="52">
        <v>0.03</v>
      </c>
      <c r="U59" s="52">
        <v>1508.8</v>
      </c>
      <c r="V59" s="52">
        <v>2073.8000000000002</v>
      </c>
      <c r="W59" s="54">
        <v>23.4</v>
      </c>
      <c r="X59" s="54">
        <v>42.13</v>
      </c>
      <c r="Y59" s="54">
        <v>23.4</v>
      </c>
      <c r="Z59" s="63">
        <v>-107.37</v>
      </c>
      <c r="AA59" s="54">
        <v>268.45999999999998</v>
      </c>
      <c r="AC59" s="54">
        <v>65.53</v>
      </c>
      <c r="AD59" s="58">
        <v>117.95</v>
      </c>
      <c r="AE59" s="58">
        <v>324.07</v>
      </c>
      <c r="AF59" s="58">
        <v>3582.6</v>
      </c>
      <c r="AG59" s="58">
        <v>259.61</v>
      </c>
      <c r="AH59" s="58">
        <v>71.650000000000006</v>
      </c>
      <c r="AI59" s="54">
        <v>29.83</v>
      </c>
      <c r="AJ59" s="54">
        <v>507.55</v>
      </c>
      <c r="AK59" s="54">
        <v>187.23</v>
      </c>
      <c r="AL59" s="54">
        <v>222.17000000000002</v>
      </c>
      <c r="AM59" s="54">
        <v>196.17785565655458</v>
      </c>
      <c r="AN59" s="55" t="s">
        <v>596</v>
      </c>
      <c r="AO59" s="55"/>
      <c r="AP59" s="55"/>
      <c r="AQ59" s="55"/>
    </row>
    <row r="60" spans="1:43" s="58" customFormat="1" x14ac:dyDescent="0.2">
      <c r="A60" s="54" t="s">
        <v>518</v>
      </c>
      <c r="B60" s="54" t="s">
        <v>433</v>
      </c>
      <c r="C60" s="54">
        <v>15</v>
      </c>
      <c r="D60" s="54">
        <v>0</v>
      </c>
      <c r="E60" s="54">
        <v>166.67</v>
      </c>
      <c r="F60" s="54">
        <v>174.2</v>
      </c>
      <c r="G60" s="54">
        <v>2500.0500000000002</v>
      </c>
      <c r="H60" s="54">
        <v>0</v>
      </c>
      <c r="I60" s="54">
        <v>0</v>
      </c>
      <c r="J60" s="54">
        <v>2500.0500000000002</v>
      </c>
      <c r="K60" s="54">
        <v>0</v>
      </c>
      <c r="L60" s="54">
        <v>-9.6199999999999992</v>
      </c>
      <c r="M60" s="54">
        <v>62.06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/>
      <c r="T60" s="63">
        <v>0.01</v>
      </c>
      <c r="U60" s="54">
        <v>52.45</v>
      </c>
      <c r="V60" s="54">
        <v>2447.6</v>
      </c>
      <c r="W60" s="54">
        <v>16.329999999999998</v>
      </c>
      <c r="X60" s="54">
        <v>29.4</v>
      </c>
      <c r="Y60" s="54">
        <v>16.329999999999998</v>
      </c>
      <c r="Z60" s="63">
        <v>-160.30000000000001</v>
      </c>
      <c r="AA60" s="54">
        <v>150.66999999999999</v>
      </c>
      <c r="AC60" s="54">
        <v>45.73</v>
      </c>
      <c r="AD60" s="58">
        <v>82.31</v>
      </c>
      <c r="AE60" s="58">
        <v>304.27</v>
      </c>
      <c r="AF60" s="58">
        <v>2500.0500000000002</v>
      </c>
      <c r="AG60" s="58">
        <v>236.98</v>
      </c>
      <c r="AH60" s="58">
        <v>50</v>
      </c>
      <c r="AI60" s="54">
        <v>20.81</v>
      </c>
      <c r="AJ60" s="54">
        <v>432.31</v>
      </c>
      <c r="AK60" s="54">
        <v>130.65</v>
      </c>
      <c r="AL60" s="54">
        <v>210.85</v>
      </c>
      <c r="AM60" s="54">
        <v>136.89902529843388</v>
      </c>
      <c r="AN60" s="55" t="s">
        <v>596</v>
      </c>
      <c r="AO60" s="55"/>
      <c r="AP60" s="55"/>
      <c r="AQ60" s="55"/>
    </row>
    <row r="61" spans="1:43" s="58" customFormat="1" x14ac:dyDescent="0.2">
      <c r="A61" s="54" t="s">
        <v>519</v>
      </c>
      <c r="B61" s="54" t="s">
        <v>434</v>
      </c>
      <c r="C61" s="54">
        <v>15</v>
      </c>
      <c r="D61" s="54">
        <v>0</v>
      </c>
      <c r="E61" s="54">
        <v>195.38</v>
      </c>
      <c r="F61" s="54">
        <v>204.21</v>
      </c>
      <c r="G61" s="54">
        <v>2930.7</v>
      </c>
      <c r="H61" s="54">
        <v>0</v>
      </c>
      <c r="I61" s="54">
        <v>0</v>
      </c>
      <c r="J61" s="54">
        <v>2930.7</v>
      </c>
      <c r="K61" s="54">
        <v>52.15</v>
      </c>
      <c r="L61" s="54">
        <v>0</v>
      </c>
      <c r="M61" s="54">
        <v>72.75</v>
      </c>
      <c r="N61" s="54">
        <v>898.5</v>
      </c>
      <c r="O61" s="54">
        <v>0</v>
      </c>
      <c r="P61" s="54">
        <v>15</v>
      </c>
      <c r="Q61" s="54">
        <v>0</v>
      </c>
      <c r="R61" s="54">
        <v>0</v>
      </c>
      <c r="S61" s="54"/>
      <c r="T61" s="63">
        <v>-0.1</v>
      </c>
      <c r="U61" s="54">
        <v>1038.3</v>
      </c>
      <c r="V61" s="54">
        <v>1892.4</v>
      </c>
      <c r="W61" s="54">
        <v>19.14</v>
      </c>
      <c r="X61" s="54">
        <v>34.46</v>
      </c>
      <c r="Y61" s="54">
        <v>19.149999999999999</v>
      </c>
      <c r="Z61" s="63">
        <v>-145.38</v>
      </c>
      <c r="AA61" s="54">
        <v>197.53</v>
      </c>
      <c r="AC61" s="54">
        <v>53.61</v>
      </c>
      <c r="AD61" s="58">
        <v>96.49</v>
      </c>
      <c r="AE61" s="58">
        <v>312.14</v>
      </c>
      <c r="AF61" s="58">
        <v>2930.7</v>
      </c>
      <c r="AG61" s="58">
        <v>245.98</v>
      </c>
      <c r="AH61" s="58">
        <v>58.61</v>
      </c>
      <c r="AI61" s="54">
        <v>24.4</v>
      </c>
      <c r="AJ61" s="54">
        <v>462.24</v>
      </c>
      <c r="AK61" s="54">
        <v>153.16</v>
      </c>
      <c r="AL61" s="54">
        <v>215.35</v>
      </c>
      <c r="AM61" s="54">
        <v>160.48077976125285</v>
      </c>
      <c r="AN61" s="55" t="s">
        <v>596</v>
      </c>
      <c r="AO61" s="55"/>
      <c r="AP61" s="55"/>
      <c r="AQ61" s="55"/>
    </row>
    <row r="62" spans="1:43" s="58" customFormat="1" ht="14.25" customHeight="1" x14ac:dyDescent="0.2">
      <c r="A62" s="54" t="s">
        <v>520</v>
      </c>
      <c r="B62" s="54" t="s">
        <v>435</v>
      </c>
      <c r="C62" s="54">
        <v>15</v>
      </c>
      <c r="D62" s="54">
        <v>0</v>
      </c>
      <c r="E62" s="54">
        <v>195.38</v>
      </c>
      <c r="F62" s="54">
        <v>204.21</v>
      </c>
      <c r="G62" s="54">
        <v>2930.7</v>
      </c>
      <c r="H62" s="54">
        <v>0</v>
      </c>
      <c r="I62" s="54">
        <v>0</v>
      </c>
      <c r="J62" s="54">
        <v>2930.7</v>
      </c>
      <c r="K62" s="54">
        <v>52.15</v>
      </c>
      <c r="L62" s="54">
        <v>0</v>
      </c>
      <c r="M62" s="54">
        <v>72.75</v>
      </c>
      <c r="N62" s="54">
        <v>909.21</v>
      </c>
      <c r="O62" s="54">
        <v>0</v>
      </c>
      <c r="P62" s="54">
        <v>15</v>
      </c>
      <c r="Q62" s="54">
        <v>0</v>
      </c>
      <c r="R62" s="54">
        <v>0</v>
      </c>
      <c r="S62" s="54"/>
      <c r="T62" s="54">
        <v>-0.01</v>
      </c>
      <c r="U62" s="54">
        <v>1049.0999999999999</v>
      </c>
      <c r="V62" s="54">
        <v>1881.6</v>
      </c>
      <c r="W62" s="54">
        <v>19.14</v>
      </c>
      <c r="X62" s="54">
        <v>34.46</v>
      </c>
      <c r="Y62" s="54">
        <v>19.149999999999999</v>
      </c>
      <c r="Z62" s="63">
        <v>-145.38</v>
      </c>
      <c r="AA62" s="54">
        <v>197.53</v>
      </c>
      <c r="AC62" s="54">
        <v>53.61</v>
      </c>
      <c r="AD62" s="58">
        <v>96.49</v>
      </c>
      <c r="AE62" s="58">
        <v>312.14</v>
      </c>
      <c r="AF62" s="58">
        <v>2930.7</v>
      </c>
      <c r="AG62" s="58">
        <v>245.98</v>
      </c>
      <c r="AH62" s="58">
        <v>58.61</v>
      </c>
      <c r="AI62" s="54">
        <v>24.4</v>
      </c>
      <c r="AJ62" s="54">
        <v>462.24</v>
      </c>
      <c r="AK62" s="54">
        <v>153.16</v>
      </c>
      <c r="AL62" s="54">
        <v>215.35</v>
      </c>
      <c r="AM62" s="54">
        <v>160.48077976125285</v>
      </c>
      <c r="AN62" s="55" t="s">
        <v>596</v>
      </c>
      <c r="AO62" s="55"/>
      <c r="AP62" s="55"/>
      <c r="AQ62" s="55"/>
    </row>
    <row r="63" spans="1:43" s="58" customFormat="1" x14ac:dyDescent="0.2">
      <c r="A63" s="54" t="s">
        <v>521</v>
      </c>
      <c r="B63" s="54" t="s">
        <v>467</v>
      </c>
      <c r="C63" s="54">
        <v>15</v>
      </c>
      <c r="D63" s="54">
        <v>0</v>
      </c>
      <c r="E63" s="54">
        <v>166.67</v>
      </c>
      <c r="F63" s="54">
        <v>176.76</v>
      </c>
      <c r="G63" s="54">
        <v>2500.0500000000002</v>
      </c>
      <c r="H63" s="54">
        <v>0</v>
      </c>
      <c r="I63" s="54">
        <v>0</v>
      </c>
      <c r="J63" s="54">
        <v>2500.0500000000002</v>
      </c>
      <c r="K63" s="54">
        <v>0</v>
      </c>
      <c r="L63" s="63">
        <v>-9.6199999999999992</v>
      </c>
      <c r="M63" s="54">
        <v>62.97</v>
      </c>
      <c r="N63" s="54">
        <v>0</v>
      </c>
      <c r="O63" s="54">
        <v>0</v>
      </c>
      <c r="P63" s="46">
        <v>0</v>
      </c>
      <c r="Q63" s="46">
        <v>0</v>
      </c>
      <c r="R63" s="54">
        <v>0</v>
      </c>
      <c r="S63" s="54"/>
      <c r="T63" s="54">
        <v>0.1</v>
      </c>
      <c r="U63" s="54">
        <v>53.45</v>
      </c>
      <c r="V63" s="54">
        <v>2446.6</v>
      </c>
      <c r="W63" s="54">
        <v>16.57</v>
      </c>
      <c r="X63" s="54">
        <v>29.83</v>
      </c>
      <c r="Y63" s="54">
        <v>16.57</v>
      </c>
      <c r="Z63" s="63">
        <v>-160.30000000000001</v>
      </c>
      <c r="AA63" s="54">
        <v>150.66999999999999</v>
      </c>
      <c r="AC63" s="54">
        <v>46.4</v>
      </c>
      <c r="AD63" s="58">
        <v>83.52</v>
      </c>
      <c r="AE63" s="54">
        <v>304.94</v>
      </c>
      <c r="AF63" s="54">
        <v>2500.0500000000002</v>
      </c>
      <c r="AG63" s="54">
        <v>237.75</v>
      </c>
      <c r="AH63" s="54">
        <v>50</v>
      </c>
      <c r="AI63" s="54">
        <v>21.12</v>
      </c>
      <c r="AJ63" s="54">
        <v>434.86</v>
      </c>
      <c r="AK63" s="54">
        <v>132.57</v>
      </c>
      <c r="AL63" s="54">
        <v>211.23</v>
      </c>
      <c r="AM63" s="54">
        <v>136.89902529843388</v>
      </c>
      <c r="AN63" s="55" t="s">
        <v>596</v>
      </c>
      <c r="AO63" s="55"/>
      <c r="AP63" s="55"/>
      <c r="AQ63" s="55"/>
    </row>
    <row r="64" spans="1:43" s="58" customFormat="1" x14ac:dyDescent="0.2">
      <c r="A64" s="54" t="s">
        <v>523</v>
      </c>
      <c r="B64" s="54" t="s">
        <v>472</v>
      </c>
      <c r="C64" s="54">
        <v>15</v>
      </c>
      <c r="D64" s="54">
        <v>0</v>
      </c>
      <c r="E64" s="54">
        <v>166.67</v>
      </c>
      <c r="F64" s="54">
        <v>177.03</v>
      </c>
      <c r="G64" s="54">
        <v>2500.0500000000002</v>
      </c>
      <c r="H64" s="54">
        <v>0</v>
      </c>
      <c r="I64" s="54">
        <v>0</v>
      </c>
      <c r="J64" s="54">
        <v>2500.0500000000002</v>
      </c>
      <c r="K64" s="54">
        <v>0</v>
      </c>
      <c r="L64" s="54">
        <v>-9.6199999999999992</v>
      </c>
      <c r="M64" s="54">
        <v>63.07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/>
      <c r="T64" s="54">
        <v>0</v>
      </c>
      <c r="U64" s="54">
        <v>53.45</v>
      </c>
      <c r="V64" s="54">
        <v>2446.6</v>
      </c>
      <c r="W64" s="54">
        <v>16.600000000000001</v>
      </c>
      <c r="X64" s="54">
        <v>29.87</v>
      </c>
      <c r="Y64" s="54">
        <v>16.600000000000001</v>
      </c>
      <c r="Z64" s="63">
        <v>-160.30000000000001</v>
      </c>
      <c r="AA64" s="54">
        <v>150.66999999999999</v>
      </c>
      <c r="AC64" s="54">
        <v>46.47</v>
      </c>
      <c r="AD64" s="58">
        <v>83.65</v>
      </c>
      <c r="AE64" s="58">
        <v>305.01</v>
      </c>
      <c r="AF64" s="58">
        <v>2500.0500000000002</v>
      </c>
      <c r="AG64" s="58">
        <v>237.82999999999998</v>
      </c>
      <c r="AH64" s="58">
        <v>50</v>
      </c>
      <c r="AI64" s="54">
        <v>21.15</v>
      </c>
      <c r="AJ64" s="54">
        <v>435.13</v>
      </c>
      <c r="AK64" s="54">
        <v>132.77000000000001</v>
      </c>
      <c r="AL64" s="54">
        <v>211.27</v>
      </c>
      <c r="AM64" s="54">
        <v>136.89902529843388</v>
      </c>
      <c r="AN64" s="55" t="s">
        <v>596</v>
      </c>
      <c r="AO64" s="55"/>
      <c r="AP64" s="55"/>
      <c r="AQ64" s="55"/>
    </row>
    <row r="65" spans="1:43" s="58" customFormat="1" x14ac:dyDescent="0.2">
      <c r="A65" s="54" t="s">
        <v>525</v>
      </c>
      <c r="B65" s="54" t="s">
        <v>524</v>
      </c>
      <c r="C65" s="54">
        <v>15</v>
      </c>
      <c r="D65" s="54">
        <v>0</v>
      </c>
      <c r="E65" s="54">
        <v>200</v>
      </c>
      <c r="F65" s="54">
        <v>209.04</v>
      </c>
      <c r="G65" s="54">
        <v>3000</v>
      </c>
      <c r="H65" s="54">
        <v>0</v>
      </c>
      <c r="I65" s="54">
        <v>0</v>
      </c>
      <c r="J65" s="54">
        <v>3000</v>
      </c>
      <c r="K65" s="54">
        <v>59.69</v>
      </c>
      <c r="L65" s="54">
        <v>0</v>
      </c>
      <c r="M65" s="54">
        <v>74.48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/>
      <c r="T65" s="63">
        <v>0.03</v>
      </c>
      <c r="U65" s="54">
        <v>134.19999999999999</v>
      </c>
      <c r="V65" s="54">
        <v>2865.8</v>
      </c>
      <c r="W65" s="54">
        <v>19.600000000000001</v>
      </c>
      <c r="X65" s="54">
        <v>35.28</v>
      </c>
      <c r="Y65" s="54">
        <v>19.600000000000001</v>
      </c>
      <c r="Z65" s="63">
        <v>-145.38</v>
      </c>
      <c r="AA65" s="54">
        <v>205.07</v>
      </c>
      <c r="AC65" s="54">
        <v>54.87</v>
      </c>
      <c r="AD65" s="58">
        <v>98.77</v>
      </c>
      <c r="AE65" s="58">
        <v>313.41000000000003</v>
      </c>
      <c r="AF65" s="58">
        <v>3000</v>
      </c>
      <c r="AG65" s="58">
        <v>247.43</v>
      </c>
      <c r="AH65" s="58">
        <v>60</v>
      </c>
      <c r="AI65" s="54">
        <v>24.98</v>
      </c>
      <c r="AJ65" s="54">
        <v>467.05</v>
      </c>
      <c r="AK65" s="54">
        <v>156.78</v>
      </c>
      <c r="AL65" s="54">
        <v>216.07999999999998</v>
      </c>
      <c r="AM65" s="54">
        <v>164.27554484722373</v>
      </c>
      <c r="AN65" s="55" t="s">
        <v>596</v>
      </c>
      <c r="AO65" s="55"/>
      <c r="AP65" s="55"/>
      <c r="AQ65" s="55"/>
    </row>
    <row r="66" spans="1:43" s="58" customFormat="1" x14ac:dyDescent="0.2">
      <c r="A66" s="54" t="s">
        <v>529</v>
      </c>
      <c r="B66" s="54" t="s">
        <v>530</v>
      </c>
      <c r="C66" s="54">
        <v>15</v>
      </c>
      <c r="D66" s="54">
        <v>0</v>
      </c>
      <c r="E66" s="54">
        <v>166.67</v>
      </c>
      <c r="F66" s="54">
        <v>175.8</v>
      </c>
      <c r="G66" s="54">
        <v>2500.0500000000002</v>
      </c>
      <c r="H66" s="54">
        <v>0</v>
      </c>
      <c r="I66" s="54">
        <v>0</v>
      </c>
      <c r="J66" s="54">
        <v>2500.0500000000002</v>
      </c>
      <c r="K66" s="54">
        <v>0</v>
      </c>
      <c r="L66" s="54">
        <v>-9.6199999999999992</v>
      </c>
      <c r="M66" s="54">
        <v>62.63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/>
      <c r="T66" s="63">
        <v>-0.16</v>
      </c>
      <c r="U66" s="54">
        <v>52.85</v>
      </c>
      <c r="V66" s="54">
        <v>2447.1999999999998</v>
      </c>
      <c r="W66" s="54">
        <v>16.48</v>
      </c>
      <c r="X66" s="54">
        <v>29.67</v>
      </c>
      <c r="Y66" s="54">
        <v>16.48</v>
      </c>
      <c r="Z66" s="63">
        <v>-160.30000000000001</v>
      </c>
      <c r="AA66" s="54">
        <v>150.66999999999999</v>
      </c>
      <c r="AC66" s="54">
        <v>46.15</v>
      </c>
      <c r="AD66" s="58">
        <v>83.07</v>
      </c>
      <c r="AE66" s="58">
        <v>304.69</v>
      </c>
      <c r="AF66" s="58">
        <v>2500.0500000000002</v>
      </c>
      <c r="AG66" s="58">
        <v>237.46</v>
      </c>
      <c r="AH66" s="58">
        <v>50</v>
      </c>
      <c r="AI66" s="54">
        <v>21.01</v>
      </c>
      <c r="AJ66" s="54">
        <v>433.91</v>
      </c>
      <c r="AK66" s="54">
        <v>131.85</v>
      </c>
      <c r="AL66" s="54">
        <v>211.09</v>
      </c>
      <c r="AM66" s="54">
        <v>136.89902529843388</v>
      </c>
      <c r="AN66" s="55" t="s">
        <v>596</v>
      </c>
      <c r="AO66" s="55"/>
      <c r="AP66" s="55"/>
      <c r="AQ66" s="55"/>
    </row>
    <row r="67" spans="1:43" s="58" customFormat="1" x14ac:dyDescent="0.2">
      <c r="A67" s="54" t="s">
        <v>554</v>
      </c>
      <c r="B67" s="54" t="s">
        <v>555</v>
      </c>
      <c r="C67" s="54">
        <v>15</v>
      </c>
      <c r="D67" s="54">
        <v>0</v>
      </c>
      <c r="E67" s="54">
        <v>166.66</v>
      </c>
      <c r="F67" s="54">
        <v>174.19</v>
      </c>
      <c r="G67" s="54">
        <v>2499.9</v>
      </c>
      <c r="H67" s="54">
        <v>0</v>
      </c>
      <c r="I67" s="54">
        <v>0</v>
      </c>
      <c r="J67" s="54">
        <v>2499.9</v>
      </c>
      <c r="K67" s="54">
        <v>0</v>
      </c>
      <c r="L67" s="54">
        <v>-9.64</v>
      </c>
      <c r="M67" s="54">
        <v>62.06</v>
      </c>
      <c r="N67" s="54">
        <v>417.76</v>
      </c>
      <c r="O67" s="54">
        <v>0</v>
      </c>
      <c r="P67" s="54">
        <v>15</v>
      </c>
      <c r="Q67" s="54">
        <v>0</v>
      </c>
      <c r="R67" s="54">
        <v>0</v>
      </c>
      <c r="S67" s="54"/>
      <c r="T67" s="54">
        <v>-0.08</v>
      </c>
      <c r="U67" s="54">
        <v>485.1</v>
      </c>
      <c r="V67" s="54">
        <v>2014.8</v>
      </c>
      <c r="W67" s="54">
        <v>16.329999999999998</v>
      </c>
      <c r="X67" s="54">
        <v>29.4</v>
      </c>
      <c r="Y67" s="54">
        <v>16.329999999999998</v>
      </c>
      <c r="Z67" s="63">
        <v>-160.30000000000001</v>
      </c>
      <c r="AA67" s="54">
        <v>150.66</v>
      </c>
      <c r="AC67" s="54">
        <v>45.73</v>
      </c>
      <c r="AD67" s="58">
        <v>82.31</v>
      </c>
      <c r="AE67" s="58">
        <v>304.27</v>
      </c>
      <c r="AF67" s="58">
        <v>2499.9</v>
      </c>
      <c r="AG67" s="58">
        <v>236.98</v>
      </c>
      <c r="AH67" s="58">
        <v>50</v>
      </c>
      <c r="AI67" s="54">
        <v>20.81</v>
      </c>
      <c r="AJ67" s="54">
        <v>432.31</v>
      </c>
      <c r="AK67" s="54">
        <v>130.65</v>
      </c>
      <c r="AL67" s="54">
        <v>210.85</v>
      </c>
      <c r="AM67" s="54">
        <v>136.89081152119152</v>
      </c>
      <c r="AN67" s="55" t="s">
        <v>596</v>
      </c>
      <c r="AO67" s="55"/>
      <c r="AP67" s="55"/>
      <c r="AQ67" s="55"/>
    </row>
    <row r="68" spans="1:43" s="58" customFormat="1" x14ac:dyDescent="0.2">
      <c r="A68" s="54" t="s">
        <v>558</v>
      </c>
      <c r="B68" s="54" t="s">
        <v>559</v>
      </c>
      <c r="C68" s="54">
        <v>15</v>
      </c>
      <c r="D68" s="54">
        <v>0</v>
      </c>
      <c r="E68" s="54">
        <v>200</v>
      </c>
      <c r="F68" s="54">
        <v>212.11</v>
      </c>
      <c r="G68" s="54">
        <v>3000</v>
      </c>
      <c r="H68" s="54">
        <v>0</v>
      </c>
      <c r="I68" s="54">
        <v>0</v>
      </c>
      <c r="J68" s="54">
        <v>3000</v>
      </c>
      <c r="K68" s="54">
        <v>59.69</v>
      </c>
      <c r="L68" s="54">
        <v>0</v>
      </c>
      <c r="M68" s="54">
        <v>75.56</v>
      </c>
      <c r="N68" s="54">
        <v>0</v>
      </c>
      <c r="O68" s="54">
        <v>0</v>
      </c>
      <c r="P68" s="54">
        <v>0</v>
      </c>
      <c r="Q68" s="54">
        <v>581.73</v>
      </c>
      <c r="R68" s="54">
        <v>0</v>
      </c>
      <c r="S68" s="54"/>
      <c r="T68" s="54">
        <v>0.02</v>
      </c>
      <c r="U68" s="54">
        <v>717</v>
      </c>
      <c r="V68" s="54">
        <v>2283</v>
      </c>
      <c r="W68" s="54">
        <v>19.89</v>
      </c>
      <c r="X68" s="54">
        <v>35.79</v>
      </c>
      <c r="Y68" s="54">
        <v>19.88</v>
      </c>
      <c r="Z68" s="63">
        <v>-145.38</v>
      </c>
      <c r="AA68" s="54">
        <v>205.07</v>
      </c>
      <c r="AC68" s="54">
        <v>55.68</v>
      </c>
      <c r="AD68" s="58">
        <v>100.22</v>
      </c>
      <c r="AE68" s="58">
        <v>314.22000000000003</v>
      </c>
      <c r="AF68" s="58">
        <v>3000</v>
      </c>
      <c r="AG68" s="58">
        <v>248.35</v>
      </c>
      <c r="AH68" s="58">
        <v>60</v>
      </c>
      <c r="AI68" s="54">
        <v>25.34</v>
      </c>
      <c r="AJ68" s="54">
        <v>470.12</v>
      </c>
      <c r="AK68" s="54">
        <v>159.08000000000001</v>
      </c>
      <c r="AL68" s="54">
        <v>216.54</v>
      </c>
      <c r="AM68" s="54">
        <v>164.27554484722373</v>
      </c>
      <c r="AN68" s="55" t="s">
        <v>596</v>
      </c>
      <c r="AO68" s="55"/>
      <c r="AP68" s="55"/>
      <c r="AQ68" s="55"/>
    </row>
    <row r="69" spans="1:43" s="58" customFormat="1" x14ac:dyDescent="0.2">
      <c r="A69" s="54" t="s">
        <v>562</v>
      </c>
      <c r="B69" s="54" t="s">
        <v>563</v>
      </c>
      <c r="C69" s="54">
        <v>13</v>
      </c>
      <c r="D69" s="54">
        <v>0</v>
      </c>
      <c r="E69" s="54">
        <v>256.67</v>
      </c>
      <c r="F69" s="54">
        <v>272.20999999999998</v>
      </c>
      <c r="G69" s="54">
        <v>3336.71</v>
      </c>
      <c r="H69" s="54">
        <v>0</v>
      </c>
      <c r="I69" s="54">
        <v>0</v>
      </c>
      <c r="J69" s="54">
        <v>3336.71</v>
      </c>
      <c r="K69" s="54">
        <v>116.6</v>
      </c>
      <c r="L69" s="54">
        <v>0</v>
      </c>
      <c r="M69" s="54">
        <v>88.57</v>
      </c>
      <c r="N69" s="54">
        <v>0</v>
      </c>
      <c r="O69" s="54">
        <v>0</v>
      </c>
      <c r="P69" s="54">
        <v>0</v>
      </c>
      <c r="Q69" s="54">
        <v>0</v>
      </c>
      <c r="R69" s="54">
        <v>616.65</v>
      </c>
      <c r="S69" s="54"/>
      <c r="T69" s="54">
        <v>-0.11</v>
      </c>
      <c r="U69" s="54">
        <v>821.71</v>
      </c>
      <c r="V69" s="54">
        <v>2515</v>
      </c>
      <c r="W69" s="54">
        <v>22.12</v>
      </c>
      <c r="X69" s="54">
        <v>39.81</v>
      </c>
      <c r="Y69" s="54">
        <v>26.64</v>
      </c>
      <c r="Z69" s="63">
        <v>-125.1</v>
      </c>
      <c r="AA69" s="54">
        <v>241.7</v>
      </c>
      <c r="AC69" s="54">
        <v>71.459999999999994</v>
      </c>
      <c r="AD69" s="58">
        <v>128.62</v>
      </c>
      <c r="AE69" s="58">
        <v>333.08</v>
      </c>
      <c r="AF69" s="58">
        <v>3336.71</v>
      </c>
      <c r="AG69" s="58">
        <v>266.38</v>
      </c>
      <c r="AH69" s="58">
        <v>66.73</v>
      </c>
      <c r="AI69" s="54">
        <v>32.53</v>
      </c>
      <c r="AJ69" s="54">
        <v>533.16</v>
      </c>
      <c r="AK69" s="54">
        <v>204.16</v>
      </c>
      <c r="AL69" s="54">
        <v>225.55</v>
      </c>
      <c r="AM69" s="54">
        <v>210.8230204796846</v>
      </c>
      <c r="AN69" s="58" t="s">
        <v>596</v>
      </c>
      <c r="AO69" s="55"/>
      <c r="AP69" s="55"/>
      <c r="AQ69" s="55"/>
    </row>
    <row r="70" spans="1:43" s="58" customFormat="1" x14ac:dyDescent="0.2">
      <c r="A70" s="47" t="s">
        <v>566</v>
      </c>
      <c r="B70" s="47" t="s">
        <v>567</v>
      </c>
      <c r="C70" s="52">
        <v>15</v>
      </c>
      <c r="D70" s="52">
        <v>0</v>
      </c>
      <c r="E70" s="52">
        <v>166.67</v>
      </c>
      <c r="F70" s="52">
        <v>174.2</v>
      </c>
      <c r="G70" s="52">
        <v>2500.0500000000002</v>
      </c>
      <c r="H70" s="52">
        <v>0</v>
      </c>
      <c r="I70" s="52">
        <v>0</v>
      </c>
      <c r="J70" s="52">
        <v>2500.0500000000002</v>
      </c>
      <c r="K70" s="52">
        <v>0</v>
      </c>
      <c r="L70" s="52">
        <v>-9.6199999999999992</v>
      </c>
      <c r="M70" s="52">
        <v>62.06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/>
      <c r="T70" s="52">
        <v>0.01</v>
      </c>
      <c r="U70" s="52">
        <v>52.45</v>
      </c>
      <c r="V70" s="52">
        <v>2447.6</v>
      </c>
      <c r="W70" s="52">
        <v>16.329999999999998</v>
      </c>
      <c r="X70" s="52">
        <v>29.4</v>
      </c>
      <c r="Y70" s="52">
        <v>16.329999999999998</v>
      </c>
      <c r="Z70" s="62">
        <v>-160.30000000000001</v>
      </c>
      <c r="AA70" s="52">
        <v>150.66999999999999</v>
      </c>
      <c r="AB70" s="55"/>
      <c r="AC70" s="52">
        <v>45.73</v>
      </c>
      <c r="AD70" s="55">
        <v>82.31</v>
      </c>
      <c r="AE70" s="55">
        <v>304.27</v>
      </c>
      <c r="AF70" s="55">
        <v>2500.0500000000002</v>
      </c>
      <c r="AG70" s="55">
        <v>236.98</v>
      </c>
      <c r="AH70" s="55">
        <v>50</v>
      </c>
      <c r="AI70" s="52">
        <v>20.82</v>
      </c>
      <c r="AJ70" s="52">
        <v>432.31</v>
      </c>
      <c r="AK70" s="52">
        <v>130.65</v>
      </c>
      <c r="AL70" s="52">
        <v>210.85</v>
      </c>
      <c r="AM70" s="52">
        <v>136.89902529843388</v>
      </c>
      <c r="AN70" s="58" t="s">
        <v>596</v>
      </c>
      <c r="AO70" s="55"/>
      <c r="AP70" s="55"/>
      <c r="AQ70" s="55"/>
    </row>
    <row r="71" spans="1:43" s="58" customFormat="1" x14ac:dyDescent="0.2">
      <c r="A71" s="47" t="s">
        <v>571</v>
      </c>
      <c r="B71" s="47" t="s">
        <v>572</v>
      </c>
      <c r="C71" s="52">
        <v>15</v>
      </c>
      <c r="D71" s="52">
        <v>0</v>
      </c>
      <c r="E71" s="52">
        <v>233.33</v>
      </c>
      <c r="F71" s="52">
        <v>243.88</v>
      </c>
      <c r="G71" s="52">
        <v>3499.95</v>
      </c>
      <c r="H71" s="52">
        <v>0</v>
      </c>
      <c r="I71" s="52">
        <v>0</v>
      </c>
      <c r="J71" s="52">
        <v>3499.95</v>
      </c>
      <c r="K71" s="52">
        <v>134.36000000000001</v>
      </c>
      <c r="L71" s="52">
        <v>0</v>
      </c>
      <c r="M71" s="52">
        <v>86.88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/>
      <c r="T71" s="52">
        <v>-0.09</v>
      </c>
      <c r="U71" s="52">
        <v>221.15</v>
      </c>
      <c r="V71" s="52">
        <v>3278.8</v>
      </c>
      <c r="W71" s="52">
        <v>22.86</v>
      </c>
      <c r="X71" s="52">
        <v>41.15</v>
      </c>
      <c r="Y71" s="52">
        <v>22.87</v>
      </c>
      <c r="Z71" s="62">
        <v>-125.1</v>
      </c>
      <c r="AA71" s="52">
        <v>259.45999999999998</v>
      </c>
      <c r="AB71" s="55"/>
      <c r="AC71" s="52">
        <v>64.02</v>
      </c>
      <c r="AD71" s="55">
        <v>115.23</v>
      </c>
      <c r="AE71" s="55">
        <v>322.56</v>
      </c>
      <c r="AF71" s="55">
        <v>3499.95</v>
      </c>
      <c r="AG71" s="55">
        <v>257.88</v>
      </c>
      <c r="AH71" s="55">
        <v>70</v>
      </c>
      <c r="AI71" s="52">
        <v>29.14</v>
      </c>
      <c r="AJ71" s="52">
        <v>501.81</v>
      </c>
      <c r="AK71" s="52">
        <v>182.91</v>
      </c>
      <c r="AL71" s="52">
        <v>221.3</v>
      </c>
      <c r="AM71" s="52">
        <v>191.65206439601357</v>
      </c>
      <c r="AN71" s="58" t="s">
        <v>596</v>
      </c>
      <c r="AO71" s="55"/>
      <c r="AP71" s="55"/>
      <c r="AQ71" s="55"/>
    </row>
    <row r="72" spans="1:43" s="58" customFormat="1" x14ac:dyDescent="0.2">
      <c r="A72" s="47" t="s">
        <v>573</v>
      </c>
      <c r="B72" s="47" t="s">
        <v>574</v>
      </c>
      <c r="C72" s="52">
        <v>15</v>
      </c>
      <c r="D72" s="52">
        <v>0</v>
      </c>
      <c r="E72" s="52">
        <v>230</v>
      </c>
      <c r="F72" s="52">
        <v>243.93</v>
      </c>
      <c r="G72" s="52">
        <v>3450</v>
      </c>
      <c r="H72" s="52">
        <v>0</v>
      </c>
      <c r="I72" s="52">
        <v>0</v>
      </c>
      <c r="J72" s="52">
        <v>3450</v>
      </c>
      <c r="K72" s="52">
        <v>128.93</v>
      </c>
      <c r="L72" s="52">
        <v>0</v>
      </c>
      <c r="M72" s="52">
        <v>86.9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/>
      <c r="T72" s="52">
        <v>-0.03</v>
      </c>
      <c r="U72" s="52">
        <v>215.8</v>
      </c>
      <c r="V72" s="52">
        <v>3234.2</v>
      </c>
      <c r="W72" s="52">
        <v>22.87</v>
      </c>
      <c r="X72" s="52">
        <v>41.16</v>
      </c>
      <c r="Y72" s="52">
        <v>22.87</v>
      </c>
      <c r="Z72" s="62">
        <v>-125.1</v>
      </c>
      <c r="AA72" s="52">
        <v>254.03</v>
      </c>
      <c r="AB72" s="55"/>
      <c r="AC72" s="52">
        <v>64.03</v>
      </c>
      <c r="AD72" s="55">
        <v>115.26</v>
      </c>
      <c r="AE72" s="55">
        <v>322.57</v>
      </c>
      <c r="AF72" s="55">
        <v>3450</v>
      </c>
      <c r="AG72" s="55">
        <v>257.89999999999998</v>
      </c>
      <c r="AH72" s="55">
        <v>69</v>
      </c>
      <c r="AI72" s="52">
        <v>29.15</v>
      </c>
      <c r="AJ72" s="52">
        <v>501.86</v>
      </c>
      <c r="AK72" s="52">
        <v>182.95</v>
      </c>
      <c r="AL72" s="52">
        <v>221.31</v>
      </c>
      <c r="AM72" s="52">
        <v>188.91687657430728</v>
      </c>
      <c r="AN72" s="58" t="s">
        <v>596</v>
      </c>
      <c r="AO72" s="55"/>
      <c r="AP72" s="55"/>
      <c r="AQ72" s="55"/>
    </row>
    <row r="73" spans="1:43" s="58" customFormat="1" x14ac:dyDescent="0.2">
      <c r="A73" s="47" t="s">
        <v>575</v>
      </c>
      <c r="B73" s="47" t="s">
        <v>576</v>
      </c>
      <c r="C73" s="52">
        <v>15</v>
      </c>
      <c r="D73" s="52">
        <v>0</v>
      </c>
      <c r="E73" s="52">
        <v>233.33</v>
      </c>
      <c r="F73" s="52">
        <v>247.46</v>
      </c>
      <c r="G73" s="52">
        <v>3499.95</v>
      </c>
      <c r="H73" s="52">
        <v>0</v>
      </c>
      <c r="I73" s="52">
        <v>0</v>
      </c>
      <c r="J73" s="52">
        <v>3499.95</v>
      </c>
      <c r="K73" s="52">
        <v>134.36000000000001</v>
      </c>
      <c r="L73" s="52">
        <v>0</v>
      </c>
      <c r="M73" s="52">
        <v>88.16</v>
      </c>
      <c r="N73" s="52">
        <v>1463.13</v>
      </c>
      <c r="O73" s="52">
        <v>0</v>
      </c>
      <c r="P73" s="52">
        <v>15</v>
      </c>
      <c r="Q73" s="52">
        <v>0</v>
      </c>
      <c r="R73" s="52">
        <v>0</v>
      </c>
      <c r="S73" s="52"/>
      <c r="T73" s="52">
        <v>-0.1</v>
      </c>
      <c r="U73" s="52">
        <v>1700.55</v>
      </c>
      <c r="V73" s="52">
        <v>1799.4</v>
      </c>
      <c r="W73" s="52">
        <v>23.2</v>
      </c>
      <c r="X73" s="52">
        <v>41.76</v>
      </c>
      <c r="Y73" s="52">
        <v>23.2</v>
      </c>
      <c r="Z73" s="62">
        <v>-125.1</v>
      </c>
      <c r="AA73" s="52">
        <v>259.45999999999998</v>
      </c>
      <c r="AB73" s="55"/>
      <c r="AC73" s="52">
        <v>64.959999999999994</v>
      </c>
      <c r="AD73" s="55">
        <v>116.92</v>
      </c>
      <c r="AE73" s="55">
        <v>323.5</v>
      </c>
      <c r="AF73" s="55">
        <v>3499.95</v>
      </c>
      <c r="AG73" s="55">
        <v>258.95999999999998</v>
      </c>
      <c r="AH73" s="55">
        <v>70</v>
      </c>
      <c r="AI73" s="52">
        <v>29.57</v>
      </c>
      <c r="AJ73" s="52">
        <v>505.38</v>
      </c>
      <c r="AK73" s="52">
        <v>185.6</v>
      </c>
      <c r="AL73" s="52">
        <v>221.84</v>
      </c>
      <c r="AM73" s="52">
        <v>191.65206439601357</v>
      </c>
      <c r="AN73" s="58" t="s">
        <v>596</v>
      </c>
      <c r="AO73" s="55"/>
      <c r="AP73" s="55"/>
      <c r="AQ73" s="55"/>
    </row>
    <row r="74" spans="1:43" s="58" customFormat="1" x14ac:dyDescent="0.2">
      <c r="A74" s="47" t="s">
        <v>577</v>
      </c>
      <c r="B74" s="47" t="s">
        <v>578</v>
      </c>
      <c r="C74" s="52">
        <v>15</v>
      </c>
      <c r="D74" s="52">
        <v>0</v>
      </c>
      <c r="E74" s="52">
        <v>210</v>
      </c>
      <c r="F74" s="52">
        <v>222.72</v>
      </c>
      <c r="G74" s="52">
        <v>3150</v>
      </c>
      <c r="H74" s="52">
        <v>0</v>
      </c>
      <c r="I74" s="52">
        <v>0</v>
      </c>
      <c r="J74" s="52">
        <v>3150</v>
      </c>
      <c r="K74" s="52">
        <v>96.29</v>
      </c>
      <c r="L74" s="52">
        <v>0</v>
      </c>
      <c r="M74" s="52">
        <v>79.34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/>
      <c r="T74" s="52">
        <v>0.17</v>
      </c>
      <c r="U74" s="52">
        <v>175.8</v>
      </c>
      <c r="V74" s="52">
        <v>2974.2</v>
      </c>
      <c r="W74" s="52">
        <v>20.88</v>
      </c>
      <c r="X74" s="52">
        <v>37.58</v>
      </c>
      <c r="Y74" s="52">
        <v>20.88</v>
      </c>
      <c r="Z74" s="62">
        <v>-125.1</v>
      </c>
      <c r="AA74" s="52">
        <v>221.39</v>
      </c>
      <c r="AB74" s="55"/>
      <c r="AC74" s="52">
        <v>58.46</v>
      </c>
      <c r="AD74" s="55">
        <v>105.24</v>
      </c>
      <c r="AE74" s="55">
        <v>317.01</v>
      </c>
      <c r="AF74" s="55">
        <v>3150</v>
      </c>
      <c r="AG74" s="55">
        <v>251.54</v>
      </c>
      <c r="AH74" s="55">
        <v>63</v>
      </c>
      <c r="AI74" s="52">
        <v>26.61</v>
      </c>
      <c r="AJ74" s="52">
        <v>480.71</v>
      </c>
      <c r="AK74" s="52">
        <v>167.04</v>
      </c>
      <c r="AL74" s="52">
        <v>218.13</v>
      </c>
      <c r="AM74" s="52">
        <v>172.48932208958493</v>
      </c>
      <c r="AN74" s="58" t="s">
        <v>596</v>
      </c>
      <c r="AO74" s="55"/>
      <c r="AP74" s="55"/>
      <c r="AQ74" s="55"/>
    </row>
    <row r="75" spans="1:43" s="58" customFormat="1" x14ac:dyDescent="0.2">
      <c r="A75" s="47" t="s">
        <v>579</v>
      </c>
      <c r="B75" s="47" t="s">
        <v>580</v>
      </c>
      <c r="C75" s="52">
        <v>15</v>
      </c>
      <c r="D75" s="52">
        <v>0</v>
      </c>
      <c r="E75" s="52">
        <v>210</v>
      </c>
      <c r="F75" s="52">
        <v>222.72</v>
      </c>
      <c r="G75" s="52">
        <v>3150</v>
      </c>
      <c r="H75" s="52">
        <v>0</v>
      </c>
      <c r="I75" s="52">
        <v>0</v>
      </c>
      <c r="J75" s="52">
        <v>3150</v>
      </c>
      <c r="K75" s="52">
        <v>96.29</v>
      </c>
      <c r="L75" s="52">
        <v>0</v>
      </c>
      <c r="M75" s="52">
        <v>79.34</v>
      </c>
      <c r="N75" s="52">
        <v>0</v>
      </c>
      <c r="O75" s="52">
        <v>312.35000000000002</v>
      </c>
      <c r="P75" s="52">
        <v>15</v>
      </c>
      <c r="Q75" s="52">
        <v>0</v>
      </c>
      <c r="R75" s="52">
        <v>0</v>
      </c>
      <c r="S75" s="52"/>
      <c r="T75" s="52">
        <v>0.02</v>
      </c>
      <c r="U75" s="52">
        <v>503</v>
      </c>
      <c r="V75" s="52">
        <v>2647</v>
      </c>
      <c r="W75" s="52">
        <v>20.88</v>
      </c>
      <c r="X75" s="52">
        <v>37.58</v>
      </c>
      <c r="Y75" s="52">
        <v>20.88</v>
      </c>
      <c r="Z75" s="62">
        <v>-125.1</v>
      </c>
      <c r="AA75" s="52">
        <v>221.39</v>
      </c>
      <c r="AB75" s="55"/>
      <c r="AC75" s="52">
        <v>58.46</v>
      </c>
      <c r="AD75" s="55">
        <v>105.24</v>
      </c>
      <c r="AE75" s="55">
        <v>317.01</v>
      </c>
      <c r="AF75" s="55">
        <v>3150</v>
      </c>
      <c r="AG75" s="55">
        <v>251.54</v>
      </c>
      <c r="AH75" s="55">
        <v>63</v>
      </c>
      <c r="AI75" s="52">
        <v>26.61</v>
      </c>
      <c r="AJ75" s="52">
        <v>480.71</v>
      </c>
      <c r="AK75" s="52">
        <v>167.04</v>
      </c>
      <c r="AL75" s="52">
        <v>218.13</v>
      </c>
      <c r="AM75" s="52">
        <v>172.48932208958493</v>
      </c>
      <c r="AN75" s="58" t="s">
        <v>596</v>
      </c>
      <c r="AO75" s="55"/>
      <c r="AP75" s="55"/>
      <c r="AQ75" s="55"/>
    </row>
    <row r="76" spans="1:43" s="58" customFormat="1" x14ac:dyDescent="0.2">
      <c r="A76" s="52" t="s">
        <v>581</v>
      </c>
      <c r="B76" s="52" t="s">
        <v>582</v>
      </c>
      <c r="C76" s="52">
        <v>15</v>
      </c>
      <c r="D76" s="52">
        <v>0</v>
      </c>
      <c r="E76" s="52">
        <v>210</v>
      </c>
      <c r="F76" s="52">
        <v>222.72</v>
      </c>
      <c r="G76" s="52">
        <v>3150</v>
      </c>
      <c r="H76" s="52">
        <v>0</v>
      </c>
      <c r="I76" s="52">
        <v>0</v>
      </c>
      <c r="J76" s="52">
        <v>3150</v>
      </c>
      <c r="K76" s="52">
        <v>96.29</v>
      </c>
      <c r="L76" s="52">
        <v>0</v>
      </c>
      <c r="M76" s="52">
        <v>79.34</v>
      </c>
      <c r="N76" s="52">
        <v>0</v>
      </c>
      <c r="O76" s="52">
        <v>0</v>
      </c>
      <c r="P76" s="52">
        <v>0</v>
      </c>
      <c r="Q76" s="52">
        <v>0</v>
      </c>
      <c r="R76" s="52">
        <v>0</v>
      </c>
      <c r="S76" s="52"/>
      <c r="T76" s="52">
        <v>0.17</v>
      </c>
      <c r="U76" s="52">
        <v>175.8</v>
      </c>
      <c r="V76" s="52">
        <v>2974.2</v>
      </c>
      <c r="W76" s="52">
        <v>20.88</v>
      </c>
      <c r="X76" s="52">
        <v>37.58</v>
      </c>
      <c r="Y76" s="52">
        <v>20.88</v>
      </c>
      <c r="Z76" s="62">
        <v>-125.1</v>
      </c>
      <c r="AA76" s="52">
        <v>221.39</v>
      </c>
      <c r="AB76" s="55"/>
      <c r="AC76" s="52">
        <v>58.46</v>
      </c>
      <c r="AD76" s="55">
        <v>105.24</v>
      </c>
      <c r="AE76" s="55">
        <v>317.01</v>
      </c>
      <c r="AF76" s="55">
        <v>3150</v>
      </c>
      <c r="AG76" s="55">
        <v>251.54</v>
      </c>
      <c r="AH76" s="55">
        <v>63</v>
      </c>
      <c r="AI76" s="52">
        <v>26.61</v>
      </c>
      <c r="AJ76" s="52">
        <v>480.71</v>
      </c>
      <c r="AK76" s="52">
        <v>167.04</v>
      </c>
      <c r="AL76" s="52">
        <v>218.13</v>
      </c>
      <c r="AM76" s="52">
        <v>172.48932208958493</v>
      </c>
      <c r="AN76" s="58" t="s">
        <v>596</v>
      </c>
      <c r="AO76" s="55"/>
      <c r="AP76" s="55"/>
      <c r="AQ76" s="55"/>
    </row>
    <row r="77" spans="1:43" s="58" customFormat="1" x14ac:dyDescent="0.2">
      <c r="A77" s="54" t="s">
        <v>583</v>
      </c>
      <c r="B77" s="54" t="s">
        <v>584</v>
      </c>
      <c r="C77" s="54">
        <v>15</v>
      </c>
      <c r="D77" s="54">
        <v>0</v>
      </c>
      <c r="E77" s="54">
        <v>210</v>
      </c>
      <c r="F77" s="54">
        <v>222.72</v>
      </c>
      <c r="G77" s="54">
        <v>3150</v>
      </c>
      <c r="H77" s="54">
        <v>0</v>
      </c>
      <c r="I77" s="54">
        <v>0</v>
      </c>
      <c r="J77" s="54">
        <v>3150</v>
      </c>
      <c r="K77" s="54">
        <v>96.29</v>
      </c>
      <c r="L77" s="54">
        <v>0</v>
      </c>
      <c r="M77" s="54">
        <v>79.34</v>
      </c>
      <c r="N77" s="54">
        <v>0</v>
      </c>
      <c r="O77" s="54">
        <v>961.79</v>
      </c>
      <c r="P77" s="54">
        <v>15</v>
      </c>
      <c r="Q77" s="54">
        <v>0</v>
      </c>
      <c r="R77" s="54">
        <v>0</v>
      </c>
      <c r="S77" s="54"/>
      <c r="T77" s="54">
        <v>-0.02</v>
      </c>
      <c r="U77" s="54">
        <v>1152.4000000000001</v>
      </c>
      <c r="V77" s="54">
        <v>1997.6</v>
      </c>
      <c r="W77" s="54">
        <v>20.88</v>
      </c>
      <c r="X77" s="54">
        <v>37.58</v>
      </c>
      <c r="Y77" s="54">
        <v>20.88</v>
      </c>
      <c r="Z77" s="63">
        <v>-125.1</v>
      </c>
      <c r="AA77" s="54">
        <v>221.39</v>
      </c>
      <c r="AC77" s="54">
        <v>58.46</v>
      </c>
      <c r="AD77" s="58">
        <v>105.24</v>
      </c>
      <c r="AE77" s="58">
        <v>317.01</v>
      </c>
      <c r="AF77" s="58">
        <v>3150</v>
      </c>
      <c r="AG77" s="58">
        <v>251.54</v>
      </c>
      <c r="AH77" s="58">
        <v>63</v>
      </c>
      <c r="AI77" s="54">
        <v>26.61</v>
      </c>
      <c r="AJ77" s="54">
        <v>480.71</v>
      </c>
      <c r="AK77" s="54">
        <v>167.04</v>
      </c>
      <c r="AL77" s="54">
        <v>218.13</v>
      </c>
      <c r="AM77" s="54">
        <v>172.48932208958493</v>
      </c>
      <c r="AN77" s="58" t="s">
        <v>596</v>
      </c>
      <c r="AO77" s="55"/>
      <c r="AP77" s="55"/>
      <c r="AQ77" s="55"/>
    </row>
    <row r="78" spans="1:43" s="58" customFormat="1" x14ac:dyDescent="0.2">
      <c r="A78" s="52" t="s">
        <v>587</v>
      </c>
      <c r="B78" s="52" t="s">
        <v>588</v>
      </c>
      <c r="C78" s="52">
        <v>15</v>
      </c>
      <c r="D78" s="52">
        <v>0</v>
      </c>
      <c r="E78" s="52">
        <v>200</v>
      </c>
      <c r="F78" s="52">
        <v>209.04</v>
      </c>
      <c r="G78" s="52">
        <v>3000</v>
      </c>
      <c r="H78" s="52">
        <v>0</v>
      </c>
      <c r="I78" s="52">
        <v>0</v>
      </c>
      <c r="J78" s="52">
        <v>3000</v>
      </c>
      <c r="K78" s="52">
        <v>59.69</v>
      </c>
      <c r="L78" s="52">
        <v>0</v>
      </c>
      <c r="M78" s="52">
        <v>74.48</v>
      </c>
      <c r="N78" s="52">
        <v>0</v>
      </c>
      <c r="O78" s="52">
        <v>1605.6</v>
      </c>
      <c r="P78" s="52">
        <v>15</v>
      </c>
      <c r="Q78" s="52">
        <v>0</v>
      </c>
      <c r="R78" s="52">
        <v>0</v>
      </c>
      <c r="S78" s="52"/>
      <c r="T78" s="52">
        <v>0.03</v>
      </c>
      <c r="U78" s="52">
        <v>1754.8</v>
      </c>
      <c r="V78" s="52">
        <v>1245.2</v>
      </c>
      <c r="W78" s="52">
        <v>19.600000000000001</v>
      </c>
      <c r="X78" s="52">
        <v>35.28</v>
      </c>
      <c r="Y78" s="52">
        <v>19.600000000000001</v>
      </c>
      <c r="Z78" s="62">
        <v>-145.38</v>
      </c>
      <c r="AA78" s="52">
        <v>205.07</v>
      </c>
      <c r="AB78" s="55"/>
      <c r="AC78" s="52">
        <v>54.87</v>
      </c>
      <c r="AD78" s="55">
        <v>98.77</v>
      </c>
      <c r="AE78" s="55">
        <v>313.41000000000003</v>
      </c>
      <c r="AF78" s="55">
        <v>3000</v>
      </c>
      <c r="AG78" s="55">
        <v>247.43</v>
      </c>
      <c r="AH78" s="55">
        <v>60</v>
      </c>
      <c r="AI78" s="52">
        <v>24.98</v>
      </c>
      <c r="AJ78" s="52">
        <v>467.05</v>
      </c>
      <c r="AK78" s="52">
        <v>156.78</v>
      </c>
      <c r="AL78" s="52">
        <v>216.07999999999998</v>
      </c>
      <c r="AM78" s="52">
        <v>164.27554484722373</v>
      </c>
      <c r="AN78" s="55" t="s">
        <v>596</v>
      </c>
      <c r="AO78" s="55"/>
      <c r="AP78" s="55"/>
      <c r="AQ78" s="55"/>
    </row>
    <row r="79" spans="1:43" s="58" customFormat="1" x14ac:dyDescent="0.2">
      <c r="A79" s="52" t="s">
        <v>589</v>
      </c>
      <c r="B79" s="52" t="s">
        <v>590</v>
      </c>
      <c r="C79" s="52">
        <v>7</v>
      </c>
      <c r="D79" s="52">
        <v>0</v>
      </c>
      <c r="E79" s="52">
        <v>200</v>
      </c>
      <c r="F79" s="52">
        <v>209.04</v>
      </c>
      <c r="G79" s="52">
        <v>1400</v>
      </c>
      <c r="H79" s="52">
        <v>0</v>
      </c>
      <c r="I79" s="52">
        <v>0</v>
      </c>
      <c r="J79" s="52">
        <v>1400</v>
      </c>
      <c r="K79" s="52">
        <v>0</v>
      </c>
      <c r="L79" s="52">
        <v>-123.82</v>
      </c>
      <c r="M79" s="52">
        <v>45.21</v>
      </c>
      <c r="N79" s="52">
        <v>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0.01</v>
      </c>
      <c r="U79" s="52">
        <v>-78.599999999999994</v>
      </c>
      <c r="V79" s="52">
        <v>1478.6</v>
      </c>
      <c r="W79" s="52">
        <v>9.15</v>
      </c>
      <c r="X79" s="52">
        <v>16.46</v>
      </c>
      <c r="Y79" s="52">
        <v>19.600000000000001</v>
      </c>
      <c r="Z79" s="62">
        <v>-200.63</v>
      </c>
      <c r="AA79" s="52">
        <v>76.81</v>
      </c>
      <c r="AB79" s="55"/>
      <c r="AC79" s="52">
        <v>54.87</v>
      </c>
      <c r="AD79" s="55">
        <v>98.77</v>
      </c>
      <c r="AE79" s="55">
        <v>313.41000000000003</v>
      </c>
      <c r="AF79" s="55">
        <v>1400</v>
      </c>
      <c r="AG79" s="55">
        <v>62.71</v>
      </c>
      <c r="AH79" s="55">
        <v>28</v>
      </c>
      <c r="AI79" s="52">
        <v>24.98</v>
      </c>
      <c r="AJ79" s="52">
        <v>467.05</v>
      </c>
      <c r="AK79" s="52">
        <v>156.78</v>
      </c>
      <c r="AL79" s="52">
        <v>31.36</v>
      </c>
      <c r="AM79" s="52">
        <v>164.28</v>
      </c>
      <c r="AN79" s="55" t="s">
        <v>596</v>
      </c>
      <c r="AO79" s="55"/>
      <c r="AP79" s="55"/>
      <c r="AQ79" s="55"/>
    </row>
    <row r="80" spans="1:43" s="58" customFormat="1" x14ac:dyDescent="0.2">
      <c r="A80" s="52" t="s">
        <v>591</v>
      </c>
      <c r="B80" s="52" t="s">
        <v>592</v>
      </c>
      <c r="C80" s="52">
        <v>15</v>
      </c>
      <c r="D80" s="52">
        <v>0</v>
      </c>
      <c r="E80" s="52">
        <v>200</v>
      </c>
      <c r="F80" s="52">
        <v>209.04</v>
      </c>
      <c r="G80" s="52">
        <v>3000</v>
      </c>
      <c r="H80" s="52">
        <v>0</v>
      </c>
      <c r="I80" s="52">
        <v>0</v>
      </c>
      <c r="J80" s="52">
        <v>3000</v>
      </c>
      <c r="K80" s="52">
        <v>59.69</v>
      </c>
      <c r="L80" s="52">
        <v>0</v>
      </c>
      <c r="M80" s="52">
        <v>74.48</v>
      </c>
      <c r="N80" s="52">
        <v>0</v>
      </c>
      <c r="O80" s="52">
        <v>0</v>
      </c>
      <c r="P80" s="52">
        <v>0</v>
      </c>
      <c r="Q80" s="52">
        <v>0</v>
      </c>
      <c r="R80" s="52">
        <v>0</v>
      </c>
      <c r="S80" s="52"/>
      <c r="T80" s="52">
        <v>0.03</v>
      </c>
      <c r="U80" s="52">
        <v>134.19999999999999</v>
      </c>
      <c r="V80" s="52">
        <v>2865.8</v>
      </c>
      <c r="W80" s="52">
        <v>19.600000000000001</v>
      </c>
      <c r="X80" s="52">
        <v>35.28</v>
      </c>
      <c r="Y80" s="52">
        <v>19.600000000000001</v>
      </c>
      <c r="Z80" s="62">
        <v>-145.38</v>
      </c>
      <c r="AA80" s="52">
        <v>205.07</v>
      </c>
      <c r="AB80" s="55"/>
      <c r="AC80" s="52">
        <v>54.87</v>
      </c>
      <c r="AD80" s="55">
        <v>98.77</v>
      </c>
      <c r="AE80" s="55">
        <v>313.41000000000003</v>
      </c>
      <c r="AF80" s="55">
        <v>3000</v>
      </c>
      <c r="AG80" s="55">
        <v>247.43</v>
      </c>
      <c r="AH80" s="55">
        <v>60</v>
      </c>
      <c r="AI80" s="52">
        <v>24.98</v>
      </c>
      <c r="AJ80" s="52">
        <v>467.05</v>
      </c>
      <c r="AK80" s="52">
        <v>156.78</v>
      </c>
      <c r="AL80" s="52">
        <v>216.07999999999998</v>
      </c>
      <c r="AM80" s="52">
        <v>164.27554484722373</v>
      </c>
      <c r="AN80" s="55" t="s">
        <v>596</v>
      </c>
      <c r="AO80" s="55"/>
      <c r="AP80" s="55"/>
      <c r="AQ80" s="55"/>
    </row>
    <row r="81" spans="1:43" s="58" customFormat="1" x14ac:dyDescent="0.2">
      <c r="A81" s="52" t="s">
        <v>594</v>
      </c>
      <c r="B81" s="52" t="s">
        <v>595</v>
      </c>
      <c r="C81" s="52">
        <v>15</v>
      </c>
      <c r="D81" s="52">
        <v>0</v>
      </c>
      <c r="E81" s="52">
        <v>200</v>
      </c>
      <c r="F81" s="52">
        <v>212.11</v>
      </c>
      <c r="G81" s="52">
        <v>3000</v>
      </c>
      <c r="H81" s="52">
        <v>0</v>
      </c>
      <c r="I81" s="52">
        <v>0</v>
      </c>
      <c r="J81" s="52">
        <v>3000</v>
      </c>
      <c r="K81" s="52">
        <v>59.69</v>
      </c>
      <c r="L81" s="52">
        <v>0</v>
      </c>
      <c r="M81" s="52">
        <v>75.56</v>
      </c>
      <c r="N81" s="52">
        <v>0</v>
      </c>
      <c r="O81" s="52">
        <v>477.81</v>
      </c>
      <c r="P81" s="52">
        <v>15</v>
      </c>
      <c r="Q81" s="52">
        <v>0</v>
      </c>
      <c r="R81" s="52">
        <v>0</v>
      </c>
      <c r="S81" s="52"/>
      <c r="T81" s="52">
        <v>-0.06</v>
      </c>
      <c r="U81" s="52">
        <v>628</v>
      </c>
      <c r="V81" s="52">
        <v>2372</v>
      </c>
      <c r="W81" s="52">
        <v>19.89</v>
      </c>
      <c r="X81" s="52">
        <v>35.79</v>
      </c>
      <c r="Y81" s="52">
        <v>19.88</v>
      </c>
      <c r="Z81" s="62">
        <v>-145.38</v>
      </c>
      <c r="AA81" s="52">
        <v>205.07</v>
      </c>
      <c r="AB81" s="55"/>
      <c r="AC81" s="52">
        <v>55.68</v>
      </c>
      <c r="AD81" s="55">
        <v>100.22</v>
      </c>
      <c r="AE81" s="55">
        <v>314.22000000000003</v>
      </c>
      <c r="AF81" s="55">
        <v>3000</v>
      </c>
      <c r="AG81" s="55">
        <v>248.35</v>
      </c>
      <c r="AH81" s="55">
        <v>60</v>
      </c>
      <c r="AI81" s="52">
        <v>25.34</v>
      </c>
      <c r="AJ81" s="52">
        <v>470.12</v>
      </c>
      <c r="AK81" s="52">
        <v>159.08000000000001</v>
      </c>
      <c r="AL81" s="52">
        <v>216.54</v>
      </c>
      <c r="AM81" s="52">
        <v>164.27554484722373</v>
      </c>
      <c r="AN81" s="55" t="s">
        <v>596</v>
      </c>
      <c r="AO81" s="55"/>
      <c r="AP81" s="55"/>
      <c r="AQ81" s="55"/>
    </row>
    <row r="82" spans="1:43" s="58" customFormat="1" x14ac:dyDescent="0.2">
      <c r="A82" s="52" t="s">
        <v>600</v>
      </c>
      <c r="B82" s="52" t="s">
        <v>601</v>
      </c>
      <c r="C82" s="52">
        <v>15</v>
      </c>
      <c r="D82" s="52">
        <v>0</v>
      </c>
      <c r="E82" s="52">
        <v>116.67</v>
      </c>
      <c r="F82" s="52">
        <v>123.73</v>
      </c>
      <c r="G82" s="52">
        <v>1750.05</v>
      </c>
      <c r="H82" s="52">
        <v>0</v>
      </c>
      <c r="I82" s="52">
        <v>0</v>
      </c>
      <c r="J82" s="52">
        <v>1750.05</v>
      </c>
      <c r="K82" s="52">
        <v>0</v>
      </c>
      <c r="L82" s="52">
        <v>-89.5</v>
      </c>
      <c r="M82" s="52">
        <v>44.08</v>
      </c>
      <c r="N82" s="52">
        <v>0</v>
      </c>
      <c r="O82" s="52">
        <v>854.85</v>
      </c>
      <c r="P82" s="52">
        <v>15</v>
      </c>
      <c r="Q82" s="52">
        <v>0</v>
      </c>
      <c r="R82" s="52">
        <v>0</v>
      </c>
      <c r="S82" s="52"/>
      <c r="T82" s="52">
        <v>0.02</v>
      </c>
      <c r="U82" s="52">
        <v>824.45</v>
      </c>
      <c r="V82" s="52">
        <v>925.6</v>
      </c>
      <c r="W82" s="52">
        <v>11.6</v>
      </c>
      <c r="X82" s="52">
        <v>20.88</v>
      </c>
      <c r="Y82" s="52">
        <v>11.6</v>
      </c>
      <c r="Z82" s="62">
        <v>-188.71</v>
      </c>
      <c r="AA82" s="52">
        <v>99.22</v>
      </c>
      <c r="AB82" s="55"/>
      <c r="AC82" s="52">
        <v>32.479999999999997</v>
      </c>
      <c r="AD82" s="55">
        <v>58.46</v>
      </c>
      <c r="AE82" s="55">
        <v>291.02</v>
      </c>
      <c r="AF82" s="55">
        <v>1750.05</v>
      </c>
      <c r="AG82" s="55">
        <v>221.84</v>
      </c>
      <c r="AH82" s="55">
        <v>35</v>
      </c>
      <c r="AI82" s="52">
        <v>14.78</v>
      </c>
      <c r="AJ82" s="52">
        <v>381.96</v>
      </c>
      <c r="AK82" s="52">
        <v>92.8</v>
      </c>
      <c r="AL82" s="52">
        <v>203.28</v>
      </c>
      <c r="AM82" s="52">
        <v>95.830139086627966</v>
      </c>
      <c r="AN82" s="55" t="s">
        <v>596</v>
      </c>
      <c r="AO82" s="55"/>
      <c r="AP82" s="55"/>
      <c r="AQ82" s="55"/>
    </row>
    <row r="83" spans="1:43" s="58" customFormat="1" x14ac:dyDescent="0.2">
      <c r="A83" s="52" t="s">
        <v>602</v>
      </c>
      <c r="B83" s="52" t="s">
        <v>603</v>
      </c>
      <c r="C83" s="52">
        <v>15</v>
      </c>
      <c r="D83" s="52">
        <v>0</v>
      </c>
      <c r="E83" s="52">
        <v>116.67</v>
      </c>
      <c r="F83" s="52">
        <v>123.73</v>
      </c>
      <c r="G83" s="52">
        <v>1750.05</v>
      </c>
      <c r="H83" s="52">
        <v>0</v>
      </c>
      <c r="I83" s="52">
        <v>0</v>
      </c>
      <c r="J83" s="52">
        <v>1750.05</v>
      </c>
      <c r="K83" s="52">
        <v>0</v>
      </c>
      <c r="L83" s="52">
        <v>-89.5</v>
      </c>
      <c r="M83" s="52">
        <v>44.08</v>
      </c>
      <c r="N83" s="52">
        <v>801.02</v>
      </c>
      <c r="O83" s="52">
        <v>0</v>
      </c>
      <c r="P83" s="52">
        <v>15</v>
      </c>
      <c r="Q83" s="52">
        <v>0</v>
      </c>
      <c r="R83" s="52">
        <v>0</v>
      </c>
      <c r="S83" s="52"/>
      <c r="T83" s="52">
        <v>0.05</v>
      </c>
      <c r="U83" s="52">
        <v>770.65</v>
      </c>
      <c r="V83" s="52">
        <v>979.4</v>
      </c>
      <c r="W83" s="52">
        <v>11.6</v>
      </c>
      <c r="X83" s="52">
        <v>20.88</v>
      </c>
      <c r="Y83" s="52">
        <v>11.6</v>
      </c>
      <c r="Z83" s="62">
        <v>-188.71</v>
      </c>
      <c r="AA83" s="52">
        <v>99.22</v>
      </c>
      <c r="AB83" s="55"/>
      <c r="AC83" s="52">
        <v>32.479999999999997</v>
      </c>
      <c r="AD83" s="55">
        <v>58.46</v>
      </c>
      <c r="AE83" s="55">
        <v>291.02</v>
      </c>
      <c r="AF83" s="55">
        <v>1750.05</v>
      </c>
      <c r="AG83" s="55">
        <v>221.84</v>
      </c>
      <c r="AH83" s="55">
        <v>35</v>
      </c>
      <c r="AI83" s="52">
        <v>14.78</v>
      </c>
      <c r="AJ83" s="52">
        <v>381.96</v>
      </c>
      <c r="AK83" s="52">
        <v>92.8</v>
      </c>
      <c r="AL83" s="52">
        <v>203.28</v>
      </c>
      <c r="AM83" s="52">
        <v>95.830139086627966</v>
      </c>
      <c r="AN83" s="55" t="s">
        <v>596</v>
      </c>
      <c r="AO83" s="55"/>
      <c r="AP83" s="55"/>
      <c r="AQ83" s="55"/>
    </row>
    <row r="84" spans="1:43" s="58" customFormat="1" x14ac:dyDescent="0.2">
      <c r="A84" s="52" t="s">
        <v>605</v>
      </c>
      <c r="B84" s="52" t="s">
        <v>606</v>
      </c>
      <c r="C84" s="52">
        <v>15</v>
      </c>
      <c r="D84" s="52">
        <v>0</v>
      </c>
      <c r="E84" s="52">
        <v>210</v>
      </c>
      <c r="F84" s="52">
        <v>222.72</v>
      </c>
      <c r="G84" s="52">
        <v>3150</v>
      </c>
      <c r="H84" s="52">
        <v>0</v>
      </c>
      <c r="I84" s="52">
        <v>0</v>
      </c>
      <c r="J84" s="52">
        <v>3150</v>
      </c>
      <c r="K84" s="52">
        <v>96.29</v>
      </c>
      <c r="L84" s="52">
        <v>0</v>
      </c>
      <c r="M84" s="52">
        <v>79.34</v>
      </c>
      <c r="N84" s="52">
        <v>0</v>
      </c>
      <c r="O84" s="52">
        <v>0</v>
      </c>
      <c r="P84" s="52">
        <v>0</v>
      </c>
      <c r="Q84" s="52">
        <v>0</v>
      </c>
      <c r="R84" s="52">
        <v>0</v>
      </c>
      <c r="S84" s="52"/>
      <c r="T84" s="52">
        <v>-0.03</v>
      </c>
      <c r="U84" s="52">
        <v>175.6</v>
      </c>
      <c r="V84" s="52">
        <v>2974.4</v>
      </c>
      <c r="W84" s="52">
        <v>20.88</v>
      </c>
      <c r="X84" s="52">
        <v>37.58</v>
      </c>
      <c r="Y84" s="52">
        <v>20.88</v>
      </c>
      <c r="Z84" s="62">
        <v>-125.1</v>
      </c>
      <c r="AA84" s="52">
        <v>221.39</v>
      </c>
      <c r="AB84" s="55"/>
      <c r="AC84" s="52">
        <v>58.46</v>
      </c>
      <c r="AD84" s="55">
        <v>105.24</v>
      </c>
      <c r="AE84" s="55">
        <v>317.01</v>
      </c>
      <c r="AF84" s="55">
        <v>3150</v>
      </c>
      <c r="AG84" s="55">
        <v>251.54</v>
      </c>
      <c r="AH84" s="55">
        <v>63</v>
      </c>
      <c r="AI84" s="52">
        <v>26.61</v>
      </c>
      <c r="AJ84" s="52">
        <v>480.71</v>
      </c>
      <c r="AK84" s="52">
        <v>167.04</v>
      </c>
      <c r="AL84" s="52">
        <v>218.13</v>
      </c>
      <c r="AM84" s="52">
        <v>86.244661044792466</v>
      </c>
      <c r="AN84" s="55" t="s">
        <v>596</v>
      </c>
      <c r="AO84" s="55"/>
      <c r="AP84" s="55"/>
      <c r="AQ84" s="55"/>
    </row>
    <row r="85" spans="1:43" s="58" customFormat="1" x14ac:dyDescent="0.2">
      <c r="A85" s="52" t="s">
        <v>609</v>
      </c>
      <c r="B85" s="52" t="s">
        <v>610</v>
      </c>
      <c r="C85" s="52">
        <v>15</v>
      </c>
      <c r="D85" s="52">
        <v>0</v>
      </c>
      <c r="E85" s="52">
        <v>166.67</v>
      </c>
      <c r="F85" s="52">
        <v>176.76</v>
      </c>
      <c r="G85" s="52">
        <v>2500.0500000000002</v>
      </c>
      <c r="H85" s="52">
        <v>0</v>
      </c>
      <c r="I85" s="52">
        <v>0</v>
      </c>
      <c r="J85" s="52">
        <v>2500.0500000000002</v>
      </c>
      <c r="K85" s="52">
        <v>0</v>
      </c>
      <c r="L85" s="52">
        <v>-9.6199999999999992</v>
      </c>
      <c r="M85" s="52">
        <v>62.97</v>
      </c>
      <c r="N85" s="52">
        <v>0</v>
      </c>
      <c r="O85" s="52">
        <v>0</v>
      </c>
      <c r="P85" s="52">
        <v>0</v>
      </c>
      <c r="Q85" s="52">
        <v>0</v>
      </c>
      <c r="R85" s="52">
        <v>0</v>
      </c>
      <c r="S85" s="52"/>
      <c r="T85" s="52">
        <v>0.1</v>
      </c>
      <c r="U85" s="52">
        <v>53.45</v>
      </c>
      <c r="V85" s="52">
        <v>2446.6</v>
      </c>
      <c r="W85" s="52">
        <v>16.57</v>
      </c>
      <c r="X85" s="52">
        <v>29.83</v>
      </c>
      <c r="Y85" s="52">
        <v>16.57</v>
      </c>
      <c r="Z85" s="62">
        <v>-160.30000000000001</v>
      </c>
      <c r="AA85" s="52">
        <v>150.66999999999999</v>
      </c>
      <c r="AB85" s="55"/>
      <c r="AC85" s="52">
        <v>46.4</v>
      </c>
      <c r="AD85" s="55">
        <v>83.52</v>
      </c>
      <c r="AE85" s="55">
        <v>304.94</v>
      </c>
      <c r="AF85" s="55">
        <v>2500.0500000000002</v>
      </c>
      <c r="AG85" s="55">
        <v>237.75</v>
      </c>
      <c r="AH85" s="55">
        <v>50</v>
      </c>
      <c r="AI85" s="52">
        <v>21.12</v>
      </c>
      <c r="AJ85" s="52">
        <v>434.86</v>
      </c>
      <c r="AK85" s="52">
        <v>132.57</v>
      </c>
      <c r="AL85" s="52">
        <v>211.23</v>
      </c>
      <c r="AM85" s="52">
        <v>136.9</v>
      </c>
      <c r="AN85" s="55" t="s">
        <v>596</v>
      </c>
      <c r="AO85" s="55"/>
      <c r="AP85" s="55"/>
      <c r="AQ85" s="55"/>
    </row>
    <row r="86" spans="1:43" s="58" customFormat="1" x14ac:dyDescent="0.2">
      <c r="A86" s="52" t="s">
        <v>611</v>
      </c>
      <c r="B86" s="52" t="s">
        <v>612</v>
      </c>
      <c r="C86" s="52">
        <v>15</v>
      </c>
      <c r="D86" s="52">
        <v>0</v>
      </c>
      <c r="E86" s="52">
        <v>210</v>
      </c>
      <c r="F86" s="52">
        <v>222.72</v>
      </c>
      <c r="G86" s="52">
        <v>3150</v>
      </c>
      <c r="H86" s="52">
        <v>0</v>
      </c>
      <c r="I86" s="52">
        <v>0</v>
      </c>
      <c r="J86" s="52">
        <v>3150</v>
      </c>
      <c r="K86" s="52">
        <v>96.29</v>
      </c>
      <c r="L86" s="52">
        <v>0</v>
      </c>
      <c r="M86" s="52">
        <v>79.34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/>
      <c r="T86" s="52">
        <v>0.17</v>
      </c>
      <c r="U86" s="52">
        <v>175.8</v>
      </c>
      <c r="V86" s="52">
        <v>2974.2</v>
      </c>
      <c r="W86" s="52">
        <v>20.88</v>
      </c>
      <c r="X86" s="52">
        <v>37.58</v>
      </c>
      <c r="Y86" s="52">
        <v>20.88</v>
      </c>
      <c r="Z86" s="62">
        <v>-125.1</v>
      </c>
      <c r="AA86" s="52">
        <v>221.39</v>
      </c>
      <c r="AB86" s="55"/>
      <c r="AC86" s="52">
        <v>58.46</v>
      </c>
      <c r="AD86" s="55">
        <v>105.24</v>
      </c>
      <c r="AE86" s="55">
        <v>317.01</v>
      </c>
      <c r="AF86" s="55">
        <v>3150</v>
      </c>
      <c r="AG86" s="55">
        <v>251.54</v>
      </c>
      <c r="AH86" s="55">
        <v>63</v>
      </c>
      <c r="AI86" s="52">
        <v>26.61</v>
      </c>
      <c r="AJ86" s="52">
        <v>480.71</v>
      </c>
      <c r="AK86" s="52">
        <v>167.04</v>
      </c>
      <c r="AL86" s="52">
        <v>218.13</v>
      </c>
      <c r="AM86" s="52">
        <v>172.49</v>
      </c>
      <c r="AN86" s="55" t="s">
        <v>596</v>
      </c>
      <c r="AO86" s="55"/>
      <c r="AP86" s="55"/>
      <c r="AQ86" s="55"/>
    </row>
    <row r="87" spans="1:43" s="58" customFormat="1" x14ac:dyDescent="0.2">
      <c r="A87" s="52" t="s">
        <v>613</v>
      </c>
      <c r="B87" s="52" t="s">
        <v>614</v>
      </c>
      <c r="C87" s="52">
        <v>15</v>
      </c>
      <c r="D87" s="52">
        <v>0</v>
      </c>
      <c r="E87" s="52">
        <v>233.33</v>
      </c>
      <c r="F87" s="52">
        <v>247.46</v>
      </c>
      <c r="G87" s="52">
        <v>3499.95</v>
      </c>
      <c r="H87" s="52">
        <v>0</v>
      </c>
      <c r="I87" s="52">
        <v>0</v>
      </c>
      <c r="J87" s="52">
        <v>3499.95</v>
      </c>
      <c r="K87" s="52">
        <v>134.36000000000001</v>
      </c>
      <c r="L87" s="52">
        <v>0</v>
      </c>
      <c r="M87" s="52">
        <v>88.16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/>
      <c r="T87" s="52">
        <v>-0.17</v>
      </c>
      <c r="U87" s="52">
        <v>222.35</v>
      </c>
      <c r="V87" s="52">
        <v>3277.6</v>
      </c>
      <c r="W87" s="52">
        <v>23.2</v>
      </c>
      <c r="X87" s="52">
        <v>41.76</v>
      </c>
      <c r="Y87" s="52">
        <v>23.2</v>
      </c>
      <c r="Z87" s="62">
        <v>-125.1</v>
      </c>
      <c r="AA87" s="52">
        <v>259.45999999999998</v>
      </c>
      <c r="AB87" s="55"/>
      <c r="AC87" s="52">
        <v>64.959999999999994</v>
      </c>
      <c r="AD87" s="55">
        <v>116.92</v>
      </c>
      <c r="AE87" s="55">
        <v>323.5</v>
      </c>
      <c r="AF87" s="55">
        <v>3499.95</v>
      </c>
      <c r="AG87" s="55">
        <v>258.95999999999998</v>
      </c>
      <c r="AH87" s="55">
        <v>70</v>
      </c>
      <c r="AI87" s="52">
        <v>29.57</v>
      </c>
      <c r="AJ87" s="52">
        <v>505.38</v>
      </c>
      <c r="AK87" s="52">
        <v>185.6</v>
      </c>
      <c r="AL87" s="52">
        <v>221.84</v>
      </c>
      <c r="AM87" s="52">
        <v>191.65</v>
      </c>
      <c r="AN87" s="55" t="s">
        <v>596</v>
      </c>
      <c r="AO87" s="55"/>
      <c r="AP87" s="55"/>
      <c r="AQ87" s="55"/>
    </row>
    <row r="88" spans="1:43" s="58" customFormat="1" x14ac:dyDescent="0.2">
      <c r="A88" s="52" t="s">
        <v>615</v>
      </c>
      <c r="B88" s="52" t="s">
        <v>616</v>
      </c>
      <c r="C88" s="52">
        <v>15</v>
      </c>
      <c r="D88" s="52">
        <v>0</v>
      </c>
      <c r="E88" s="52">
        <v>200</v>
      </c>
      <c r="F88" s="52">
        <v>209.04</v>
      </c>
      <c r="G88" s="52">
        <v>3000</v>
      </c>
      <c r="H88" s="52">
        <v>0</v>
      </c>
      <c r="I88" s="52">
        <v>0</v>
      </c>
      <c r="J88" s="52">
        <v>3000</v>
      </c>
      <c r="K88" s="52">
        <v>59.69</v>
      </c>
      <c r="L88" s="52">
        <v>0</v>
      </c>
      <c r="M88" s="52">
        <v>74.48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/>
      <c r="T88" s="52">
        <v>0.03</v>
      </c>
      <c r="U88" s="52">
        <v>134.19999999999999</v>
      </c>
      <c r="V88" s="52">
        <v>2865.8</v>
      </c>
      <c r="W88" s="52">
        <v>19.600000000000001</v>
      </c>
      <c r="X88" s="52">
        <v>35.28</v>
      </c>
      <c r="Y88" s="52">
        <v>19.600000000000001</v>
      </c>
      <c r="Z88" s="62">
        <v>-145.38</v>
      </c>
      <c r="AA88" s="52">
        <v>205.07</v>
      </c>
      <c r="AB88" s="55"/>
      <c r="AC88" s="52">
        <v>54.87</v>
      </c>
      <c r="AD88" s="55">
        <v>98.77</v>
      </c>
      <c r="AE88" s="55">
        <v>313.41000000000003</v>
      </c>
      <c r="AF88" s="55">
        <v>3000</v>
      </c>
      <c r="AG88" s="55">
        <v>247.43</v>
      </c>
      <c r="AH88" s="55">
        <v>60</v>
      </c>
      <c r="AI88" s="52">
        <v>24.98</v>
      </c>
      <c r="AJ88" s="52">
        <v>467.05</v>
      </c>
      <c r="AK88" s="52">
        <v>156.78</v>
      </c>
      <c r="AL88" s="52">
        <v>216.07999999999998</v>
      </c>
      <c r="AM88" s="52">
        <v>164.28</v>
      </c>
      <c r="AN88" s="55" t="s">
        <v>596</v>
      </c>
      <c r="AO88" s="55"/>
      <c r="AP88" s="55"/>
      <c r="AQ88" s="55"/>
    </row>
    <row r="89" spans="1:43" s="58" customFormat="1" x14ac:dyDescent="0.2">
      <c r="A89" s="52" t="s">
        <v>491</v>
      </c>
      <c r="B89" s="52" t="s">
        <v>489</v>
      </c>
      <c r="C89" s="52">
        <v>15</v>
      </c>
      <c r="D89" s="52">
        <v>0</v>
      </c>
      <c r="E89" s="52">
        <v>266.67</v>
      </c>
      <c r="F89" s="52">
        <v>282.81</v>
      </c>
      <c r="G89" s="52">
        <v>4000.05</v>
      </c>
      <c r="H89" s="52">
        <v>0</v>
      </c>
      <c r="I89" s="52">
        <v>0</v>
      </c>
      <c r="J89" s="52">
        <v>4000.05</v>
      </c>
      <c r="K89" s="52">
        <v>313.87</v>
      </c>
      <c r="L89" s="52">
        <v>0</v>
      </c>
      <c r="M89" s="52">
        <v>102.51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/>
      <c r="T89" s="52">
        <v>7.0000000000000007E-2</v>
      </c>
      <c r="U89" s="52">
        <v>416.45</v>
      </c>
      <c r="V89" s="52">
        <v>3583.6</v>
      </c>
      <c r="W89" s="52">
        <v>26.51</v>
      </c>
      <c r="X89" s="52">
        <v>47.72</v>
      </c>
      <c r="Y89" s="52">
        <v>28.28</v>
      </c>
      <c r="Z89" s="62">
        <v>0</v>
      </c>
      <c r="AA89" s="52">
        <v>313.87</v>
      </c>
      <c r="AB89" s="55"/>
      <c r="AC89" s="52">
        <v>74.239999999999995</v>
      </c>
      <c r="AD89" s="55">
        <v>133.63</v>
      </c>
      <c r="AE89" s="55">
        <v>337.62</v>
      </c>
      <c r="AF89" s="55">
        <v>4000.05</v>
      </c>
      <c r="AG89" s="55">
        <v>269.56</v>
      </c>
      <c r="AH89" s="55">
        <v>80</v>
      </c>
      <c r="AI89" s="52">
        <v>33.79</v>
      </c>
      <c r="AJ89" s="52">
        <v>545.49</v>
      </c>
      <c r="AK89" s="52">
        <v>212.11</v>
      </c>
      <c r="AL89" s="52">
        <v>227.14</v>
      </c>
      <c r="AM89" s="52">
        <v>219.03679772204578</v>
      </c>
      <c r="AN89" s="55" t="s">
        <v>596</v>
      </c>
      <c r="AO89" s="55"/>
      <c r="AP89" s="55"/>
      <c r="AQ89" s="55"/>
    </row>
    <row r="90" spans="1:43" ht="15" customHeight="1" x14ac:dyDescent="0.2">
      <c r="A90" s="52" t="s">
        <v>619</v>
      </c>
      <c r="B90" s="52" t="s">
        <v>620</v>
      </c>
      <c r="C90" s="52">
        <v>12</v>
      </c>
      <c r="D90" s="52">
        <v>0</v>
      </c>
      <c r="E90" s="52">
        <v>210</v>
      </c>
      <c r="F90" s="52">
        <v>219.49</v>
      </c>
      <c r="G90" s="52">
        <v>2520</v>
      </c>
      <c r="H90" s="52">
        <v>0</v>
      </c>
      <c r="I90" s="52">
        <v>0</v>
      </c>
      <c r="J90" s="52">
        <v>2520</v>
      </c>
      <c r="K90" s="52">
        <v>0</v>
      </c>
      <c r="L90" s="52">
        <v>-7.45</v>
      </c>
      <c r="M90" s="52">
        <v>62.55</v>
      </c>
      <c r="N90" s="52">
        <v>600</v>
      </c>
      <c r="O90" s="52">
        <v>0</v>
      </c>
      <c r="P90" s="52">
        <v>0</v>
      </c>
      <c r="Q90" s="52">
        <v>0</v>
      </c>
      <c r="R90" s="52">
        <v>0</v>
      </c>
      <c r="S90" s="52"/>
      <c r="T90" s="52">
        <v>0.1</v>
      </c>
      <c r="U90" s="52">
        <v>655.20000000000005</v>
      </c>
      <c r="V90" s="52">
        <v>1864.8</v>
      </c>
      <c r="W90" s="52">
        <v>16.46</v>
      </c>
      <c r="X90" s="52">
        <v>29.63</v>
      </c>
      <c r="Y90" s="52">
        <v>16.46</v>
      </c>
      <c r="Z90" s="62">
        <v>-160.30000000000001</v>
      </c>
      <c r="AA90" s="52">
        <v>152.84</v>
      </c>
      <c r="AC90" s="52">
        <v>46.09</v>
      </c>
      <c r="AD90" s="55">
        <v>82.97</v>
      </c>
      <c r="AE90" s="55">
        <v>252.93</v>
      </c>
      <c r="AF90" s="55">
        <v>2520</v>
      </c>
      <c r="AG90" s="55">
        <v>237.4</v>
      </c>
      <c r="AH90" s="55">
        <v>50.4</v>
      </c>
      <c r="AI90" s="52">
        <v>20.98</v>
      </c>
      <c r="AJ90" s="52">
        <v>381.99</v>
      </c>
      <c r="AK90" s="52">
        <v>131.69999999999999</v>
      </c>
      <c r="AL90" s="52">
        <v>211.06</v>
      </c>
      <c r="AM90" s="52">
        <v>90.25</v>
      </c>
      <c r="AN90" s="55" t="s">
        <v>596</v>
      </c>
    </row>
    <row r="91" spans="1:43" x14ac:dyDescent="0.2">
      <c r="A91" s="64" t="s">
        <v>172</v>
      </c>
      <c r="B91" s="65"/>
      <c r="C91" s="65" t="s">
        <v>163</v>
      </c>
      <c r="D91" s="65" t="s">
        <v>163</v>
      </c>
      <c r="E91" s="65" t="s">
        <v>163</v>
      </c>
      <c r="F91" s="65" t="s">
        <v>163</v>
      </c>
      <c r="G91" s="65" t="s">
        <v>163</v>
      </c>
      <c r="H91" s="65" t="s">
        <v>163</v>
      </c>
      <c r="I91" s="65" t="s">
        <v>163</v>
      </c>
      <c r="J91" s="65" t="s">
        <v>163</v>
      </c>
      <c r="K91" s="65" t="s">
        <v>163</v>
      </c>
      <c r="L91" s="65" t="s">
        <v>163</v>
      </c>
      <c r="M91" s="65" t="s">
        <v>163</v>
      </c>
      <c r="N91" s="65" t="s">
        <v>163</v>
      </c>
      <c r="O91" s="65" t="s">
        <v>163</v>
      </c>
      <c r="P91" s="65" t="s">
        <v>163</v>
      </c>
      <c r="Q91" s="65" t="s">
        <v>163</v>
      </c>
      <c r="R91" s="65" t="s">
        <v>163</v>
      </c>
      <c r="S91" s="65" t="s">
        <v>163</v>
      </c>
      <c r="T91" s="65" t="s">
        <v>163</v>
      </c>
      <c r="U91" s="65" t="s">
        <v>163</v>
      </c>
      <c r="V91" s="65" t="s">
        <v>163</v>
      </c>
      <c r="W91" s="65" t="s">
        <v>163</v>
      </c>
      <c r="X91" s="65" t="s">
        <v>163</v>
      </c>
      <c r="Y91" s="65" t="s">
        <v>163</v>
      </c>
      <c r="Z91" s="65" t="s">
        <v>163</v>
      </c>
      <c r="AA91" s="65" t="s">
        <v>163</v>
      </c>
      <c r="AB91" s="65"/>
      <c r="AC91" s="65" t="s">
        <v>163</v>
      </c>
      <c r="AD91" s="65" t="s">
        <v>163</v>
      </c>
      <c r="AE91" s="65" t="s">
        <v>163</v>
      </c>
      <c r="AF91" s="65" t="s">
        <v>163</v>
      </c>
      <c r="AG91" s="65" t="s">
        <v>163</v>
      </c>
      <c r="AH91" s="65" t="s">
        <v>163</v>
      </c>
      <c r="AI91" s="65" t="s">
        <v>163</v>
      </c>
      <c r="AJ91" s="65" t="s">
        <v>163</v>
      </c>
      <c r="AK91" s="65" t="s">
        <v>163</v>
      </c>
      <c r="AL91" s="65" t="s">
        <v>163</v>
      </c>
      <c r="AM91" s="65" t="s">
        <v>163</v>
      </c>
    </row>
    <row r="92" spans="1:43" x14ac:dyDescent="0.2">
      <c r="A92" s="66">
        <f t="shared" ref="A92:G92" si="0">SUM(A9:A91)</f>
        <v>0</v>
      </c>
      <c r="B92" s="66">
        <f t="shared" si="0"/>
        <v>0</v>
      </c>
      <c r="C92" s="66">
        <f t="shared" si="0"/>
        <v>1213</v>
      </c>
      <c r="D92" s="66">
        <f t="shared" si="0"/>
        <v>0</v>
      </c>
      <c r="E92" s="66">
        <f t="shared" si="0"/>
        <v>19589.929999999997</v>
      </c>
      <c r="F92" s="66">
        <f t="shared" si="0"/>
        <v>20665.450000000008</v>
      </c>
      <c r="G92" s="66">
        <f t="shared" si="0"/>
        <v>290189.18999999989</v>
      </c>
      <c r="H92" s="66">
        <f t="shared" ref="H92:AL92" si="1">SUM(H9:H91)</f>
        <v>0</v>
      </c>
      <c r="I92" s="66">
        <f t="shared" si="1"/>
        <v>0</v>
      </c>
      <c r="J92" s="66">
        <f t="shared" si="1"/>
        <v>290189.18999999989</v>
      </c>
      <c r="K92" s="66">
        <f t="shared" si="1"/>
        <v>15982.650000000018</v>
      </c>
      <c r="L92" s="66">
        <f t="shared" si="1"/>
        <v>-474.39</v>
      </c>
      <c r="M92" s="66">
        <f t="shared" si="1"/>
        <v>7406.6400000000031</v>
      </c>
      <c r="N92" s="66">
        <f t="shared" si="1"/>
        <v>18691.45</v>
      </c>
      <c r="O92" s="66">
        <f t="shared" si="1"/>
        <v>9157.5400000000009</v>
      </c>
      <c r="P92" s="66">
        <f t="shared" si="1"/>
        <v>360</v>
      </c>
      <c r="Q92" s="66">
        <f t="shared" si="1"/>
        <v>1781.73</v>
      </c>
      <c r="R92" s="66">
        <f t="shared" si="1"/>
        <v>7609.9</v>
      </c>
      <c r="S92" s="66">
        <f t="shared" si="1"/>
        <v>0</v>
      </c>
      <c r="T92" s="66">
        <f t="shared" si="1"/>
        <v>-5.9999999999999887E-2</v>
      </c>
      <c r="U92" s="66">
        <f t="shared" si="1"/>
        <v>60515.46</v>
      </c>
      <c r="V92" s="66">
        <f t="shared" si="1"/>
        <v>229673.73</v>
      </c>
      <c r="W92" s="66">
        <f t="shared" si="1"/>
        <v>1918.0700000000004</v>
      </c>
      <c r="X92" s="66">
        <f t="shared" si="1"/>
        <v>3452.4800000000018</v>
      </c>
      <c r="Y92" s="66">
        <f t="shared" si="1"/>
        <v>2053.88</v>
      </c>
      <c r="Z92" s="66">
        <f t="shared" si="1"/>
        <v>-7109.7400000000052</v>
      </c>
      <c r="AA92" s="66">
        <f t="shared" si="1"/>
        <v>22733.949999999979</v>
      </c>
      <c r="AB92" s="66">
        <f t="shared" si="1"/>
        <v>0</v>
      </c>
      <c r="AC92" s="66">
        <f t="shared" si="1"/>
        <v>5413.19</v>
      </c>
      <c r="AD92" s="66">
        <f t="shared" si="1"/>
        <v>9743.7299999999977</v>
      </c>
      <c r="AE92" s="66">
        <f t="shared" si="1"/>
        <v>26893.339999999993</v>
      </c>
      <c r="AF92" s="66">
        <f t="shared" si="1"/>
        <v>290905.7099999999</v>
      </c>
      <c r="AG92" s="66">
        <f t="shared" si="1"/>
        <v>21148.740000000005</v>
      </c>
      <c r="AH92" s="66">
        <f t="shared" si="1"/>
        <v>5818.07</v>
      </c>
      <c r="AI92" s="66">
        <f t="shared" si="1"/>
        <v>2463.9200000000005</v>
      </c>
      <c r="AJ92" s="66">
        <f t="shared" si="1"/>
        <v>42050.260000000009</v>
      </c>
      <c r="AK92" s="66">
        <f t="shared" si="1"/>
        <v>15466.210000000003</v>
      </c>
      <c r="AL92" s="66">
        <f t="shared" si="1"/>
        <v>18055.620000000006</v>
      </c>
      <c r="AM92" s="66">
        <f t="shared" ref="AM92" si="2">SUM(AM9:AM91)</f>
        <v>15922.256636732007</v>
      </c>
    </row>
    <row r="93" spans="1:43" ht="15.75" x14ac:dyDescent="0.25">
      <c r="G93" s="67"/>
      <c r="I93" s="162" t="s">
        <v>617</v>
      </c>
      <c r="J93" s="162"/>
      <c r="K93" s="149" t="s">
        <v>666</v>
      </c>
      <c r="L93" s="149"/>
      <c r="V93" s="67"/>
    </row>
    <row r="94" spans="1:43" ht="15.75" x14ac:dyDescent="0.25">
      <c r="A94" s="68"/>
      <c r="B94" s="68"/>
      <c r="C94" s="69"/>
      <c r="D94" s="69"/>
      <c r="E94" s="69"/>
      <c r="F94" s="69"/>
      <c r="G94" s="69"/>
      <c r="H94" s="69"/>
      <c r="I94" s="70" t="s">
        <v>46</v>
      </c>
      <c r="J94" s="71">
        <f>+V92</f>
        <v>229673.73</v>
      </c>
      <c r="K94" s="150" t="s">
        <v>617</v>
      </c>
      <c r="L94" s="150"/>
      <c r="M94" s="69"/>
      <c r="N94" s="69"/>
      <c r="O94" s="69"/>
      <c r="P94" s="69"/>
      <c r="Q94" s="69"/>
      <c r="R94" s="69"/>
      <c r="S94" s="69"/>
      <c r="T94" s="69"/>
      <c r="V94" s="72"/>
      <c r="W94" s="69"/>
      <c r="X94" s="69"/>
      <c r="Y94" s="69"/>
      <c r="Z94" s="69"/>
      <c r="AA94" s="69"/>
      <c r="AB94" s="69"/>
      <c r="AC94" s="73"/>
      <c r="AD94" s="69"/>
      <c r="AE94" s="69"/>
      <c r="AK94" s="55"/>
    </row>
    <row r="95" spans="1:43" x14ac:dyDescent="0.2">
      <c r="A95" s="68"/>
      <c r="B95" s="68"/>
      <c r="C95" s="69"/>
      <c r="D95" s="69"/>
      <c r="E95" s="69"/>
      <c r="F95" s="69"/>
      <c r="G95" s="69"/>
      <c r="H95" s="69"/>
      <c r="I95" s="70" t="s">
        <v>117</v>
      </c>
      <c r="J95" s="71">
        <f>+R92</f>
        <v>7609.9</v>
      </c>
      <c r="K95" s="82" t="s">
        <v>48</v>
      </c>
      <c r="L95" s="83">
        <f>+AM92</f>
        <v>15922.256636732007</v>
      </c>
      <c r="M95" s="69"/>
      <c r="N95" s="69"/>
      <c r="O95" s="69"/>
      <c r="P95" s="69"/>
      <c r="Q95" s="69"/>
      <c r="R95" s="69"/>
      <c r="S95" s="69"/>
      <c r="T95" s="69"/>
      <c r="V95" s="72"/>
      <c r="W95" s="69"/>
      <c r="X95" s="69"/>
      <c r="Y95" s="69"/>
      <c r="Z95" s="69"/>
      <c r="AA95" s="69"/>
      <c r="AB95" s="69"/>
      <c r="AC95" s="69"/>
      <c r="AD95" s="69"/>
      <c r="AE95" s="69"/>
      <c r="AK95" s="55"/>
    </row>
    <row r="96" spans="1:43" x14ac:dyDescent="0.2">
      <c r="A96" s="68"/>
      <c r="B96" s="68"/>
      <c r="C96" s="69"/>
      <c r="D96" s="69"/>
      <c r="E96" s="69"/>
      <c r="F96" s="69"/>
      <c r="G96" s="69"/>
      <c r="H96" s="69"/>
      <c r="I96" s="70" t="s">
        <v>177</v>
      </c>
      <c r="J96" s="74">
        <f>+N92+O92+P92</f>
        <v>28208.99</v>
      </c>
      <c r="K96" s="82" t="s">
        <v>49</v>
      </c>
      <c r="L96" s="83">
        <f>+L95*2%</f>
        <v>318.44513273464014</v>
      </c>
      <c r="M96" s="69"/>
      <c r="N96" s="69"/>
      <c r="O96" s="69"/>
      <c r="P96" s="69"/>
      <c r="Q96" s="69"/>
      <c r="R96" s="69"/>
      <c r="S96" s="69"/>
      <c r="T96" s="69"/>
      <c r="V96" s="72"/>
      <c r="W96" s="69"/>
      <c r="X96" s="69"/>
      <c r="Y96" s="69"/>
      <c r="Z96" s="69"/>
      <c r="AA96" s="69"/>
      <c r="AB96" s="69"/>
      <c r="AC96" s="69"/>
      <c r="AD96" s="69"/>
      <c r="AE96" s="69"/>
      <c r="AK96" s="55"/>
    </row>
    <row r="97" spans="1:37" x14ac:dyDescent="0.2">
      <c r="A97" s="68"/>
      <c r="B97" s="68"/>
      <c r="C97" s="69"/>
      <c r="D97" s="69"/>
      <c r="E97" s="69"/>
      <c r="F97" s="69"/>
      <c r="G97" s="69"/>
      <c r="H97" s="69"/>
      <c r="I97" s="70" t="s">
        <v>335</v>
      </c>
      <c r="J97" s="74">
        <f>+Q92</f>
        <v>1781.73</v>
      </c>
      <c r="K97" s="82" t="s">
        <v>50</v>
      </c>
      <c r="L97" s="83">
        <f>+L95+L96</f>
        <v>16240.701769466647</v>
      </c>
      <c r="M97" s="69"/>
      <c r="N97" s="69"/>
      <c r="O97" s="69"/>
      <c r="P97" s="69"/>
      <c r="Q97" s="69"/>
      <c r="R97" s="69"/>
      <c r="S97" s="69"/>
      <c r="T97" s="69"/>
      <c r="V97" s="72"/>
      <c r="W97" s="69"/>
      <c r="X97" s="69"/>
      <c r="Y97" s="69"/>
      <c r="Z97" s="69"/>
      <c r="AA97" s="69"/>
      <c r="AB97" s="69"/>
      <c r="AC97" s="69"/>
      <c r="AD97" s="69"/>
      <c r="AE97" s="69"/>
      <c r="AK97" s="55"/>
    </row>
    <row r="98" spans="1:37" x14ac:dyDescent="0.2">
      <c r="A98" s="69"/>
      <c r="B98" s="69"/>
      <c r="C98" s="69"/>
      <c r="D98" s="69"/>
      <c r="E98" s="69"/>
      <c r="F98" s="69"/>
      <c r="G98" s="69"/>
      <c r="H98" s="69"/>
      <c r="I98" s="70" t="s">
        <v>405</v>
      </c>
      <c r="J98" s="74">
        <f>+S92</f>
        <v>0</v>
      </c>
      <c r="K98" s="82" t="s">
        <v>52</v>
      </c>
      <c r="L98" s="83">
        <f>+L95*2%</f>
        <v>318.44513273464014</v>
      </c>
      <c r="M98" s="69"/>
      <c r="N98" s="69"/>
      <c r="O98" s="69"/>
      <c r="P98" s="69"/>
      <c r="Q98" s="69"/>
      <c r="R98" s="69"/>
      <c r="S98" s="69"/>
      <c r="T98" s="69"/>
      <c r="V98" s="72"/>
      <c r="W98" s="69"/>
      <c r="X98" s="69"/>
      <c r="Y98" s="69"/>
      <c r="Z98" s="69"/>
      <c r="AA98" s="69"/>
      <c r="AB98" s="69"/>
      <c r="AC98" s="69"/>
      <c r="AD98" s="69"/>
      <c r="AE98" s="69"/>
      <c r="AK98" s="55"/>
    </row>
    <row r="99" spans="1:37" x14ac:dyDescent="0.2">
      <c r="A99" s="69"/>
      <c r="B99" s="69"/>
      <c r="C99" s="69"/>
      <c r="D99" s="69"/>
      <c r="E99" s="69"/>
      <c r="F99" s="69"/>
      <c r="G99" s="69"/>
      <c r="H99" s="69"/>
      <c r="I99" s="70" t="s">
        <v>48</v>
      </c>
      <c r="J99" s="70">
        <f>SUM(J94:J98)</f>
        <v>267274.34999999998</v>
      </c>
      <c r="K99" s="82" t="s">
        <v>53</v>
      </c>
      <c r="L99" s="83">
        <f>+L97+L98</f>
        <v>16559.146902201286</v>
      </c>
      <c r="M99" s="69"/>
      <c r="N99" s="69"/>
      <c r="O99" s="69"/>
      <c r="P99" s="69"/>
      <c r="Q99" s="69"/>
      <c r="R99" s="69"/>
      <c r="S99" s="69"/>
      <c r="T99" s="69"/>
      <c r="V99" s="72"/>
      <c r="W99" s="69"/>
      <c r="X99" s="69"/>
      <c r="Y99" s="69"/>
      <c r="Z99" s="69"/>
      <c r="AA99" s="69"/>
      <c r="AB99" s="69"/>
      <c r="AC99" s="69"/>
      <c r="AD99" s="69"/>
      <c r="AE99" s="69"/>
      <c r="AK99" s="55"/>
    </row>
    <row r="100" spans="1:37" x14ac:dyDescent="0.2">
      <c r="A100" s="69"/>
      <c r="B100" s="69"/>
      <c r="C100" s="69"/>
      <c r="D100" s="69"/>
      <c r="E100" s="69"/>
      <c r="F100" s="69"/>
      <c r="G100" s="69"/>
      <c r="H100" s="69"/>
      <c r="I100" s="70" t="s">
        <v>49</v>
      </c>
      <c r="J100" s="71">
        <f>+J99*2%</f>
        <v>5345.4870000000001</v>
      </c>
      <c r="K100" s="82" t="s">
        <v>54</v>
      </c>
      <c r="L100" s="83">
        <f>+L99*16%</f>
        <v>2649.4635043522057</v>
      </c>
      <c r="M100" s="69"/>
      <c r="N100" s="69"/>
      <c r="O100" s="69"/>
      <c r="P100" s="69"/>
      <c r="Q100" s="69"/>
      <c r="R100" s="69"/>
      <c r="S100" s="69"/>
      <c r="T100" s="69"/>
      <c r="V100" s="72"/>
      <c r="W100" s="69"/>
      <c r="X100" s="69"/>
      <c r="Y100" s="69"/>
      <c r="Z100" s="69"/>
      <c r="AA100" s="69"/>
      <c r="AB100" s="69"/>
      <c r="AC100" s="69"/>
      <c r="AD100" s="69"/>
      <c r="AE100" s="69"/>
      <c r="AK100" s="55"/>
    </row>
    <row r="101" spans="1:37" x14ac:dyDescent="0.2">
      <c r="A101" s="69"/>
      <c r="B101" s="69"/>
      <c r="C101" s="69"/>
      <c r="D101" s="69"/>
      <c r="E101" s="69"/>
      <c r="F101" s="69"/>
      <c r="G101" s="69"/>
      <c r="H101" s="69"/>
      <c r="I101" s="70" t="s">
        <v>50</v>
      </c>
      <c r="J101" s="70">
        <f>+J99+J100</f>
        <v>272619.837</v>
      </c>
      <c r="K101" s="82" t="s">
        <v>55</v>
      </c>
      <c r="L101" s="83">
        <f>+L99+L100</f>
        <v>19208.610406553493</v>
      </c>
      <c r="M101" s="69"/>
      <c r="N101" s="69"/>
      <c r="O101" s="69"/>
      <c r="P101" s="69"/>
      <c r="Q101" s="69"/>
      <c r="R101" s="69"/>
      <c r="S101" s="69"/>
      <c r="T101" s="69"/>
      <c r="V101" s="72"/>
      <c r="W101" s="69"/>
      <c r="X101" s="69"/>
      <c r="Y101" s="69"/>
      <c r="Z101" s="69"/>
      <c r="AA101" s="69"/>
      <c r="AB101" s="69"/>
      <c r="AC101" s="69"/>
      <c r="AD101" s="69"/>
      <c r="AE101" s="69"/>
      <c r="AK101" s="55"/>
    </row>
    <row r="102" spans="1:37" x14ac:dyDescent="0.2">
      <c r="I102" s="70" t="s">
        <v>51</v>
      </c>
      <c r="J102" s="71">
        <f>+M92+AC92+AD92+AE92+AG92+AI92+AL92+AK92</f>
        <v>106591.39000000001</v>
      </c>
      <c r="L102" s="69"/>
      <c r="M102" s="69"/>
      <c r="V102" s="72"/>
      <c r="AK102" s="55"/>
    </row>
    <row r="103" spans="1:37" x14ac:dyDescent="0.2">
      <c r="I103" s="70" t="s">
        <v>52</v>
      </c>
      <c r="J103" s="71">
        <f>+J92*2%</f>
        <v>5803.7837999999974</v>
      </c>
      <c r="V103" s="72"/>
      <c r="AK103" s="55"/>
    </row>
    <row r="104" spans="1:37" x14ac:dyDescent="0.2">
      <c r="I104" s="70" t="s">
        <v>53</v>
      </c>
      <c r="J104" s="70">
        <f>+J101+J102+J103</f>
        <v>385015.01079999999</v>
      </c>
      <c r="AK104" s="55"/>
    </row>
    <row r="105" spans="1:37" x14ac:dyDescent="0.2">
      <c r="I105" s="70" t="s">
        <v>397</v>
      </c>
      <c r="J105" s="70">
        <v>0</v>
      </c>
      <c r="AK105" s="55"/>
    </row>
    <row r="106" spans="1:37" x14ac:dyDescent="0.2">
      <c r="B106" s="54"/>
      <c r="I106" s="70" t="s">
        <v>54</v>
      </c>
      <c r="J106" s="71">
        <f>(+J104+J105)*0.16</f>
        <v>61602.401727999997</v>
      </c>
      <c r="AK106" s="55"/>
    </row>
    <row r="107" spans="1:37" x14ac:dyDescent="0.2">
      <c r="I107" s="70" t="s">
        <v>55</v>
      </c>
      <c r="J107" s="70">
        <f>+J104+J105+J106</f>
        <v>446617.41252799996</v>
      </c>
      <c r="AK107" s="55"/>
    </row>
    <row r="108" spans="1:37" x14ac:dyDescent="0.2">
      <c r="AK108" s="55"/>
    </row>
    <row r="109" spans="1:37" ht="15.75" customHeight="1" x14ac:dyDescent="0.25">
      <c r="G109" s="150" t="s">
        <v>684</v>
      </c>
      <c r="H109" s="150"/>
      <c r="I109" s="47"/>
      <c r="J109" s="150" t="s">
        <v>681</v>
      </c>
      <c r="K109" s="150"/>
      <c r="L109" s="47"/>
      <c r="M109" s="150" t="s">
        <v>682</v>
      </c>
      <c r="N109" s="150"/>
      <c r="O109" s="47"/>
      <c r="P109" s="150" t="s">
        <v>683</v>
      </c>
      <c r="Q109" s="150"/>
      <c r="AK109" s="55"/>
    </row>
    <row r="110" spans="1:37" x14ac:dyDescent="0.2">
      <c r="G110" s="82" t="s">
        <v>53</v>
      </c>
      <c r="H110" s="83">
        <f>+J104*4%</f>
        <v>15400.600431999999</v>
      </c>
      <c r="I110" s="47"/>
      <c r="J110" s="82" t="s">
        <v>53</v>
      </c>
      <c r="K110" s="83">
        <f>+J104*12%</f>
        <v>46201.801295999998</v>
      </c>
      <c r="L110" s="47"/>
      <c r="M110" s="82" t="s">
        <v>53</v>
      </c>
      <c r="N110" s="83">
        <f>+J104*11%</f>
        <v>42351.651187999996</v>
      </c>
      <c r="O110" s="47"/>
      <c r="P110" s="82" t="s">
        <v>53</v>
      </c>
      <c r="Q110" s="83">
        <f>+J104*73%</f>
        <v>281060.95788399997</v>
      </c>
      <c r="AK110" s="55"/>
    </row>
    <row r="111" spans="1:37" x14ac:dyDescent="0.2">
      <c r="G111" s="82" t="s">
        <v>54</v>
      </c>
      <c r="H111" s="83">
        <f>+H110*16%</f>
        <v>2464.0960691199998</v>
      </c>
      <c r="I111" s="47"/>
      <c r="J111" s="82" t="s">
        <v>54</v>
      </c>
      <c r="K111" s="83">
        <f>+K110*16%</f>
        <v>7392.2882073599994</v>
      </c>
      <c r="L111" s="47"/>
      <c r="M111" s="82" t="s">
        <v>54</v>
      </c>
      <c r="N111" s="83">
        <f>+N110*16%</f>
        <v>6776.2641900799999</v>
      </c>
      <c r="O111" s="47"/>
      <c r="P111" s="82" t="s">
        <v>54</v>
      </c>
      <c r="Q111" s="83">
        <f>+Q110*16%</f>
        <v>44969.753261439997</v>
      </c>
      <c r="AK111" s="55"/>
    </row>
    <row r="112" spans="1:37" x14ac:dyDescent="0.2">
      <c r="G112" s="82" t="s">
        <v>55</v>
      </c>
      <c r="H112" s="83">
        <f>+H110+H111</f>
        <v>17864.696501120001</v>
      </c>
      <c r="I112" s="47"/>
      <c r="J112" s="82" t="s">
        <v>55</v>
      </c>
      <c r="K112" s="83">
        <f>+K110+K111</f>
        <v>53594.089503359995</v>
      </c>
      <c r="L112" s="47"/>
      <c r="M112" s="82" t="s">
        <v>55</v>
      </c>
      <c r="N112" s="83">
        <f>+N110+N111</f>
        <v>49127.915378079997</v>
      </c>
      <c r="O112" s="47"/>
      <c r="P112" s="82" t="s">
        <v>55</v>
      </c>
      <c r="Q112" s="83">
        <f>+Q110+Q111</f>
        <v>326030.71114544</v>
      </c>
      <c r="AK112" s="55"/>
    </row>
    <row r="113" spans="7:37" x14ac:dyDescent="0.2"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AK113" s="55"/>
    </row>
    <row r="114" spans="7:37" x14ac:dyDescent="0.2"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AK114" s="55"/>
    </row>
    <row r="115" spans="7:37" ht="15.75" customHeight="1" x14ac:dyDescent="0.25">
      <c r="G115" s="150" t="s">
        <v>684</v>
      </c>
      <c r="H115" s="150"/>
      <c r="I115" s="47"/>
      <c r="J115" s="150" t="s">
        <v>681</v>
      </c>
      <c r="K115" s="150"/>
      <c r="L115" s="47"/>
      <c r="M115" s="150" t="s">
        <v>682</v>
      </c>
      <c r="N115" s="150"/>
      <c r="O115" s="47"/>
      <c r="P115" s="150" t="s">
        <v>683</v>
      </c>
      <c r="Q115" s="150"/>
      <c r="AK115" s="55"/>
    </row>
    <row r="116" spans="7:37" x14ac:dyDescent="0.2">
      <c r="G116" s="82" t="s">
        <v>53</v>
      </c>
      <c r="H116" s="83">
        <f>+L99*4%</f>
        <v>662.36587608805144</v>
      </c>
      <c r="I116" s="47"/>
      <c r="J116" s="82" t="s">
        <v>53</v>
      </c>
      <c r="K116" s="83">
        <f>+L99*12%</f>
        <v>1987.0976282641543</v>
      </c>
      <c r="L116" s="47"/>
      <c r="M116" s="82" t="s">
        <v>53</v>
      </c>
      <c r="N116" s="83">
        <f>+L99*11%</f>
        <v>1821.5061592421414</v>
      </c>
      <c r="O116" s="47"/>
      <c r="P116" s="82" t="s">
        <v>53</v>
      </c>
      <c r="Q116" s="83">
        <f>+L99*73%</f>
        <v>12088.177238606939</v>
      </c>
      <c r="AK116" s="55"/>
    </row>
    <row r="117" spans="7:37" x14ac:dyDescent="0.2">
      <c r="G117" s="82" t="s">
        <v>54</v>
      </c>
      <c r="H117" s="83">
        <f>+H116*16%</f>
        <v>105.97854017408824</v>
      </c>
      <c r="I117" s="47"/>
      <c r="J117" s="82" t="s">
        <v>54</v>
      </c>
      <c r="K117" s="83">
        <f>+K116*16%</f>
        <v>317.93562052226468</v>
      </c>
      <c r="L117" s="47"/>
      <c r="M117" s="82" t="s">
        <v>54</v>
      </c>
      <c r="N117" s="83">
        <f>+N116*16%</f>
        <v>291.44098547874262</v>
      </c>
      <c r="O117" s="47"/>
      <c r="P117" s="82" t="s">
        <v>54</v>
      </c>
      <c r="Q117" s="83">
        <f>+Q116*16%</f>
        <v>1934.1083581771102</v>
      </c>
      <c r="AK117" s="55"/>
    </row>
    <row r="118" spans="7:37" x14ac:dyDescent="0.2">
      <c r="G118" s="82" t="s">
        <v>55</v>
      </c>
      <c r="H118" s="83">
        <f>+H116+H117</f>
        <v>768.3444162621397</v>
      </c>
      <c r="I118" s="47"/>
      <c r="J118" s="82" t="s">
        <v>55</v>
      </c>
      <c r="K118" s="83">
        <f>+K116+K117</f>
        <v>2305.0332487864189</v>
      </c>
      <c r="L118" s="47"/>
      <c r="M118" s="82" t="s">
        <v>55</v>
      </c>
      <c r="N118" s="83">
        <f>+N116+N117</f>
        <v>2112.9471447208839</v>
      </c>
      <c r="O118" s="47"/>
      <c r="P118" s="82" t="s">
        <v>55</v>
      </c>
      <c r="Q118" s="83">
        <f>+Q116+Q117</f>
        <v>14022.28559678405</v>
      </c>
      <c r="AK118" s="55"/>
    </row>
    <row r="119" spans="7:37" x14ac:dyDescent="0.2">
      <c r="AK119" s="55"/>
    </row>
    <row r="120" spans="7:37" x14ac:dyDescent="0.2">
      <c r="AK120" s="55"/>
    </row>
    <row r="121" spans="7:37" x14ac:dyDescent="0.2">
      <c r="AK121" s="55"/>
    </row>
    <row r="122" spans="7:37" x14ac:dyDescent="0.2">
      <c r="AK122" s="55"/>
    </row>
    <row r="123" spans="7:37" x14ac:dyDescent="0.2">
      <c r="AK123" s="55"/>
    </row>
    <row r="124" spans="7:37" x14ac:dyDescent="0.2">
      <c r="AK124" s="55"/>
    </row>
    <row r="125" spans="7:37" x14ac:dyDescent="0.2">
      <c r="AK125" s="55"/>
    </row>
    <row r="126" spans="7:37" x14ac:dyDescent="0.2">
      <c r="AK126" s="55"/>
    </row>
  </sheetData>
  <autoFilter ref="A8:AO107" xr:uid="{00000000-0009-0000-0000-000002000000}"/>
  <sortState xmlns:xlrd2="http://schemas.microsoft.com/office/spreadsheetml/2017/richdata2" ref="A9:AN118">
    <sortCondition ref="AN9:AN118"/>
  </sortState>
  <mergeCells count="15">
    <mergeCell ref="G109:H109"/>
    <mergeCell ref="J109:K109"/>
    <mergeCell ref="M109:N109"/>
    <mergeCell ref="P109:Q109"/>
    <mergeCell ref="G115:H115"/>
    <mergeCell ref="J115:K115"/>
    <mergeCell ref="M115:N115"/>
    <mergeCell ref="P115:Q115"/>
    <mergeCell ref="K93:L93"/>
    <mergeCell ref="K94:L94"/>
    <mergeCell ref="B1:I1"/>
    <mergeCell ref="B2:I2"/>
    <mergeCell ref="B3:I3"/>
    <mergeCell ref="B5:I5"/>
    <mergeCell ref="I93:J93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22"/>
  <sheetViews>
    <sheetView showGridLines="0" zoomScale="90" zoomScaleNormal="90" zoomScaleSheetLayoutView="50" workbookViewId="0">
      <pane xSplit="3" ySplit="6" topLeftCell="F98" activePane="bottomRight" state="frozen"/>
      <selection pane="topRight" activeCell="D1" sqref="D1"/>
      <selection pane="bottomLeft" activeCell="A7" sqref="A7"/>
      <selection pane="bottomRight" activeCell="C109" sqref="C109"/>
    </sheetView>
  </sheetViews>
  <sheetFormatPr baseColWidth="10" defaultColWidth="11.42578125" defaultRowHeight="12.75" x14ac:dyDescent="0.2"/>
  <cols>
    <col min="1" max="1" width="10.85546875" style="52" bestFit="1" customWidth="1"/>
    <col min="2" max="2" width="28" style="52" bestFit="1" customWidth="1"/>
    <col min="3" max="3" width="45.140625" style="52" customWidth="1"/>
    <col min="4" max="4" width="19.85546875" style="52" bestFit="1" customWidth="1"/>
    <col min="5" max="5" width="19.85546875" style="52" customWidth="1"/>
    <col min="6" max="6" width="19.85546875" style="52" bestFit="1" customWidth="1"/>
    <col min="7" max="7" width="17.140625" style="52" customWidth="1"/>
    <col min="8" max="8" width="16" style="52" customWidth="1"/>
    <col min="9" max="11" width="15.85546875" style="52" customWidth="1"/>
    <col min="12" max="12" width="19.140625" style="52" customWidth="1"/>
    <col min="13" max="13" width="20" style="52" customWidth="1"/>
    <col min="14" max="16384" width="11.42578125" style="52"/>
  </cols>
  <sheetData>
    <row r="2" spans="1:13" x14ac:dyDescent="0.2">
      <c r="A2" s="92"/>
      <c r="B2" s="92"/>
      <c r="C2" s="163"/>
      <c r="D2" s="164"/>
      <c r="E2" s="93"/>
    </row>
    <row r="3" spans="1:13" x14ac:dyDescent="0.2">
      <c r="A3" s="94"/>
      <c r="B3" s="94"/>
      <c r="C3" s="165"/>
      <c r="D3" s="158"/>
      <c r="E3" s="91"/>
    </row>
    <row r="4" spans="1:13" x14ac:dyDescent="0.2">
      <c r="A4" s="94"/>
      <c r="B4" s="94"/>
      <c r="C4" s="92" t="s">
        <v>621</v>
      </c>
      <c r="D4" s="94"/>
      <c r="E4" s="94"/>
    </row>
    <row r="5" spans="1:13" x14ac:dyDescent="0.2">
      <c r="A5" s="52">
        <v>1</v>
      </c>
      <c r="B5" s="52">
        <v>2</v>
      </c>
      <c r="C5" s="52">
        <v>3</v>
      </c>
      <c r="D5" s="52">
        <v>4</v>
      </c>
      <c r="E5" s="52">
        <v>5</v>
      </c>
      <c r="F5" s="52">
        <v>6</v>
      </c>
    </row>
    <row r="6" spans="1:13" ht="26.25" thickBot="1" x14ac:dyDescent="0.25">
      <c r="A6" s="95" t="s">
        <v>622</v>
      </c>
      <c r="B6" s="95" t="s">
        <v>623</v>
      </c>
      <c r="C6" s="95" t="s">
        <v>3</v>
      </c>
      <c r="D6" s="95" t="s">
        <v>124</v>
      </c>
      <c r="E6" s="95" t="s">
        <v>396</v>
      </c>
      <c r="F6" s="95" t="s">
        <v>477</v>
      </c>
      <c r="G6" s="96" t="s">
        <v>55</v>
      </c>
      <c r="H6" s="95" t="s">
        <v>624</v>
      </c>
      <c r="I6" s="95" t="s">
        <v>625</v>
      </c>
      <c r="J6" s="95" t="s">
        <v>626</v>
      </c>
      <c r="K6" s="95" t="s">
        <v>627</v>
      </c>
      <c r="L6" s="95" t="s">
        <v>628</v>
      </c>
      <c r="M6" s="95" t="s">
        <v>597</v>
      </c>
    </row>
    <row r="7" spans="1:13" ht="13.5" thickTop="1" x14ac:dyDescent="0.2">
      <c r="A7" s="52" t="s">
        <v>413</v>
      </c>
      <c r="B7" s="52" t="s">
        <v>5</v>
      </c>
      <c r="C7" s="52" t="s">
        <v>570</v>
      </c>
      <c r="D7" s="52">
        <v>2464</v>
      </c>
      <c r="E7" s="54">
        <v>1000</v>
      </c>
      <c r="F7" s="52">
        <f t="shared" ref="F7:F38" si="0">+L7</f>
        <v>0</v>
      </c>
      <c r="G7" s="52">
        <f t="shared" ref="G7:G38" si="1">+D7+E7+F7</f>
        <v>3464</v>
      </c>
      <c r="H7" s="52">
        <f>VLOOKUP(C7,'CPD PITS'!$B$9:$D$27,3,0)</f>
        <v>0</v>
      </c>
      <c r="I7" s="99">
        <f>VLOOKUP(C7,[1]RESUMEN!$C$4:$L$113,10,)</f>
        <v>13000</v>
      </c>
      <c r="J7" s="52">
        <f t="shared" ref="J7:J38" si="2">(((+I7/30)*H7)*30%)</f>
        <v>0</v>
      </c>
      <c r="K7" s="52">
        <f>VLOOKUP(C7,[1]CPD!$B$9:$I$35,8,0)</f>
        <v>0</v>
      </c>
      <c r="L7" s="52">
        <f t="shared" ref="L7:L38" si="3">+J7-K7</f>
        <v>0</v>
      </c>
      <c r="M7" s="52" t="s">
        <v>596</v>
      </c>
    </row>
    <row r="8" spans="1:13" x14ac:dyDescent="0.2">
      <c r="A8" s="52" t="s">
        <v>403</v>
      </c>
      <c r="B8" s="52" t="s">
        <v>57</v>
      </c>
      <c r="C8" s="52" t="s">
        <v>404</v>
      </c>
      <c r="D8" s="52">
        <v>135.19999999999993</v>
      </c>
      <c r="E8" s="54">
        <v>292.5</v>
      </c>
      <c r="F8" s="52">
        <f t="shared" si="0"/>
        <v>0</v>
      </c>
      <c r="G8" s="52">
        <f t="shared" si="1"/>
        <v>427.69999999999993</v>
      </c>
      <c r="H8" s="52">
        <f>VLOOKUP(C8,'IP PITS'!$B$9:$D$90,3,0)</f>
        <v>0</v>
      </c>
      <c r="I8" s="99">
        <f>VLOOKUP(C8,[1]RESUMEN!$C$31:$L$127,10,0)</f>
        <v>6000</v>
      </c>
      <c r="J8" s="52">
        <f t="shared" si="2"/>
        <v>0</v>
      </c>
      <c r="K8" s="52">
        <f>VLOOKUP(C8,[1]IP!$B$9:$I$116,8,0)</f>
        <v>0</v>
      </c>
      <c r="L8" s="52">
        <f t="shared" si="3"/>
        <v>0</v>
      </c>
      <c r="M8" s="52" t="s">
        <v>596</v>
      </c>
    </row>
    <row r="9" spans="1:13" x14ac:dyDescent="0.2">
      <c r="A9" s="52" t="s">
        <v>581</v>
      </c>
      <c r="B9" s="54" t="s">
        <v>57</v>
      </c>
      <c r="C9" s="52" t="s">
        <v>582</v>
      </c>
      <c r="D9" s="54">
        <v>175.80000000000018</v>
      </c>
      <c r="E9" s="54">
        <v>618.75</v>
      </c>
      <c r="F9" s="52">
        <f t="shared" si="0"/>
        <v>0</v>
      </c>
      <c r="G9" s="52">
        <f t="shared" si="1"/>
        <v>794.55000000000018</v>
      </c>
      <c r="H9" s="52">
        <f>VLOOKUP(C9,'IP PITS'!$B$9:$D$90,3,0)</f>
        <v>0</v>
      </c>
      <c r="I9" s="99">
        <f>VLOOKUP(C9,[1]RESUMEN!$C$31:$L$127,10,0)</f>
        <v>6300</v>
      </c>
      <c r="J9" s="52">
        <f t="shared" si="2"/>
        <v>0</v>
      </c>
      <c r="K9" s="52">
        <f>VLOOKUP(C9,[1]IP!$B$9:$I$116,8,0)</f>
        <v>0</v>
      </c>
      <c r="L9" s="52">
        <f t="shared" si="3"/>
        <v>0</v>
      </c>
      <c r="M9" s="52" t="s">
        <v>596</v>
      </c>
    </row>
    <row r="10" spans="1:13" x14ac:dyDescent="0.2">
      <c r="A10" s="52" t="s">
        <v>594</v>
      </c>
      <c r="B10" s="54" t="s">
        <v>57</v>
      </c>
      <c r="C10" s="52" t="s">
        <v>595</v>
      </c>
      <c r="D10" s="52">
        <v>3135.1899999999996</v>
      </c>
      <c r="E10" s="54">
        <v>1750</v>
      </c>
      <c r="F10" s="52">
        <f t="shared" si="0"/>
        <v>0</v>
      </c>
      <c r="G10" s="52">
        <f t="shared" si="1"/>
        <v>4885.1899999999996</v>
      </c>
      <c r="H10" s="52">
        <f>VLOOKUP(C10,'IP PITS'!$B$9:$D$90,3,0)</f>
        <v>0</v>
      </c>
      <c r="I10" s="99">
        <v>12000</v>
      </c>
      <c r="J10" s="52">
        <f t="shared" si="2"/>
        <v>0</v>
      </c>
      <c r="K10" s="52">
        <f>VLOOKUP(C10,[1]IP!$B$9:$I$116,8,0)</f>
        <v>0</v>
      </c>
      <c r="L10" s="52">
        <f t="shared" si="3"/>
        <v>0</v>
      </c>
      <c r="M10" s="52" t="s">
        <v>596</v>
      </c>
    </row>
    <row r="11" spans="1:13" x14ac:dyDescent="0.2">
      <c r="A11" s="52" t="s">
        <v>101</v>
      </c>
      <c r="B11" s="52" t="s">
        <v>57</v>
      </c>
      <c r="C11" s="52" t="s">
        <v>346</v>
      </c>
      <c r="D11" s="52">
        <v>109.8</v>
      </c>
      <c r="E11" s="54">
        <v>487.5</v>
      </c>
      <c r="F11" s="52">
        <f t="shared" si="0"/>
        <v>0</v>
      </c>
      <c r="G11" s="52">
        <f t="shared" si="1"/>
        <v>597.29999999999995</v>
      </c>
      <c r="H11" s="52">
        <f>VLOOKUP(C11,'IP PITS'!$B$9:$D$90,3,0)</f>
        <v>0</v>
      </c>
      <c r="I11" s="99">
        <f>VLOOKUP(C11,[1]RESUMEN!$C$31:$L$127,10,0)</f>
        <v>6000</v>
      </c>
      <c r="J11" s="52">
        <f t="shared" si="2"/>
        <v>0</v>
      </c>
      <c r="K11" s="52">
        <f>VLOOKUP(C11,[1]IP!$B$9:$I$116,8,0)</f>
        <v>0</v>
      </c>
      <c r="L11" s="52">
        <f t="shared" si="3"/>
        <v>0</v>
      </c>
      <c r="M11" s="52" t="s">
        <v>596</v>
      </c>
    </row>
    <row r="12" spans="1:13" x14ac:dyDescent="0.2">
      <c r="A12" s="97" t="s">
        <v>17</v>
      </c>
      <c r="B12" s="52" t="s">
        <v>5</v>
      </c>
      <c r="C12" s="52" t="s">
        <v>321</v>
      </c>
      <c r="D12" s="52">
        <v>1558.1100000000006</v>
      </c>
      <c r="E12" s="52">
        <v>501</v>
      </c>
      <c r="F12" s="52">
        <f t="shared" si="0"/>
        <v>0</v>
      </c>
      <c r="G12" s="52">
        <f t="shared" si="1"/>
        <v>2059.1100000000006</v>
      </c>
      <c r="H12" s="52">
        <f>VLOOKUP(C12,'CPD PITS'!$B$9:$D$27,3,0)</f>
        <v>0</v>
      </c>
      <c r="I12" s="99">
        <f>VLOOKUP(C12,[1]RESUMEN!$C$4:$L$113,10,)</f>
        <v>10150</v>
      </c>
      <c r="J12" s="52">
        <f t="shared" si="2"/>
        <v>0</v>
      </c>
      <c r="K12" s="52">
        <f>VLOOKUP(C12,[1]CPD!$B$9:$I$35,8,0)</f>
        <v>0</v>
      </c>
      <c r="L12" s="52">
        <f t="shared" si="3"/>
        <v>0</v>
      </c>
      <c r="M12" s="52" t="s">
        <v>596</v>
      </c>
    </row>
    <row r="13" spans="1:13" x14ac:dyDescent="0.2">
      <c r="A13" s="52" t="s">
        <v>27</v>
      </c>
      <c r="B13" s="52" t="s">
        <v>5</v>
      </c>
      <c r="C13" s="52" t="s">
        <v>326</v>
      </c>
      <c r="D13" s="52">
        <v>2102.8399999999992</v>
      </c>
      <c r="F13" s="52">
        <f t="shared" si="0"/>
        <v>234.01</v>
      </c>
      <c r="G13" s="52">
        <f t="shared" si="1"/>
        <v>2336.8499999999995</v>
      </c>
      <c r="H13" s="52">
        <v>4</v>
      </c>
      <c r="I13" s="99">
        <f>VLOOKUP(C13,[1]RESUMEN!$C$4:$L$113,10,)</f>
        <v>13000</v>
      </c>
      <c r="J13" s="52">
        <f t="shared" si="2"/>
        <v>520</v>
      </c>
      <c r="K13" s="52">
        <f>VLOOKUP(C13,[1]CPD!$B$9:$I$35,8,0)</f>
        <v>285.99</v>
      </c>
      <c r="L13" s="52">
        <f t="shared" si="3"/>
        <v>234.01</v>
      </c>
      <c r="M13" s="52" t="s">
        <v>596</v>
      </c>
    </row>
    <row r="14" spans="1:13" x14ac:dyDescent="0.2">
      <c r="A14" s="52" t="s">
        <v>475</v>
      </c>
      <c r="B14" s="54" t="s">
        <v>57</v>
      </c>
      <c r="C14" s="52" t="s">
        <v>551</v>
      </c>
      <c r="D14" s="52">
        <v>416.20000000000027</v>
      </c>
      <c r="E14" s="54">
        <v>463</v>
      </c>
      <c r="F14" s="52">
        <f t="shared" si="0"/>
        <v>0</v>
      </c>
      <c r="G14" s="52">
        <f t="shared" si="1"/>
        <v>879.20000000000027</v>
      </c>
      <c r="H14" s="52">
        <f>VLOOKUP(C14,'IP PITS'!$B$9:$D$90,3,0)</f>
        <v>0</v>
      </c>
      <c r="I14" s="99">
        <f>VLOOKUP(C14,[1]RESUMEN!$C$31:$L$127,10,0)</f>
        <v>8000</v>
      </c>
      <c r="J14" s="52">
        <f t="shared" si="2"/>
        <v>0</v>
      </c>
      <c r="K14" s="52">
        <f>VLOOKUP(C14,[1]IP!$B$9:$I$116,8,0)</f>
        <v>0</v>
      </c>
      <c r="L14" s="52">
        <f t="shared" si="3"/>
        <v>0</v>
      </c>
      <c r="M14" s="52" t="s">
        <v>596</v>
      </c>
    </row>
    <row r="15" spans="1:13" s="54" customFormat="1" x14ac:dyDescent="0.2">
      <c r="A15" s="52" t="s">
        <v>228</v>
      </c>
      <c r="B15" s="52" t="s">
        <v>5</v>
      </c>
      <c r="C15" s="61" t="s">
        <v>368</v>
      </c>
      <c r="D15" s="52">
        <v>16803.2</v>
      </c>
      <c r="F15" s="52">
        <f t="shared" si="0"/>
        <v>0</v>
      </c>
      <c r="G15" s="52">
        <f t="shared" si="1"/>
        <v>16803.2</v>
      </c>
      <c r="H15" s="52">
        <f>VLOOKUP(C15,'CPD PITS'!$B$9:$D$27,3,0)</f>
        <v>0</v>
      </c>
      <c r="I15" s="99">
        <f>VLOOKUP(C15,[1]RESUMEN!$C$4:$L$113,10,)</f>
        <v>40000</v>
      </c>
      <c r="J15" s="52">
        <f t="shared" si="2"/>
        <v>0</v>
      </c>
      <c r="K15" s="52">
        <f>VLOOKUP(C15,[1]CPD!$B$9:$I$35,8,0)</f>
        <v>0</v>
      </c>
      <c r="L15" s="52">
        <f t="shared" si="3"/>
        <v>0</v>
      </c>
      <c r="M15" s="52" t="s">
        <v>596</v>
      </c>
    </row>
    <row r="16" spans="1:13" x14ac:dyDescent="0.2">
      <c r="A16" s="52" t="s">
        <v>21</v>
      </c>
      <c r="B16" s="52" t="s">
        <v>5</v>
      </c>
      <c r="C16" s="52" t="s">
        <v>323</v>
      </c>
      <c r="D16" s="52">
        <v>1558.0899999999992</v>
      </c>
      <c r="E16" s="54">
        <f>346+720</f>
        <v>1066</v>
      </c>
      <c r="F16" s="52">
        <f t="shared" si="0"/>
        <v>0</v>
      </c>
      <c r="G16" s="52">
        <f t="shared" si="1"/>
        <v>2624.0899999999992</v>
      </c>
      <c r="H16" s="52">
        <f>VLOOKUP(C16,'CPD PITS'!$B$9:$D$27,3,0)</f>
        <v>0</v>
      </c>
      <c r="I16" s="99">
        <f>VLOOKUP(C16,[1]RESUMEN!$C$4:$L$113,10,)</f>
        <v>10150</v>
      </c>
      <c r="J16" s="52">
        <f t="shared" si="2"/>
        <v>0</v>
      </c>
      <c r="K16" s="52">
        <f>VLOOKUP(C16,[1]CPD!$B$9:$I$35,8,0)</f>
        <v>0</v>
      </c>
      <c r="L16" s="52">
        <f t="shared" si="3"/>
        <v>0</v>
      </c>
      <c r="M16" s="52" t="s">
        <v>596</v>
      </c>
    </row>
    <row r="17" spans="1:13" x14ac:dyDescent="0.2">
      <c r="A17" s="52" t="s">
        <v>41</v>
      </c>
      <c r="B17" s="52" t="s">
        <v>5</v>
      </c>
      <c r="C17" s="52" t="s">
        <v>133</v>
      </c>
      <c r="D17" s="52">
        <v>1608.1</v>
      </c>
      <c r="E17" s="54">
        <f>357+3080</f>
        <v>3437</v>
      </c>
      <c r="F17" s="52">
        <f t="shared" si="0"/>
        <v>0</v>
      </c>
      <c r="G17" s="52">
        <f t="shared" si="1"/>
        <v>5045.1000000000004</v>
      </c>
      <c r="H17" s="52">
        <f>VLOOKUP(C17,'CPD PITS'!$B$9:$D$27,3,0)</f>
        <v>0</v>
      </c>
      <c r="I17" s="99">
        <f>VLOOKUP(C17,[1]RESUMEN!$C$4:$L$113,10,)</f>
        <v>10250</v>
      </c>
      <c r="J17" s="52">
        <f t="shared" si="2"/>
        <v>0</v>
      </c>
      <c r="K17" s="52">
        <f>VLOOKUP(C17,[1]CPD!$B$9:$I$35,8,0)</f>
        <v>0</v>
      </c>
      <c r="L17" s="52">
        <f t="shared" si="3"/>
        <v>0</v>
      </c>
      <c r="M17" s="52" t="s">
        <v>596</v>
      </c>
    </row>
    <row r="18" spans="1:13" x14ac:dyDescent="0.2">
      <c r="A18" s="52" t="s">
        <v>583</v>
      </c>
      <c r="B18" s="54" t="s">
        <v>57</v>
      </c>
      <c r="C18" s="52" t="s">
        <v>584</v>
      </c>
      <c r="D18" s="54">
        <v>175.61000000000013</v>
      </c>
      <c r="E18" s="54">
        <v>480</v>
      </c>
      <c r="F18" s="52">
        <f t="shared" si="0"/>
        <v>0</v>
      </c>
      <c r="G18" s="52">
        <f t="shared" si="1"/>
        <v>655.61000000000013</v>
      </c>
      <c r="H18" s="52">
        <f>VLOOKUP(C18,'IP PITS'!$B$9:$D$90,3,0)</f>
        <v>0</v>
      </c>
      <c r="I18" s="99">
        <f>VLOOKUP(C18,[1]RESUMEN!$C$31:$L$127,10,0)</f>
        <v>6300</v>
      </c>
      <c r="J18" s="52">
        <f t="shared" si="2"/>
        <v>0</v>
      </c>
      <c r="K18" s="52">
        <f>VLOOKUP(C18,[1]IP!$B$9:$I$116,8,0)</f>
        <v>0</v>
      </c>
      <c r="L18" s="52">
        <f t="shared" si="3"/>
        <v>0</v>
      </c>
      <c r="M18" s="52" t="s">
        <v>596</v>
      </c>
    </row>
    <row r="19" spans="1:13" x14ac:dyDescent="0.2">
      <c r="A19" s="52" t="s">
        <v>23</v>
      </c>
      <c r="B19" s="52" t="s">
        <v>5</v>
      </c>
      <c r="C19" s="61" t="s">
        <v>324</v>
      </c>
      <c r="D19" s="52">
        <v>1891.0800000000008</v>
      </c>
      <c r="E19" s="54"/>
      <c r="F19" s="52">
        <f t="shared" si="0"/>
        <v>0</v>
      </c>
      <c r="G19" s="52">
        <f t="shared" si="1"/>
        <v>1891.0800000000008</v>
      </c>
      <c r="H19" s="52">
        <f>VLOOKUP(C19,'CPD PITS'!$B$9:$D$27,3,0)</f>
        <v>0</v>
      </c>
      <c r="I19" s="99">
        <f>VLOOKUP(C19,[1]RESUMEN!$C$4:$L$113,10,)</f>
        <v>12000</v>
      </c>
      <c r="J19" s="52">
        <f t="shared" si="2"/>
        <v>0</v>
      </c>
      <c r="K19" s="52">
        <f>VLOOKUP(C19,[1]CPD!$B$9:$I$35,8,0)</f>
        <v>0</v>
      </c>
      <c r="L19" s="52">
        <f t="shared" si="3"/>
        <v>0</v>
      </c>
      <c r="M19" s="52" t="s">
        <v>596</v>
      </c>
    </row>
    <row r="20" spans="1:13" x14ac:dyDescent="0.2">
      <c r="A20" s="52" t="s">
        <v>454</v>
      </c>
      <c r="B20" s="54" t="s">
        <v>57</v>
      </c>
      <c r="C20" s="52" t="s">
        <v>455</v>
      </c>
      <c r="D20" s="52">
        <v>384.77500000000009</v>
      </c>
      <c r="E20" s="54">
        <v>150</v>
      </c>
      <c r="F20" s="52">
        <f t="shared" si="0"/>
        <v>0</v>
      </c>
      <c r="G20" s="52">
        <f t="shared" si="1"/>
        <v>534.77500000000009</v>
      </c>
      <c r="H20" s="52">
        <f>VLOOKUP(C20,'IP PITS'!$B$9:$D$90,3,0)</f>
        <v>0</v>
      </c>
      <c r="I20" s="99">
        <f>VLOOKUP(C20,[1]RESUMEN!$C$31:$L$127,10,0)</f>
        <v>7505.99</v>
      </c>
      <c r="J20" s="52">
        <f t="shared" si="2"/>
        <v>0</v>
      </c>
      <c r="K20" s="52">
        <f>VLOOKUP(C20,[1]IP!$B$9:$I$116,8,0)</f>
        <v>0</v>
      </c>
      <c r="L20" s="52">
        <f t="shared" si="3"/>
        <v>0</v>
      </c>
      <c r="M20" s="52" t="s">
        <v>596</v>
      </c>
    </row>
    <row r="21" spans="1:13" x14ac:dyDescent="0.2">
      <c r="A21" s="54" t="s">
        <v>416</v>
      </c>
      <c r="B21" s="54" t="s">
        <v>57</v>
      </c>
      <c r="C21" s="54" t="s">
        <v>417</v>
      </c>
      <c r="D21" s="52">
        <v>135.19999999999982</v>
      </c>
      <c r="E21" s="54">
        <v>1500</v>
      </c>
      <c r="F21" s="52">
        <f t="shared" si="0"/>
        <v>0</v>
      </c>
      <c r="G21" s="52">
        <f t="shared" si="1"/>
        <v>1635.1999999999998</v>
      </c>
      <c r="H21" s="52">
        <f>VLOOKUP(C21,'IP PITS'!$B$9:$D$90,3,0)</f>
        <v>0</v>
      </c>
      <c r="I21" s="99">
        <f>VLOOKUP(C21,[1]RESUMEN!$C$31:$L$127,10,0)</f>
        <v>6000</v>
      </c>
      <c r="J21" s="52">
        <f t="shared" si="2"/>
        <v>0</v>
      </c>
      <c r="K21" s="52">
        <f>VLOOKUP(C21,[1]IP!$B$9:$I$116,8,0)</f>
        <v>0</v>
      </c>
      <c r="L21" s="52">
        <f t="shared" si="3"/>
        <v>0</v>
      </c>
      <c r="M21" s="52" t="s">
        <v>596</v>
      </c>
    </row>
    <row r="22" spans="1:13" x14ac:dyDescent="0.2">
      <c r="A22" s="52" t="s">
        <v>506</v>
      </c>
      <c r="B22" s="52" t="s">
        <v>57</v>
      </c>
      <c r="C22" s="52" t="s">
        <v>392</v>
      </c>
      <c r="D22" s="52">
        <v>3721.37</v>
      </c>
      <c r="E22" s="54">
        <v>208.5</v>
      </c>
      <c r="F22" s="52">
        <f t="shared" si="0"/>
        <v>0</v>
      </c>
      <c r="G22" s="52">
        <f t="shared" si="1"/>
        <v>3929.87</v>
      </c>
      <c r="H22" s="52">
        <f>VLOOKUP(C22,'IP PITS'!$B$9:$D$90,3,0)</f>
        <v>0</v>
      </c>
      <c r="I22" s="99">
        <f>VLOOKUP(C22,[1]RESUMEN!$C$31:$L$127,10,0)</f>
        <v>14000</v>
      </c>
      <c r="J22" s="52">
        <f t="shared" si="2"/>
        <v>0</v>
      </c>
      <c r="K22" s="52">
        <f>VLOOKUP(C22,[1]IP!$B$9:$I$116,8,0)</f>
        <v>0</v>
      </c>
      <c r="L22" s="52">
        <f t="shared" si="3"/>
        <v>0</v>
      </c>
      <c r="M22" s="52" t="s">
        <v>596</v>
      </c>
    </row>
    <row r="23" spans="1:13" x14ac:dyDescent="0.2">
      <c r="A23" s="52" t="s">
        <v>523</v>
      </c>
      <c r="B23" s="52" t="s">
        <v>57</v>
      </c>
      <c r="C23" s="52" t="s">
        <v>472</v>
      </c>
      <c r="D23" s="52">
        <v>2553.4</v>
      </c>
      <c r="E23" s="54">
        <v>200</v>
      </c>
      <c r="F23" s="52">
        <f t="shared" si="0"/>
        <v>0</v>
      </c>
      <c r="G23" s="52">
        <f t="shared" si="1"/>
        <v>2753.4</v>
      </c>
      <c r="H23" s="52">
        <f>VLOOKUP(C23,'IP PITS'!$B$9:$D$90,3,0)</f>
        <v>0</v>
      </c>
      <c r="I23" s="99">
        <f>VLOOKUP(C23,[1]RESUMEN!$C$31:$L$127,10,0)</f>
        <v>10000</v>
      </c>
      <c r="J23" s="52">
        <f t="shared" si="2"/>
        <v>0</v>
      </c>
      <c r="K23" s="52">
        <f>VLOOKUP(C23,[1]IP!$B$9:$I$116,8,0)</f>
        <v>0</v>
      </c>
      <c r="L23" s="52">
        <f t="shared" si="3"/>
        <v>0</v>
      </c>
      <c r="M23" s="52" t="s">
        <v>596</v>
      </c>
    </row>
    <row r="24" spans="1:13" x14ac:dyDescent="0.2">
      <c r="A24" s="52" t="s">
        <v>514</v>
      </c>
      <c r="B24" s="52" t="s">
        <v>57</v>
      </c>
      <c r="C24" s="52" t="s">
        <v>429</v>
      </c>
      <c r="D24" s="52">
        <v>2667.3999999999996</v>
      </c>
      <c r="E24" s="54">
        <v>1054.5</v>
      </c>
      <c r="F24" s="52">
        <f t="shared" si="0"/>
        <v>0</v>
      </c>
      <c r="G24" s="52">
        <f t="shared" si="1"/>
        <v>3721.8999999999996</v>
      </c>
      <c r="H24" s="52">
        <f>VLOOKUP(C24,'IP PITS'!$B$9:$D$90,3,0)</f>
        <v>0</v>
      </c>
      <c r="I24" s="99">
        <f>VLOOKUP(C24,[1]RESUMEN!$C$31:$L$127,10,0)</f>
        <v>12000</v>
      </c>
      <c r="J24" s="52">
        <f t="shared" si="2"/>
        <v>0</v>
      </c>
      <c r="K24" s="52">
        <f>VLOOKUP(C24,[1]IP!$B$9:$I$116,8,0)</f>
        <v>0</v>
      </c>
      <c r="L24" s="52">
        <f t="shared" si="3"/>
        <v>0</v>
      </c>
      <c r="M24" s="52" t="s">
        <v>596</v>
      </c>
    </row>
    <row r="25" spans="1:13" x14ac:dyDescent="0.2">
      <c r="A25" s="52" t="s">
        <v>613</v>
      </c>
      <c r="B25" s="54" t="s">
        <v>57</v>
      </c>
      <c r="C25" s="52" t="s">
        <v>614</v>
      </c>
      <c r="D25" s="52">
        <v>222.40000000000009</v>
      </c>
      <c r="E25" s="54"/>
      <c r="F25" s="52">
        <f t="shared" si="0"/>
        <v>0</v>
      </c>
      <c r="G25" s="52">
        <f t="shared" si="1"/>
        <v>222.40000000000009</v>
      </c>
      <c r="H25" s="52">
        <f>VLOOKUP(C25,'IP PITS'!$B$9:$D$90,3,0)</f>
        <v>0</v>
      </c>
      <c r="I25" s="99">
        <v>7000</v>
      </c>
      <c r="J25" s="52">
        <f t="shared" si="2"/>
        <v>0</v>
      </c>
      <c r="K25" s="52">
        <f>VLOOKUP(C25,[1]IP!$B$9:$I$116,8,0)</f>
        <v>0</v>
      </c>
      <c r="L25" s="52">
        <f t="shared" si="3"/>
        <v>0</v>
      </c>
      <c r="M25" s="52" t="s">
        <v>596</v>
      </c>
    </row>
    <row r="26" spans="1:13" x14ac:dyDescent="0.2">
      <c r="A26" s="52" t="s">
        <v>413</v>
      </c>
      <c r="B26" s="52" t="s">
        <v>57</v>
      </c>
      <c r="C26" s="52" t="s">
        <v>409</v>
      </c>
      <c r="D26" s="52">
        <v>1047.8000000000004</v>
      </c>
      <c r="E26" s="54">
        <f>420+675</f>
        <v>1095</v>
      </c>
      <c r="F26" s="52">
        <f t="shared" si="0"/>
        <v>0</v>
      </c>
      <c r="G26" s="52">
        <f t="shared" si="1"/>
        <v>2142.8000000000002</v>
      </c>
      <c r="H26" s="52">
        <f>VLOOKUP(C26,'IP PITS'!$B$9:$D$90,3,0)</f>
        <v>0</v>
      </c>
      <c r="I26" s="99">
        <f>VLOOKUP(C26,[1]RESUMEN!$C$31:$L$127,10,0)</f>
        <v>14000</v>
      </c>
      <c r="J26" s="52">
        <f t="shared" si="2"/>
        <v>0</v>
      </c>
      <c r="K26" s="52">
        <f>VLOOKUP(C26,[1]IP!$B$9:$I$116,8,0)</f>
        <v>0</v>
      </c>
      <c r="L26" s="52">
        <f t="shared" si="3"/>
        <v>0</v>
      </c>
      <c r="M26" s="52" t="s">
        <v>596</v>
      </c>
    </row>
    <row r="27" spans="1:13" x14ac:dyDescent="0.2">
      <c r="A27" s="52" t="s">
        <v>531</v>
      </c>
      <c r="B27" s="54" t="s">
        <v>57</v>
      </c>
      <c r="C27" s="52" t="s">
        <v>532</v>
      </c>
      <c r="D27" s="52">
        <v>414.59999999999991</v>
      </c>
      <c r="E27" s="54">
        <v>224.25</v>
      </c>
      <c r="F27" s="52">
        <f t="shared" si="0"/>
        <v>0</v>
      </c>
      <c r="G27" s="52">
        <f t="shared" si="1"/>
        <v>638.84999999999991</v>
      </c>
      <c r="H27" s="52">
        <f>VLOOKUP(C27,'IP PITS'!$B$9:$D$90,3,0)</f>
        <v>0</v>
      </c>
      <c r="I27" s="99">
        <f>VLOOKUP(C27,[1]RESUMEN!$C$31:$L$127,10,0)</f>
        <v>8000</v>
      </c>
      <c r="J27" s="52">
        <f t="shared" si="2"/>
        <v>0</v>
      </c>
      <c r="K27" s="52">
        <f>VLOOKUP(C27,[1]IP!$B$9:$I$116,8,0)</f>
        <v>0</v>
      </c>
      <c r="L27" s="52">
        <f t="shared" si="3"/>
        <v>0</v>
      </c>
      <c r="M27" s="52" t="s">
        <v>596</v>
      </c>
    </row>
    <row r="28" spans="1:13" x14ac:dyDescent="0.2">
      <c r="A28" s="52" t="s">
        <v>448</v>
      </c>
      <c r="B28" s="54" t="s">
        <v>57</v>
      </c>
      <c r="C28" s="52" t="s">
        <v>449</v>
      </c>
      <c r="D28" s="52">
        <v>593.60000000000025</v>
      </c>
      <c r="E28" s="54">
        <v>121.5</v>
      </c>
      <c r="F28" s="52">
        <f t="shared" si="0"/>
        <v>0</v>
      </c>
      <c r="G28" s="52">
        <f t="shared" si="1"/>
        <v>715.10000000000025</v>
      </c>
      <c r="H28" s="52">
        <f>VLOOKUP(C28,'IP PITS'!$B$9:$D$90,3,0)</f>
        <v>0</v>
      </c>
      <c r="I28" s="99">
        <f>VLOOKUP(C28,[1]RESUMEN!$C$31:$L$127,10,0)</f>
        <v>10000</v>
      </c>
      <c r="J28" s="52">
        <f t="shared" si="2"/>
        <v>0</v>
      </c>
      <c r="K28" s="52">
        <f>VLOOKUP(C28,[1]IP!$B$9:$I$116,8,0)</f>
        <v>0</v>
      </c>
      <c r="L28" s="52">
        <f t="shared" si="3"/>
        <v>0</v>
      </c>
      <c r="M28" s="52" t="s">
        <v>596</v>
      </c>
    </row>
    <row r="29" spans="1:13" x14ac:dyDescent="0.2">
      <c r="A29" s="52" t="s">
        <v>605</v>
      </c>
      <c r="B29" s="54" t="s">
        <v>57</v>
      </c>
      <c r="C29" s="52" t="s">
        <v>606</v>
      </c>
      <c r="D29" s="52">
        <v>175.60000000000008</v>
      </c>
      <c r="E29" s="54"/>
      <c r="F29" s="52">
        <f t="shared" si="0"/>
        <v>0</v>
      </c>
      <c r="G29" s="52">
        <f t="shared" si="1"/>
        <v>175.60000000000008</v>
      </c>
      <c r="H29" s="52">
        <f>VLOOKUP(C29,'IP PITS'!$B$9:$D$90,3,0)</f>
        <v>0</v>
      </c>
      <c r="I29" s="99">
        <v>6300</v>
      </c>
      <c r="J29" s="52">
        <f t="shared" si="2"/>
        <v>0</v>
      </c>
      <c r="K29" s="52">
        <f>VLOOKUP(C29,[1]IP!$B$9:$I$116,8,0)</f>
        <v>0</v>
      </c>
      <c r="L29" s="52">
        <f t="shared" si="3"/>
        <v>0</v>
      </c>
      <c r="M29" s="52" t="s">
        <v>596</v>
      </c>
    </row>
    <row r="30" spans="1:13" x14ac:dyDescent="0.2">
      <c r="A30" s="52" t="s">
        <v>77</v>
      </c>
      <c r="B30" s="54" t="s">
        <v>57</v>
      </c>
      <c r="C30" s="52" t="s">
        <v>607</v>
      </c>
      <c r="D30" s="52">
        <v>134.19999999999982</v>
      </c>
      <c r="E30" s="54">
        <v>378</v>
      </c>
      <c r="F30" s="52">
        <f t="shared" si="0"/>
        <v>0</v>
      </c>
      <c r="G30" s="52">
        <f t="shared" si="1"/>
        <v>512.19999999999982</v>
      </c>
      <c r="H30" s="52">
        <f>VLOOKUP(C30,'IP PITS'!$B$9:$D$90,3,0)</f>
        <v>0</v>
      </c>
      <c r="I30" s="99">
        <v>6000</v>
      </c>
      <c r="J30" s="52">
        <f t="shared" si="2"/>
        <v>0</v>
      </c>
      <c r="K30" s="52">
        <f>VLOOKUP(C30,[1]IP!$B$9:$I$116,8,0)</f>
        <v>0</v>
      </c>
      <c r="L30" s="52">
        <f t="shared" si="3"/>
        <v>0</v>
      </c>
      <c r="M30" s="52" t="s">
        <v>596</v>
      </c>
    </row>
    <row r="31" spans="1:13" x14ac:dyDescent="0.2">
      <c r="A31" s="52" t="s">
        <v>377</v>
      </c>
      <c r="B31" s="52" t="s">
        <v>57</v>
      </c>
      <c r="C31" s="52" t="s">
        <v>378</v>
      </c>
      <c r="D31" s="52">
        <v>52.399999999999636</v>
      </c>
      <c r="E31" s="54">
        <f>3430+395.5</f>
        <v>3825.5</v>
      </c>
      <c r="F31" s="52">
        <f t="shared" si="0"/>
        <v>0</v>
      </c>
      <c r="G31" s="52">
        <f t="shared" si="1"/>
        <v>3877.8999999999996</v>
      </c>
      <c r="H31" s="52">
        <f>VLOOKUP(C31,'IP PITS'!$B$9:$D$90,3,0)</f>
        <v>0</v>
      </c>
      <c r="I31" s="99">
        <f>VLOOKUP(C31,[1]RESUMEN!$C$31:$L$127,10,0)</f>
        <v>5000</v>
      </c>
      <c r="J31" s="52">
        <f t="shared" si="2"/>
        <v>0</v>
      </c>
      <c r="K31" s="52">
        <f>VLOOKUP(C31,[1]IP!$B$9:$I$116,8,0)</f>
        <v>0</v>
      </c>
      <c r="L31" s="52">
        <f t="shared" si="3"/>
        <v>0</v>
      </c>
      <c r="M31" s="52" t="s">
        <v>596</v>
      </c>
    </row>
    <row r="32" spans="1:13" x14ac:dyDescent="0.2">
      <c r="A32" s="52" t="s">
        <v>516</v>
      </c>
      <c r="B32" s="52" t="s">
        <v>57</v>
      </c>
      <c r="C32" s="52" t="s">
        <v>431</v>
      </c>
      <c r="D32" s="52">
        <v>1667.4699999999998</v>
      </c>
      <c r="E32" s="54">
        <v>226.5</v>
      </c>
      <c r="F32" s="52">
        <f t="shared" si="0"/>
        <v>0</v>
      </c>
      <c r="G32" s="52">
        <f t="shared" si="1"/>
        <v>1893.9699999999998</v>
      </c>
      <c r="H32" s="52">
        <f>VLOOKUP(C32,'IP PITS'!$B$9:$D$90,3,0)</f>
        <v>0</v>
      </c>
      <c r="I32" s="99">
        <f>VLOOKUP(C32,[1]RESUMEN!$C$31:$L$127,10,0)</f>
        <v>10000</v>
      </c>
      <c r="J32" s="52">
        <f t="shared" si="2"/>
        <v>0</v>
      </c>
      <c r="K32" s="52">
        <f>VLOOKUP(C32,[1]IP!$B$9:$I$116,8,0)</f>
        <v>0</v>
      </c>
      <c r="L32" s="52">
        <f t="shared" si="3"/>
        <v>0</v>
      </c>
      <c r="M32" s="52" t="s">
        <v>596</v>
      </c>
    </row>
    <row r="33" spans="1:13" x14ac:dyDescent="0.2">
      <c r="A33" s="52" t="s">
        <v>491</v>
      </c>
      <c r="B33" s="54" t="s">
        <v>57</v>
      </c>
      <c r="C33" s="52" t="s">
        <v>489</v>
      </c>
      <c r="D33" s="52">
        <v>416.40000000000009</v>
      </c>
      <c r="E33" s="54">
        <v>474</v>
      </c>
      <c r="F33" s="52">
        <f t="shared" si="0"/>
        <v>0</v>
      </c>
      <c r="G33" s="52">
        <f t="shared" si="1"/>
        <v>890.40000000000009</v>
      </c>
      <c r="H33" s="52">
        <f>VLOOKUP(C33,'IP PITS'!$B$9:$D$90,3,0)</f>
        <v>0</v>
      </c>
      <c r="I33" s="99">
        <f>VLOOKUP(C33,[1]RESUMEN!$C$31:$L$127,10,0)</f>
        <v>8000</v>
      </c>
      <c r="J33" s="52">
        <f t="shared" si="2"/>
        <v>0</v>
      </c>
      <c r="K33" s="52">
        <f>VLOOKUP(C33,[1]IP!$B$9:$I$116,8,0)</f>
        <v>0</v>
      </c>
      <c r="L33" s="52">
        <f t="shared" si="3"/>
        <v>0</v>
      </c>
      <c r="M33" s="52" t="s">
        <v>596</v>
      </c>
    </row>
    <row r="34" spans="1:13" s="54" customFormat="1" x14ac:dyDescent="0.2">
      <c r="A34" s="52" t="s">
        <v>39</v>
      </c>
      <c r="B34" s="52" t="s">
        <v>5</v>
      </c>
      <c r="C34" s="52" t="s">
        <v>333</v>
      </c>
      <c r="D34" s="52">
        <v>1557.9999999999995</v>
      </c>
      <c r="E34" s="54">
        <f>243.5+440</f>
        <v>683.5</v>
      </c>
      <c r="F34" s="52">
        <f t="shared" si="0"/>
        <v>0</v>
      </c>
      <c r="G34" s="52">
        <f t="shared" si="1"/>
        <v>2241.4999999999995</v>
      </c>
      <c r="H34" s="52">
        <f>VLOOKUP(C34,'CPD PITS'!$B$9:$D$27,3,0)</f>
        <v>0</v>
      </c>
      <c r="I34" s="99">
        <f>VLOOKUP(C34,[1]RESUMEN!$C$4:$L$113,10,)</f>
        <v>10150</v>
      </c>
      <c r="J34" s="52">
        <f t="shared" si="2"/>
        <v>0</v>
      </c>
      <c r="K34" s="52">
        <f>VLOOKUP(C34,[1]CPD!$B$9:$I$35,8,0)</f>
        <v>0</v>
      </c>
      <c r="L34" s="52">
        <f t="shared" si="3"/>
        <v>0</v>
      </c>
      <c r="M34" s="52" t="s">
        <v>596</v>
      </c>
    </row>
    <row r="35" spans="1:13" x14ac:dyDescent="0.2">
      <c r="A35" s="52" t="s">
        <v>587</v>
      </c>
      <c r="B35" s="54" t="s">
        <v>57</v>
      </c>
      <c r="C35" s="52" t="s">
        <v>588</v>
      </c>
      <c r="D35" s="54">
        <v>134.19999999999982</v>
      </c>
      <c r="E35" s="54">
        <v>400</v>
      </c>
      <c r="F35" s="52">
        <f t="shared" si="0"/>
        <v>0</v>
      </c>
      <c r="G35" s="52">
        <f t="shared" si="1"/>
        <v>534.19999999999982</v>
      </c>
      <c r="H35" s="52">
        <f>VLOOKUP(C35,'IP PITS'!$B$9:$D$90,3,0)</f>
        <v>0</v>
      </c>
      <c r="I35" s="99">
        <f>VLOOKUP(C35,[1]RESUMEN!$C$31:$L$127,10,0)</f>
        <v>6000</v>
      </c>
      <c r="J35" s="52">
        <f t="shared" si="2"/>
        <v>0</v>
      </c>
      <c r="K35" s="52">
        <f>VLOOKUP(C35,[1]IP!$B$9:$I$116,8,0)</f>
        <v>0</v>
      </c>
      <c r="L35" s="52">
        <f t="shared" si="3"/>
        <v>0</v>
      </c>
      <c r="M35" s="52" t="s">
        <v>596</v>
      </c>
    </row>
    <row r="36" spans="1:13" x14ac:dyDescent="0.2">
      <c r="A36" s="52" t="s">
        <v>619</v>
      </c>
      <c r="B36" s="54" t="s">
        <v>57</v>
      </c>
      <c r="C36" s="52" t="s">
        <v>620</v>
      </c>
      <c r="D36" s="52">
        <v>52.2</v>
      </c>
      <c r="E36" s="54"/>
      <c r="F36" s="52">
        <f t="shared" si="0"/>
        <v>0</v>
      </c>
      <c r="G36" s="52">
        <f t="shared" si="1"/>
        <v>52.2</v>
      </c>
      <c r="H36" s="52">
        <f>VLOOKUP(C36,'IP PITS'!$B$9:$D$90,3,0)</f>
        <v>0</v>
      </c>
      <c r="I36" s="99">
        <v>6300</v>
      </c>
      <c r="J36" s="52">
        <f t="shared" si="2"/>
        <v>0</v>
      </c>
      <c r="K36" s="52">
        <f>VLOOKUP(C36,[1]IP!$B$9:$I$116,8,0)</f>
        <v>0</v>
      </c>
      <c r="L36" s="52">
        <f t="shared" si="3"/>
        <v>0</v>
      </c>
      <c r="M36" s="52" t="s">
        <v>596</v>
      </c>
    </row>
    <row r="37" spans="1:13" x14ac:dyDescent="0.2">
      <c r="A37" s="52" t="s">
        <v>227</v>
      </c>
      <c r="B37" s="52" t="s">
        <v>57</v>
      </c>
      <c r="C37" s="52" t="s">
        <v>364</v>
      </c>
      <c r="D37" s="52">
        <v>1416.33</v>
      </c>
      <c r="E37" s="54">
        <v>1250</v>
      </c>
      <c r="F37" s="52">
        <f t="shared" si="0"/>
        <v>0</v>
      </c>
      <c r="G37" s="52">
        <f t="shared" si="1"/>
        <v>2666.33</v>
      </c>
      <c r="H37" s="52">
        <f>VLOOKUP(C37,'IP PITS'!$B$9:$D$90,3,0)</f>
        <v>0</v>
      </c>
      <c r="I37" s="99">
        <f>VLOOKUP(C37,[1]RESUMEN!$C$31:$L$127,10,0)</f>
        <v>10000</v>
      </c>
      <c r="J37" s="52">
        <f t="shared" si="2"/>
        <v>0</v>
      </c>
      <c r="K37" s="52">
        <f>VLOOKUP(C37,[1]IP!$B$9:$I$116,8,0)</f>
        <v>0</v>
      </c>
      <c r="L37" s="52">
        <f t="shared" si="3"/>
        <v>0</v>
      </c>
      <c r="M37" s="52" t="s">
        <v>596</v>
      </c>
    </row>
    <row r="38" spans="1:13" x14ac:dyDescent="0.2">
      <c r="A38" s="52" t="s">
        <v>480</v>
      </c>
      <c r="B38" s="54" t="s">
        <v>57</v>
      </c>
      <c r="C38" s="52" t="s">
        <v>481</v>
      </c>
      <c r="D38" s="52">
        <f>109.8+25.42</f>
        <v>135.22</v>
      </c>
      <c r="E38" s="54">
        <v>292.5</v>
      </c>
      <c r="F38" s="52">
        <f t="shared" si="0"/>
        <v>0</v>
      </c>
      <c r="G38" s="52">
        <f t="shared" si="1"/>
        <v>427.72</v>
      </c>
      <c r="H38" s="52">
        <f>VLOOKUP(C38,'IP PITS'!$B$9:$D$90,3,0)</f>
        <v>0</v>
      </c>
      <c r="I38" s="99">
        <f>VLOOKUP(C38,[1]RESUMEN!$C$31:$L$127,10,0)</f>
        <v>6000</v>
      </c>
      <c r="J38" s="52">
        <f t="shared" si="2"/>
        <v>0</v>
      </c>
      <c r="K38" s="52">
        <f>VLOOKUP(C38,[1]IP!$B$9:$I$116,8,0)</f>
        <v>0</v>
      </c>
      <c r="L38" s="52">
        <f t="shared" si="3"/>
        <v>0</v>
      </c>
      <c r="M38" s="52" t="s">
        <v>596</v>
      </c>
    </row>
    <row r="39" spans="1:13" x14ac:dyDescent="0.2">
      <c r="A39" s="52" t="s">
        <v>505</v>
      </c>
      <c r="B39" s="52" t="s">
        <v>57</v>
      </c>
      <c r="C39" s="52" t="s">
        <v>391</v>
      </c>
      <c r="D39" s="52">
        <v>3721.2</v>
      </c>
      <c r="E39" s="54">
        <v>166.67</v>
      </c>
      <c r="F39" s="52">
        <f t="shared" ref="F39:F74" si="4">+L39</f>
        <v>0</v>
      </c>
      <c r="G39" s="52">
        <f t="shared" ref="G39:G69" si="5">+D39+E39+F39</f>
        <v>3887.87</v>
      </c>
      <c r="H39" s="52">
        <f>VLOOKUP(C39,'IP PITS'!$B$9:$D$90,3,0)</f>
        <v>0</v>
      </c>
      <c r="I39" s="99">
        <f>VLOOKUP(C39,[1]RESUMEN!$C$31:$L$127,10,0)</f>
        <v>14000</v>
      </c>
      <c r="J39" s="52">
        <f t="shared" ref="J39:J69" si="6">(((+I39/30)*H39)*30%)</f>
        <v>0</v>
      </c>
      <c r="K39" s="52">
        <f>VLOOKUP(C39,[1]IP!$B$9:$I$116,8,0)</f>
        <v>0</v>
      </c>
      <c r="L39" s="52">
        <f t="shared" ref="L39:L69" si="7">+J39-K39</f>
        <v>0</v>
      </c>
      <c r="M39" s="52" t="s">
        <v>596</v>
      </c>
    </row>
    <row r="40" spans="1:13" x14ac:dyDescent="0.2">
      <c r="A40" s="52" t="s">
        <v>436</v>
      </c>
      <c r="B40" s="54" t="s">
        <v>57</v>
      </c>
      <c r="C40" s="52" t="s">
        <v>437</v>
      </c>
      <c r="D40" s="66">
        <v>416.39999999999964</v>
      </c>
      <c r="E40" s="54">
        <v>287</v>
      </c>
      <c r="F40" s="52">
        <f t="shared" si="4"/>
        <v>0</v>
      </c>
      <c r="G40" s="52">
        <f t="shared" si="5"/>
        <v>703.39999999999964</v>
      </c>
      <c r="H40" s="52">
        <f>VLOOKUP(C40,'IP PITS'!$B$9:$D$90,3,0)</f>
        <v>0</v>
      </c>
      <c r="I40" s="99">
        <f>VLOOKUP(C40,[1]RESUMEN!$C$31:$L$127,10,0)</f>
        <v>8000</v>
      </c>
      <c r="J40" s="52">
        <f t="shared" si="6"/>
        <v>0</v>
      </c>
      <c r="K40" s="52">
        <f>VLOOKUP(C40,[1]IP!$B$9:$I$116,8,0)</f>
        <v>0</v>
      </c>
      <c r="L40" s="52">
        <f t="shared" si="7"/>
        <v>0</v>
      </c>
      <c r="M40" s="52" t="s">
        <v>596</v>
      </c>
    </row>
    <row r="41" spans="1:13" x14ac:dyDescent="0.2">
      <c r="A41" s="52" t="s">
        <v>456</v>
      </c>
      <c r="B41" s="54" t="s">
        <v>57</v>
      </c>
      <c r="C41" s="52" t="s">
        <v>457</v>
      </c>
      <c r="D41" s="52">
        <v>451.00500000000056</v>
      </c>
      <c r="E41" s="54">
        <v>1200</v>
      </c>
      <c r="F41" s="52">
        <f t="shared" si="4"/>
        <v>0</v>
      </c>
      <c r="G41" s="52">
        <f t="shared" si="5"/>
        <v>1651.0050000000006</v>
      </c>
      <c r="H41" s="52">
        <f>VLOOKUP(C41,'IP PITS'!$B$9:$D$90,3,0)</f>
        <v>0</v>
      </c>
      <c r="I41" s="99">
        <f>VLOOKUP(C41,[1]RESUMEN!$C$31:$L$127,10,0)</f>
        <v>8500.01</v>
      </c>
      <c r="J41" s="52">
        <f t="shared" si="6"/>
        <v>0</v>
      </c>
      <c r="K41" s="52">
        <f>VLOOKUP(C41,[1]IP!$B$9:$I$116,8,0)</f>
        <v>0</v>
      </c>
      <c r="L41" s="52">
        <f t="shared" si="7"/>
        <v>0</v>
      </c>
      <c r="M41" s="52" t="s">
        <v>596</v>
      </c>
    </row>
    <row r="42" spans="1:13" x14ac:dyDescent="0.2">
      <c r="A42" s="52" t="s">
        <v>515</v>
      </c>
      <c r="B42" s="54" t="s">
        <v>57</v>
      </c>
      <c r="C42" s="52" t="s">
        <v>430</v>
      </c>
      <c r="D42" s="52">
        <v>3135.2</v>
      </c>
      <c r="E42" s="54">
        <v>399.5</v>
      </c>
      <c r="F42" s="52">
        <f t="shared" si="4"/>
        <v>0</v>
      </c>
      <c r="G42" s="52">
        <f t="shared" si="5"/>
        <v>3534.7</v>
      </c>
      <c r="H42" s="52">
        <f>VLOOKUP(C42,'IP PITS'!$B$9:$D$90,3,0)</f>
        <v>0</v>
      </c>
      <c r="I42" s="99">
        <v>12000</v>
      </c>
      <c r="J42" s="52">
        <f t="shared" si="6"/>
        <v>0</v>
      </c>
      <c r="K42" s="52">
        <f>VLOOKUP(C42,[1]IP!$B$9:$I$116,8,0)</f>
        <v>0</v>
      </c>
      <c r="L42" s="52">
        <f t="shared" si="7"/>
        <v>0</v>
      </c>
      <c r="M42" s="52" t="s">
        <v>596</v>
      </c>
    </row>
    <row r="43" spans="1:13" x14ac:dyDescent="0.2">
      <c r="A43" s="52" t="s">
        <v>19</v>
      </c>
      <c r="B43" s="52" t="s">
        <v>5</v>
      </c>
      <c r="C43" s="52" t="s">
        <v>322</v>
      </c>
      <c r="D43" s="52">
        <v>2600.2000000000003</v>
      </c>
      <c r="E43" s="54">
        <v>216.5</v>
      </c>
      <c r="F43" s="52">
        <f t="shared" si="4"/>
        <v>0</v>
      </c>
      <c r="G43" s="52">
        <f t="shared" si="5"/>
        <v>2816.7000000000003</v>
      </c>
      <c r="H43" s="52">
        <f>VLOOKUP(C43,'CPD PITS'!$B$9:$D$27,3,0)</f>
        <v>0</v>
      </c>
      <c r="I43" s="99">
        <f>VLOOKUP(C43,[1]RESUMEN!$C$4:$L$113,10,)</f>
        <v>15000</v>
      </c>
      <c r="J43" s="52">
        <f t="shared" si="6"/>
        <v>0</v>
      </c>
      <c r="K43" s="52">
        <f>VLOOKUP(C43,[1]CPD!$B$9:$I$35,8,0)</f>
        <v>0</v>
      </c>
      <c r="L43" s="52">
        <f t="shared" si="7"/>
        <v>0</v>
      </c>
      <c r="M43" s="52" t="s">
        <v>596</v>
      </c>
    </row>
    <row r="44" spans="1:13" x14ac:dyDescent="0.2">
      <c r="A44" s="52" t="s">
        <v>591</v>
      </c>
      <c r="B44" s="54" t="s">
        <v>57</v>
      </c>
      <c r="C44" s="52" t="s">
        <v>592</v>
      </c>
      <c r="D44" s="52">
        <v>134.19999999999965</v>
      </c>
      <c r="E44" s="54">
        <v>292.5</v>
      </c>
      <c r="F44" s="52">
        <f t="shared" si="4"/>
        <v>0</v>
      </c>
      <c r="G44" s="52">
        <f t="shared" si="5"/>
        <v>426.69999999999965</v>
      </c>
      <c r="H44" s="52">
        <f>VLOOKUP(C44,'IP PITS'!$B$9:$D$90,3,0)</f>
        <v>0</v>
      </c>
      <c r="I44" s="99">
        <f>VLOOKUP(C44,[1]RESUMEN!$C$31:$L$127,10,0)</f>
        <v>6000</v>
      </c>
      <c r="J44" s="52">
        <f t="shared" si="6"/>
        <v>0</v>
      </c>
      <c r="K44" s="52">
        <f>VLOOKUP(C44,[1]IP!$B$9:$I$116,8,0)</f>
        <v>0</v>
      </c>
      <c r="L44" s="52">
        <f t="shared" si="7"/>
        <v>0</v>
      </c>
      <c r="M44" s="52" t="s">
        <v>596</v>
      </c>
    </row>
    <row r="45" spans="1:13" x14ac:dyDescent="0.2">
      <c r="A45" s="52" t="s">
        <v>85</v>
      </c>
      <c r="B45" s="52" t="s">
        <v>57</v>
      </c>
      <c r="C45" s="52" t="s">
        <v>342</v>
      </c>
      <c r="D45" s="52">
        <v>804.80000000000018</v>
      </c>
      <c r="E45" s="54">
        <f>1480+937.5</f>
        <v>2417.5</v>
      </c>
      <c r="F45" s="52">
        <f t="shared" si="4"/>
        <v>0</v>
      </c>
      <c r="G45" s="52">
        <f t="shared" si="5"/>
        <v>3222.3</v>
      </c>
      <c r="H45" s="52">
        <f>VLOOKUP(C45,'IP PITS'!$B$9:$D$90,3,0)</f>
        <v>0</v>
      </c>
      <c r="I45" s="99">
        <f>VLOOKUP(C45,[1]RESUMEN!$C$31:$L$127,10,0)</f>
        <v>12000</v>
      </c>
      <c r="J45" s="52">
        <f t="shared" si="6"/>
        <v>0</v>
      </c>
      <c r="K45" s="52">
        <f>VLOOKUP(C45,[1]IP!$B$9:$I$116,8,0)</f>
        <v>0</v>
      </c>
      <c r="L45" s="52">
        <f t="shared" si="7"/>
        <v>0</v>
      </c>
      <c r="M45" s="52" t="s">
        <v>596</v>
      </c>
    </row>
    <row r="46" spans="1:13" x14ac:dyDescent="0.2">
      <c r="A46" s="52" t="s">
        <v>450</v>
      </c>
      <c r="B46" s="54" t="s">
        <v>57</v>
      </c>
      <c r="C46" s="52" t="s">
        <v>451</v>
      </c>
      <c r="D46" s="52">
        <v>416.34999999999991</v>
      </c>
      <c r="E46" s="54">
        <f>1540+183.5</f>
        <v>1723.5</v>
      </c>
      <c r="F46" s="52">
        <f t="shared" si="4"/>
        <v>0</v>
      </c>
      <c r="G46" s="52">
        <f t="shared" si="5"/>
        <v>2139.85</v>
      </c>
      <c r="H46" s="52">
        <f>VLOOKUP(C46,'IP PITS'!$B$9:$D$90,3,0)</f>
        <v>0</v>
      </c>
      <c r="I46" s="99">
        <f>VLOOKUP(C46,[1]RESUMEN!$C$31:$L$127,10,0)</f>
        <v>8000</v>
      </c>
      <c r="J46" s="52">
        <f t="shared" si="6"/>
        <v>0</v>
      </c>
      <c r="K46" s="52">
        <f>VLOOKUP(C46,[1]IP!$B$9:$I$116,8,0)</f>
        <v>0</v>
      </c>
      <c r="L46" s="52">
        <f t="shared" si="7"/>
        <v>0</v>
      </c>
      <c r="M46" s="52" t="s">
        <v>596</v>
      </c>
    </row>
    <row r="47" spans="1:13" x14ac:dyDescent="0.2">
      <c r="A47" s="52" t="s">
        <v>525</v>
      </c>
      <c r="B47" s="54" t="s">
        <v>57</v>
      </c>
      <c r="C47" s="52" t="s">
        <v>524</v>
      </c>
      <c r="D47" s="52">
        <v>284.2</v>
      </c>
      <c r="E47" s="54">
        <f>811</f>
        <v>811</v>
      </c>
      <c r="F47" s="52">
        <f t="shared" si="4"/>
        <v>0</v>
      </c>
      <c r="G47" s="52">
        <f t="shared" si="5"/>
        <v>1095.2</v>
      </c>
      <c r="H47" s="52">
        <f>VLOOKUP(C47,'IP PITS'!$B$9:$D$90,3,0)</f>
        <v>0</v>
      </c>
      <c r="I47" s="99">
        <f>VLOOKUP(C47,[1]RESUMEN!$C$31:$L$127,10,0)</f>
        <v>6300</v>
      </c>
      <c r="J47" s="52">
        <f t="shared" si="6"/>
        <v>0</v>
      </c>
      <c r="K47" s="52">
        <f>VLOOKUP(C47,[1]IP!$B$9:$I$116,8,0)</f>
        <v>0</v>
      </c>
      <c r="L47" s="52">
        <f t="shared" si="7"/>
        <v>0</v>
      </c>
      <c r="M47" s="52" t="s">
        <v>596</v>
      </c>
    </row>
    <row r="48" spans="1:13" x14ac:dyDescent="0.2">
      <c r="A48" s="52" t="s">
        <v>9</v>
      </c>
      <c r="B48" s="52" t="s">
        <v>5</v>
      </c>
      <c r="C48" s="52" t="s">
        <v>314</v>
      </c>
      <c r="D48" s="52">
        <v>1475.4</v>
      </c>
      <c r="E48" s="54"/>
      <c r="F48" s="52">
        <f t="shared" si="4"/>
        <v>0</v>
      </c>
      <c r="G48" s="52">
        <f t="shared" si="5"/>
        <v>1475.4</v>
      </c>
      <c r="H48" s="52">
        <f>VLOOKUP(C48,'CPD PITS'!$B$9:$D$27,3,0)</f>
        <v>0</v>
      </c>
      <c r="I48" s="99">
        <f>VLOOKUP(C48,[1]RESUMEN!$C$4:$L$113,10,)</f>
        <v>8500</v>
      </c>
      <c r="J48" s="52">
        <f t="shared" si="6"/>
        <v>0</v>
      </c>
      <c r="K48" s="52">
        <f>VLOOKUP(C48,[1]CPD!$B$9:$I$35,8,0)</f>
        <v>0</v>
      </c>
      <c r="L48" s="52">
        <f t="shared" si="7"/>
        <v>0</v>
      </c>
      <c r="M48" s="52" t="s">
        <v>596</v>
      </c>
    </row>
    <row r="49" spans="1:13" x14ac:dyDescent="0.2">
      <c r="A49" s="52" t="s">
        <v>502</v>
      </c>
      <c r="B49" s="52" t="s">
        <v>57</v>
      </c>
      <c r="C49" s="52" t="s">
        <v>354</v>
      </c>
      <c r="D49" s="52">
        <v>2884.9399999999996</v>
      </c>
      <c r="E49" s="54"/>
      <c r="F49" s="52">
        <f t="shared" si="4"/>
        <v>0</v>
      </c>
      <c r="G49" s="52">
        <f t="shared" si="5"/>
        <v>2884.9399999999996</v>
      </c>
      <c r="H49" s="52">
        <f>VLOOKUP(C49,'IP PITS'!$B$9:$D$90,3,0)</f>
        <v>0</v>
      </c>
      <c r="I49" s="99">
        <f>VLOOKUP(C49,[1]RESUMEN!$C$31:$L$127,10,0)</f>
        <v>12000</v>
      </c>
      <c r="J49" s="52">
        <f t="shared" si="6"/>
        <v>0</v>
      </c>
      <c r="K49" s="52">
        <f>VLOOKUP(C49,[1]IP!$B$9:$I$116,8,0)</f>
        <v>0</v>
      </c>
      <c r="L49" s="52">
        <f t="shared" si="7"/>
        <v>0</v>
      </c>
      <c r="M49" s="52" t="s">
        <v>596</v>
      </c>
    </row>
    <row r="50" spans="1:13" x14ac:dyDescent="0.2">
      <c r="A50" s="52" t="s">
        <v>484</v>
      </c>
      <c r="B50" s="54" t="s">
        <v>57</v>
      </c>
      <c r="C50" s="52" t="s">
        <v>485</v>
      </c>
      <c r="D50" s="52">
        <v>414.59999999999945</v>
      </c>
      <c r="E50" s="54">
        <v>359</v>
      </c>
      <c r="F50" s="52">
        <f t="shared" si="4"/>
        <v>0</v>
      </c>
      <c r="G50" s="52">
        <f t="shared" si="5"/>
        <v>773.59999999999945</v>
      </c>
      <c r="H50" s="52">
        <f>VLOOKUP(C50,'IP PITS'!$B$9:$D$90,3,0)</f>
        <v>0</v>
      </c>
      <c r="I50" s="99">
        <f>VLOOKUP(C50,[1]RESUMEN!$C$31:$L$127,10,0)</f>
        <v>8000</v>
      </c>
      <c r="J50" s="52">
        <f t="shared" si="6"/>
        <v>0</v>
      </c>
      <c r="K50" s="52">
        <f>VLOOKUP(C50,[1]IP!$B$9:$I$116,8,0)</f>
        <v>0</v>
      </c>
      <c r="L50" s="52">
        <f t="shared" si="7"/>
        <v>0</v>
      </c>
      <c r="M50" s="52" t="s">
        <v>596</v>
      </c>
    </row>
    <row r="51" spans="1:13" s="54" customFormat="1" x14ac:dyDescent="0.2">
      <c r="A51" s="52" t="s">
        <v>31</v>
      </c>
      <c r="B51" s="52" t="s">
        <v>5</v>
      </c>
      <c r="C51" s="52" t="s">
        <v>132</v>
      </c>
      <c r="D51" s="52">
        <v>2600.1999999999998</v>
      </c>
      <c r="E51" s="54">
        <f>468+1600</f>
        <v>2068</v>
      </c>
      <c r="F51" s="52">
        <f t="shared" si="4"/>
        <v>0</v>
      </c>
      <c r="G51" s="52">
        <f t="shared" si="5"/>
        <v>4668.2</v>
      </c>
      <c r="H51" s="52">
        <f>VLOOKUP(C51,'CPD PITS'!$B$9:$D$27,3,0)</f>
        <v>0</v>
      </c>
      <c r="I51" s="99">
        <f>VLOOKUP(C51,[1]RESUMEN!$C$4:$L$113,10,)</f>
        <v>15000</v>
      </c>
      <c r="J51" s="52">
        <f t="shared" si="6"/>
        <v>0</v>
      </c>
      <c r="K51" s="52">
        <f>VLOOKUP(C51,[1]CPD!$B$9:$I$35,8,0)</f>
        <v>0</v>
      </c>
      <c r="L51" s="52">
        <f t="shared" si="7"/>
        <v>0</v>
      </c>
      <c r="M51" s="52" t="s">
        <v>596</v>
      </c>
    </row>
    <row r="52" spans="1:13" x14ac:dyDescent="0.2">
      <c r="A52" s="52" t="s">
        <v>600</v>
      </c>
      <c r="B52" s="54" t="s">
        <v>57</v>
      </c>
      <c r="C52" s="52" t="s">
        <v>601</v>
      </c>
      <c r="D52" s="52">
        <v>1704.55</v>
      </c>
      <c r="E52" s="54"/>
      <c r="F52" s="52">
        <f t="shared" si="4"/>
        <v>0</v>
      </c>
      <c r="G52" s="52">
        <f t="shared" si="5"/>
        <v>1704.55</v>
      </c>
      <c r="H52" s="52">
        <f>VLOOKUP(C52,'IP PITS'!$B$9:$D$90,3,0)</f>
        <v>0</v>
      </c>
      <c r="I52" s="99">
        <v>7000</v>
      </c>
      <c r="J52" s="52">
        <f t="shared" si="6"/>
        <v>0</v>
      </c>
      <c r="K52" s="52">
        <f>VLOOKUP(C52,[1]IP!$B$9:$I$116,8,0)</f>
        <v>0</v>
      </c>
      <c r="L52" s="52">
        <f t="shared" si="7"/>
        <v>0</v>
      </c>
      <c r="M52" s="52" t="s">
        <v>596</v>
      </c>
    </row>
    <row r="53" spans="1:13" x14ac:dyDescent="0.2">
      <c r="A53" s="47" t="s">
        <v>575</v>
      </c>
      <c r="B53" s="54" t="s">
        <v>57</v>
      </c>
      <c r="C53" s="47" t="s">
        <v>576</v>
      </c>
      <c r="D53" s="54">
        <v>222.4699999999998</v>
      </c>
      <c r="E53" s="54">
        <f>2228+300</f>
        <v>2528</v>
      </c>
      <c r="F53" s="52">
        <f t="shared" si="4"/>
        <v>0</v>
      </c>
      <c r="G53" s="52">
        <f t="shared" si="5"/>
        <v>2750.47</v>
      </c>
      <c r="H53" s="52">
        <f>VLOOKUP(C53,'IP PITS'!$B$9:$D$90,3,0)</f>
        <v>0</v>
      </c>
      <c r="I53" s="99">
        <f>VLOOKUP(C53,[1]RESUMEN!$C$31:$L$127,10,0)</f>
        <v>7000</v>
      </c>
      <c r="J53" s="52">
        <f t="shared" si="6"/>
        <v>0</v>
      </c>
      <c r="K53" s="52">
        <f>VLOOKUP(C53,[1]IP!$B$9:$I$116,8,0)</f>
        <v>0</v>
      </c>
      <c r="L53" s="52">
        <f t="shared" si="7"/>
        <v>0</v>
      </c>
      <c r="M53" s="52" t="s">
        <v>596</v>
      </c>
    </row>
    <row r="54" spans="1:13" x14ac:dyDescent="0.2">
      <c r="A54" s="52" t="s">
        <v>460</v>
      </c>
      <c r="B54" s="54" t="s">
        <v>57</v>
      </c>
      <c r="C54" s="52" t="s">
        <v>461</v>
      </c>
      <c r="D54" s="52">
        <v>450.9650000000006</v>
      </c>
      <c r="E54" s="54">
        <f>520+306</f>
        <v>826</v>
      </c>
      <c r="F54" s="52">
        <f t="shared" si="4"/>
        <v>0</v>
      </c>
      <c r="G54" s="52">
        <f t="shared" si="5"/>
        <v>1276.9650000000006</v>
      </c>
      <c r="H54" s="52">
        <f>VLOOKUP(C54,'IP PITS'!$B$9:$D$90,3,0)</f>
        <v>0</v>
      </c>
      <c r="I54" s="99">
        <f>VLOOKUP(C54,[1]RESUMEN!$C$31:$L$127,10,0)</f>
        <v>8500.01</v>
      </c>
      <c r="J54" s="52">
        <f t="shared" si="6"/>
        <v>0</v>
      </c>
      <c r="K54" s="52">
        <f>VLOOKUP(C54,[1]IP!$B$9:$I$116,8,0)</f>
        <v>0</v>
      </c>
      <c r="L54" s="52">
        <f t="shared" si="7"/>
        <v>0</v>
      </c>
      <c r="M54" s="52" t="s">
        <v>596</v>
      </c>
    </row>
    <row r="55" spans="1:13" x14ac:dyDescent="0.2">
      <c r="A55" s="52" t="s">
        <v>99</v>
      </c>
      <c r="B55" s="54" t="s">
        <v>57</v>
      </c>
      <c r="C55" s="61" t="s">
        <v>560</v>
      </c>
      <c r="D55" s="52">
        <v>585.19999999999982</v>
      </c>
      <c r="E55" s="54"/>
      <c r="F55" s="52">
        <f t="shared" si="4"/>
        <v>0</v>
      </c>
      <c r="G55" s="52">
        <f t="shared" si="5"/>
        <v>585.19999999999982</v>
      </c>
      <c r="H55" s="52">
        <f>VLOOKUP(C55,'IP PITS'!$B$9:$D$90,3,0)</f>
        <v>0</v>
      </c>
      <c r="I55" s="99">
        <f>VLOOKUP(C55,[1]RESUMEN!$C$31:$L$127,10,0)</f>
        <v>6900</v>
      </c>
      <c r="J55" s="52">
        <f t="shared" si="6"/>
        <v>0</v>
      </c>
      <c r="K55" s="52">
        <f>VLOOKUP(C55,[1]IP!$B$9:$I$116,8,0)</f>
        <v>0</v>
      </c>
      <c r="L55" s="52">
        <f t="shared" si="7"/>
        <v>0</v>
      </c>
      <c r="M55" s="52" t="s">
        <v>596</v>
      </c>
    </row>
    <row r="56" spans="1:13" x14ac:dyDescent="0.2">
      <c r="A56" s="52" t="s">
        <v>529</v>
      </c>
      <c r="B56" s="54" t="s">
        <v>57</v>
      </c>
      <c r="C56" s="52" t="s">
        <v>530</v>
      </c>
      <c r="D56" s="52">
        <v>52.800000000000182</v>
      </c>
      <c r="E56" s="54">
        <v>305.5</v>
      </c>
      <c r="F56" s="52">
        <f t="shared" si="4"/>
        <v>0</v>
      </c>
      <c r="G56" s="52">
        <f t="shared" si="5"/>
        <v>358.30000000000018</v>
      </c>
      <c r="H56" s="52">
        <f>VLOOKUP(C56,'IP PITS'!$B$9:$D$90,3,0)</f>
        <v>0</v>
      </c>
      <c r="I56" s="99">
        <f>VLOOKUP(C56,[1]RESUMEN!$C$31:$L$127,10,0)</f>
        <v>5000</v>
      </c>
      <c r="J56" s="52">
        <f t="shared" si="6"/>
        <v>0</v>
      </c>
      <c r="K56" s="52">
        <f>VLOOKUP(C56,[1]IP!$B$9:$I$116,8,0)</f>
        <v>0</v>
      </c>
      <c r="L56" s="52">
        <f t="shared" si="7"/>
        <v>0</v>
      </c>
      <c r="M56" s="52" t="s">
        <v>596</v>
      </c>
    </row>
    <row r="57" spans="1:13" x14ac:dyDescent="0.2">
      <c r="A57" s="47" t="s">
        <v>579</v>
      </c>
      <c r="B57" s="54" t="s">
        <v>57</v>
      </c>
      <c r="C57" s="47" t="s">
        <v>580</v>
      </c>
      <c r="D57" s="54">
        <v>175.65000000000009</v>
      </c>
      <c r="E57" s="54"/>
      <c r="F57" s="52">
        <f t="shared" si="4"/>
        <v>0</v>
      </c>
      <c r="G57" s="52">
        <f t="shared" si="5"/>
        <v>175.65000000000009</v>
      </c>
      <c r="H57" s="52">
        <f>VLOOKUP(C57,'IP PITS'!$B$9:$D$90,3,0)</f>
        <v>0</v>
      </c>
      <c r="I57" s="99">
        <f>VLOOKUP(C57,[1]RESUMEN!$C$31:$L$127,10,0)</f>
        <v>6300</v>
      </c>
      <c r="J57" s="52">
        <f t="shared" si="6"/>
        <v>0</v>
      </c>
      <c r="K57" s="52">
        <f>VLOOKUP(C57,[1]IP!$B$9:$I$116,8,0)</f>
        <v>0</v>
      </c>
      <c r="L57" s="52">
        <f t="shared" si="7"/>
        <v>0</v>
      </c>
      <c r="M57" s="52" t="s">
        <v>596</v>
      </c>
    </row>
    <row r="58" spans="1:13" x14ac:dyDescent="0.2">
      <c r="A58" s="54" t="s">
        <v>411</v>
      </c>
      <c r="B58" s="54" t="s">
        <v>57</v>
      </c>
      <c r="C58" s="54" t="s">
        <v>407</v>
      </c>
      <c r="D58" s="54">
        <v>1047.8000000000002</v>
      </c>
      <c r="E58" s="54">
        <f>1268+1600+200</f>
        <v>3068</v>
      </c>
      <c r="F58" s="52">
        <f t="shared" si="4"/>
        <v>0</v>
      </c>
      <c r="G58" s="54">
        <f t="shared" si="5"/>
        <v>4115.8</v>
      </c>
      <c r="H58" s="52">
        <f>VLOOKUP(C58,'IP PITS'!$B$9:$D$90,3,0)</f>
        <v>0</v>
      </c>
      <c r="I58" s="99">
        <f>VLOOKUP(C58,[1]RESUMEN!$C$31:$L$127,10,0)</f>
        <v>14000</v>
      </c>
      <c r="J58" s="54">
        <f t="shared" si="6"/>
        <v>0</v>
      </c>
      <c r="K58" s="52">
        <f>VLOOKUP(C58,[1]IP!$B$9:$I$116,8,0)</f>
        <v>0</v>
      </c>
      <c r="L58" s="52">
        <f t="shared" si="7"/>
        <v>0</v>
      </c>
      <c r="M58" s="52" t="s">
        <v>596</v>
      </c>
    </row>
    <row r="59" spans="1:13" x14ac:dyDescent="0.2">
      <c r="A59" s="52" t="s">
        <v>562</v>
      </c>
      <c r="B59" s="54" t="s">
        <v>57</v>
      </c>
      <c r="C59" s="52" t="s">
        <v>563</v>
      </c>
      <c r="D59" s="52">
        <v>5513.35</v>
      </c>
      <c r="E59" s="54">
        <v>2102.5</v>
      </c>
      <c r="F59" s="52">
        <f t="shared" si="4"/>
        <v>0</v>
      </c>
      <c r="G59" s="52">
        <f t="shared" si="5"/>
        <v>7615.85</v>
      </c>
      <c r="H59" s="52">
        <f>VLOOKUP(C59,'IP PITS'!$B$9:$D$90,3,0)</f>
        <v>0</v>
      </c>
      <c r="I59" s="99">
        <f>VLOOKUP(C59,[1]RESUMEN!$C$31:$L$127,10,0)</f>
        <v>19950</v>
      </c>
      <c r="J59" s="52">
        <f t="shared" si="6"/>
        <v>0</v>
      </c>
      <c r="K59" s="52">
        <f>VLOOKUP(C59,[1]IP!$B$9:$I$116,8,0)</f>
        <v>0</v>
      </c>
      <c r="L59" s="52">
        <f t="shared" si="7"/>
        <v>0</v>
      </c>
      <c r="M59" s="52" t="s">
        <v>596</v>
      </c>
    </row>
    <row r="60" spans="1:13" x14ac:dyDescent="0.2">
      <c r="A60" s="52" t="s">
        <v>87</v>
      </c>
      <c r="B60" s="52" t="s">
        <v>57</v>
      </c>
      <c r="C60" s="61" t="s">
        <v>549</v>
      </c>
      <c r="D60" s="52">
        <v>414.59999999999991</v>
      </c>
      <c r="E60" s="54">
        <v>168.5</v>
      </c>
      <c r="F60" s="52">
        <f t="shared" si="4"/>
        <v>0</v>
      </c>
      <c r="G60" s="52">
        <f t="shared" si="5"/>
        <v>583.09999999999991</v>
      </c>
      <c r="H60" s="52">
        <f>VLOOKUP(C60,'IP PITS'!$B$9:$D$90,3,0)</f>
        <v>0</v>
      </c>
      <c r="I60" s="99">
        <f>VLOOKUP(C60,[1]RESUMEN!$C$31:$L$127,10,0)</f>
        <v>8000</v>
      </c>
      <c r="J60" s="52">
        <f t="shared" si="6"/>
        <v>0</v>
      </c>
      <c r="K60" s="52">
        <f>VLOOKUP(C60,[1]IP!$B$9:$I$116,8,0)</f>
        <v>0</v>
      </c>
      <c r="L60" s="52">
        <f t="shared" si="7"/>
        <v>0</v>
      </c>
      <c r="M60" s="52" t="s">
        <v>596</v>
      </c>
    </row>
    <row r="61" spans="1:13" s="54" customFormat="1" x14ac:dyDescent="0.2">
      <c r="A61" s="52" t="s">
        <v>25</v>
      </c>
      <c r="B61" s="52" t="s">
        <v>5</v>
      </c>
      <c r="C61" s="52" t="s">
        <v>325</v>
      </c>
      <c r="D61" s="52">
        <v>2751</v>
      </c>
      <c r="E61" s="54">
        <v>250</v>
      </c>
      <c r="F61" s="52">
        <f t="shared" si="4"/>
        <v>0</v>
      </c>
      <c r="G61" s="52">
        <f t="shared" si="5"/>
        <v>3001</v>
      </c>
      <c r="H61" s="52">
        <f>VLOOKUP(C61,'CPD PITS'!$B$9:$D$27,3,0)</f>
        <v>0</v>
      </c>
      <c r="I61" s="99">
        <f>VLOOKUP(C61,[1]RESUMEN!$C$4:$L$113,10,)</f>
        <v>15000</v>
      </c>
      <c r="J61" s="52">
        <f t="shared" si="6"/>
        <v>0</v>
      </c>
      <c r="K61" s="52">
        <f>VLOOKUP(C61,[1]CPD!$B$9:$I$35,8,0)</f>
        <v>0</v>
      </c>
      <c r="L61" s="52">
        <f t="shared" si="7"/>
        <v>0</v>
      </c>
      <c r="M61" s="52" t="s">
        <v>596</v>
      </c>
    </row>
    <row r="62" spans="1:13" x14ac:dyDescent="0.2">
      <c r="A62" s="54" t="s">
        <v>418</v>
      </c>
      <c r="B62" s="54" t="s">
        <v>57</v>
      </c>
      <c r="C62" s="54" t="s">
        <v>419</v>
      </c>
      <c r="D62" s="52">
        <v>416.40000000000009</v>
      </c>
      <c r="E62" s="54">
        <f>500+326</f>
        <v>826</v>
      </c>
      <c r="F62" s="52">
        <f t="shared" si="4"/>
        <v>0</v>
      </c>
      <c r="G62" s="52">
        <f t="shared" si="5"/>
        <v>1242.4000000000001</v>
      </c>
      <c r="H62" s="52">
        <f>VLOOKUP(C62,'IP PITS'!$B$9:$D$90,3,0)</f>
        <v>0</v>
      </c>
      <c r="I62" s="99">
        <f>VLOOKUP(C62,[1]RESUMEN!$C$31:$L$127,10,0)</f>
        <v>8000</v>
      </c>
      <c r="J62" s="52">
        <f t="shared" si="6"/>
        <v>0</v>
      </c>
      <c r="K62" s="52">
        <f>VLOOKUP(C62,[1]IP!$B$9:$I$116,8,0)</f>
        <v>0</v>
      </c>
      <c r="L62" s="52">
        <f t="shared" si="7"/>
        <v>0</v>
      </c>
      <c r="M62" s="52" t="s">
        <v>596</v>
      </c>
    </row>
    <row r="63" spans="1:13" x14ac:dyDescent="0.2">
      <c r="A63" s="52" t="s">
        <v>414</v>
      </c>
      <c r="B63" s="52" t="s">
        <v>57</v>
      </c>
      <c r="C63" s="52" t="s">
        <v>415</v>
      </c>
      <c r="D63" s="52">
        <v>416.19999999999982</v>
      </c>
      <c r="E63" s="54">
        <v>280</v>
      </c>
      <c r="F63" s="52">
        <f t="shared" si="4"/>
        <v>0</v>
      </c>
      <c r="G63" s="52">
        <f t="shared" si="5"/>
        <v>696.19999999999982</v>
      </c>
      <c r="H63" s="52">
        <f>VLOOKUP(C63,'IP PITS'!$B$9:$D$90,3,0)</f>
        <v>0</v>
      </c>
      <c r="I63" s="99">
        <f>VLOOKUP(C63,[1]RESUMEN!$C$31:$L$127,10,0)</f>
        <v>8000</v>
      </c>
      <c r="J63" s="52">
        <f t="shared" si="6"/>
        <v>0</v>
      </c>
      <c r="K63" s="52">
        <f>VLOOKUP(C63,[1]IP!$B$9:$I$116,8,0)</f>
        <v>0</v>
      </c>
      <c r="L63" s="52">
        <f t="shared" si="7"/>
        <v>0</v>
      </c>
      <c r="M63" s="52" t="s">
        <v>596</v>
      </c>
    </row>
    <row r="64" spans="1:13" x14ac:dyDescent="0.2">
      <c r="A64" s="52" t="s">
        <v>519</v>
      </c>
      <c r="B64" s="52" t="s">
        <v>57</v>
      </c>
      <c r="C64" s="52" t="s">
        <v>434</v>
      </c>
      <c r="D64" s="52">
        <v>1694.0999999999995</v>
      </c>
      <c r="E64" s="54">
        <v>382</v>
      </c>
      <c r="F64" s="52">
        <f t="shared" si="4"/>
        <v>0</v>
      </c>
      <c r="G64" s="52">
        <f t="shared" si="5"/>
        <v>2076.0999999999995</v>
      </c>
      <c r="H64" s="52">
        <f>VLOOKUP(C64,'IP PITS'!$B$9:$D$90,3,0)</f>
        <v>0</v>
      </c>
      <c r="I64" s="99">
        <f>VLOOKUP(C64,[1]RESUMEN!$C$31:$L$127,10,0)</f>
        <v>9000</v>
      </c>
      <c r="J64" s="52">
        <f t="shared" si="6"/>
        <v>0</v>
      </c>
      <c r="K64" s="52">
        <f>VLOOKUP(C64,[1]IP!$B$9:$I$116,8,0)</f>
        <v>0</v>
      </c>
      <c r="L64" s="52">
        <f t="shared" si="7"/>
        <v>0</v>
      </c>
      <c r="M64" s="52" t="s">
        <v>596</v>
      </c>
    </row>
    <row r="65" spans="1:15" x14ac:dyDescent="0.2">
      <c r="A65" s="52" t="s">
        <v>473</v>
      </c>
      <c r="B65" s="54" t="s">
        <v>57</v>
      </c>
      <c r="C65" s="52" t="s">
        <v>474</v>
      </c>
      <c r="D65" s="52">
        <v>1047.8000000000006</v>
      </c>
      <c r="E65" s="54">
        <v>303.5</v>
      </c>
      <c r="F65" s="52">
        <f t="shared" si="4"/>
        <v>0</v>
      </c>
      <c r="G65" s="52">
        <f t="shared" si="5"/>
        <v>1351.3000000000006</v>
      </c>
      <c r="H65" s="52">
        <f>VLOOKUP(C65,'IP PITS'!$B$9:$D$90,3,0)</f>
        <v>0</v>
      </c>
      <c r="I65" s="99">
        <f>VLOOKUP(C65,[1]RESUMEN!$C$31:$L$127,10,0)</f>
        <v>14000</v>
      </c>
      <c r="J65" s="52">
        <f t="shared" si="6"/>
        <v>0</v>
      </c>
      <c r="K65" s="52">
        <f>VLOOKUP(C65,[1]IP!$B$9:$I$116,8,0)</f>
        <v>0</v>
      </c>
      <c r="L65" s="52">
        <f t="shared" si="7"/>
        <v>0</v>
      </c>
      <c r="M65" s="52" t="s">
        <v>596</v>
      </c>
    </row>
    <row r="66" spans="1:15" x14ac:dyDescent="0.2">
      <c r="A66" s="52" t="s">
        <v>508</v>
      </c>
      <c r="B66" s="52" t="s">
        <v>57</v>
      </c>
      <c r="C66" s="52" t="s">
        <v>423</v>
      </c>
      <c r="D66" s="52">
        <v>3339.5</v>
      </c>
      <c r="E66" s="54">
        <f>2488+244</f>
        <v>2732</v>
      </c>
      <c r="F66" s="52">
        <f t="shared" si="4"/>
        <v>0</v>
      </c>
      <c r="G66" s="52">
        <f t="shared" si="5"/>
        <v>6071.5</v>
      </c>
      <c r="H66" s="52">
        <f>VLOOKUP(C66,'IP PITS'!$B$9:$D$90,3,0)</f>
        <v>0</v>
      </c>
      <c r="I66" s="99">
        <f>VLOOKUP(C66,[1]RESUMEN!$C$31:$L$127,10,0)</f>
        <v>15000</v>
      </c>
      <c r="J66" s="52">
        <f t="shared" si="6"/>
        <v>0</v>
      </c>
      <c r="K66" s="52">
        <f>VLOOKUP(C66,[1]IP!$B$9:$I$116,8,0)</f>
        <v>0</v>
      </c>
      <c r="L66" s="52">
        <f t="shared" si="7"/>
        <v>0</v>
      </c>
      <c r="M66" s="52" t="s">
        <v>596</v>
      </c>
    </row>
    <row r="67" spans="1:15" x14ac:dyDescent="0.2">
      <c r="A67" s="52" t="s">
        <v>518</v>
      </c>
      <c r="B67" s="52" t="s">
        <v>57</v>
      </c>
      <c r="C67" s="52" t="s">
        <v>433</v>
      </c>
      <c r="D67" s="52">
        <v>2552.4</v>
      </c>
      <c r="E67" s="54">
        <v>250</v>
      </c>
      <c r="F67" s="52">
        <f t="shared" si="4"/>
        <v>0</v>
      </c>
      <c r="G67" s="52">
        <f t="shared" si="5"/>
        <v>2802.4</v>
      </c>
      <c r="H67" s="52">
        <f>VLOOKUP(C67,'IP PITS'!$B$9:$D$90,3,0)</f>
        <v>0</v>
      </c>
      <c r="I67" s="99">
        <f>VLOOKUP(C67,[1]RESUMEN!$C$31:$L$127,10,0)</f>
        <v>10000</v>
      </c>
      <c r="J67" s="52">
        <f t="shared" si="6"/>
        <v>0</v>
      </c>
      <c r="K67" s="52">
        <f>VLOOKUP(C67,[1]IP!$B$9:$I$116,8,0)</f>
        <v>0</v>
      </c>
      <c r="L67" s="52">
        <f t="shared" si="7"/>
        <v>0</v>
      </c>
      <c r="M67" s="52" t="s">
        <v>596</v>
      </c>
    </row>
    <row r="68" spans="1:15" x14ac:dyDescent="0.2">
      <c r="A68" s="52" t="s">
        <v>452</v>
      </c>
      <c r="B68" s="54" t="s">
        <v>57</v>
      </c>
      <c r="C68" s="52" t="s">
        <v>453</v>
      </c>
      <c r="D68" s="52">
        <v>549.90500000000065</v>
      </c>
      <c r="E68" s="54">
        <v>858.5</v>
      </c>
      <c r="F68" s="52">
        <f t="shared" si="4"/>
        <v>0</v>
      </c>
      <c r="G68" s="52">
        <f t="shared" si="5"/>
        <v>1408.4050000000007</v>
      </c>
      <c r="H68" s="52">
        <f>VLOOKUP(C68,'IP PITS'!$B$9:$D$90,3,0)</f>
        <v>0</v>
      </c>
      <c r="I68" s="99">
        <f>VLOOKUP(C68,[1]RESUMEN!$C$31:$L$127,10,0)</f>
        <v>9550.01</v>
      </c>
      <c r="J68" s="52">
        <f t="shared" si="6"/>
        <v>0</v>
      </c>
      <c r="K68" s="52">
        <f>VLOOKUP(C68,[1]IP!$B$9:$I$116,8,0)</f>
        <v>0</v>
      </c>
      <c r="L68" s="52">
        <f t="shared" si="7"/>
        <v>0</v>
      </c>
      <c r="M68" s="52" t="s">
        <v>596</v>
      </c>
    </row>
    <row r="69" spans="1:15" x14ac:dyDescent="0.2">
      <c r="A69" s="52" t="s">
        <v>509</v>
      </c>
      <c r="B69" s="52" t="s">
        <v>57</v>
      </c>
      <c r="C69" s="52" t="s">
        <v>424</v>
      </c>
      <c r="D69" s="52">
        <v>4339.4399999999996</v>
      </c>
      <c r="E69" s="54">
        <f>1480+484.38</f>
        <v>1964.38</v>
      </c>
      <c r="F69" s="52">
        <f t="shared" si="4"/>
        <v>0</v>
      </c>
      <c r="G69" s="52">
        <f t="shared" si="5"/>
        <v>6303.82</v>
      </c>
      <c r="H69" s="52">
        <f>VLOOKUP(C69,'IP PITS'!$B$9:$D$90,3,0)</f>
        <v>0</v>
      </c>
      <c r="I69" s="99">
        <f>VLOOKUP(C69,[1]RESUMEN!$C$31:$L$127,10,0)</f>
        <v>17000</v>
      </c>
      <c r="J69" s="52">
        <f t="shared" si="6"/>
        <v>0</v>
      </c>
      <c r="K69" s="52">
        <f>VLOOKUP(C69,[1]IP!$B$9:$I$116,8,0)</f>
        <v>0</v>
      </c>
      <c r="L69" s="52">
        <f t="shared" si="7"/>
        <v>0</v>
      </c>
      <c r="M69" s="52" t="s">
        <v>596</v>
      </c>
    </row>
    <row r="70" spans="1:15" s="61" customFormat="1" x14ac:dyDescent="0.2">
      <c r="A70" s="52" t="s">
        <v>521</v>
      </c>
      <c r="B70" s="52" t="s">
        <v>57</v>
      </c>
      <c r="C70" s="52" t="s">
        <v>467</v>
      </c>
      <c r="D70" s="52">
        <v>3553.3999999999996</v>
      </c>
      <c r="E70" s="54">
        <f>260+552</f>
        <v>812</v>
      </c>
      <c r="F70" s="52">
        <f t="shared" si="4"/>
        <v>0</v>
      </c>
      <c r="G70" s="52">
        <f t="shared" ref="G70:G101" si="8">+D70+E70+F70</f>
        <v>4365.3999999999996</v>
      </c>
      <c r="H70" s="52">
        <f>VLOOKUP(C70,'IP PITS'!$B$9:$D$90,3,0)</f>
        <v>0</v>
      </c>
      <c r="I70" s="99">
        <f>VLOOKUP(C70,[1]RESUMEN!$C$31:$L$127,10,0)</f>
        <v>12000</v>
      </c>
      <c r="J70" s="52">
        <f t="shared" ref="J70:J79" si="9">(((+I70/30)*H70)*30%)</f>
        <v>0</v>
      </c>
      <c r="K70" s="52">
        <f>VLOOKUP(C70,[1]IP!$B$9:$I$116,8,0)</f>
        <v>0</v>
      </c>
      <c r="L70" s="52">
        <f t="shared" ref="L70:L79" si="10">+J70-K70</f>
        <v>0</v>
      </c>
      <c r="M70" s="52" t="s">
        <v>596</v>
      </c>
    </row>
    <row r="71" spans="1:15" x14ac:dyDescent="0.2">
      <c r="A71" s="52" t="s">
        <v>554</v>
      </c>
      <c r="B71" s="54" t="s">
        <v>57</v>
      </c>
      <c r="C71" s="52" t="s">
        <v>555</v>
      </c>
      <c r="D71" s="52">
        <v>52.440000000000055</v>
      </c>
      <c r="E71" s="54">
        <v>338.5</v>
      </c>
      <c r="F71" s="52">
        <f t="shared" si="4"/>
        <v>0</v>
      </c>
      <c r="G71" s="52">
        <f t="shared" si="8"/>
        <v>390.94000000000005</v>
      </c>
      <c r="H71" s="52">
        <f>VLOOKUP(C71,'IP PITS'!$B$9:$D$90,3,0)</f>
        <v>0</v>
      </c>
      <c r="I71" s="99">
        <f>VLOOKUP(C71,[1]RESUMEN!$C$31:$L$127,10,0)</f>
        <v>5000</v>
      </c>
      <c r="J71" s="52">
        <f t="shared" si="9"/>
        <v>0</v>
      </c>
      <c r="K71" s="52">
        <f>VLOOKUP(C71,[1]IP!$B$9:$I$116,8,0)</f>
        <v>0</v>
      </c>
      <c r="L71" s="52">
        <f t="shared" si="10"/>
        <v>0</v>
      </c>
      <c r="M71" s="52" t="s">
        <v>596</v>
      </c>
    </row>
    <row r="72" spans="1:15" x14ac:dyDescent="0.2">
      <c r="A72" s="52" t="s">
        <v>504</v>
      </c>
      <c r="B72" s="52" t="s">
        <v>57</v>
      </c>
      <c r="C72" s="52" t="s">
        <v>388</v>
      </c>
      <c r="D72" s="52">
        <v>2262.1999999999994</v>
      </c>
      <c r="E72" s="54"/>
      <c r="F72" s="52">
        <f t="shared" si="4"/>
        <v>0</v>
      </c>
      <c r="G72" s="52">
        <f t="shared" si="8"/>
        <v>2262.1999999999994</v>
      </c>
      <c r="H72" s="52">
        <f>VLOOKUP(C72,'IP PITS'!$B$9:$D$90,3,0)</f>
        <v>0</v>
      </c>
      <c r="I72" s="99">
        <f>VLOOKUP(C72,[1]RESUMEN!$C$31:$L$127,10,0)</f>
        <v>9000</v>
      </c>
      <c r="J72" s="52">
        <f t="shared" si="9"/>
        <v>0</v>
      </c>
      <c r="K72" s="52">
        <f>VLOOKUP(C72,[1]IP!$B$9:$I$116,8,0)</f>
        <v>0</v>
      </c>
      <c r="L72" s="52">
        <f t="shared" si="10"/>
        <v>0</v>
      </c>
      <c r="M72" s="52" t="s">
        <v>596</v>
      </c>
    </row>
    <row r="73" spans="1:15" x14ac:dyDescent="0.2">
      <c r="A73" s="52" t="s">
        <v>503</v>
      </c>
      <c r="B73" s="52" t="s">
        <v>57</v>
      </c>
      <c r="C73" s="52" t="s">
        <v>349</v>
      </c>
      <c r="D73" s="52">
        <v>2262.37</v>
      </c>
      <c r="E73" s="54">
        <v>450</v>
      </c>
      <c r="F73" s="52">
        <f t="shared" si="4"/>
        <v>0</v>
      </c>
      <c r="G73" s="52">
        <f t="shared" si="8"/>
        <v>2712.37</v>
      </c>
      <c r="H73" s="52">
        <f>VLOOKUP(C73,'IP PITS'!$B$9:$D$90,3,0)</f>
        <v>0</v>
      </c>
      <c r="I73" s="99">
        <f>VLOOKUP(C73,[1]RESUMEN!$C$31:$L$127,10,0)</f>
        <v>9000</v>
      </c>
      <c r="J73" s="52">
        <f t="shared" si="9"/>
        <v>0</v>
      </c>
      <c r="K73" s="52">
        <f>VLOOKUP(C73,[1]IP!$B$9:$I$116,8,0)</f>
        <v>0</v>
      </c>
      <c r="L73" s="52">
        <f t="shared" si="10"/>
        <v>0</v>
      </c>
      <c r="M73" s="52" t="s">
        <v>596</v>
      </c>
      <c r="N73" s="104"/>
      <c r="O73" s="104"/>
    </row>
    <row r="74" spans="1:15" x14ac:dyDescent="0.2">
      <c r="A74" s="52" t="s">
        <v>609</v>
      </c>
      <c r="B74" s="54" t="s">
        <v>57</v>
      </c>
      <c r="C74" s="52" t="s">
        <v>610</v>
      </c>
      <c r="D74" s="52">
        <v>53.400000000000091</v>
      </c>
      <c r="E74" s="54"/>
      <c r="F74" s="52">
        <f t="shared" si="4"/>
        <v>0</v>
      </c>
      <c r="G74" s="52">
        <f t="shared" si="8"/>
        <v>53.400000000000091</v>
      </c>
      <c r="H74" s="52">
        <f>VLOOKUP(C74,'IP PITS'!$B$9:$D$90,3,0)</f>
        <v>0</v>
      </c>
      <c r="I74" s="99">
        <v>5000</v>
      </c>
      <c r="J74" s="52">
        <f t="shared" si="9"/>
        <v>0</v>
      </c>
      <c r="K74" s="52">
        <f>VLOOKUP(C74,[1]IP!$B$9:$I$116,8,0)</f>
        <v>0</v>
      </c>
      <c r="L74" s="52">
        <f t="shared" si="10"/>
        <v>0</v>
      </c>
      <c r="M74" s="52" t="s">
        <v>596</v>
      </c>
    </row>
    <row r="75" spans="1:15" x14ac:dyDescent="0.2">
      <c r="A75" s="52" t="s">
        <v>370</v>
      </c>
      <c r="B75" s="52" t="s">
        <v>57</v>
      </c>
      <c r="C75" s="61" t="s">
        <v>548</v>
      </c>
      <c r="D75" s="52">
        <v>414.80000000000018</v>
      </c>
      <c r="E75" s="54">
        <v>121.5</v>
      </c>
      <c r="F75" s="52">
        <v>0</v>
      </c>
      <c r="G75" s="52">
        <f t="shared" si="8"/>
        <v>536.30000000000018</v>
      </c>
      <c r="H75" s="52">
        <f>VLOOKUP(C75,'IP PITS'!$B$9:$D$90,3,0)</f>
        <v>0</v>
      </c>
      <c r="I75" s="99">
        <f>VLOOKUP(C75,[1]RESUMEN!$C$31:$L$127,10,0)</f>
        <v>8000</v>
      </c>
      <c r="J75" s="52">
        <f t="shared" si="9"/>
        <v>0</v>
      </c>
      <c r="K75" s="52">
        <f>VLOOKUP(C75,[1]IP!$B$9:$I$116,8,0)</f>
        <v>0</v>
      </c>
      <c r="L75" s="52">
        <f t="shared" si="10"/>
        <v>0</v>
      </c>
      <c r="M75" s="52" t="s">
        <v>596</v>
      </c>
    </row>
    <row r="76" spans="1:15" x14ac:dyDescent="0.2">
      <c r="A76" s="52" t="s">
        <v>211</v>
      </c>
      <c r="B76" s="52" t="s">
        <v>5</v>
      </c>
      <c r="C76" s="52" t="s">
        <v>318</v>
      </c>
      <c r="D76" s="52">
        <v>2464</v>
      </c>
      <c r="E76" s="54">
        <v>1000</v>
      </c>
      <c r="F76" s="52">
        <f t="shared" ref="F76:F106" si="11">+L76</f>
        <v>0</v>
      </c>
      <c r="G76" s="52">
        <f t="shared" si="8"/>
        <v>3464</v>
      </c>
      <c r="H76" s="52">
        <f>VLOOKUP(C76,'CPD PITS'!$B$9:$D$27,3,0)</f>
        <v>0</v>
      </c>
      <c r="I76" s="99">
        <f>VLOOKUP(C76,[1]RESUMEN!$C$4:$L$113,10,)</f>
        <v>13000</v>
      </c>
      <c r="J76" s="52">
        <f t="shared" si="9"/>
        <v>0</v>
      </c>
      <c r="K76" s="52">
        <f>VLOOKUP(C76,[1]CPD!$B$9:$I$35,8,0)</f>
        <v>0</v>
      </c>
      <c r="L76" s="52">
        <f t="shared" si="10"/>
        <v>0</v>
      </c>
      <c r="M76" s="52" t="s">
        <v>596</v>
      </c>
    </row>
    <row r="77" spans="1:15" x14ac:dyDescent="0.2">
      <c r="A77" s="52" t="s">
        <v>611</v>
      </c>
      <c r="B77" s="54" t="s">
        <v>57</v>
      </c>
      <c r="C77" s="52" t="s">
        <v>612</v>
      </c>
      <c r="D77" s="52">
        <v>175.80000000000018</v>
      </c>
      <c r="E77" s="54"/>
      <c r="F77" s="52">
        <f t="shared" si="11"/>
        <v>0</v>
      </c>
      <c r="G77" s="52">
        <f t="shared" si="8"/>
        <v>175.80000000000018</v>
      </c>
      <c r="H77" s="52">
        <f>VLOOKUP(C77,'IP PITS'!$B$9:$D$90,3,0)</f>
        <v>0</v>
      </c>
      <c r="I77" s="99">
        <v>6300</v>
      </c>
      <c r="J77" s="52">
        <f t="shared" si="9"/>
        <v>0</v>
      </c>
      <c r="K77" s="52">
        <f>VLOOKUP(C77,[1]IP!$B$9:$I$116,8,0)</f>
        <v>0</v>
      </c>
      <c r="L77" s="52">
        <f t="shared" si="10"/>
        <v>0</v>
      </c>
      <c r="M77" s="52" t="s">
        <v>596</v>
      </c>
    </row>
    <row r="78" spans="1:15" x14ac:dyDescent="0.2">
      <c r="A78" s="52" t="s">
        <v>482</v>
      </c>
      <c r="B78" s="54" t="s">
        <v>57</v>
      </c>
      <c r="C78" s="52" t="s">
        <v>483</v>
      </c>
      <c r="D78" s="52">
        <v>416.19999999999982</v>
      </c>
      <c r="E78" s="54">
        <v>1250</v>
      </c>
      <c r="F78" s="52">
        <f t="shared" si="11"/>
        <v>0</v>
      </c>
      <c r="G78" s="52">
        <f t="shared" si="8"/>
        <v>1666.1999999999998</v>
      </c>
      <c r="H78" s="52">
        <f>VLOOKUP(C78,'IP PITS'!$B$9:$D$90,3,0)</f>
        <v>0</v>
      </c>
      <c r="I78" s="99">
        <f>VLOOKUP(C78,[1]RESUMEN!$C$31:$L$127,10,0)</f>
        <v>8000</v>
      </c>
      <c r="J78" s="52">
        <f t="shared" si="9"/>
        <v>0</v>
      </c>
      <c r="K78" s="52">
        <f>VLOOKUP(C78,[1]IP!$B$9:$I$116,8,0)</f>
        <v>0</v>
      </c>
      <c r="L78" s="52">
        <f t="shared" si="10"/>
        <v>0</v>
      </c>
      <c r="M78" s="52" t="s">
        <v>596</v>
      </c>
    </row>
    <row r="79" spans="1:15" x14ac:dyDescent="0.2">
      <c r="A79" s="52" t="s">
        <v>15</v>
      </c>
      <c r="B79" s="52" t="s">
        <v>5</v>
      </c>
      <c r="C79" s="52" t="s">
        <v>320</v>
      </c>
      <c r="D79" s="52">
        <v>2600.3999999999996</v>
      </c>
      <c r="E79" s="54">
        <f>281.5+840</f>
        <v>1121.5</v>
      </c>
      <c r="F79" s="52">
        <f t="shared" si="11"/>
        <v>0</v>
      </c>
      <c r="G79" s="52">
        <f t="shared" si="8"/>
        <v>3721.8999999999996</v>
      </c>
      <c r="H79" s="52">
        <f>VLOOKUP(C79,'CPD PITS'!$B$9:$D$27,3,0)</f>
        <v>0</v>
      </c>
      <c r="I79" s="99">
        <f>VLOOKUP(C79,[1]RESUMEN!$C$4:$L$113,10,)</f>
        <v>15000</v>
      </c>
      <c r="J79" s="52">
        <f t="shared" si="9"/>
        <v>0</v>
      </c>
      <c r="K79" s="52">
        <f>VLOOKUP(C79,[1]CPD!$B$9:$I$35,8,0)</f>
        <v>0</v>
      </c>
      <c r="L79" s="52">
        <f t="shared" si="10"/>
        <v>0</v>
      </c>
      <c r="M79" s="52" t="s">
        <v>596</v>
      </c>
    </row>
    <row r="80" spans="1:15" x14ac:dyDescent="0.2">
      <c r="A80" s="52" t="s">
        <v>585</v>
      </c>
      <c r="B80" s="52" t="s">
        <v>5</v>
      </c>
      <c r="C80" s="52" t="s">
        <v>586</v>
      </c>
      <c r="D80" s="46">
        <v>3090.6000000000008</v>
      </c>
      <c r="E80" s="54">
        <v>250</v>
      </c>
      <c r="F80" s="52">
        <f t="shared" si="11"/>
        <v>0</v>
      </c>
      <c r="G80" s="52">
        <f t="shared" si="8"/>
        <v>3340.6000000000008</v>
      </c>
      <c r="H80" s="52">
        <f>VLOOKUP(C80,'CPD PITS'!$B$9:$D$27,3,0)</f>
        <v>0</v>
      </c>
      <c r="I80" s="99">
        <v>15400</v>
      </c>
      <c r="K80" s="52">
        <f>VLOOKUP(C80,[1]CPD!$B$9:$I$35,8,0)</f>
        <v>0</v>
      </c>
      <c r="M80" s="52" t="s">
        <v>596</v>
      </c>
    </row>
    <row r="81" spans="1:13" s="54" customFormat="1" x14ac:dyDescent="0.2">
      <c r="A81" s="52" t="s">
        <v>81</v>
      </c>
      <c r="B81" s="52" t="s">
        <v>57</v>
      </c>
      <c r="C81" s="52" t="s">
        <v>340</v>
      </c>
      <c r="D81" s="52">
        <v>414.60999999999967</v>
      </c>
      <c r="E81" s="54">
        <v>358.5</v>
      </c>
      <c r="F81" s="52">
        <f t="shared" si="11"/>
        <v>0</v>
      </c>
      <c r="G81" s="52">
        <f t="shared" si="8"/>
        <v>773.10999999999967</v>
      </c>
      <c r="H81" s="52">
        <f>VLOOKUP(C81,'IP PITS'!$B$9:$D$90,3,0)</f>
        <v>0</v>
      </c>
      <c r="I81" s="99">
        <f>VLOOKUP(C81,[1]RESUMEN!$C$31:$L$127,10,0)</f>
        <v>8000</v>
      </c>
      <c r="J81" s="52">
        <f t="shared" ref="J81:J106" si="12">(((+I81/30)*H81)*30%)</f>
        <v>0</v>
      </c>
      <c r="K81" s="52">
        <f>VLOOKUP(C81,[1]IP!$B$9:$I$116,8,0)</f>
        <v>0</v>
      </c>
      <c r="L81" s="52">
        <f t="shared" ref="L81:L106" si="13">+J81-K81</f>
        <v>0</v>
      </c>
      <c r="M81" s="52" t="s">
        <v>596</v>
      </c>
    </row>
    <row r="82" spans="1:13" x14ac:dyDescent="0.2">
      <c r="A82" s="52" t="s">
        <v>91</v>
      </c>
      <c r="B82" s="52" t="s">
        <v>57</v>
      </c>
      <c r="C82" s="52" t="s">
        <v>344</v>
      </c>
      <c r="D82" s="52">
        <v>593.60000000000036</v>
      </c>
      <c r="E82" s="54">
        <v>121.5</v>
      </c>
      <c r="F82" s="52">
        <f t="shared" si="11"/>
        <v>0</v>
      </c>
      <c r="G82" s="52">
        <f t="shared" si="8"/>
        <v>715.10000000000036</v>
      </c>
      <c r="H82" s="52">
        <f>VLOOKUP(C82,'IP PITS'!$B$9:$D$90,3,0)</f>
        <v>0</v>
      </c>
      <c r="I82" s="99">
        <f>VLOOKUP(C82,[1]RESUMEN!$C$31:$L$127,10,0)</f>
        <v>10000</v>
      </c>
      <c r="J82" s="52">
        <f t="shared" si="12"/>
        <v>0</v>
      </c>
      <c r="K82" s="52">
        <f>VLOOKUP(C82,[1]IP!$B$9:$I$116,8,0)</f>
        <v>0</v>
      </c>
      <c r="L82" s="52">
        <f t="shared" si="13"/>
        <v>0</v>
      </c>
      <c r="M82" s="52" t="s">
        <v>596</v>
      </c>
    </row>
    <row r="83" spans="1:13" x14ac:dyDescent="0.2">
      <c r="A83" s="52" t="s">
        <v>35</v>
      </c>
      <c r="B83" s="52" t="s">
        <v>5</v>
      </c>
      <c r="C83" s="52" t="s">
        <v>330</v>
      </c>
      <c r="D83" s="52">
        <v>1483.13</v>
      </c>
      <c r="E83" s="54">
        <v>83</v>
      </c>
      <c r="F83" s="52">
        <f t="shared" si="11"/>
        <v>0</v>
      </c>
      <c r="G83" s="52">
        <f t="shared" si="8"/>
        <v>1566.13</v>
      </c>
      <c r="H83" s="52">
        <f>VLOOKUP(C83,'CPD PITS'!$B$9:$D$27,3,0)</f>
        <v>0</v>
      </c>
      <c r="I83" s="99">
        <f>VLOOKUP(C83,[1]RESUMEN!$C$4:$L$113,10,)</f>
        <v>10000</v>
      </c>
      <c r="J83" s="52">
        <f t="shared" si="12"/>
        <v>0</v>
      </c>
      <c r="K83" s="52">
        <f>VLOOKUP(C83,[1]CPD!$B$9:$I$35,8,0)</f>
        <v>0</v>
      </c>
      <c r="L83" s="52">
        <f t="shared" si="13"/>
        <v>0</v>
      </c>
      <c r="M83" s="52" t="s">
        <v>596</v>
      </c>
    </row>
    <row r="84" spans="1:13" x14ac:dyDescent="0.2">
      <c r="A84" s="47" t="s">
        <v>577</v>
      </c>
      <c r="B84" s="54" t="s">
        <v>57</v>
      </c>
      <c r="C84" s="47" t="s">
        <v>578</v>
      </c>
      <c r="D84" s="54">
        <v>175.80000000000018</v>
      </c>
      <c r="E84" s="54">
        <v>843.75</v>
      </c>
      <c r="F84" s="52">
        <f t="shared" si="11"/>
        <v>0</v>
      </c>
      <c r="G84" s="52">
        <f t="shared" si="8"/>
        <v>1019.5500000000002</v>
      </c>
      <c r="H84" s="52">
        <f>VLOOKUP(C84,'IP PITS'!$B$9:$D$90,3,0)</f>
        <v>0</v>
      </c>
      <c r="I84" s="99">
        <f>VLOOKUP(C84,[1]RESUMEN!$C$31:$L$127,10,0)</f>
        <v>6300</v>
      </c>
      <c r="J84" s="52">
        <f t="shared" si="12"/>
        <v>0</v>
      </c>
      <c r="K84" s="52">
        <f>VLOOKUP(C84,[1]IP!$B$9:$I$116,8,0)</f>
        <v>0</v>
      </c>
      <c r="L84" s="52">
        <f t="shared" si="13"/>
        <v>0</v>
      </c>
      <c r="M84" s="52" t="s">
        <v>596</v>
      </c>
    </row>
    <row r="85" spans="1:13" x14ac:dyDescent="0.2">
      <c r="A85" s="52" t="s">
        <v>399</v>
      </c>
      <c r="B85" s="52" t="s">
        <v>57</v>
      </c>
      <c r="C85" s="52" t="s">
        <v>400</v>
      </c>
      <c r="D85" s="52">
        <v>416.39999999999958</v>
      </c>
      <c r="E85" s="54">
        <f>1332+349</f>
        <v>1681</v>
      </c>
      <c r="F85" s="52">
        <f t="shared" si="11"/>
        <v>0</v>
      </c>
      <c r="G85" s="52">
        <f t="shared" si="8"/>
        <v>2097.3999999999996</v>
      </c>
      <c r="H85" s="52">
        <f>VLOOKUP(C85,'IP PITS'!$B$9:$D$90,3,0)</f>
        <v>0</v>
      </c>
      <c r="I85" s="99">
        <f>VLOOKUP(C85,[1]RESUMEN!$C$31:$L$127,10,0)</f>
        <v>8000</v>
      </c>
      <c r="J85" s="52">
        <f t="shared" si="12"/>
        <v>0</v>
      </c>
      <c r="K85" s="52">
        <f>VLOOKUP(C85,[1]IP!$B$9:$I$116,8,0)</f>
        <v>0</v>
      </c>
      <c r="L85" s="52">
        <f t="shared" si="13"/>
        <v>0</v>
      </c>
      <c r="M85" s="52" t="s">
        <v>596</v>
      </c>
    </row>
    <row r="86" spans="1:13" x14ac:dyDescent="0.2">
      <c r="A86" s="47" t="s">
        <v>566</v>
      </c>
      <c r="B86" s="54" t="s">
        <v>57</v>
      </c>
      <c r="C86" s="46" t="s">
        <v>567</v>
      </c>
      <c r="D86" s="54">
        <v>52.400000000000091</v>
      </c>
      <c r="E86" s="54">
        <f>910+186.5</f>
        <v>1096.5</v>
      </c>
      <c r="F86" s="52">
        <f t="shared" si="11"/>
        <v>0</v>
      </c>
      <c r="G86" s="52">
        <f t="shared" si="8"/>
        <v>1148.9000000000001</v>
      </c>
      <c r="H86" s="52">
        <f>VLOOKUP(C86,'IP PITS'!$B$9:$D$90,3,0)</f>
        <v>0</v>
      </c>
      <c r="I86" s="99">
        <f>VLOOKUP(C86,[1]RESUMEN!$C$31:$L$127,10,0)</f>
        <v>5000</v>
      </c>
      <c r="J86" s="52">
        <f t="shared" si="12"/>
        <v>0</v>
      </c>
      <c r="K86" s="52">
        <f>VLOOKUP(C86,[1]IP!$B$9:$I$116,8,0)</f>
        <v>0</v>
      </c>
      <c r="L86" s="52">
        <f t="shared" si="13"/>
        <v>0</v>
      </c>
      <c r="M86" s="52" t="s">
        <v>596</v>
      </c>
    </row>
    <row r="87" spans="1:13" x14ac:dyDescent="0.2">
      <c r="A87" s="52" t="s">
        <v>11</v>
      </c>
      <c r="B87" s="52" t="s">
        <v>5</v>
      </c>
      <c r="C87" s="52" t="s">
        <v>315</v>
      </c>
      <c r="D87" s="52">
        <v>1588.1999999999994</v>
      </c>
      <c r="E87" s="54">
        <v>375</v>
      </c>
      <c r="F87" s="52">
        <f t="shared" si="11"/>
        <v>0</v>
      </c>
      <c r="G87" s="52">
        <f t="shared" si="8"/>
        <v>1963.1999999999994</v>
      </c>
      <c r="H87" s="52">
        <f>VLOOKUP(C87,'CPD PITS'!$B$9:$D$27,3,0)</f>
        <v>0</v>
      </c>
      <c r="I87" s="99">
        <f>VLOOKUP(C87,[1]RESUMEN!$C$4:$L$113,10,)</f>
        <v>9000</v>
      </c>
      <c r="J87" s="52">
        <f t="shared" si="12"/>
        <v>0</v>
      </c>
      <c r="K87" s="52">
        <f>VLOOKUP(C87,[1]CPD!$B$9:$I$35,8,0)</f>
        <v>0</v>
      </c>
      <c r="L87" s="52">
        <f t="shared" si="13"/>
        <v>0</v>
      </c>
      <c r="M87" s="52" t="s">
        <v>596</v>
      </c>
    </row>
    <row r="88" spans="1:13" s="54" customFormat="1" x14ac:dyDescent="0.2">
      <c r="A88" s="47" t="s">
        <v>573</v>
      </c>
      <c r="B88" s="54" t="s">
        <v>57</v>
      </c>
      <c r="C88" s="47" t="s">
        <v>574</v>
      </c>
      <c r="D88" s="54">
        <v>215.80000000000018</v>
      </c>
      <c r="F88" s="52">
        <f t="shared" si="11"/>
        <v>0</v>
      </c>
      <c r="G88" s="52">
        <f t="shared" si="8"/>
        <v>215.80000000000018</v>
      </c>
      <c r="H88" s="52">
        <f>VLOOKUP(C88,'IP PITS'!$B$9:$D$90,3,0)</f>
        <v>0</v>
      </c>
      <c r="I88" s="99">
        <f>VLOOKUP(C88,[1]RESUMEN!$C$31:$L$127,10,0)</f>
        <v>6900</v>
      </c>
      <c r="J88" s="52">
        <f t="shared" si="12"/>
        <v>0</v>
      </c>
      <c r="K88" s="52">
        <f>VLOOKUP(C88,[1]IP!$B$9:$I$116,8,0)</f>
        <v>0</v>
      </c>
      <c r="L88" s="52">
        <f t="shared" si="13"/>
        <v>0</v>
      </c>
      <c r="M88" s="52" t="s">
        <v>596</v>
      </c>
    </row>
    <row r="89" spans="1:13" x14ac:dyDescent="0.2">
      <c r="A89" s="52" t="s">
        <v>520</v>
      </c>
      <c r="B89" s="52" t="s">
        <v>57</v>
      </c>
      <c r="C89" s="52" t="s">
        <v>435</v>
      </c>
      <c r="D89" s="52">
        <v>2194.1900000000005</v>
      </c>
      <c r="E89" s="54">
        <v>84</v>
      </c>
      <c r="F89" s="52">
        <f t="shared" si="11"/>
        <v>0</v>
      </c>
      <c r="G89" s="52">
        <f t="shared" si="8"/>
        <v>2278.1900000000005</v>
      </c>
      <c r="H89" s="52">
        <f>VLOOKUP(C89,'IP PITS'!$B$9:$D$90,3,0)</f>
        <v>0</v>
      </c>
      <c r="I89" s="99">
        <f>VLOOKUP(C89,[1]RESUMEN!$C$31:$L$127,10,0)</f>
        <v>10000</v>
      </c>
      <c r="J89" s="52">
        <f t="shared" si="12"/>
        <v>0</v>
      </c>
      <c r="K89" s="52">
        <f>VLOOKUP(C89,[1]IP!$B$9:$I$116,8,0)</f>
        <v>0</v>
      </c>
      <c r="L89" s="52">
        <f t="shared" si="13"/>
        <v>0</v>
      </c>
      <c r="M89" s="52" t="s">
        <v>596</v>
      </c>
    </row>
    <row r="90" spans="1:13" x14ac:dyDescent="0.2">
      <c r="A90" s="52" t="s">
        <v>446</v>
      </c>
      <c r="B90" s="54" t="s">
        <v>57</v>
      </c>
      <c r="C90" s="52" t="s">
        <v>447</v>
      </c>
      <c r="D90" s="52">
        <v>416.40000000000009</v>
      </c>
      <c r="E90" s="54">
        <f>600+140</f>
        <v>740</v>
      </c>
      <c r="F90" s="52">
        <f t="shared" si="11"/>
        <v>0</v>
      </c>
      <c r="G90" s="52">
        <f t="shared" si="8"/>
        <v>1156.4000000000001</v>
      </c>
      <c r="H90" s="52">
        <f>VLOOKUP(C90,'IP PITS'!$B$9:$D$90,3,0)</f>
        <v>0</v>
      </c>
      <c r="I90" s="99">
        <f>VLOOKUP(C90,[1]RESUMEN!$C$31:$L$127,10,0)</f>
        <v>8000</v>
      </c>
      <c r="J90" s="52">
        <f t="shared" si="12"/>
        <v>0</v>
      </c>
      <c r="K90" s="52">
        <f>VLOOKUP(C90,[1]IP!$B$9:$I$116,8,0)</f>
        <v>0</v>
      </c>
      <c r="L90" s="52">
        <f t="shared" si="13"/>
        <v>0</v>
      </c>
      <c r="M90" s="52" t="s">
        <v>596</v>
      </c>
    </row>
    <row r="91" spans="1:13" x14ac:dyDescent="0.2">
      <c r="A91" s="52" t="s">
        <v>93</v>
      </c>
      <c r="B91" s="52" t="s">
        <v>57</v>
      </c>
      <c r="C91" s="52" t="s">
        <v>345</v>
      </c>
      <c r="D91" s="54">
        <v>222.59999999999991</v>
      </c>
      <c r="E91" s="54">
        <v>253.25</v>
      </c>
      <c r="F91" s="52">
        <f t="shared" si="11"/>
        <v>0</v>
      </c>
      <c r="G91" s="52">
        <f t="shared" si="8"/>
        <v>475.84999999999991</v>
      </c>
      <c r="H91" s="52">
        <f>VLOOKUP(C91,'IP PITS'!$B$9:$D$90,3,0)</f>
        <v>0</v>
      </c>
      <c r="I91" s="99">
        <f>VLOOKUP(C91,[1]RESUMEN!$C$31:$L$127,10,0)</f>
        <v>7000</v>
      </c>
      <c r="J91" s="52">
        <f t="shared" si="12"/>
        <v>0</v>
      </c>
      <c r="K91" s="52">
        <f>VLOOKUP(C91,[1]IP!$B$9:$I$116,8,0)</f>
        <v>0</v>
      </c>
      <c r="L91" s="52">
        <f t="shared" si="13"/>
        <v>0</v>
      </c>
      <c r="M91" s="52" t="s">
        <v>596</v>
      </c>
    </row>
    <row r="92" spans="1:13" x14ac:dyDescent="0.2">
      <c r="A92" s="52" t="s">
        <v>615</v>
      </c>
      <c r="B92" s="54" t="s">
        <v>57</v>
      </c>
      <c r="C92" s="52" t="s">
        <v>616</v>
      </c>
      <c r="D92" s="52">
        <v>134.19999999999982</v>
      </c>
      <c r="E92" s="54"/>
      <c r="F92" s="52">
        <f t="shared" si="11"/>
        <v>0</v>
      </c>
      <c r="G92" s="52">
        <f t="shared" si="8"/>
        <v>134.19999999999982</v>
      </c>
      <c r="H92" s="52">
        <f>VLOOKUP(C92,'IP PITS'!$B$9:$D$90,3,0)</f>
        <v>0</v>
      </c>
      <c r="I92" s="99">
        <v>6000</v>
      </c>
      <c r="J92" s="52">
        <f t="shared" si="12"/>
        <v>0</v>
      </c>
      <c r="K92" s="52">
        <f>VLOOKUP(C92,[1]IP!$B$9:$I$116,8,0)</f>
        <v>0</v>
      </c>
      <c r="L92" s="52">
        <f t="shared" si="13"/>
        <v>0</v>
      </c>
      <c r="M92" s="52" t="s">
        <v>596</v>
      </c>
    </row>
    <row r="93" spans="1:13" x14ac:dyDescent="0.2">
      <c r="A93" s="52" t="s">
        <v>223</v>
      </c>
      <c r="B93" s="52" t="s">
        <v>5</v>
      </c>
      <c r="C93" s="52" t="s">
        <v>331</v>
      </c>
      <c r="D93" s="52">
        <v>12613.2</v>
      </c>
      <c r="E93" s="54"/>
      <c r="F93" s="52">
        <f t="shared" si="11"/>
        <v>0</v>
      </c>
      <c r="G93" s="52">
        <f t="shared" si="8"/>
        <v>12613.2</v>
      </c>
      <c r="H93" s="52">
        <f>VLOOKUP(C93,'CPD PITS'!$B$9:$D$27,3,0)</f>
        <v>0</v>
      </c>
      <c r="I93" s="99">
        <f>VLOOKUP(C93,[1]RESUMEN!$C$4:$L$113,10,)</f>
        <v>60000</v>
      </c>
      <c r="J93" s="52">
        <f t="shared" si="12"/>
        <v>0</v>
      </c>
      <c r="K93" s="52">
        <f>VLOOKUP(C93,[1]CPD!$B$9:$I$35,8,0)</f>
        <v>0</v>
      </c>
      <c r="L93" s="52">
        <f t="shared" si="13"/>
        <v>0</v>
      </c>
      <c r="M93" s="52" t="s">
        <v>596</v>
      </c>
    </row>
    <row r="94" spans="1:13" x14ac:dyDescent="0.2">
      <c r="A94" s="47" t="s">
        <v>571</v>
      </c>
      <c r="B94" s="54" t="s">
        <v>57</v>
      </c>
      <c r="C94" s="47" t="s">
        <v>572</v>
      </c>
      <c r="D94" s="54">
        <v>221.19999999999982</v>
      </c>
      <c r="E94" s="54"/>
      <c r="F94" s="52">
        <f t="shared" si="11"/>
        <v>0</v>
      </c>
      <c r="G94" s="52">
        <f t="shared" si="8"/>
        <v>221.19999999999982</v>
      </c>
      <c r="H94" s="52">
        <f>VLOOKUP(C94,'IP PITS'!$B$9:$D$90,3,0)</f>
        <v>0</v>
      </c>
      <c r="I94" s="99">
        <f>VLOOKUP(C94,[1]RESUMEN!$C$31:$L$127,10,0)</f>
        <v>7000</v>
      </c>
      <c r="J94" s="52">
        <f t="shared" si="12"/>
        <v>0</v>
      </c>
      <c r="K94" s="52">
        <f>VLOOKUP(C94,[1]IP!$B$9:$I$116,8,0)</f>
        <v>0</v>
      </c>
      <c r="L94" s="52">
        <f t="shared" si="13"/>
        <v>0</v>
      </c>
      <c r="M94" s="52" t="s">
        <v>596</v>
      </c>
    </row>
    <row r="95" spans="1:13" x14ac:dyDescent="0.2">
      <c r="A95" s="52" t="s">
        <v>558</v>
      </c>
      <c r="B95" s="54" t="s">
        <v>57</v>
      </c>
      <c r="C95" s="52" t="s">
        <v>559</v>
      </c>
      <c r="D95" s="52">
        <v>135.27000000000001</v>
      </c>
      <c r="E95" s="54">
        <v>337.5</v>
      </c>
      <c r="F95" s="52">
        <f t="shared" si="11"/>
        <v>0</v>
      </c>
      <c r="G95" s="52">
        <f t="shared" si="8"/>
        <v>472.77</v>
      </c>
      <c r="H95" s="52">
        <f>VLOOKUP(C95,'IP PITS'!$B$9:$D$90,3,0)</f>
        <v>0</v>
      </c>
      <c r="I95" s="99">
        <f>VLOOKUP(C95,[1]RESUMEN!$C$31:$L$127,10,0)</f>
        <v>6000</v>
      </c>
      <c r="J95" s="52">
        <f t="shared" si="12"/>
        <v>0</v>
      </c>
      <c r="K95" s="52">
        <f>VLOOKUP(C95,[1]IP!$B$9:$I$116,8,0)</f>
        <v>0</v>
      </c>
      <c r="L95" s="52">
        <f t="shared" si="13"/>
        <v>0</v>
      </c>
      <c r="M95" s="52" t="s">
        <v>596</v>
      </c>
    </row>
    <row r="96" spans="1:13" x14ac:dyDescent="0.2">
      <c r="A96" s="52" t="s">
        <v>464</v>
      </c>
      <c r="B96" s="54" t="s">
        <v>57</v>
      </c>
      <c r="C96" s="52" t="s">
        <v>465</v>
      </c>
      <c r="D96" s="52">
        <v>416.40000000000009</v>
      </c>
      <c r="E96" s="54">
        <v>262.5</v>
      </c>
      <c r="F96" s="52">
        <f t="shared" si="11"/>
        <v>0</v>
      </c>
      <c r="G96" s="52">
        <f t="shared" si="8"/>
        <v>678.90000000000009</v>
      </c>
      <c r="H96" s="52">
        <f>VLOOKUP(C96,'IP PITS'!$B$9:$D$90,3,0)</f>
        <v>0</v>
      </c>
      <c r="I96" s="99">
        <f>VLOOKUP(C96,[1]RESUMEN!$C$31:$L$127,10,0)</f>
        <v>8000</v>
      </c>
      <c r="J96" s="52">
        <f t="shared" si="12"/>
        <v>0</v>
      </c>
      <c r="K96" s="52">
        <f>VLOOKUP(C96,[1]IP!$B$9:$I$116,8,0)</f>
        <v>0</v>
      </c>
      <c r="L96" s="52">
        <f t="shared" si="13"/>
        <v>0</v>
      </c>
      <c r="M96" s="52" t="s">
        <v>596</v>
      </c>
    </row>
    <row r="97" spans="1:13" x14ac:dyDescent="0.2">
      <c r="A97" s="52" t="s">
        <v>486</v>
      </c>
      <c r="B97" s="54" t="s">
        <v>57</v>
      </c>
      <c r="C97" s="52" t="s">
        <v>487</v>
      </c>
      <c r="D97" s="52">
        <v>414.59999999999945</v>
      </c>
      <c r="E97" s="54">
        <v>450</v>
      </c>
      <c r="F97" s="52">
        <f t="shared" si="11"/>
        <v>0</v>
      </c>
      <c r="G97" s="52">
        <f t="shared" si="8"/>
        <v>864.59999999999945</v>
      </c>
      <c r="H97" s="52">
        <f>VLOOKUP(C97,'IP PITS'!$B$9:$D$90,3,0)</f>
        <v>0</v>
      </c>
      <c r="I97" s="99">
        <f>VLOOKUP(C97,[1]RESUMEN!$C$31:$L$127,10,0)</f>
        <v>8000</v>
      </c>
      <c r="J97" s="52">
        <f t="shared" si="12"/>
        <v>0</v>
      </c>
      <c r="K97" s="52">
        <f>VLOOKUP(C97,[1]IP!$B$9:$I$116,8,0)</f>
        <v>0</v>
      </c>
      <c r="L97" s="52">
        <f t="shared" si="13"/>
        <v>0</v>
      </c>
      <c r="M97" s="52" t="s">
        <v>596</v>
      </c>
    </row>
    <row r="98" spans="1:13" x14ac:dyDescent="0.2">
      <c r="A98" s="52" t="s">
        <v>602</v>
      </c>
      <c r="B98" s="54" t="s">
        <v>57</v>
      </c>
      <c r="C98" s="52" t="s">
        <v>603</v>
      </c>
      <c r="D98" s="52">
        <v>1704.5800000000002</v>
      </c>
      <c r="E98" s="54">
        <v>675</v>
      </c>
      <c r="F98" s="52">
        <f t="shared" si="11"/>
        <v>0</v>
      </c>
      <c r="G98" s="52">
        <f t="shared" si="8"/>
        <v>2379.58</v>
      </c>
      <c r="H98" s="52">
        <f>VLOOKUP(C98,'IP PITS'!$B$9:$D$90,3,0)</f>
        <v>0</v>
      </c>
      <c r="I98" s="99">
        <v>7000</v>
      </c>
      <c r="J98" s="52">
        <f t="shared" si="12"/>
        <v>0</v>
      </c>
      <c r="K98" s="52">
        <f>VLOOKUP(C98,[1]IP!$B$9:$I$116,8,0)</f>
        <v>0</v>
      </c>
      <c r="L98" s="52">
        <f t="shared" si="13"/>
        <v>0</v>
      </c>
      <c r="M98" s="52" t="s">
        <v>596</v>
      </c>
    </row>
    <row r="99" spans="1:13" x14ac:dyDescent="0.2">
      <c r="A99" s="52" t="s">
        <v>513</v>
      </c>
      <c r="B99" s="52" t="s">
        <v>57</v>
      </c>
      <c r="C99" s="52" t="s">
        <v>428</v>
      </c>
      <c r="D99" s="52">
        <v>1667.37</v>
      </c>
      <c r="E99" s="54">
        <f>1000+417</f>
        <v>1417</v>
      </c>
      <c r="F99" s="52">
        <f t="shared" si="11"/>
        <v>0</v>
      </c>
      <c r="G99" s="52">
        <f t="shared" si="8"/>
        <v>3084.37</v>
      </c>
      <c r="H99" s="52">
        <f>VLOOKUP(C99,'IP PITS'!$B$9:$D$90,3,0)</f>
        <v>0</v>
      </c>
      <c r="I99" s="99">
        <f>VLOOKUP(C99,[1]RESUMEN!$C$31:$L$127,10,0)</f>
        <v>10000</v>
      </c>
      <c r="J99" s="52">
        <f t="shared" si="12"/>
        <v>0</v>
      </c>
      <c r="K99" s="52">
        <f>VLOOKUP(C99,[1]IP!$B$9:$I$116,8,0)</f>
        <v>0</v>
      </c>
      <c r="L99" s="52">
        <f t="shared" si="13"/>
        <v>0</v>
      </c>
      <c r="M99" s="52" t="s">
        <v>596</v>
      </c>
    </row>
    <row r="100" spans="1:13" x14ac:dyDescent="0.2">
      <c r="A100" s="52" t="s">
        <v>510</v>
      </c>
      <c r="B100" s="52" t="s">
        <v>57</v>
      </c>
      <c r="C100" s="52" t="s">
        <v>425</v>
      </c>
      <c r="D100" s="52">
        <v>1917.2999999999997</v>
      </c>
      <c r="E100" s="54">
        <f>3728+1421.88</f>
        <v>5149.88</v>
      </c>
      <c r="F100" s="52">
        <f t="shared" si="11"/>
        <v>0</v>
      </c>
      <c r="G100" s="52">
        <f t="shared" si="8"/>
        <v>7067.18</v>
      </c>
      <c r="H100" s="52">
        <f>VLOOKUP(C100,'IP PITS'!$B$9:$D$90,3,0)</f>
        <v>0</v>
      </c>
      <c r="I100" s="99">
        <f>VLOOKUP(C100,[1]RESUMEN!$C$31:$L$127,10,0)</f>
        <v>10500</v>
      </c>
      <c r="J100" s="52">
        <f t="shared" si="12"/>
        <v>0</v>
      </c>
      <c r="K100" s="52">
        <f>VLOOKUP(C100,[1]IP!$B$9:$I$116,8,0)</f>
        <v>0</v>
      </c>
      <c r="L100" s="52">
        <f t="shared" si="13"/>
        <v>0</v>
      </c>
      <c r="M100" s="52" t="s">
        <v>596</v>
      </c>
    </row>
    <row r="101" spans="1:13" x14ac:dyDescent="0.2">
      <c r="A101" s="52" t="s">
        <v>67</v>
      </c>
      <c r="B101" s="52" t="s">
        <v>57</v>
      </c>
      <c r="C101" s="52" t="s">
        <v>337</v>
      </c>
      <c r="D101" s="52">
        <v>414.59999999999945</v>
      </c>
      <c r="E101" s="54">
        <v>258.5</v>
      </c>
      <c r="F101" s="52">
        <f t="shared" si="11"/>
        <v>0</v>
      </c>
      <c r="G101" s="52">
        <f t="shared" si="8"/>
        <v>673.09999999999945</v>
      </c>
      <c r="H101" s="52">
        <f>VLOOKUP(C101,'IP PITS'!$B$9:$D$90,3,0)</f>
        <v>0</v>
      </c>
      <c r="I101" s="99">
        <f>VLOOKUP(C101,[1]RESUMEN!$C$31:$L$127,10,0)</f>
        <v>8000</v>
      </c>
      <c r="J101" s="52">
        <f t="shared" si="12"/>
        <v>0</v>
      </c>
      <c r="K101" s="52">
        <f>VLOOKUP(C101,[1]IP!$B$9:$I$116,8,0)</f>
        <v>0</v>
      </c>
      <c r="L101" s="52">
        <f t="shared" si="13"/>
        <v>0</v>
      </c>
      <c r="M101" s="52" t="s">
        <v>596</v>
      </c>
    </row>
    <row r="102" spans="1:13" x14ac:dyDescent="0.2">
      <c r="A102" s="52" t="s">
        <v>478</v>
      </c>
      <c r="B102" s="54" t="s">
        <v>57</v>
      </c>
      <c r="C102" s="52" t="s">
        <v>479</v>
      </c>
      <c r="D102" s="52">
        <v>416.40000000000032</v>
      </c>
      <c r="E102" s="54">
        <v>546</v>
      </c>
      <c r="F102" s="52">
        <f t="shared" si="11"/>
        <v>0</v>
      </c>
      <c r="G102" s="52">
        <f t="shared" ref="G102:G106" si="14">+D102+E102+F102</f>
        <v>962.40000000000032</v>
      </c>
      <c r="H102" s="52">
        <f>VLOOKUP(C102,'IP PITS'!$B$9:$D$90,3,0)</f>
        <v>0</v>
      </c>
      <c r="I102" s="99">
        <f>VLOOKUP(C102,[1]RESUMEN!$C$31:$L$127,10,0)</f>
        <v>8000</v>
      </c>
      <c r="J102" s="52">
        <f t="shared" si="12"/>
        <v>0</v>
      </c>
      <c r="K102" s="52">
        <f>VLOOKUP(C102,[1]IP!$B$9:$I$116,8,0)</f>
        <v>0</v>
      </c>
      <c r="L102" s="52">
        <f t="shared" si="13"/>
        <v>0</v>
      </c>
      <c r="M102" s="52" t="s">
        <v>596</v>
      </c>
    </row>
    <row r="103" spans="1:13" x14ac:dyDescent="0.2">
      <c r="A103" s="52" t="s">
        <v>512</v>
      </c>
      <c r="B103" s="52" t="s">
        <v>57</v>
      </c>
      <c r="C103" s="52" t="s">
        <v>427</v>
      </c>
      <c r="D103" s="52">
        <v>2050.17</v>
      </c>
      <c r="E103" s="54">
        <v>1280</v>
      </c>
      <c r="F103" s="52">
        <f t="shared" si="11"/>
        <v>0</v>
      </c>
      <c r="G103" s="52">
        <f t="shared" si="14"/>
        <v>3330.17</v>
      </c>
      <c r="H103" s="52">
        <f>VLOOKUP(C103,'IP PITS'!$B$9:$D$90,3,0)</f>
        <v>0</v>
      </c>
      <c r="I103" s="99">
        <f>VLOOKUP(C103,[1]RESUMEN!$C$31:$L$127,10,0)</f>
        <v>12000</v>
      </c>
      <c r="J103" s="52">
        <f t="shared" si="12"/>
        <v>0</v>
      </c>
      <c r="K103" s="52">
        <f>VLOOKUP(C103,[1]IP!$B$9:$I$116,8,0)</f>
        <v>0</v>
      </c>
      <c r="L103" s="52">
        <f t="shared" si="13"/>
        <v>0</v>
      </c>
      <c r="M103" s="52" t="s">
        <v>596</v>
      </c>
    </row>
    <row r="104" spans="1:13" x14ac:dyDescent="0.2">
      <c r="A104" s="52" t="s">
        <v>468</v>
      </c>
      <c r="B104" s="54" t="s">
        <v>57</v>
      </c>
      <c r="C104" s="52" t="s">
        <v>469</v>
      </c>
      <c r="D104" s="52">
        <v>416.25</v>
      </c>
      <c r="E104" s="54">
        <v>471</v>
      </c>
      <c r="F104" s="52">
        <f t="shared" si="11"/>
        <v>0</v>
      </c>
      <c r="G104" s="52">
        <f t="shared" si="14"/>
        <v>887.25</v>
      </c>
      <c r="H104" s="52">
        <f>VLOOKUP(C104,'IP PITS'!$B$9:$D$90,3,0)</f>
        <v>0</v>
      </c>
      <c r="I104" s="99">
        <f>VLOOKUP(C104,[1]RESUMEN!$C$31:$L$127,10,0)</f>
        <v>8000</v>
      </c>
      <c r="J104" s="52">
        <f t="shared" si="12"/>
        <v>0</v>
      </c>
      <c r="K104" s="52">
        <f>VLOOKUP(C104,[1]IP!$B$9:$I$116,8,0)</f>
        <v>0</v>
      </c>
      <c r="L104" s="52">
        <f t="shared" si="13"/>
        <v>0</v>
      </c>
      <c r="M104" s="52" t="s">
        <v>596</v>
      </c>
    </row>
    <row r="105" spans="1:13" x14ac:dyDescent="0.2">
      <c r="A105" s="52" t="s">
        <v>212</v>
      </c>
      <c r="B105" s="52" t="s">
        <v>5</v>
      </c>
      <c r="C105" s="52" t="s">
        <v>319</v>
      </c>
      <c r="D105" s="52">
        <v>4176.0000000000009</v>
      </c>
      <c r="E105" s="54">
        <v>750</v>
      </c>
      <c r="F105" s="52">
        <f t="shared" si="11"/>
        <v>0</v>
      </c>
      <c r="G105" s="52">
        <f t="shared" si="14"/>
        <v>4926.0000000000009</v>
      </c>
      <c r="H105" s="52">
        <f>VLOOKUP(C105,'CPD PITS'!$B$9:$D$27,3,0)</f>
        <v>0</v>
      </c>
      <c r="I105" s="99">
        <f>VLOOKUP(C105,[1]RESUMEN!$C$4:$L$113,10,)</f>
        <v>18500</v>
      </c>
      <c r="J105" s="52">
        <f t="shared" si="12"/>
        <v>0</v>
      </c>
      <c r="K105" s="52">
        <f>VLOOKUP(C105,[1]CPD!$B$9:$I$35,8,0)</f>
        <v>0</v>
      </c>
      <c r="L105" s="52">
        <f t="shared" si="13"/>
        <v>0</v>
      </c>
      <c r="M105" s="52" t="s">
        <v>596</v>
      </c>
    </row>
    <row r="106" spans="1:13" ht="14.25" customHeight="1" x14ac:dyDescent="0.2">
      <c r="A106" s="52" t="s">
        <v>89</v>
      </c>
      <c r="B106" s="52" t="s">
        <v>57</v>
      </c>
      <c r="C106" s="52" t="s">
        <v>343</v>
      </c>
      <c r="D106" s="52">
        <v>1135.17</v>
      </c>
      <c r="E106" s="54"/>
      <c r="F106" s="52">
        <f t="shared" si="11"/>
        <v>0</v>
      </c>
      <c r="G106" s="52">
        <f t="shared" si="14"/>
        <v>1135.17</v>
      </c>
      <c r="H106" s="52">
        <f>VLOOKUP(C106,'IP PITS'!$B$9:$D$90,3,0)</f>
        <v>0</v>
      </c>
      <c r="I106" s="99">
        <f>VLOOKUP(C106,[1]RESUMEN!$C$31:$L$127,10,0)</f>
        <v>8000</v>
      </c>
      <c r="J106" s="52">
        <f t="shared" si="12"/>
        <v>0</v>
      </c>
      <c r="K106" s="52">
        <f>VLOOKUP(C106,[1]IP!$B$9:$I$116,8,0)</f>
        <v>0</v>
      </c>
      <c r="L106" s="52">
        <f t="shared" si="13"/>
        <v>0</v>
      </c>
      <c r="M106" s="52" t="s">
        <v>596</v>
      </c>
    </row>
    <row r="107" spans="1:13" x14ac:dyDescent="0.2">
      <c r="A107" s="94"/>
      <c r="B107" s="54"/>
      <c r="C107" s="92" t="s">
        <v>45</v>
      </c>
      <c r="D107" s="92">
        <f t="shared" ref="D107:M107" si="15">SUM(D7:D106)</f>
        <v>149180.06</v>
      </c>
      <c r="E107" s="92">
        <f t="shared" si="15"/>
        <v>71542.929999999993</v>
      </c>
      <c r="F107" s="92">
        <f t="shared" si="15"/>
        <v>234.01</v>
      </c>
      <c r="G107" s="92">
        <f>SUM(G7:G106)</f>
        <v>220956.99999999997</v>
      </c>
      <c r="H107" s="92">
        <f t="shared" si="15"/>
        <v>4</v>
      </c>
      <c r="I107" s="92">
        <f t="shared" si="15"/>
        <v>1015806.02</v>
      </c>
      <c r="J107" s="92">
        <f t="shared" si="15"/>
        <v>520</v>
      </c>
      <c r="K107" s="92">
        <f t="shared" si="15"/>
        <v>285.99</v>
      </c>
      <c r="L107" s="92">
        <f t="shared" si="15"/>
        <v>234.01</v>
      </c>
      <c r="M107" s="92">
        <f t="shared" si="15"/>
        <v>0</v>
      </c>
    </row>
    <row r="108" spans="1:13" x14ac:dyDescent="0.2">
      <c r="A108" s="94"/>
      <c r="B108" s="54"/>
      <c r="C108" s="94"/>
      <c r="E108" s="94"/>
    </row>
    <row r="109" spans="1:13" x14ac:dyDescent="0.2">
      <c r="B109" s="94"/>
      <c r="D109" s="92"/>
      <c r="F109" s="105"/>
      <c r="G109" s="106">
        <f>+G107</f>
        <v>220956.99999999997</v>
      </c>
    </row>
    <row r="110" spans="1:13" x14ac:dyDescent="0.2">
      <c r="A110" s="94"/>
      <c r="B110" s="94"/>
      <c r="C110" s="94"/>
      <c r="F110" s="105" t="s">
        <v>528</v>
      </c>
      <c r="G110" s="106">
        <v>0</v>
      </c>
    </row>
    <row r="111" spans="1:13" x14ac:dyDescent="0.2">
      <c r="A111" s="94"/>
      <c r="C111" s="94"/>
      <c r="F111" s="105"/>
      <c r="G111" s="105">
        <f>+G109+G110</f>
        <v>220956.99999999997</v>
      </c>
    </row>
    <row r="112" spans="1:13" x14ac:dyDescent="0.2">
      <c r="A112" s="94"/>
      <c r="B112" s="94"/>
      <c r="C112" s="94"/>
      <c r="F112" s="105"/>
      <c r="G112" s="105">
        <f>+G111*2%</f>
        <v>4419.1399999999994</v>
      </c>
    </row>
    <row r="113" spans="1:14" x14ac:dyDescent="0.2">
      <c r="A113" s="94"/>
      <c r="B113" s="94"/>
      <c r="C113" s="94"/>
      <c r="D113" s="52">
        <v>0</v>
      </c>
      <c r="F113" s="105"/>
      <c r="G113" s="105">
        <f>+G111+G112</f>
        <v>225376.13999999996</v>
      </c>
    </row>
    <row r="114" spans="1:14" x14ac:dyDescent="0.2">
      <c r="B114" s="94"/>
      <c r="F114" s="105"/>
      <c r="G114" s="106"/>
    </row>
    <row r="115" spans="1:14" x14ac:dyDescent="0.2">
      <c r="B115" s="94"/>
      <c r="F115" s="105"/>
      <c r="G115" s="106"/>
    </row>
    <row r="116" spans="1:14" x14ac:dyDescent="0.2">
      <c r="F116" s="105"/>
      <c r="G116" s="105">
        <f>+G113</f>
        <v>225376.13999999996</v>
      </c>
    </row>
    <row r="117" spans="1:14" x14ac:dyDescent="0.2">
      <c r="F117" s="105"/>
      <c r="G117" s="106">
        <f>+G116*16%</f>
        <v>36060.182399999991</v>
      </c>
    </row>
    <row r="118" spans="1:14" x14ac:dyDescent="0.2">
      <c r="F118" s="105"/>
      <c r="G118" s="105">
        <f>+G116+G117</f>
        <v>261436.32239999995</v>
      </c>
    </row>
    <row r="119" spans="1:14" ht="15.75" x14ac:dyDescent="0.25">
      <c r="D119" s="150" t="s">
        <v>684</v>
      </c>
      <c r="E119" s="150"/>
      <c r="F119" s="47"/>
      <c r="G119" s="150" t="s">
        <v>681</v>
      </c>
      <c r="H119" s="150"/>
      <c r="I119" s="47"/>
      <c r="J119" s="150" t="s">
        <v>682</v>
      </c>
      <c r="K119" s="150"/>
      <c r="L119" s="47"/>
      <c r="M119" s="150" t="s">
        <v>683</v>
      </c>
      <c r="N119" s="150"/>
    </row>
    <row r="120" spans="1:14" x14ac:dyDescent="0.2">
      <c r="D120" s="82" t="s">
        <v>53</v>
      </c>
      <c r="E120" s="83">
        <f>+G116*4%</f>
        <v>9015.0455999999976</v>
      </c>
      <c r="F120" s="47"/>
      <c r="G120" s="82" t="s">
        <v>53</v>
      </c>
      <c r="H120" s="83">
        <f>+G116*12%</f>
        <v>27045.136799999993</v>
      </c>
      <c r="I120" s="47"/>
      <c r="J120" s="82" t="s">
        <v>53</v>
      </c>
      <c r="K120" s="83">
        <f>+G116*11%</f>
        <v>24791.375399999994</v>
      </c>
      <c r="L120" s="47"/>
      <c r="M120" s="82" t="s">
        <v>53</v>
      </c>
      <c r="N120" s="83">
        <f>+G116*73%</f>
        <v>164524.58219999998</v>
      </c>
    </row>
    <row r="121" spans="1:14" x14ac:dyDescent="0.2">
      <c r="D121" s="82" t="s">
        <v>54</v>
      </c>
      <c r="E121" s="83">
        <f>+E120*16%</f>
        <v>1442.4072959999996</v>
      </c>
      <c r="F121" s="47"/>
      <c r="G121" s="82" t="s">
        <v>54</v>
      </c>
      <c r="H121" s="83">
        <f>+H120*16%</f>
        <v>4327.2218879999991</v>
      </c>
      <c r="I121" s="47"/>
      <c r="J121" s="82" t="s">
        <v>54</v>
      </c>
      <c r="K121" s="83">
        <f>+K120*16%</f>
        <v>3966.6200639999993</v>
      </c>
      <c r="L121" s="47"/>
      <c r="M121" s="82" t="s">
        <v>54</v>
      </c>
      <c r="N121" s="83">
        <f>+N120*16%</f>
        <v>26323.933151999998</v>
      </c>
    </row>
    <row r="122" spans="1:14" x14ac:dyDescent="0.2">
      <c r="D122" s="82" t="s">
        <v>55</v>
      </c>
      <c r="E122" s="83">
        <f>+E120+E121</f>
        <v>10457.452895999997</v>
      </c>
      <c r="F122" s="47"/>
      <c r="G122" s="82" t="s">
        <v>55</v>
      </c>
      <c r="H122" s="83">
        <f>+H120+H121</f>
        <v>31372.358687999993</v>
      </c>
      <c r="I122" s="47"/>
      <c r="J122" s="82" t="s">
        <v>55</v>
      </c>
      <c r="K122" s="83">
        <f>+K120+K121</f>
        <v>28757.995463999992</v>
      </c>
      <c r="L122" s="47"/>
      <c r="M122" s="82" t="s">
        <v>55</v>
      </c>
      <c r="N122" s="83">
        <f>+N120+N121</f>
        <v>190848.51535199996</v>
      </c>
    </row>
  </sheetData>
  <autoFilter ref="A6:L106" xr:uid="{00000000-0009-0000-0000-000003000000}">
    <sortState xmlns:xlrd2="http://schemas.microsoft.com/office/spreadsheetml/2017/richdata2" ref="A7:L108">
      <sortCondition ref="C6:C108"/>
    </sortState>
  </autoFilter>
  <sortState xmlns:xlrd2="http://schemas.microsoft.com/office/spreadsheetml/2017/richdata2" ref="A7:M141">
    <sortCondition ref="M7:M141"/>
  </sortState>
  <mergeCells count="6">
    <mergeCell ref="M119:N119"/>
    <mergeCell ref="C2:D2"/>
    <mergeCell ref="C3:D3"/>
    <mergeCell ref="D119:E119"/>
    <mergeCell ref="G119:H119"/>
    <mergeCell ref="J119:K119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O141"/>
  <sheetViews>
    <sheetView showGridLines="0" zoomScale="80" zoomScaleNormal="80" workbookViewId="0">
      <pane xSplit="3" ySplit="3" topLeftCell="D121" activePane="bottomRight" state="frozen"/>
      <selection pane="topRight" activeCell="D1" sqref="D1"/>
      <selection pane="bottomLeft" activeCell="A4" sqref="A4"/>
      <selection pane="bottomRight" activeCell="E141" sqref="E141"/>
    </sheetView>
  </sheetViews>
  <sheetFormatPr baseColWidth="10" defaultColWidth="11.42578125" defaultRowHeight="12.75" x14ac:dyDescent="0.2"/>
  <cols>
    <col min="1" max="1" width="11.42578125" style="47"/>
    <col min="2" max="2" width="26.42578125" style="47" bestFit="1" customWidth="1"/>
    <col min="3" max="3" width="46.28515625" style="88" customWidth="1"/>
    <col min="4" max="5" width="22" style="47" customWidth="1"/>
    <col min="6" max="6" width="4" style="109" customWidth="1"/>
    <col min="7" max="7" width="19.7109375" style="47" customWidth="1"/>
    <col min="8" max="9" width="24.5703125" style="47" customWidth="1"/>
    <col min="10" max="10" width="3.5703125" style="109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110" customWidth="1"/>
    <col min="15" max="15" width="17.42578125" style="47" customWidth="1"/>
    <col min="16" max="16" width="17.7109375" style="47" customWidth="1"/>
    <col min="17" max="21" width="16.28515625" style="47" customWidth="1"/>
    <col min="22" max="22" width="19.42578125" style="47" customWidth="1"/>
    <col min="23" max="23" width="21.5703125" style="47" customWidth="1"/>
    <col min="24" max="24" width="6" style="109" customWidth="1"/>
    <col min="25" max="25" width="24" style="47" customWidth="1"/>
    <col min="26" max="26" width="21" style="46" customWidth="1"/>
    <col min="27" max="27" width="35.85546875" style="111" customWidth="1"/>
    <col min="28" max="28" width="11.42578125" style="46" customWidth="1"/>
    <col min="29" max="41" width="11.42578125" style="100" customWidth="1"/>
    <col min="42" max="249" width="11.42578125" style="100"/>
    <col min="250" max="16384" width="11.42578125" style="47"/>
  </cols>
  <sheetData>
    <row r="1" spans="1:249" s="107" customFormat="1" x14ac:dyDescent="0.2">
      <c r="C1" s="108"/>
      <c r="F1" s="109"/>
      <c r="J1" s="109"/>
      <c r="N1" s="110"/>
      <c r="X1" s="109"/>
      <c r="Z1" s="46"/>
      <c r="AA1" s="111"/>
      <c r="AB1" s="46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100"/>
      <c r="EL1" s="100"/>
      <c r="EM1" s="100"/>
      <c r="EN1" s="100"/>
      <c r="EO1" s="100"/>
      <c r="EP1" s="100"/>
      <c r="EQ1" s="100"/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100"/>
      <c r="FC1" s="100"/>
      <c r="FD1" s="100"/>
      <c r="FE1" s="100"/>
      <c r="FF1" s="100"/>
      <c r="FG1" s="100"/>
      <c r="FH1" s="100"/>
      <c r="FI1" s="100"/>
      <c r="FJ1" s="100"/>
      <c r="FK1" s="100"/>
      <c r="FL1" s="100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  <c r="GB1" s="100"/>
      <c r="GC1" s="100"/>
      <c r="GD1" s="100"/>
      <c r="GE1" s="100"/>
      <c r="GF1" s="100"/>
      <c r="GG1" s="100"/>
      <c r="GH1" s="100"/>
      <c r="GI1" s="100"/>
      <c r="GJ1" s="100"/>
      <c r="GK1" s="100"/>
      <c r="GL1" s="100"/>
      <c r="GM1" s="100"/>
      <c r="GN1" s="100"/>
      <c r="GO1" s="100"/>
      <c r="GP1" s="100"/>
      <c r="GQ1" s="100"/>
      <c r="GR1" s="100"/>
      <c r="GS1" s="100"/>
      <c r="GT1" s="100"/>
      <c r="GU1" s="100"/>
      <c r="GV1" s="100"/>
      <c r="GW1" s="100"/>
      <c r="GX1" s="100"/>
      <c r="GY1" s="100"/>
      <c r="GZ1" s="100"/>
      <c r="HA1" s="100"/>
      <c r="HB1" s="100"/>
      <c r="HC1" s="100"/>
      <c r="HD1" s="100"/>
      <c r="HE1" s="100"/>
      <c r="HF1" s="100"/>
      <c r="HG1" s="100"/>
      <c r="HH1" s="100"/>
      <c r="HI1" s="100"/>
      <c r="HJ1" s="100"/>
      <c r="HK1" s="100"/>
      <c r="HL1" s="100"/>
      <c r="HM1" s="100"/>
      <c r="HN1" s="100"/>
      <c r="HO1" s="100"/>
      <c r="HP1" s="100"/>
      <c r="HQ1" s="100"/>
      <c r="HR1" s="100"/>
      <c r="HS1" s="100"/>
      <c r="HT1" s="100"/>
      <c r="HU1" s="100"/>
      <c r="HV1" s="100"/>
      <c r="HW1" s="100"/>
      <c r="HX1" s="100"/>
      <c r="HY1" s="100"/>
      <c r="HZ1" s="100"/>
      <c r="IA1" s="100"/>
      <c r="IB1" s="100"/>
      <c r="IC1" s="100"/>
      <c r="ID1" s="100"/>
      <c r="IE1" s="100"/>
      <c r="IF1" s="100"/>
      <c r="IG1" s="100"/>
      <c r="IH1" s="100"/>
      <c r="II1" s="100"/>
      <c r="IJ1" s="100"/>
      <c r="IK1" s="100"/>
      <c r="IL1" s="100"/>
      <c r="IM1" s="100"/>
      <c r="IN1" s="100"/>
      <c r="IO1" s="100"/>
    </row>
    <row r="2" spans="1:249" s="107" customFormat="1" x14ac:dyDescent="0.2">
      <c r="A2" s="166" t="s">
        <v>629</v>
      </c>
      <c r="B2" s="166"/>
      <c r="C2" s="166"/>
      <c r="D2" s="166"/>
      <c r="E2" s="166"/>
      <c r="F2" s="109"/>
      <c r="G2" s="166" t="s">
        <v>630</v>
      </c>
      <c r="H2" s="166"/>
      <c r="I2" s="166"/>
      <c r="J2" s="109"/>
      <c r="K2" s="166" t="s">
        <v>631</v>
      </c>
      <c r="L2" s="166"/>
      <c r="M2" s="166"/>
      <c r="N2" s="110"/>
      <c r="O2" s="166" t="s">
        <v>632</v>
      </c>
      <c r="P2" s="166"/>
      <c r="Q2" s="166"/>
      <c r="R2" s="166"/>
      <c r="S2" s="166"/>
      <c r="T2" s="166"/>
      <c r="U2" s="166"/>
      <c r="V2" s="166"/>
      <c r="W2" s="166"/>
      <c r="X2" s="109"/>
      <c r="Z2" s="46"/>
      <c r="AA2" s="111"/>
      <c r="AB2" s="46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0"/>
      <c r="ES2" s="100"/>
      <c r="ET2" s="100"/>
      <c r="EU2" s="100"/>
      <c r="EV2" s="100"/>
      <c r="EW2" s="100"/>
      <c r="EX2" s="100"/>
      <c r="EY2" s="100"/>
      <c r="EZ2" s="100"/>
      <c r="FA2" s="100"/>
      <c r="FB2" s="100"/>
      <c r="FC2" s="100"/>
      <c r="FD2" s="100"/>
      <c r="FE2" s="100"/>
      <c r="FF2" s="100"/>
      <c r="FG2" s="100"/>
      <c r="FH2" s="100"/>
      <c r="FI2" s="100"/>
      <c r="FJ2" s="100"/>
      <c r="FK2" s="100"/>
      <c r="FL2" s="100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  <c r="GB2" s="100"/>
      <c r="GC2" s="100"/>
      <c r="GD2" s="100"/>
      <c r="GE2" s="100"/>
      <c r="GF2" s="100"/>
      <c r="GG2" s="100"/>
      <c r="GH2" s="100"/>
      <c r="GI2" s="100"/>
      <c r="GJ2" s="100"/>
      <c r="GK2" s="100"/>
      <c r="GL2" s="100"/>
      <c r="GM2" s="100"/>
      <c r="GN2" s="100"/>
      <c r="GO2" s="100"/>
      <c r="GP2" s="100"/>
      <c r="GQ2" s="100"/>
      <c r="GR2" s="100"/>
      <c r="GS2" s="100"/>
      <c r="GT2" s="100"/>
      <c r="GU2" s="100"/>
      <c r="GV2" s="100"/>
      <c r="GW2" s="100"/>
      <c r="GX2" s="100"/>
      <c r="GY2" s="100"/>
      <c r="GZ2" s="100"/>
      <c r="HA2" s="100"/>
      <c r="HB2" s="100"/>
      <c r="HC2" s="100"/>
      <c r="HD2" s="100"/>
      <c r="HE2" s="100"/>
      <c r="HF2" s="100"/>
      <c r="HG2" s="100"/>
      <c r="HH2" s="100"/>
      <c r="HI2" s="100"/>
      <c r="HJ2" s="100"/>
      <c r="HK2" s="100"/>
      <c r="HL2" s="100"/>
      <c r="HM2" s="100"/>
      <c r="HN2" s="100"/>
      <c r="HO2" s="100"/>
      <c r="HP2" s="100"/>
      <c r="HQ2" s="100"/>
      <c r="HR2" s="100"/>
      <c r="HS2" s="100"/>
      <c r="HT2" s="100"/>
      <c r="HU2" s="100"/>
      <c r="HV2" s="100"/>
      <c r="HW2" s="100"/>
      <c r="HX2" s="100"/>
      <c r="HY2" s="100"/>
      <c r="HZ2" s="100"/>
      <c r="IA2" s="100"/>
      <c r="IB2" s="100"/>
      <c r="IC2" s="100"/>
      <c r="ID2" s="100"/>
      <c r="IE2" s="100"/>
      <c r="IF2" s="100"/>
      <c r="IG2" s="100"/>
      <c r="IH2" s="100"/>
      <c r="II2" s="100"/>
      <c r="IJ2" s="100"/>
      <c r="IK2" s="100"/>
      <c r="IL2" s="100"/>
      <c r="IM2" s="100"/>
      <c r="IN2" s="100"/>
      <c r="IO2" s="100"/>
    </row>
    <row r="3" spans="1:249" ht="26.25" thickBot="1" x14ac:dyDescent="0.25">
      <c r="A3" s="112" t="s">
        <v>622</v>
      </c>
      <c r="B3" s="112" t="s">
        <v>623</v>
      </c>
      <c r="C3" s="112" t="s">
        <v>3</v>
      </c>
      <c r="D3" s="112" t="s">
        <v>633</v>
      </c>
      <c r="E3" s="113" t="s">
        <v>634</v>
      </c>
      <c r="F3" s="114" t="s">
        <v>635</v>
      </c>
      <c r="G3" s="115" t="s">
        <v>636</v>
      </c>
      <c r="H3" s="115" t="s">
        <v>637</v>
      </c>
      <c r="I3" s="115" t="s">
        <v>638</v>
      </c>
      <c r="J3" s="114" t="s">
        <v>639</v>
      </c>
      <c r="K3" s="116" t="s">
        <v>121</v>
      </c>
      <c r="L3" s="112" t="s">
        <v>640</v>
      </c>
      <c r="M3" s="117" t="s">
        <v>641</v>
      </c>
      <c r="N3" s="118" t="s">
        <v>642</v>
      </c>
      <c r="O3" s="112" t="s">
        <v>643</v>
      </c>
      <c r="P3" s="112" t="s">
        <v>644</v>
      </c>
      <c r="Q3" s="112" t="s">
        <v>645</v>
      </c>
      <c r="R3" s="112" t="s">
        <v>645</v>
      </c>
      <c r="S3" s="112" t="s">
        <v>645</v>
      </c>
      <c r="T3" s="112" t="s">
        <v>645</v>
      </c>
      <c r="U3" s="112" t="s">
        <v>646</v>
      </c>
      <c r="V3" s="112" t="s">
        <v>647</v>
      </c>
      <c r="W3" s="112" t="s">
        <v>648</v>
      </c>
      <c r="X3" s="114" t="s">
        <v>649</v>
      </c>
      <c r="Y3" s="119" t="s">
        <v>650</v>
      </c>
      <c r="Z3" s="120" t="s">
        <v>651</v>
      </c>
      <c r="AA3" s="121" t="s">
        <v>652</v>
      </c>
      <c r="AB3" s="46" t="s">
        <v>533</v>
      </c>
    </row>
    <row r="4" spans="1:249" s="100" customFormat="1" ht="13.5" thickTop="1" x14ac:dyDescent="0.2">
      <c r="A4" s="99" t="s">
        <v>9</v>
      </c>
      <c r="B4" s="99" t="s">
        <v>5</v>
      </c>
      <c r="C4" s="98" t="s">
        <v>314</v>
      </c>
      <c r="D4" s="99">
        <f>VLOOKUP(C4,[2]CPD!$B$9:$Y$35,24,0)</f>
        <v>2774.6</v>
      </c>
      <c r="E4" s="99"/>
      <c r="F4" s="122"/>
      <c r="G4" s="100" t="e">
        <f>VLOOKUP(C4,#REF!,4,0)</f>
        <v>#REF!</v>
      </c>
      <c r="H4" s="100" t="e">
        <f>VLOOKUP(C4,#REF!,5,0)</f>
        <v>#REF!</v>
      </c>
      <c r="I4" s="100" t="e">
        <f>VLOOKUP(C4,#REF!,6,0)</f>
        <v>#REF!</v>
      </c>
      <c r="J4" s="109"/>
      <c r="K4" s="100" t="e">
        <f t="shared" ref="K4:K67" si="0">+D4+E4+G4+H4+I4</f>
        <v>#REF!</v>
      </c>
      <c r="L4" s="100">
        <f>VLOOKUP(C4,[1]ABC!$A$3:$B$88,2,0)</f>
        <v>8500</v>
      </c>
      <c r="M4" s="100">
        <f t="shared" ref="M4:M67" si="1">+L4/2</f>
        <v>4250</v>
      </c>
      <c r="N4" s="110"/>
      <c r="O4" s="100">
        <f>VLOOKUP(C4,[2]CPD!$B$9:$I$35,8,0)</f>
        <v>0</v>
      </c>
      <c r="P4" s="100" t="e">
        <f>+H4+I4</f>
        <v>#REF!</v>
      </c>
      <c r="Q4" s="100">
        <f>VLOOKUP(C4,[2]CPD!$B$9:$R$35,17,0)</f>
        <v>0</v>
      </c>
      <c r="R4" s="100">
        <f>VLOOKUP(C4,[2]CPD!$B$9:$Q$35,16,0)</f>
        <v>0</v>
      </c>
      <c r="S4" s="100">
        <f>VLOOKUP(C4,[1]CPD!$B$9:$S$35,18,0)</f>
        <v>0</v>
      </c>
      <c r="T4" s="100">
        <f>VLOOKUP(C4,[2]CPD!$B$9:$T$35,19,0)</f>
        <v>0</v>
      </c>
      <c r="W4" s="100">
        <f>VLOOKUP(C4,[2]CPD!$B$9:$V$35,21,0)</f>
        <v>0</v>
      </c>
      <c r="X4" s="109"/>
      <c r="Y4" s="100" t="e">
        <f t="shared" ref="Y4:Y67" si="2">+K4-O4-P4+Q4+R4+S4+T4+U4+V4+W4</f>
        <v>#REF!</v>
      </c>
      <c r="Z4" s="46" t="e">
        <f t="shared" ref="Z4:Z42" si="3">+M4-Y4</f>
        <v>#REF!</v>
      </c>
      <c r="AA4" s="46"/>
      <c r="AB4" s="100" t="e">
        <f>VLOOKUP(C4,[1]SINDICATO!$C$7:$Q$141,15,0)</f>
        <v>#N/A</v>
      </c>
    </row>
    <row r="5" spans="1:249" s="100" customFormat="1" x14ac:dyDescent="0.2">
      <c r="A5" s="100" t="s">
        <v>67</v>
      </c>
      <c r="B5" s="99" t="s">
        <v>5</v>
      </c>
      <c r="C5" s="98" t="s">
        <v>312</v>
      </c>
      <c r="D5" s="99">
        <f>VLOOKUP(C5,[2]CPD!$B$9:$Y$35,24,0)</f>
        <v>4005.2</v>
      </c>
      <c r="E5" s="99"/>
      <c r="F5" s="122"/>
      <c r="G5" s="100" t="e">
        <f>VLOOKUP(C5,#REF!,4,0)</f>
        <v>#REF!</v>
      </c>
      <c r="H5" s="100" t="e">
        <f>VLOOKUP(C5,#REF!,5,0)</f>
        <v>#REF!</v>
      </c>
      <c r="I5" s="100" t="e">
        <f>VLOOKUP(C5,#REF!,6,0)</f>
        <v>#REF!</v>
      </c>
      <c r="J5" s="109"/>
      <c r="K5" s="100" t="e">
        <f t="shared" si="0"/>
        <v>#REF!</v>
      </c>
      <c r="L5" s="100">
        <f>VLOOKUP(C5,[1]ABC!$A$3:$B$88,2,0)</f>
        <v>18000</v>
      </c>
      <c r="M5" s="100">
        <f t="shared" si="1"/>
        <v>9000</v>
      </c>
      <c r="N5" s="110"/>
      <c r="O5" s="100">
        <f>VLOOKUP(C5,[2]CPD!$B$9:$I$35,8,0)</f>
        <v>0</v>
      </c>
      <c r="P5" s="100" t="e">
        <f t="shared" ref="P5:P30" si="4">+H5+I5</f>
        <v>#REF!</v>
      </c>
      <c r="Q5" s="100">
        <f>VLOOKUP(C5,[2]CPD!$B$9:$R$35,17,0)</f>
        <v>1333.87</v>
      </c>
      <c r="R5" s="100">
        <f>VLOOKUP(C5,[2]CPD!$B$9:$Q$35,16,0)</f>
        <v>0</v>
      </c>
      <c r="S5" s="100">
        <f>VLOOKUP(C5,[1]CPD!$B$9:$S$35,18,0)</f>
        <v>0</v>
      </c>
      <c r="T5" s="100">
        <f>VLOOKUP(C5,[2]CPD!$B$9:$T$35,19,0)</f>
        <v>15</v>
      </c>
      <c r="W5" s="100">
        <f>VLOOKUP(C5,[2]CPD!$B$9:$V$35,21,0)</f>
        <v>0</v>
      </c>
      <c r="X5" s="109"/>
      <c r="Y5" s="100" t="e">
        <f t="shared" si="2"/>
        <v>#REF!</v>
      </c>
      <c r="Z5" s="46" t="e">
        <f t="shared" si="3"/>
        <v>#REF!</v>
      </c>
      <c r="AA5" s="46"/>
      <c r="AB5" s="100">
        <f>VLOOKUP(C5,[1]SINDICATO!$C$7:$Q$141,15,0)</f>
        <v>0</v>
      </c>
    </row>
    <row r="6" spans="1:249" s="100" customFormat="1" x14ac:dyDescent="0.2">
      <c r="A6" s="99" t="s">
        <v>11</v>
      </c>
      <c r="B6" s="99" t="s">
        <v>5</v>
      </c>
      <c r="C6" s="98" t="s">
        <v>315</v>
      </c>
      <c r="D6" s="99">
        <f>VLOOKUP(C6,[2]CPD!$B$9:$Y$35,24,0)</f>
        <v>2911.8</v>
      </c>
      <c r="E6" s="99"/>
      <c r="F6" s="122"/>
      <c r="G6" s="100" t="e">
        <f>VLOOKUP(C6,#REF!,4,0)</f>
        <v>#REF!</v>
      </c>
      <c r="H6" s="100" t="e">
        <f>VLOOKUP(C6,#REF!,5,0)</f>
        <v>#REF!</v>
      </c>
      <c r="I6" s="100" t="e">
        <f>VLOOKUP(C6,#REF!,6,0)</f>
        <v>#REF!</v>
      </c>
      <c r="J6" s="109"/>
      <c r="K6" s="100" t="e">
        <f t="shared" si="0"/>
        <v>#REF!</v>
      </c>
      <c r="L6" s="100">
        <f>VLOOKUP(C6,[1]ABC!$A$3:$B$88,2,0)</f>
        <v>9000</v>
      </c>
      <c r="M6" s="100">
        <f t="shared" si="1"/>
        <v>4500</v>
      </c>
      <c r="N6" s="110"/>
      <c r="O6" s="100">
        <f>VLOOKUP(C6,[2]CPD!$B$9:$I$35,8,0)</f>
        <v>0</v>
      </c>
      <c r="P6" s="100" t="e">
        <f t="shared" si="4"/>
        <v>#REF!</v>
      </c>
      <c r="Q6" s="100">
        <f>VLOOKUP(C6,[2]CPD!$B$9:$R$35,17,0)</f>
        <v>0</v>
      </c>
      <c r="R6" s="100">
        <f>VLOOKUP(C6,[2]CPD!$B$9:$Q$35,16,0)</f>
        <v>0</v>
      </c>
      <c r="S6" s="100">
        <f>VLOOKUP(C6,[1]CPD!$B$9:$S$35,18,0)</f>
        <v>0</v>
      </c>
      <c r="T6" s="100">
        <f>VLOOKUP(C6,[2]CPD!$B$9:$T$35,19,0)</f>
        <v>0</v>
      </c>
      <c r="W6" s="100">
        <f>VLOOKUP(C6,[2]CPD!$B$9:$V$35,21,0)</f>
        <v>0</v>
      </c>
      <c r="X6" s="109"/>
      <c r="Y6" s="100" t="e">
        <f t="shared" si="2"/>
        <v>#REF!</v>
      </c>
      <c r="Z6" s="46" t="e">
        <f t="shared" si="3"/>
        <v>#REF!</v>
      </c>
      <c r="AA6" s="46"/>
      <c r="AB6" s="100" t="e">
        <f>VLOOKUP(C6,[1]SINDICATO!$C$7:$Q$141,15,0)</f>
        <v>#N/A</v>
      </c>
    </row>
    <row r="7" spans="1:249" s="100" customFormat="1" x14ac:dyDescent="0.2">
      <c r="A7" s="99" t="s">
        <v>211</v>
      </c>
      <c r="B7" s="99" t="s">
        <v>5</v>
      </c>
      <c r="C7" s="98" t="s">
        <v>318</v>
      </c>
      <c r="D7" s="99">
        <f>VLOOKUP(C7,[2]CPD!$B$9:$Y$35,24,0)</f>
        <v>4036</v>
      </c>
      <c r="E7" s="99"/>
      <c r="F7" s="122"/>
      <c r="G7" s="100" t="e">
        <f>VLOOKUP(C7,#REF!,4,0)</f>
        <v>#REF!</v>
      </c>
      <c r="H7" s="100" t="e">
        <f>VLOOKUP(C7,#REF!,5,0)</f>
        <v>#REF!</v>
      </c>
      <c r="I7" s="100" t="e">
        <f>VLOOKUP(C7,#REF!,6,0)</f>
        <v>#REF!</v>
      </c>
      <c r="J7" s="109"/>
      <c r="K7" s="100" t="e">
        <f t="shared" si="0"/>
        <v>#REF!</v>
      </c>
      <c r="L7" s="100">
        <v>13000</v>
      </c>
      <c r="M7" s="100">
        <f t="shared" si="1"/>
        <v>6500</v>
      </c>
      <c r="N7" s="110"/>
      <c r="O7" s="100">
        <f>VLOOKUP(C7,[2]CPD!$B$9:$I$35,8,0)</f>
        <v>0</v>
      </c>
      <c r="P7" s="100" t="e">
        <f t="shared" si="4"/>
        <v>#REF!</v>
      </c>
      <c r="Q7" s="100">
        <f>VLOOKUP(C7,[2]CPD!$B$9:$R$35,17,0)</f>
        <v>0</v>
      </c>
      <c r="R7" s="100">
        <f>VLOOKUP(C7,[2]CPD!$B$9:$Q$35,16,0)</f>
        <v>0</v>
      </c>
      <c r="S7" s="100">
        <f>VLOOKUP(C7,[1]CPD!$B$9:$S$35,18,0)</f>
        <v>0</v>
      </c>
      <c r="T7" s="100">
        <f>VLOOKUP(C7,[2]CPD!$B$9:$T$35,19,0)</f>
        <v>0</v>
      </c>
      <c r="W7" s="100">
        <f>VLOOKUP(C7,[2]CPD!$B$9:$V$35,21,0)</f>
        <v>0</v>
      </c>
      <c r="X7" s="109"/>
      <c r="Y7" s="100" t="e">
        <f t="shared" si="2"/>
        <v>#REF!</v>
      </c>
      <c r="Z7" s="46" t="e">
        <f t="shared" si="3"/>
        <v>#REF!</v>
      </c>
      <c r="AA7" s="46"/>
      <c r="AB7" s="100" t="e">
        <f>VLOOKUP(C7,[1]SINDICATO!$C$7:$Q$141,15,0)</f>
        <v>#N/A</v>
      </c>
    </row>
    <row r="8" spans="1:249" s="100" customFormat="1" x14ac:dyDescent="0.2">
      <c r="A8" s="99" t="s">
        <v>212</v>
      </c>
      <c r="B8" s="99" t="s">
        <v>5</v>
      </c>
      <c r="C8" s="98" t="s">
        <v>319</v>
      </c>
      <c r="D8" s="99">
        <f>VLOOKUP(C8,[2]CPD!$B$9:$Y$35,24,0)</f>
        <v>5074</v>
      </c>
      <c r="E8" s="99"/>
      <c r="F8" s="122"/>
      <c r="G8" s="100" t="e">
        <f>VLOOKUP(C8,#REF!,4,0)</f>
        <v>#REF!</v>
      </c>
      <c r="H8" s="100" t="e">
        <f>VLOOKUP(C8,#REF!,5,0)</f>
        <v>#REF!</v>
      </c>
      <c r="I8" s="100" t="e">
        <f>VLOOKUP(C8,#REF!,6,0)</f>
        <v>#REF!</v>
      </c>
      <c r="J8" s="109"/>
      <c r="K8" s="100" t="e">
        <f t="shared" si="0"/>
        <v>#REF!</v>
      </c>
      <c r="L8" s="100">
        <f>VLOOKUP(C8,[1]ABC!$A$3:$B$88,2,0)</f>
        <v>18500</v>
      </c>
      <c r="M8" s="100">
        <f t="shared" si="1"/>
        <v>9250</v>
      </c>
      <c r="N8" s="110"/>
      <c r="O8" s="100">
        <f>VLOOKUP(C8,[2]CPD!$B$9:$I$35,8,0)</f>
        <v>0</v>
      </c>
      <c r="P8" s="100" t="e">
        <f t="shared" si="4"/>
        <v>#REF!</v>
      </c>
      <c r="Q8" s="100">
        <f>VLOOKUP(C8,[2]CPD!$B$9:$R$35,17,0)</f>
        <v>0</v>
      </c>
      <c r="R8" s="100">
        <f>VLOOKUP(C8,[2]CPD!$B$9:$Q$35,16,0)</f>
        <v>0</v>
      </c>
      <c r="S8" s="100">
        <f>VLOOKUP(C8,[1]CPD!$B$9:$S$35,18,0)</f>
        <v>0</v>
      </c>
      <c r="T8" s="100">
        <f>VLOOKUP(C8,[2]CPD!$B$9:$T$35,19,0)</f>
        <v>0</v>
      </c>
      <c r="W8" s="100">
        <f>VLOOKUP(C8,[2]CPD!$B$9:$V$35,21,0)</f>
        <v>0</v>
      </c>
      <c r="X8" s="109"/>
      <c r="Y8" s="100" t="e">
        <f t="shared" si="2"/>
        <v>#REF!</v>
      </c>
      <c r="Z8" s="46" t="e">
        <f t="shared" si="3"/>
        <v>#REF!</v>
      </c>
      <c r="AA8" s="46"/>
      <c r="AB8" s="100" t="e">
        <f>VLOOKUP(C8,[1]SINDICATO!$C$7:$Q$141,15,0)</f>
        <v>#N/A</v>
      </c>
    </row>
    <row r="9" spans="1:249" s="100" customFormat="1" x14ac:dyDescent="0.2">
      <c r="A9" s="99" t="s">
        <v>15</v>
      </c>
      <c r="B9" s="99" t="s">
        <v>5</v>
      </c>
      <c r="C9" s="98" t="s">
        <v>320</v>
      </c>
      <c r="D9" s="99">
        <f>VLOOKUP(C9,[2]CPD!$B$9:$Y$35,24,0)</f>
        <v>4899.6000000000004</v>
      </c>
      <c r="E9" s="99"/>
      <c r="F9" s="122"/>
      <c r="G9" s="100" t="e">
        <f>VLOOKUP(C9,#REF!,4,0)</f>
        <v>#REF!</v>
      </c>
      <c r="H9" s="100" t="e">
        <f>VLOOKUP(C9,#REF!,5,0)</f>
        <v>#REF!</v>
      </c>
      <c r="I9" s="100" t="e">
        <f>VLOOKUP(C9,#REF!,6,0)</f>
        <v>#REF!</v>
      </c>
      <c r="J9" s="109"/>
      <c r="K9" s="100" t="e">
        <f t="shared" si="0"/>
        <v>#REF!</v>
      </c>
      <c r="L9" s="100">
        <f>VLOOKUP(C9,[1]ABC!$A$3:$B$88,2,0)</f>
        <v>15000</v>
      </c>
      <c r="M9" s="100">
        <f t="shared" si="1"/>
        <v>7500</v>
      </c>
      <c r="N9" s="110"/>
      <c r="O9" s="100">
        <f>VLOOKUP(C9,[2]CPD!$B$9:$I$35,8,0)</f>
        <v>0</v>
      </c>
      <c r="P9" s="100" t="e">
        <f t="shared" si="4"/>
        <v>#REF!</v>
      </c>
      <c r="Q9" s="100">
        <f>VLOOKUP(C9,[2]CPD!$B$9:$R$35,17,0)</f>
        <v>0</v>
      </c>
      <c r="R9" s="100">
        <f>VLOOKUP(C9,[2]CPD!$B$9:$Q$35,16,0)</f>
        <v>0</v>
      </c>
      <c r="S9" s="100">
        <f>VLOOKUP(C9,[1]CPD!$B$9:$S$35,18,0)</f>
        <v>0</v>
      </c>
      <c r="T9" s="100">
        <f>VLOOKUP(C9,[2]CPD!$B$9:$T$35,19,0)</f>
        <v>0</v>
      </c>
      <c r="W9" s="100">
        <f>VLOOKUP(C9,[2]CPD!$B$9:$V$35,21,0)</f>
        <v>0</v>
      </c>
      <c r="X9" s="109"/>
      <c r="Y9" s="100" t="e">
        <f t="shared" si="2"/>
        <v>#REF!</v>
      </c>
      <c r="Z9" s="46" t="e">
        <f t="shared" si="3"/>
        <v>#REF!</v>
      </c>
      <c r="AA9" s="46"/>
      <c r="AB9" s="100" t="e">
        <f>VLOOKUP(C9,[1]SINDICATO!$C$7:$Q$141,15,0)</f>
        <v>#N/A</v>
      </c>
    </row>
    <row r="10" spans="1:249" s="100" customFormat="1" x14ac:dyDescent="0.2">
      <c r="A10" s="99" t="s">
        <v>17</v>
      </c>
      <c r="B10" s="99" t="s">
        <v>5</v>
      </c>
      <c r="C10" s="98" t="s">
        <v>321</v>
      </c>
      <c r="D10" s="99">
        <f>VLOOKUP(C10,[2]CPD!$B$9:$Y$35,24,0)</f>
        <v>1927.6</v>
      </c>
      <c r="E10" s="99"/>
      <c r="F10" s="122"/>
      <c r="G10" s="100" t="e">
        <f>VLOOKUP(C10,#REF!,4,0)</f>
        <v>#REF!</v>
      </c>
      <c r="H10" s="100" t="e">
        <f>VLOOKUP(C10,#REF!,5,0)</f>
        <v>#REF!</v>
      </c>
      <c r="I10" s="100" t="e">
        <f>VLOOKUP(C10,#REF!,6,0)</f>
        <v>#REF!</v>
      </c>
      <c r="J10" s="109"/>
      <c r="K10" s="100" t="e">
        <f t="shared" si="0"/>
        <v>#REF!</v>
      </c>
      <c r="L10" s="100">
        <f>VLOOKUP(C10,[1]ABC!$A$3:$B$88,2,0)</f>
        <v>10150</v>
      </c>
      <c r="M10" s="100">
        <f t="shared" si="1"/>
        <v>5075</v>
      </c>
      <c r="N10" s="110"/>
      <c r="O10" s="100">
        <f>VLOOKUP(C10,[2]CPD!$B$9:$I$35,8,0)</f>
        <v>0</v>
      </c>
      <c r="P10" s="100" t="e">
        <f t="shared" si="4"/>
        <v>#REF!</v>
      </c>
      <c r="Q10" s="100">
        <f>VLOOKUP(C10,[2]CPD!$B$9:$R$35,17,0)</f>
        <v>1574.29</v>
      </c>
      <c r="R10" s="100">
        <f>VLOOKUP(C10,[2]CPD!$B$9:$Q$35,16,0)</f>
        <v>0</v>
      </c>
      <c r="S10" s="100">
        <f>VLOOKUP(C10,[1]CPD!$B$9:$S$35,18,0)</f>
        <v>0</v>
      </c>
      <c r="T10" s="100">
        <f>VLOOKUP(C10,[2]CPD!$B$9:$T$35,19,0)</f>
        <v>15</v>
      </c>
      <c r="W10" s="100">
        <f>VLOOKUP(C10,[2]CPD!$B$9:$V$35,21,0)</f>
        <v>0</v>
      </c>
      <c r="X10" s="109"/>
      <c r="Y10" s="100" t="e">
        <f t="shared" si="2"/>
        <v>#REF!</v>
      </c>
      <c r="Z10" s="46" t="e">
        <f t="shared" si="3"/>
        <v>#REF!</v>
      </c>
      <c r="AA10" s="46"/>
      <c r="AB10" s="100" t="e">
        <f>VLOOKUP(C10,[1]SINDICATO!$C$7:$Q$141,15,0)</f>
        <v>#N/A</v>
      </c>
    </row>
    <row r="11" spans="1:249" s="100" customFormat="1" x14ac:dyDescent="0.2">
      <c r="A11" s="99" t="s">
        <v>19</v>
      </c>
      <c r="B11" s="99" t="s">
        <v>5</v>
      </c>
      <c r="C11" s="98" t="s">
        <v>322</v>
      </c>
      <c r="D11" s="99">
        <f>VLOOKUP(C11,[2]CPD!$B$9:$Y$35,24,0)</f>
        <v>4899.8</v>
      </c>
      <c r="E11" s="99"/>
      <c r="F11" s="122"/>
      <c r="G11" s="100" t="e">
        <f>VLOOKUP(C11,#REF!,4,0)</f>
        <v>#REF!</v>
      </c>
      <c r="H11" s="100" t="e">
        <f>VLOOKUP(C11,#REF!,5,0)</f>
        <v>#REF!</v>
      </c>
      <c r="I11" s="100" t="e">
        <f>VLOOKUP(C11,#REF!,6,0)</f>
        <v>#REF!</v>
      </c>
      <c r="J11" s="109"/>
      <c r="K11" s="100" t="e">
        <f t="shared" si="0"/>
        <v>#REF!</v>
      </c>
      <c r="L11" s="100">
        <f>VLOOKUP(C11,[1]ABC!$A$3:$B$88,2,0)</f>
        <v>15000</v>
      </c>
      <c r="M11" s="100">
        <f t="shared" si="1"/>
        <v>7500</v>
      </c>
      <c r="N11" s="110"/>
      <c r="O11" s="100">
        <f>VLOOKUP(C11,[2]CPD!$B$9:$I$35,8,0)</f>
        <v>0</v>
      </c>
      <c r="P11" s="100" t="e">
        <f t="shared" si="4"/>
        <v>#REF!</v>
      </c>
      <c r="Q11" s="100">
        <f>VLOOKUP(C11,[2]CPD!$B$9:$R$35,17,0)</f>
        <v>0</v>
      </c>
      <c r="R11" s="100">
        <f>VLOOKUP(C11,[2]CPD!$B$9:$Q$35,16,0)</f>
        <v>0</v>
      </c>
      <c r="S11" s="100">
        <f>VLOOKUP(C11,[1]CPD!$B$9:$S$35,18,0)</f>
        <v>0</v>
      </c>
      <c r="T11" s="100">
        <f>VLOOKUP(C11,[2]CPD!$B$9:$T$35,19,0)</f>
        <v>0</v>
      </c>
      <c r="W11" s="100">
        <f>VLOOKUP(C11,[2]CPD!$B$9:$V$35,21,0)</f>
        <v>0</v>
      </c>
      <c r="X11" s="109"/>
      <c r="Y11" s="100" t="e">
        <f t="shared" si="2"/>
        <v>#REF!</v>
      </c>
      <c r="Z11" s="46" t="e">
        <f t="shared" si="3"/>
        <v>#REF!</v>
      </c>
      <c r="AA11" s="46"/>
      <c r="AB11" s="100" t="e">
        <f>VLOOKUP(C11,[1]SINDICATO!$C$7:$Q$141,15,0)</f>
        <v>#N/A</v>
      </c>
    </row>
    <row r="12" spans="1:249" s="100" customFormat="1" x14ac:dyDescent="0.2">
      <c r="A12" s="99" t="s">
        <v>21</v>
      </c>
      <c r="B12" s="99" t="s">
        <v>5</v>
      </c>
      <c r="C12" s="98" t="s">
        <v>323</v>
      </c>
      <c r="D12" s="99">
        <f>VLOOKUP(C12,[2]CPD!$B$9:$Y$35,24,0)</f>
        <v>1675.4</v>
      </c>
      <c r="E12" s="99"/>
      <c r="F12" s="122"/>
      <c r="G12" s="100" t="e">
        <f>VLOOKUP(C12,#REF!,4,0)</f>
        <v>#REF!</v>
      </c>
      <c r="H12" s="100" t="e">
        <f>VLOOKUP(C12,#REF!,5,0)</f>
        <v>#REF!</v>
      </c>
      <c r="I12" s="100" t="e">
        <f>VLOOKUP(C12,#REF!,6,0)</f>
        <v>#REF!</v>
      </c>
      <c r="J12" s="109"/>
      <c r="K12" s="100" t="e">
        <f t="shared" si="0"/>
        <v>#REF!</v>
      </c>
      <c r="L12" s="100">
        <f>VLOOKUP(C12,[1]ABC!$A$3:$B$88,2,0)</f>
        <v>10150</v>
      </c>
      <c r="M12" s="100">
        <f t="shared" si="1"/>
        <v>5075</v>
      </c>
      <c r="N12" s="110"/>
      <c r="O12" s="100">
        <f>VLOOKUP(C12,[2]CPD!$B$9:$I$35,8,0)</f>
        <v>0</v>
      </c>
      <c r="P12" s="100" t="e">
        <f t="shared" si="4"/>
        <v>#REF!</v>
      </c>
      <c r="Q12" s="100">
        <f>VLOOKUP(C12,[2]CPD!$B$9:$R$35,17,0)</f>
        <v>1826.51</v>
      </c>
      <c r="R12" s="100">
        <f>VLOOKUP(C12,[2]CPD!$B$9:$Q$35,16,0)</f>
        <v>0</v>
      </c>
      <c r="S12" s="100">
        <f>VLOOKUP(C12,[1]CPD!$B$9:$S$35,18,0)</f>
        <v>0</v>
      </c>
      <c r="T12" s="100">
        <f>VLOOKUP(C12,[2]CPD!$B$9:$T$35,19,0)</f>
        <v>15</v>
      </c>
      <c r="W12" s="100">
        <f>VLOOKUP(C12,[2]CPD!$B$9:$V$35,21,0)</f>
        <v>0</v>
      </c>
      <c r="X12" s="109"/>
      <c r="Y12" s="100" t="e">
        <f t="shared" si="2"/>
        <v>#REF!</v>
      </c>
      <c r="Z12" s="46" t="e">
        <f t="shared" si="3"/>
        <v>#REF!</v>
      </c>
      <c r="AA12" s="46"/>
      <c r="AB12" s="100" t="e">
        <f>VLOOKUP(C12,[1]SINDICATO!$C$7:$Q$141,15,0)</f>
        <v>#N/A</v>
      </c>
    </row>
    <row r="13" spans="1:249" s="100" customFormat="1" x14ac:dyDescent="0.2">
      <c r="A13" s="99" t="s">
        <v>23</v>
      </c>
      <c r="B13" s="99" t="s">
        <v>5</v>
      </c>
      <c r="C13" s="98" t="s">
        <v>324</v>
      </c>
      <c r="D13" s="99">
        <f>VLOOKUP(C13,[2]CPD!$B$9:$Y$35,24,0)</f>
        <v>3336.6</v>
      </c>
      <c r="E13" s="99"/>
      <c r="F13" s="122"/>
      <c r="G13" s="100" t="e">
        <f>VLOOKUP(C13,#REF!,4,0)</f>
        <v>#REF!</v>
      </c>
      <c r="H13" s="100" t="e">
        <f>VLOOKUP(C13,#REF!,5,0)</f>
        <v>#REF!</v>
      </c>
      <c r="I13" s="100" t="e">
        <f>VLOOKUP(C13,#REF!,6,0)</f>
        <v>#REF!</v>
      </c>
      <c r="J13" s="109"/>
      <c r="K13" s="100" t="e">
        <f t="shared" si="0"/>
        <v>#REF!</v>
      </c>
      <c r="L13" s="100">
        <f>VLOOKUP(C13,[1]ABC!$A$3:$B$88,2,0)</f>
        <v>12000</v>
      </c>
      <c r="M13" s="100">
        <f t="shared" si="1"/>
        <v>6000</v>
      </c>
      <c r="N13" s="110"/>
      <c r="O13" s="100">
        <f>VLOOKUP(C13,[2]CPD!$B$9:$I$35,8,0)</f>
        <v>0</v>
      </c>
      <c r="P13" s="100" t="e">
        <f t="shared" si="4"/>
        <v>#REF!</v>
      </c>
      <c r="Q13" s="100">
        <f>VLOOKUP(C13,[2]CPD!$B$9:$R$35,17,0)</f>
        <v>757.32</v>
      </c>
      <c r="R13" s="100">
        <f>VLOOKUP(C13,[2]CPD!$B$9:$Q$35,16,0)</f>
        <v>0</v>
      </c>
      <c r="S13" s="100">
        <f>VLOOKUP(C13,[1]CPD!$B$9:$S$35,18,0)</f>
        <v>0</v>
      </c>
      <c r="T13" s="100">
        <f>VLOOKUP(C13,[2]CPD!$B$9:$T$35,19,0)</f>
        <v>15</v>
      </c>
      <c r="W13" s="100">
        <f>VLOOKUP(C13,[2]CPD!$B$9:$V$35,21,0)</f>
        <v>0</v>
      </c>
      <c r="X13" s="109"/>
      <c r="Y13" s="100" t="e">
        <f t="shared" si="2"/>
        <v>#REF!</v>
      </c>
      <c r="Z13" s="46" t="e">
        <f t="shared" si="3"/>
        <v>#REF!</v>
      </c>
      <c r="AA13" s="46"/>
      <c r="AB13" s="100" t="e">
        <f>VLOOKUP(C13,[1]SINDICATO!$C$7:$Q$141,15,0)</f>
        <v>#N/A</v>
      </c>
    </row>
    <row r="14" spans="1:249" s="46" customFormat="1" x14ac:dyDescent="0.2">
      <c r="A14" s="102" t="s">
        <v>25</v>
      </c>
      <c r="B14" s="102" t="s">
        <v>5</v>
      </c>
      <c r="C14" s="101" t="s">
        <v>325</v>
      </c>
      <c r="D14" s="99">
        <f>VLOOKUP(C14,[2]CPD!$B$9:$Y$35,24,0)</f>
        <v>3060</v>
      </c>
      <c r="E14" s="102"/>
      <c r="F14" s="122"/>
      <c r="G14" s="100" t="e">
        <f>VLOOKUP(C14,#REF!,4,0)</f>
        <v>#REF!</v>
      </c>
      <c r="H14" s="100" t="e">
        <f>VLOOKUP(C14,#REF!,5,0)</f>
        <v>#REF!</v>
      </c>
      <c r="I14" s="100" t="e">
        <f>VLOOKUP(C14,#REF!,6,0)</f>
        <v>#REF!</v>
      </c>
      <c r="J14" s="109"/>
      <c r="K14" s="100" t="e">
        <f t="shared" si="0"/>
        <v>#REF!</v>
      </c>
      <c r="L14" s="46">
        <v>15000</v>
      </c>
      <c r="M14" s="46">
        <f t="shared" si="1"/>
        <v>7500</v>
      </c>
      <c r="N14" s="110"/>
      <c r="O14" s="100">
        <f>VLOOKUP(C14,[2]CPD!$B$9:$I$35,8,0)</f>
        <v>0</v>
      </c>
      <c r="P14" s="100" t="e">
        <f t="shared" si="4"/>
        <v>#REF!</v>
      </c>
      <c r="Q14" s="100">
        <f>VLOOKUP(C14,[2]CPD!$B$9:$R$35,17,0)</f>
        <v>1674</v>
      </c>
      <c r="R14" s="100">
        <f>VLOOKUP(C14,[2]CPD!$B$9:$Q$35,16,0)</f>
        <v>0</v>
      </c>
      <c r="S14" s="100">
        <f>VLOOKUP(C14,[1]CPD!$B$9:$S$35,18,0)</f>
        <v>0</v>
      </c>
      <c r="T14" s="100">
        <f>VLOOKUP(C14,[2]CPD!$B$9:$T$35,19,0)</f>
        <v>15</v>
      </c>
      <c r="U14" s="100"/>
      <c r="V14" s="100"/>
      <c r="W14" s="100">
        <f>VLOOKUP(C14,[2]CPD!$B$9:$V$35,21,0)</f>
        <v>0</v>
      </c>
      <c r="X14" s="109"/>
      <c r="Y14" s="100" t="e">
        <f t="shared" si="2"/>
        <v>#REF!</v>
      </c>
      <c r="Z14" s="46" t="e">
        <f t="shared" si="3"/>
        <v>#REF!</v>
      </c>
      <c r="AB14" s="100" t="e">
        <f>VLOOKUP(C14,[1]SINDICATO!$C$7:$Q$141,15,0)</f>
        <v>#N/A</v>
      </c>
    </row>
    <row r="15" spans="1:249" s="100" customFormat="1" x14ac:dyDescent="0.2">
      <c r="A15" s="99" t="s">
        <v>27</v>
      </c>
      <c r="B15" s="99" t="s">
        <v>5</v>
      </c>
      <c r="C15" s="98" t="s">
        <v>326</v>
      </c>
      <c r="D15" s="99">
        <f>VLOOKUP(C15,[2]CPD!$B$9:$Y$35,24,0)</f>
        <v>2967.4</v>
      </c>
      <c r="E15" s="99"/>
      <c r="F15" s="122"/>
      <c r="G15" s="100" t="e">
        <f>VLOOKUP(C15,#REF!,4,0)</f>
        <v>#REF!</v>
      </c>
      <c r="H15" s="100" t="e">
        <f>VLOOKUP(C15,#REF!,5,0)</f>
        <v>#REF!</v>
      </c>
      <c r="I15" s="100" t="e">
        <f>VLOOKUP(C15,#REF!,6,0)</f>
        <v>#REF!</v>
      </c>
      <c r="J15" s="109"/>
      <c r="K15" s="100" t="e">
        <f t="shared" si="0"/>
        <v>#REF!</v>
      </c>
      <c r="L15" s="100">
        <f>VLOOKUP(C15,[1]ABC!$A$3:$B$88,2,0)</f>
        <v>13000</v>
      </c>
      <c r="M15" s="100">
        <f t="shared" si="1"/>
        <v>6500</v>
      </c>
      <c r="N15" s="110"/>
      <c r="O15" s="100">
        <f>VLOOKUP(C15,[2]CPD!$B$9:$I$35,8,0)</f>
        <v>285.99</v>
      </c>
      <c r="P15" s="100" t="e">
        <f t="shared" si="4"/>
        <v>#REF!</v>
      </c>
      <c r="Q15" s="100">
        <f>VLOOKUP(C15,[2]CPD!$B$9:$R$35,17,0)</f>
        <v>1432.4</v>
      </c>
      <c r="R15" s="100">
        <f>VLOOKUP(C15,[2]CPD!$B$9:$Q$35,16,0)</f>
        <v>0</v>
      </c>
      <c r="S15" s="100">
        <f>VLOOKUP(C15,[1]CPD!$B$9:$S$35,18,0)</f>
        <v>0</v>
      </c>
      <c r="T15" s="100">
        <f>VLOOKUP(C15,[2]CPD!$B$9:$T$35,19,0)</f>
        <v>15</v>
      </c>
      <c r="W15" s="100">
        <f>VLOOKUP(C15,[2]CPD!$B$9:$V$35,21,0)</f>
        <v>268.35000000000002</v>
      </c>
      <c r="X15" s="109"/>
      <c r="Y15" s="100" t="e">
        <f t="shared" si="2"/>
        <v>#REF!</v>
      </c>
      <c r="Z15" s="46" t="e">
        <f t="shared" si="3"/>
        <v>#REF!</v>
      </c>
      <c r="AA15" s="46"/>
      <c r="AB15" s="100" t="e">
        <f>VLOOKUP(C15,[1]SINDICATO!$C$7:$Q$141,15,0)</f>
        <v>#N/A</v>
      </c>
    </row>
    <row r="16" spans="1:249" s="100" customFormat="1" x14ac:dyDescent="0.2">
      <c r="A16" s="99" t="s">
        <v>218</v>
      </c>
      <c r="B16" s="99" t="s">
        <v>5</v>
      </c>
      <c r="C16" s="98" t="s">
        <v>568</v>
      </c>
      <c r="D16" s="99">
        <f>VLOOKUP(C16,[2]CPD!$B$9:$Y$35,24,0)</f>
        <v>4635.3999999999996</v>
      </c>
      <c r="E16" s="99"/>
      <c r="F16" s="122"/>
      <c r="G16" s="100" t="e">
        <f>VLOOKUP(C16,#REF!,4,0)</f>
        <v>#REF!</v>
      </c>
      <c r="H16" s="100" t="e">
        <f>VLOOKUP(C16,#REF!,5,0)</f>
        <v>#REF!</v>
      </c>
      <c r="I16" s="100" t="e">
        <f>VLOOKUP(C16,#REF!,6,0)</f>
        <v>#REF!</v>
      </c>
      <c r="J16" s="109">
        <v>0</v>
      </c>
      <c r="K16" s="100" t="e">
        <f t="shared" si="0"/>
        <v>#REF!</v>
      </c>
      <c r="L16" s="100">
        <v>13000</v>
      </c>
      <c r="M16" s="100">
        <f t="shared" si="1"/>
        <v>6500</v>
      </c>
      <c r="N16" s="110"/>
      <c r="O16" s="100">
        <f>VLOOKUP(C16,[2]CPD!$B$9:$I$35,8,0)</f>
        <v>786.49</v>
      </c>
      <c r="P16" s="100" t="e">
        <f t="shared" si="4"/>
        <v>#REF!</v>
      </c>
      <c r="Q16" s="100">
        <f>VLOOKUP(C16,[2]CPD!$B$9:$R$35,17,0)</f>
        <v>0</v>
      </c>
      <c r="R16" s="100">
        <f>VLOOKUP(C16,[2]CPD!$B$9:$Q$35,16,0)</f>
        <v>533.16</v>
      </c>
      <c r="S16" s="100">
        <f>VLOOKUP(C16,[1]CPD!$B$9:$S$35,18,0)</f>
        <v>0</v>
      </c>
      <c r="T16" s="100">
        <f>VLOOKUP(C16,[2]CPD!$B$9:$T$35,19,0)</f>
        <v>15</v>
      </c>
      <c r="W16" s="100">
        <f>VLOOKUP(C16,[2]CPD!$B$9:$V$35,21,0)</f>
        <v>0</v>
      </c>
      <c r="X16" s="109">
        <v>0</v>
      </c>
      <c r="Y16" s="100" t="e">
        <f t="shared" si="2"/>
        <v>#REF!</v>
      </c>
      <c r="Z16" s="46" t="e">
        <f t="shared" si="3"/>
        <v>#REF!</v>
      </c>
      <c r="AA16" s="111"/>
      <c r="AB16" s="100">
        <f>VLOOKUP(C16,[1]SINDICATO!$C$7:$Q$141,15,0)</f>
        <v>0</v>
      </c>
    </row>
    <row r="17" spans="1:28" s="100" customFormat="1" x14ac:dyDescent="0.2">
      <c r="A17" s="99" t="s">
        <v>31</v>
      </c>
      <c r="B17" s="99" t="s">
        <v>5</v>
      </c>
      <c r="C17" s="101" t="s">
        <v>132</v>
      </c>
      <c r="D17" s="99">
        <f>VLOOKUP(C17,[2]CPD!$B$9:$Y$35,24,0)</f>
        <v>4899.8</v>
      </c>
      <c r="E17" s="99"/>
      <c r="F17" s="123"/>
      <c r="G17" s="100" t="e">
        <f>VLOOKUP(C17,#REF!,4,0)</f>
        <v>#REF!</v>
      </c>
      <c r="H17" s="100" t="e">
        <f>VLOOKUP(C17,#REF!,5,0)</f>
        <v>#REF!</v>
      </c>
      <c r="I17" s="100" t="e">
        <f>VLOOKUP(C17,#REF!,6,0)</f>
        <v>#REF!</v>
      </c>
      <c r="J17" s="109"/>
      <c r="K17" s="100" t="e">
        <f t="shared" si="0"/>
        <v>#REF!</v>
      </c>
      <c r="L17" s="100">
        <f>VLOOKUP(C17,[1]ABC!$A$3:$B$88,2,0)</f>
        <v>15000</v>
      </c>
      <c r="M17" s="100">
        <f t="shared" si="1"/>
        <v>7500</v>
      </c>
      <c r="N17" s="110"/>
      <c r="O17" s="100">
        <f>VLOOKUP(C17,[2]CPD!$B$9:$I$35,8,0)</f>
        <v>0</v>
      </c>
      <c r="P17" s="100" t="e">
        <f t="shared" si="4"/>
        <v>#REF!</v>
      </c>
      <c r="Q17" s="100">
        <f>VLOOKUP(C17,[2]CPD!$B$9:$R$35,17,0)</f>
        <v>0</v>
      </c>
      <c r="R17" s="100">
        <f>VLOOKUP(C17,[2]CPD!$B$9:$Q$35,16,0)</f>
        <v>0</v>
      </c>
      <c r="S17" s="100">
        <f>VLOOKUP(C17,[1]CPD!$B$9:$S$35,18,0)</f>
        <v>0</v>
      </c>
      <c r="T17" s="100">
        <f>VLOOKUP(C17,[2]CPD!$B$9:$T$35,19,0)</f>
        <v>0</v>
      </c>
      <c r="W17" s="100">
        <f>VLOOKUP(C17,[2]CPD!$B$9:$V$35,21,0)</f>
        <v>0</v>
      </c>
      <c r="X17" s="109"/>
      <c r="Y17" s="100" t="e">
        <f t="shared" si="2"/>
        <v>#REF!</v>
      </c>
      <c r="Z17" s="46" t="e">
        <f t="shared" si="3"/>
        <v>#REF!</v>
      </c>
      <c r="AA17" s="46"/>
      <c r="AB17" s="100" t="e">
        <f>VLOOKUP(C17,[1]SINDICATO!$C$7:$Q$141,15,0)</f>
        <v>#N/A</v>
      </c>
    </row>
    <row r="18" spans="1:28" s="100" customFormat="1" x14ac:dyDescent="0.2">
      <c r="A18" s="99" t="s">
        <v>222</v>
      </c>
      <c r="B18" s="99" t="s">
        <v>5</v>
      </c>
      <c r="C18" s="98" t="s">
        <v>329</v>
      </c>
      <c r="D18" s="99">
        <f>VLOOKUP(C18,[2]CPD!$B$9:$Y$35,24,0)</f>
        <v>5056.2</v>
      </c>
      <c r="E18" s="99"/>
      <c r="F18" s="123"/>
      <c r="G18" s="100" t="e">
        <f>VLOOKUP(C18,#REF!,4,0)</f>
        <v>#REF!</v>
      </c>
      <c r="H18" s="100" t="e">
        <f>VLOOKUP(C18,#REF!,5,0)</f>
        <v>#REF!</v>
      </c>
      <c r="I18" s="100" t="e">
        <f>VLOOKUP(C18,#REF!,6,0)</f>
        <v>#REF!</v>
      </c>
      <c r="J18" s="109"/>
      <c r="K18" s="100" t="e">
        <f t="shared" si="0"/>
        <v>#REF!</v>
      </c>
      <c r="L18" s="100">
        <v>25000</v>
      </c>
      <c r="M18" s="100">
        <f t="shared" si="1"/>
        <v>12500</v>
      </c>
      <c r="N18" s="110"/>
      <c r="O18" s="100">
        <f>VLOOKUP(C18,[2]CPD!$B$9:$I$35,8,0)</f>
        <v>0</v>
      </c>
      <c r="P18" s="100" t="e">
        <f t="shared" si="4"/>
        <v>#REF!</v>
      </c>
      <c r="Q18" s="100">
        <f>VLOOKUP(C18,[2]CPD!$B$9:$R$35,17,0)</f>
        <v>419.76</v>
      </c>
      <c r="R18" s="100">
        <f>VLOOKUP(C18,[2]CPD!$B$9:$Q$35,16,0)</f>
        <v>0</v>
      </c>
      <c r="S18" s="100">
        <f>VLOOKUP(C18,[1]CPD!$B$9:$S$35,18,0)</f>
        <v>0</v>
      </c>
      <c r="T18" s="100">
        <f>VLOOKUP(C18,[2]CPD!$B$9:$T$35,19,0)</f>
        <v>15</v>
      </c>
      <c r="W18" s="100">
        <f>VLOOKUP(C18,[2]CPD!$B$9:$V$35,21,0)</f>
        <v>0</v>
      </c>
      <c r="X18" s="109"/>
      <c r="Y18" s="100" t="e">
        <f t="shared" si="2"/>
        <v>#REF!</v>
      </c>
      <c r="Z18" s="46" t="e">
        <f t="shared" si="3"/>
        <v>#REF!</v>
      </c>
      <c r="AA18" s="46"/>
      <c r="AB18" s="100">
        <f>VLOOKUP(C18,[1]SINDICATO!$C$7:$Q$141,15,0)</f>
        <v>0</v>
      </c>
    </row>
    <row r="19" spans="1:28" s="100" customFormat="1" x14ac:dyDescent="0.2">
      <c r="A19" s="99" t="s">
        <v>35</v>
      </c>
      <c r="B19" s="99" t="s">
        <v>5</v>
      </c>
      <c r="C19" s="98" t="s">
        <v>330</v>
      </c>
      <c r="D19" s="99">
        <f>VLOOKUP(C19,[2]CPD!$B$9:$Y$35,24,0)</f>
        <v>1332.2</v>
      </c>
      <c r="E19" s="99"/>
      <c r="F19" s="123"/>
      <c r="G19" s="100" t="e">
        <f>VLOOKUP(C19,#REF!,4,0)</f>
        <v>#REF!</v>
      </c>
      <c r="H19" s="100" t="e">
        <f>VLOOKUP(C19,#REF!,5,0)</f>
        <v>#REF!</v>
      </c>
      <c r="I19" s="100" t="e">
        <f>VLOOKUP(C19,#REF!,6,0)</f>
        <v>#REF!</v>
      </c>
      <c r="J19" s="109"/>
      <c r="K19" s="100" t="e">
        <f t="shared" si="0"/>
        <v>#REF!</v>
      </c>
      <c r="L19" s="100">
        <f>VLOOKUP(C19,[1]ABC!$A$3:$B$88,2,0)</f>
        <v>10000</v>
      </c>
      <c r="M19" s="100">
        <f t="shared" si="1"/>
        <v>5000</v>
      </c>
      <c r="N19" s="110"/>
      <c r="O19" s="100">
        <f>VLOOKUP(C19,[2]CPD!$B$9:$I$35,8,0)</f>
        <v>0</v>
      </c>
      <c r="P19" s="100" t="e">
        <f t="shared" si="4"/>
        <v>#REF!</v>
      </c>
      <c r="Q19" s="100">
        <f>VLOOKUP(C19,[2]CPD!$B$9:$R$35,17,0)</f>
        <v>2169.67</v>
      </c>
      <c r="R19" s="100">
        <f>VLOOKUP(C19,[2]CPD!$B$9:$Q$35,16,0)</f>
        <v>0</v>
      </c>
      <c r="S19" s="100">
        <f>VLOOKUP(C19,[1]CPD!$B$9:$S$35,18,0)</f>
        <v>0</v>
      </c>
      <c r="T19" s="100">
        <f>VLOOKUP(C19,[2]CPD!$B$9:$T$35,19,0)</f>
        <v>15</v>
      </c>
      <c r="W19" s="100">
        <f>VLOOKUP(C19,[2]CPD!$B$9:$V$35,21,0)</f>
        <v>0</v>
      </c>
      <c r="X19" s="109"/>
      <c r="Y19" s="100" t="e">
        <f t="shared" si="2"/>
        <v>#REF!</v>
      </c>
      <c r="Z19" s="46" t="e">
        <f t="shared" si="3"/>
        <v>#REF!</v>
      </c>
      <c r="AA19" s="46"/>
      <c r="AB19" s="100" t="e">
        <f>VLOOKUP(C19,[1]SINDICATO!$C$7:$Q$141,15,0)</f>
        <v>#N/A</v>
      </c>
    </row>
    <row r="20" spans="1:28" s="100" customFormat="1" x14ac:dyDescent="0.2">
      <c r="A20" s="99" t="s">
        <v>223</v>
      </c>
      <c r="B20" s="99" t="s">
        <v>5</v>
      </c>
      <c r="C20" s="98" t="s">
        <v>331</v>
      </c>
      <c r="D20" s="99">
        <f>VLOOKUP(C20,[2]CPD!$B$9:$Y$35,24,0)</f>
        <v>16969.2</v>
      </c>
      <c r="E20" s="99"/>
      <c r="F20" s="123"/>
      <c r="G20" s="100" t="e">
        <f>VLOOKUP(C20,#REF!,4,0)</f>
        <v>#REF!</v>
      </c>
      <c r="H20" s="100" t="e">
        <f>VLOOKUP(C20,#REF!,5,0)</f>
        <v>#REF!</v>
      </c>
      <c r="I20" s="100" t="e">
        <f>VLOOKUP(C20,#REF!,6,0)</f>
        <v>#REF!</v>
      </c>
      <c r="J20" s="109"/>
      <c r="K20" s="100" t="e">
        <f t="shared" si="0"/>
        <v>#REF!</v>
      </c>
      <c r="L20" s="100">
        <v>60000</v>
      </c>
      <c r="M20" s="100">
        <f t="shared" si="1"/>
        <v>30000</v>
      </c>
      <c r="N20" s="110"/>
      <c r="O20" s="100">
        <f>VLOOKUP(C20,[2]CPD!$B$9:$I$35,8,0)</f>
        <v>0</v>
      </c>
      <c r="P20" s="100" t="e">
        <f t="shared" si="4"/>
        <v>#REF!</v>
      </c>
      <c r="Q20" s="100">
        <f>VLOOKUP(C20,[2]CPD!$B$9:$R$35,17,0)</f>
        <v>0</v>
      </c>
      <c r="R20" s="100">
        <f>VLOOKUP(C20,[2]CPD!$B$9:$Q$35,16,0)</f>
        <v>0</v>
      </c>
      <c r="S20" s="100">
        <f>VLOOKUP(C20,[1]CPD!$B$9:$S$35,18,0)</f>
        <v>0</v>
      </c>
      <c r="T20" s="100">
        <f>VLOOKUP(C20,[2]CPD!$B$9:$T$35,19,0)</f>
        <v>0</v>
      </c>
      <c r="U20" s="124"/>
      <c r="W20" s="100">
        <f>VLOOKUP(C20,[2]CPD!$B$9:$V$35,21,0)</f>
        <v>417.6</v>
      </c>
      <c r="X20" s="109"/>
      <c r="Y20" s="100" t="e">
        <f t="shared" si="2"/>
        <v>#REF!</v>
      </c>
      <c r="Z20" s="46" t="e">
        <f t="shared" si="3"/>
        <v>#REF!</v>
      </c>
      <c r="AA20" s="46"/>
      <c r="AB20" s="100" t="e">
        <f>VLOOKUP(C20,[1]SINDICATO!$C$7:$Q$141,15,0)</f>
        <v>#N/A</v>
      </c>
    </row>
    <row r="21" spans="1:28" s="100" customFormat="1" x14ac:dyDescent="0.2">
      <c r="A21" s="99" t="s">
        <v>224</v>
      </c>
      <c r="B21" s="99" t="s">
        <v>5</v>
      </c>
      <c r="C21" s="98" t="s">
        <v>332</v>
      </c>
      <c r="D21" s="99">
        <f>VLOOKUP(C21,[2]CPD!$B$9:$Y$35,24,0)</f>
        <v>4241.3999999999996</v>
      </c>
      <c r="E21" s="99"/>
      <c r="F21" s="123"/>
      <c r="G21" s="100" t="e">
        <f>VLOOKUP(C21,#REF!,4,0)</f>
        <v>#REF!</v>
      </c>
      <c r="H21" s="100" t="e">
        <f>VLOOKUP(C21,#REF!,5,0)</f>
        <v>#REF!</v>
      </c>
      <c r="I21" s="100" t="e">
        <f>VLOOKUP(C21,#REF!,6,0)</f>
        <v>#REF!</v>
      </c>
      <c r="J21" s="109"/>
      <c r="K21" s="100" t="e">
        <f t="shared" si="0"/>
        <v>#REF!</v>
      </c>
      <c r="L21" s="100">
        <v>12000</v>
      </c>
      <c r="M21" s="100">
        <f t="shared" si="1"/>
        <v>6000</v>
      </c>
      <c r="N21" s="110"/>
      <c r="O21" s="100">
        <f>VLOOKUP(C21,[2]CPD!$B$9:$I$35,8,0)</f>
        <v>132.5</v>
      </c>
      <c r="P21" s="100" t="e">
        <f t="shared" si="4"/>
        <v>#REF!</v>
      </c>
      <c r="Q21" s="100">
        <f>VLOOKUP(C21,[2]CPD!$B$9:$R$35,17,0)</f>
        <v>0</v>
      </c>
      <c r="R21" s="100">
        <f>VLOOKUP(C21,[2]CPD!$B$9:$Q$35,16,0)</f>
        <v>0</v>
      </c>
      <c r="S21" s="100">
        <f>VLOOKUP(C21,[1]CPD!$B$9:$S$35,18,0)</f>
        <v>0</v>
      </c>
      <c r="T21" s="100">
        <f>VLOOKUP(C21,[2]CPD!$B$9:$T$35,19,0)</f>
        <v>0</v>
      </c>
      <c r="W21" s="100">
        <f>VLOOKUP(C21,[2]CPD!$B$9:$V$35,21,0)</f>
        <v>0</v>
      </c>
      <c r="X21" s="109"/>
      <c r="Y21" s="100" t="e">
        <f t="shared" si="2"/>
        <v>#REF!</v>
      </c>
      <c r="Z21" s="46" t="e">
        <f t="shared" si="3"/>
        <v>#REF!</v>
      </c>
      <c r="AA21" s="46"/>
      <c r="AB21" s="100">
        <f>VLOOKUP(C21,[1]SINDICATO!$C$7:$Q$141,15,0)</f>
        <v>0</v>
      </c>
    </row>
    <row r="22" spans="1:28" s="100" customFormat="1" x14ac:dyDescent="0.2">
      <c r="A22" s="47" t="s">
        <v>389</v>
      </c>
      <c r="B22" s="99" t="s">
        <v>5</v>
      </c>
      <c r="C22" s="47" t="s">
        <v>390</v>
      </c>
      <c r="D22" s="99">
        <f>VLOOKUP(C22,[2]CPD!$B$9:$Y$35,24,0)</f>
        <v>2911.8</v>
      </c>
      <c r="E22" s="99"/>
      <c r="F22" s="123"/>
      <c r="G22" s="100" t="e">
        <f>VLOOKUP(C22,#REF!,4,0)</f>
        <v>#REF!</v>
      </c>
      <c r="H22" s="100" t="e">
        <f>VLOOKUP(C22,#REF!,5,0)</f>
        <v>#REF!</v>
      </c>
      <c r="I22" s="100" t="e">
        <f>VLOOKUP(C22,#REF!,6,0)</f>
        <v>#REF!</v>
      </c>
      <c r="J22" s="109"/>
      <c r="K22" s="100" t="e">
        <f t="shared" si="0"/>
        <v>#REF!</v>
      </c>
      <c r="L22" s="100">
        <f>VLOOKUP(C22,[1]ABC!$A$3:$B$88,2,0)</f>
        <v>9000</v>
      </c>
      <c r="M22" s="100">
        <f t="shared" si="1"/>
        <v>4500</v>
      </c>
      <c r="N22" s="110"/>
      <c r="O22" s="100">
        <f>VLOOKUP(C22,[2]CPD!$B$9:$I$35,8,0)</f>
        <v>0</v>
      </c>
      <c r="P22" s="100" t="e">
        <f t="shared" si="4"/>
        <v>#REF!</v>
      </c>
      <c r="Q22" s="100">
        <f>VLOOKUP(C22,[2]CPD!$B$9:$R$35,17,0)</f>
        <v>0</v>
      </c>
      <c r="R22" s="100">
        <f>VLOOKUP(C22,[2]CPD!$B$9:$Q$35,16,0)</f>
        <v>0</v>
      </c>
      <c r="S22" s="100">
        <f>VLOOKUP(C22,[1]CPD!$B$9:$S$35,18,0)</f>
        <v>0</v>
      </c>
      <c r="T22" s="100">
        <f>VLOOKUP(C22,[2]CPD!$B$9:$T$35,19,0)</f>
        <v>0</v>
      </c>
      <c r="V22" s="124"/>
      <c r="W22" s="100">
        <f>VLOOKUP(C22,[2]CPD!$B$9:$V$35,21,0)</f>
        <v>0</v>
      </c>
      <c r="X22" s="109"/>
      <c r="Y22" s="100" t="e">
        <f t="shared" si="2"/>
        <v>#REF!</v>
      </c>
      <c r="Z22" s="46" t="e">
        <f t="shared" si="3"/>
        <v>#REF!</v>
      </c>
      <c r="AA22" s="46"/>
      <c r="AB22" s="100">
        <f>VLOOKUP(C22,[1]SINDICATO!$C$7:$Q$141,15,0)</f>
        <v>0</v>
      </c>
    </row>
    <row r="23" spans="1:28" s="100" customFormat="1" x14ac:dyDescent="0.2">
      <c r="A23" s="99" t="s">
        <v>39</v>
      </c>
      <c r="B23" s="99" t="s">
        <v>5</v>
      </c>
      <c r="C23" s="98" t="s">
        <v>333</v>
      </c>
      <c r="D23" s="99">
        <f>VLOOKUP(C23,[2]CPD!$B$9:$Y$35,24,0)</f>
        <v>3203.8</v>
      </c>
      <c r="E23" s="99"/>
      <c r="F23" s="123"/>
      <c r="G23" s="100" t="e">
        <f>VLOOKUP(C23,#REF!,4,0)</f>
        <v>#REF!</v>
      </c>
      <c r="H23" s="100" t="e">
        <f>VLOOKUP(C23,#REF!,5,0)</f>
        <v>#REF!</v>
      </c>
      <c r="I23" s="100" t="e">
        <f>VLOOKUP(C23,#REF!,6,0)</f>
        <v>#REF!</v>
      </c>
      <c r="J23" s="109"/>
      <c r="K23" s="100" t="e">
        <f t="shared" si="0"/>
        <v>#REF!</v>
      </c>
      <c r="L23" s="100">
        <f>VLOOKUP(C23,[1]ABC!$A$3:$B$88,2,0)</f>
        <v>10150</v>
      </c>
      <c r="M23" s="100">
        <f t="shared" si="1"/>
        <v>5075</v>
      </c>
      <c r="N23" s="110"/>
      <c r="O23" s="100">
        <f>VLOOKUP(C23,[2]CPD!$B$9:$I$35,8,0)</f>
        <v>0</v>
      </c>
      <c r="P23" s="100" t="e">
        <f t="shared" si="4"/>
        <v>#REF!</v>
      </c>
      <c r="Q23" s="100">
        <f>VLOOKUP(C23,[2]CPD!$B$9:$R$35,17,0)</f>
        <v>0</v>
      </c>
      <c r="R23" s="100">
        <f>VLOOKUP(C23,[2]CPD!$B$9:$Q$35,16,0)</f>
        <v>0</v>
      </c>
      <c r="S23" s="100">
        <f>VLOOKUP(C23,[1]CPD!$B$9:$S$35,18,0)</f>
        <v>0</v>
      </c>
      <c r="T23" s="100">
        <f>VLOOKUP(C23,[2]CPD!$B$9:$T$35,19,0)</f>
        <v>0</v>
      </c>
      <c r="W23" s="100">
        <f>VLOOKUP(C23,[2]CPD!$B$9:$V$35,21,0)</f>
        <v>313.2</v>
      </c>
      <c r="X23" s="109"/>
      <c r="Y23" s="100" t="e">
        <f t="shared" si="2"/>
        <v>#REF!</v>
      </c>
      <c r="Z23" s="46" t="e">
        <f t="shared" si="3"/>
        <v>#REF!</v>
      </c>
      <c r="AA23" s="46"/>
      <c r="AB23" s="100" t="e">
        <f>VLOOKUP(C23,[1]SINDICATO!$C$7:$Q$141,15,0)</f>
        <v>#N/A</v>
      </c>
    </row>
    <row r="24" spans="1:28" s="100" customFormat="1" x14ac:dyDescent="0.2">
      <c r="A24" s="99" t="s">
        <v>41</v>
      </c>
      <c r="B24" s="99" t="s">
        <v>5</v>
      </c>
      <c r="C24" s="98" t="s">
        <v>133</v>
      </c>
      <c r="D24" s="99">
        <f>VLOOKUP(C24,[2]CPD!$B$9:$Y$35,24,0)</f>
        <v>1995.4</v>
      </c>
      <c r="E24" s="99"/>
      <c r="F24" s="123"/>
      <c r="G24" s="100" t="e">
        <f>VLOOKUP(C24,#REF!,4,0)</f>
        <v>#REF!</v>
      </c>
      <c r="H24" s="100" t="e">
        <f>VLOOKUP(C24,#REF!,5,0)</f>
        <v>#REF!</v>
      </c>
      <c r="I24" s="100" t="e">
        <f>VLOOKUP(C24,#REF!,6,0)</f>
        <v>#REF!</v>
      </c>
      <c r="J24" s="109"/>
      <c r="K24" s="100" t="e">
        <f t="shared" si="0"/>
        <v>#REF!</v>
      </c>
      <c r="L24" s="100">
        <f>VLOOKUP(C24,[1]ABC!$A$3:$B$88,2,0)</f>
        <v>10250</v>
      </c>
      <c r="M24" s="100">
        <f t="shared" si="1"/>
        <v>5125</v>
      </c>
      <c r="N24" s="110"/>
      <c r="O24" s="100">
        <f>VLOOKUP(C24,[2]CPD!$B$9:$I$35,8,0)</f>
        <v>0</v>
      </c>
      <c r="P24" s="100" t="e">
        <f t="shared" si="4"/>
        <v>#REF!</v>
      </c>
      <c r="Q24" s="100">
        <f>VLOOKUP(C24,[2]CPD!$B$9:$R$35,17,0)</f>
        <v>1506.5</v>
      </c>
      <c r="R24" s="100">
        <f>VLOOKUP(C24,[2]CPD!$B$9:$Q$35,16,0)</f>
        <v>0</v>
      </c>
      <c r="S24" s="100">
        <f>VLOOKUP(C24,[1]CPD!$B$9:$S$35,18,0)</f>
        <v>0</v>
      </c>
      <c r="T24" s="100">
        <f>VLOOKUP(C24,[2]CPD!$B$9:$T$35,19,0)</f>
        <v>15</v>
      </c>
      <c r="W24" s="100">
        <f>VLOOKUP(C24,[2]CPD!$B$9:$V$35,21,0)</f>
        <v>0</v>
      </c>
      <c r="X24" s="109"/>
      <c r="Y24" s="100" t="e">
        <f t="shared" si="2"/>
        <v>#REF!</v>
      </c>
      <c r="Z24" s="46" t="e">
        <f t="shared" si="3"/>
        <v>#REF!</v>
      </c>
      <c r="AA24" s="46"/>
      <c r="AB24" s="100" t="e">
        <f>VLOOKUP(C24,[1]SINDICATO!$C$7:$Q$141,15,0)</f>
        <v>#N/A</v>
      </c>
    </row>
    <row r="25" spans="1:28" s="46" customFormat="1" x14ac:dyDescent="0.2">
      <c r="A25" s="54" t="s">
        <v>410</v>
      </c>
      <c r="B25" s="102" t="s">
        <v>5</v>
      </c>
      <c r="C25" s="54" t="s">
        <v>368</v>
      </c>
      <c r="D25" s="99">
        <f>VLOOKUP(C25,[2]CPD!$B$9:$Y$35,24,0)</f>
        <v>3196.8</v>
      </c>
      <c r="E25" s="102"/>
      <c r="F25" s="123"/>
      <c r="G25" s="100" t="e">
        <f>VLOOKUP(C25,#REF!,4,0)</f>
        <v>#REF!</v>
      </c>
      <c r="H25" s="100" t="e">
        <f>VLOOKUP(C25,#REF!,5,0)</f>
        <v>#REF!</v>
      </c>
      <c r="I25" s="100" t="e">
        <f>VLOOKUP(C25,#REF!,6,0)</f>
        <v>#REF!</v>
      </c>
      <c r="J25" s="109"/>
      <c r="K25" s="100" t="e">
        <f t="shared" si="0"/>
        <v>#REF!</v>
      </c>
      <c r="L25" s="46">
        <v>40000</v>
      </c>
      <c r="M25" s="46">
        <f t="shared" si="1"/>
        <v>20000</v>
      </c>
      <c r="N25" s="110"/>
      <c r="O25" s="100">
        <f>VLOOKUP(C25,[2]CPD!$B$9:$I$35,8,0)</f>
        <v>0</v>
      </c>
      <c r="P25" s="100" t="e">
        <f t="shared" si="4"/>
        <v>#REF!</v>
      </c>
      <c r="Q25" s="100">
        <f>VLOOKUP(C25,[2]CPD!$B$9:$R$35,17,0)</f>
        <v>0</v>
      </c>
      <c r="R25" s="100">
        <f>VLOOKUP(C25,[2]CPD!$B$9:$Q$35,16,0)</f>
        <v>0</v>
      </c>
      <c r="S25" s="100">
        <f>VLOOKUP(C25,[1]CPD!$B$9:$S$35,18,0)</f>
        <v>0</v>
      </c>
      <c r="T25" s="100">
        <f>VLOOKUP(C25,[2]CPD!$B$9:$T$35,19,0)</f>
        <v>0</v>
      </c>
      <c r="U25" s="100"/>
      <c r="V25" s="100"/>
      <c r="W25" s="100">
        <f>VLOOKUP(C25,[2]CPD!$B$9:$V$35,21,0)</f>
        <v>0</v>
      </c>
      <c r="X25" s="109"/>
      <c r="Y25" s="100" t="e">
        <f t="shared" si="2"/>
        <v>#REF!</v>
      </c>
      <c r="Z25" s="46" t="e">
        <f t="shared" si="3"/>
        <v>#REF!</v>
      </c>
      <c r="AB25" s="100" t="e">
        <f>VLOOKUP(C25,[1]SINDICATO!$C$7:$Q$141,15,0)</f>
        <v>#N/A</v>
      </c>
    </row>
    <row r="26" spans="1:28" s="100" customFormat="1" x14ac:dyDescent="0.2">
      <c r="A26" s="52" t="s">
        <v>462</v>
      </c>
      <c r="B26" s="52" t="s">
        <v>5</v>
      </c>
      <c r="C26" s="52" t="s">
        <v>463</v>
      </c>
      <c r="D26" s="99">
        <f>VLOOKUP(C26,[2]CPD!$B$9:$Y$35,24,0)</f>
        <v>2782.8</v>
      </c>
      <c r="E26" s="99"/>
      <c r="F26" s="123"/>
      <c r="G26" s="100" t="e">
        <f>VLOOKUP(C26,#REF!,4,0)</f>
        <v>#REF!</v>
      </c>
      <c r="H26" s="100" t="e">
        <f>VLOOKUP(C26,#REF!,5,0)</f>
        <v>#REF!</v>
      </c>
      <c r="I26" s="100" t="e">
        <f>VLOOKUP(C26,#REF!,6,0)</f>
        <v>#REF!</v>
      </c>
      <c r="J26" s="109"/>
      <c r="K26" s="100" t="e">
        <f t="shared" si="0"/>
        <v>#REF!</v>
      </c>
      <c r="L26" s="100">
        <v>10000</v>
      </c>
      <c r="M26" s="100">
        <f t="shared" si="1"/>
        <v>5000</v>
      </c>
      <c r="N26" s="110"/>
      <c r="O26" s="100">
        <f>VLOOKUP(C26,[2]CPD!$B$9:$I$35,8,0)</f>
        <v>0</v>
      </c>
      <c r="P26" s="100" t="e">
        <f t="shared" si="4"/>
        <v>#REF!</v>
      </c>
      <c r="Q26" s="100">
        <f>VLOOKUP(C26,[2]CPD!$B$9:$R$35,17,0)</f>
        <v>398.98</v>
      </c>
      <c r="R26" s="100">
        <f>VLOOKUP(C26,[2]CPD!$B$9:$Q$35,16,0)</f>
        <v>0</v>
      </c>
      <c r="S26" s="100">
        <f>VLOOKUP(C26,[1]CPD!$B$9:$S$35,18,0)</f>
        <v>0</v>
      </c>
      <c r="T26" s="100">
        <f>VLOOKUP(C26,[2]CPD!$B$9:$T$35,19,0)</f>
        <v>15</v>
      </c>
      <c r="W26" s="100">
        <f>VLOOKUP(C26,[2]CPD!$B$9:$V$35,21,0)</f>
        <v>0</v>
      </c>
      <c r="X26" s="109"/>
      <c r="Y26" s="100" t="e">
        <f t="shared" si="2"/>
        <v>#REF!</v>
      </c>
      <c r="Z26" s="46" t="e">
        <f t="shared" si="3"/>
        <v>#REF!</v>
      </c>
      <c r="AA26" s="46"/>
      <c r="AB26" s="100">
        <f>VLOOKUP(C26,[1]SINDICATO!$C$7:$Q$141,15,0)</f>
        <v>0</v>
      </c>
    </row>
    <row r="27" spans="1:28" s="100" customFormat="1" x14ac:dyDescent="0.2">
      <c r="A27" s="52" t="s">
        <v>547</v>
      </c>
      <c r="B27" s="52" t="s">
        <v>5</v>
      </c>
      <c r="C27" s="52" t="s">
        <v>441</v>
      </c>
      <c r="D27" s="99">
        <f>VLOOKUP(C27,[2]CPD!$B$9:$Y$35,24,0)</f>
        <v>1003</v>
      </c>
      <c r="E27" s="99"/>
      <c r="F27" s="123"/>
      <c r="G27" s="100" t="e">
        <f>VLOOKUP(C27,#REF!,4,0)</f>
        <v>#REF!</v>
      </c>
      <c r="H27" s="100" t="e">
        <f>VLOOKUP(C27,#REF!,5,0)</f>
        <v>#REF!</v>
      </c>
      <c r="I27" s="100" t="e">
        <f>VLOOKUP(C27,#REF!,6,0)</f>
        <v>#REF!</v>
      </c>
      <c r="J27" s="109"/>
      <c r="K27" s="100" t="e">
        <f t="shared" si="0"/>
        <v>#REF!</v>
      </c>
      <c r="L27" s="100">
        <v>4000</v>
      </c>
      <c r="M27" s="100">
        <f t="shared" si="1"/>
        <v>2000</v>
      </c>
      <c r="N27" s="110"/>
      <c r="O27" s="100">
        <f>VLOOKUP(C27,[2]CPD!$B$9:$I$35,8,0)</f>
        <v>0</v>
      </c>
      <c r="P27" s="100" t="e">
        <f t="shared" si="4"/>
        <v>#REF!</v>
      </c>
      <c r="Q27" s="100">
        <f>VLOOKUP(C27,[2]CPD!$B$9:$R$35,17,0)</f>
        <v>1005.81</v>
      </c>
      <c r="R27" s="100">
        <f>VLOOKUP(C27,[2]CPD!$B$9:$Q$35,16,0)</f>
        <v>0</v>
      </c>
      <c r="S27" s="100">
        <f>VLOOKUP(C27,[1]CPD!$B$9:$S$35,18,0)</f>
        <v>0</v>
      </c>
      <c r="T27" s="100">
        <f>VLOOKUP(C27,[2]CPD!$B$9:$T$35,19,0)</f>
        <v>15</v>
      </c>
      <c r="W27" s="100">
        <f>VLOOKUP(C27,[2]CPD!$B$9:$V$35,21,0)</f>
        <v>0</v>
      </c>
      <c r="X27" s="109"/>
      <c r="Y27" s="100" t="e">
        <f t="shared" si="2"/>
        <v>#REF!</v>
      </c>
      <c r="Z27" s="125" t="e">
        <f t="shared" si="3"/>
        <v>#REF!</v>
      </c>
      <c r="AA27" s="126" t="s">
        <v>653</v>
      </c>
      <c r="AB27" s="100">
        <f>VLOOKUP(C27,[1]SINDICATO!$C$7:$Q$141,15,0)</f>
        <v>0</v>
      </c>
    </row>
    <row r="28" spans="1:28" s="100" customFormat="1" x14ac:dyDescent="0.2">
      <c r="A28" s="52" t="s">
        <v>413</v>
      </c>
      <c r="B28" s="52" t="s">
        <v>5</v>
      </c>
      <c r="C28" s="52" t="s">
        <v>570</v>
      </c>
      <c r="D28" s="99">
        <f>VLOOKUP(C28,[2]CPD!$B$9:$Y$35,24,0)</f>
        <v>4036</v>
      </c>
      <c r="E28" s="99"/>
      <c r="F28" s="123"/>
      <c r="G28" s="100" t="e">
        <f>VLOOKUP(C28,#REF!,4,0)</f>
        <v>#REF!</v>
      </c>
      <c r="H28" s="100" t="e">
        <f>VLOOKUP(C28,#REF!,5,0)</f>
        <v>#REF!</v>
      </c>
      <c r="I28" s="100" t="e">
        <f>VLOOKUP(C28,#REF!,6,0)</f>
        <v>#REF!</v>
      </c>
      <c r="J28" s="109"/>
      <c r="K28" s="100" t="e">
        <f t="shared" si="0"/>
        <v>#REF!</v>
      </c>
      <c r="L28" s="100">
        <v>13000</v>
      </c>
      <c r="M28" s="100">
        <f t="shared" si="1"/>
        <v>6500</v>
      </c>
      <c r="N28" s="110"/>
      <c r="O28" s="100">
        <f>VLOOKUP(C28,[2]CPD!$B$9:$I$35,8,0)</f>
        <v>0</v>
      </c>
      <c r="P28" s="100" t="e">
        <f t="shared" si="4"/>
        <v>#REF!</v>
      </c>
      <c r="Q28" s="100">
        <f>VLOOKUP(C28,[2]CPD!$B$9:$R$35,17,0)</f>
        <v>0</v>
      </c>
      <c r="R28" s="100">
        <f>VLOOKUP(C28,[2]CPD!$B$9:$Q$35,16,0)</f>
        <v>0</v>
      </c>
      <c r="S28" s="100">
        <f>VLOOKUP(C28,[1]CPD!$B$9:$S$35,18,0)</f>
        <v>0</v>
      </c>
      <c r="T28" s="100">
        <f>VLOOKUP(C28,[2]CPD!$B$9:$T$35,19,0)</f>
        <v>0</v>
      </c>
      <c r="W28" s="100">
        <f>VLOOKUP(C28,[2]CPD!$B$9:$V$35,21,0)</f>
        <v>0</v>
      </c>
      <c r="X28" s="109"/>
      <c r="Y28" s="100" t="e">
        <f t="shared" si="2"/>
        <v>#REF!</v>
      </c>
      <c r="Z28" s="46" t="e">
        <f t="shared" si="3"/>
        <v>#REF!</v>
      </c>
      <c r="AA28" s="127"/>
      <c r="AB28" s="100" t="e">
        <f>VLOOKUP(C28,[1]SINDICATO!$C$7:$Q$141,15,0)</f>
        <v>#N/A</v>
      </c>
    </row>
    <row r="29" spans="1:28" s="100" customFormat="1" x14ac:dyDescent="0.2">
      <c r="A29" s="52" t="s">
        <v>585</v>
      </c>
      <c r="B29" s="52" t="s">
        <v>5</v>
      </c>
      <c r="C29" s="52" t="s">
        <v>586</v>
      </c>
      <c r="D29" s="99">
        <f>VLOOKUP(C29,[2]CPD!$B$9:$Y$35,24,0)</f>
        <v>4609.3999999999996</v>
      </c>
      <c r="E29" s="99"/>
      <c r="F29" s="123"/>
      <c r="G29" s="100" t="e">
        <f>VLOOKUP(C29,#REF!,4,0)</f>
        <v>#REF!</v>
      </c>
      <c r="H29" s="100" t="e">
        <f>VLOOKUP(C29,#REF!,5,0)</f>
        <v>#REF!</v>
      </c>
      <c r="I29" s="100" t="e">
        <f>VLOOKUP(C29,#REF!,6,0)</f>
        <v>#REF!</v>
      </c>
      <c r="J29" s="109"/>
      <c r="K29" s="100" t="e">
        <f t="shared" si="0"/>
        <v>#REF!</v>
      </c>
      <c r="L29" s="100">
        <v>15400</v>
      </c>
      <c r="M29" s="100">
        <f t="shared" si="1"/>
        <v>7700</v>
      </c>
      <c r="N29" s="110"/>
      <c r="O29" s="100">
        <f>VLOOKUP(C29,[2]CPD!$B$9:$I$35,8,0)</f>
        <v>0</v>
      </c>
      <c r="P29" s="100" t="e">
        <f t="shared" si="4"/>
        <v>#REF!</v>
      </c>
      <c r="Q29" s="100">
        <f>VLOOKUP(C29,[2]CPD!$B$9:$R$35,17,0)</f>
        <v>0</v>
      </c>
      <c r="R29" s="100">
        <f>VLOOKUP(C29,[2]CPD!$B$9:$Q$35,16,0)</f>
        <v>0</v>
      </c>
      <c r="S29" s="100">
        <f>VLOOKUP(C29,[1]CPD!$B$9:$S$35,18,0)</f>
        <v>0</v>
      </c>
      <c r="T29" s="100">
        <f>VLOOKUP(C29,[2]CPD!$B$9:$T$35,19,0)</f>
        <v>0</v>
      </c>
      <c r="W29" s="100">
        <f>VLOOKUP(C29,[2]CPD!$B$9:$V$35,21,0)</f>
        <v>0</v>
      </c>
      <c r="X29" s="109"/>
      <c r="Y29" s="100" t="e">
        <f t="shared" si="2"/>
        <v>#REF!</v>
      </c>
      <c r="Z29" s="46" t="e">
        <f t="shared" si="3"/>
        <v>#REF!</v>
      </c>
      <c r="AA29" s="127"/>
      <c r="AB29" s="100" t="e">
        <f>VLOOKUP(C29,[1]SINDICATO!$C$7:$Q$141,15,0)</f>
        <v>#N/A</v>
      </c>
    </row>
    <row r="30" spans="1:28" s="100" customFormat="1" x14ac:dyDescent="0.2">
      <c r="A30" s="52" t="s">
        <v>598</v>
      </c>
      <c r="B30" s="52" t="s">
        <v>5</v>
      </c>
      <c r="C30" s="52" t="s">
        <v>599</v>
      </c>
      <c r="D30" s="99">
        <f>VLOOKUP(C30,[2]CPD!$B$9:$Y$35,24,0)</f>
        <v>4327.3999999999996</v>
      </c>
      <c r="E30" s="102"/>
      <c r="F30" s="123"/>
      <c r="G30" s="100" t="e">
        <f>VLOOKUP(C30,#REF!,4,0)</f>
        <v>#REF!</v>
      </c>
      <c r="H30" s="100" t="e">
        <f>VLOOKUP(C30,#REF!,5,0)</f>
        <v>#REF!</v>
      </c>
      <c r="I30" s="100" t="e">
        <f>VLOOKUP(C30,#REF!,6,0)</f>
        <v>#REF!</v>
      </c>
      <c r="J30" s="109"/>
      <c r="K30" s="100" t="e">
        <f t="shared" si="0"/>
        <v>#REF!</v>
      </c>
      <c r="L30" s="100">
        <v>14000</v>
      </c>
      <c r="M30" s="100">
        <f t="shared" si="1"/>
        <v>7000</v>
      </c>
      <c r="N30" s="110"/>
      <c r="O30" s="100">
        <f>VLOOKUP(C30,[2]CPD!$B$9:$I$35,8,0)</f>
        <v>0</v>
      </c>
      <c r="P30" s="100" t="e">
        <f t="shared" si="4"/>
        <v>#REF!</v>
      </c>
      <c r="Q30" s="100">
        <f>VLOOKUP(C30,[2]CPD!$B$9:$R$35,17,0)</f>
        <v>0</v>
      </c>
      <c r="R30" s="100">
        <f>VLOOKUP(C30,[2]CPD!$B$9:$Q$35,16,0)</f>
        <v>0</v>
      </c>
      <c r="S30" s="100">
        <f>VLOOKUP(C30,[1]CPD!$B$9:$S$35,18,0)</f>
        <v>0</v>
      </c>
      <c r="T30" s="100">
        <f>VLOOKUP(C30,[2]CPD!$B$9:$T$35,19,0)</f>
        <v>0</v>
      </c>
      <c r="W30" s="100">
        <f>VLOOKUP(C30,[2]CPD!$B$9:$V$35,21,0)</f>
        <v>0</v>
      </c>
      <c r="X30" s="109"/>
      <c r="Y30" s="100" t="e">
        <f t="shared" si="2"/>
        <v>#REF!</v>
      </c>
      <c r="Z30" s="46" t="e">
        <f t="shared" si="3"/>
        <v>#REF!</v>
      </c>
      <c r="AA30" s="127"/>
      <c r="AB30" s="100">
        <f>VLOOKUP(C30,[1]SINDICATO!$C$7:$Q$141,15,0)</f>
        <v>0</v>
      </c>
    </row>
    <row r="31" spans="1:28" s="125" customFormat="1" x14ac:dyDescent="0.2">
      <c r="A31" s="97" t="s">
        <v>67</v>
      </c>
      <c r="B31" s="103" t="s">
        <v>57</v>
      </c>
      <c r="C31" s="97" t="s">
        <v>337</v>
      </c>
      <c r="D31" s="103"/>
      <c r="E31" s="103">
        <f>VLOOKUP(C31,[2]IP!$B$9:$V$116,21,0)</f>
        <v>3585.4</v>
      </c>
      <c r="F31" s="139"/>
      <c r="G31" s="125" t="e">
        <f>VLOOKUP(C31,#REF!,4,0)</f>
        <v>#REF!</v>
      </c>
      <c r="H31" s="125" t="e">
        <f>VLOOKUP(C31,#REF!,5,0)</f>
        <v>#REF!</v>
      </c>
      <c r="I31" s="125" t="e">
        <f>VLOOKUP(C31,#REF!,6,0)</f>
        <v>#REF!</v>
      </c>
      <c r="J31" s="140"/>
      <c r="K31" s="125" t="e">
        <f t="shared" si="0"/>
        <v>#REF!</v>
      </c>
      <c r="L31" s="125">
        <f>VLOOKUP(C31,[1]ABC!$A$3:$B$88,2,0)</f>
        <v>8000</v>
      </c>
      <c r="M31" s="125">
        <f t="shared" si="1"/>
        <v>4000</v>
      </c>
      <c r="N31" s="140"/>
      <c r="O31" s="46">
        <f>VLOOKUP(C31,[2]IP!$B$9:$I$116,8,0)</f>
        <v>0</v>
      </c>
      <c r="P31" s="46" t="e">
        <f>+H31+I31</f>
        <v>#REF!</v>
      </c>
      <c r="Q31" s="125">
        <f>VLOOKUP(C31,[2]IP!$B$9:$N$116,13,0)</f>
        <v>0</v>
      </c>
      <c r="R31" s="46">
        <f>VLOOKUP(C31,[2]IP!$B$9:$O$116,14,0)</f>
        <v>0</v>
      </c>
      <c r="S31" s="46"/>
      <c r="T31" s="46">
        <f>VLOOKUP(C31,[2]IP!$B$9:$P$116,15,0)</f>
        <v>0</v>
      </c>
      <c r="U31" s="46">
        <f>VLOOKUP(C31,[2]IP!$B$9:$Q$116,16,0)</f>
        <v>0</v>
      </c>
      <c r="V31" s="46">
        <f>VLOOKUP(C31,[2]IP!$B$9:$S$116,18,0)</f>
        <v>0</v>
      </c>
      <c r="W31" s="46">
        <f>VLOOKUP(C31,[2]IP!$B$9:$R$116,17,0)</f>
        <v>0</v>
      </c>
      <c r="X31" s="129"/>
      <c r="Y31" s="46" t="e">
        <f t="shared" si="2"/>
        <v>#REF!</v>
      </c>
      <c r="Z31" s="46" t="e">
        <f t="shared" si="3"/>
        <v>#REF!</v>
      </c>
      <c r="AA31" s="46"/>
      <c r="AB31" s="46" t="e">
        <f>VLOOKUP(C31,[1]SINDICATO!$C$7:$Q$141,15,0)</f>
        <v>#N/A</v>
      </c>
    </row>
    <row r="32" spans="1:28" s="100" customFormat="1" x14ac:dyDescent="0.2">
      <c r="A32" s="52" t="s">
        <v>370</v>
      </c>
      <c r="B32" s="99" t="s">
        <v>57</v>
      </c>
      <c r="C32" s="61" t="s">
        <v>548</v>
      </c>
      <c r="D32" s="99"/>
      <c r="E32" s="102">
        <f>VLOOKUP(C32,[2]IP!$B$9:$V$116,21,0)</f>
        <v>3585.2</v>
      </c>
      <c r="F32" s="123"/>
      <c r="G32" s="100" t="e">
        <f>VLOOKUP(C32,#REF!,4,0)</f>
        <v>#REF!</v>
      </c>
      <c r="H32" s="100" t="e">
        <f>VLOOKUP(C32,#REF!,5,0)</f>
        <v>#REF!</v>
      </c>
      <c r="I32" s="100" t="e">
        <f>VLOOKUP(C32,#REF!,6,0)</f>
        <v>#REF!</v>
      </c>
      <c r="J32" s="109"/>
      <c r="K32" s="100" t="e">
        <f t="shared" si="0"/>
        <v>#REF!</v>
      </c>
      <c r="L32" s="100">
        <v>8000</v>
      </c>
      <c r="M32" s="100">
        <f t="shared" si="1"/>
        <v>4000</v>
      </c>
      <c r="N32" s="110"/>
      <c r="O32" s="46">
        <f>VLOOKUP(C32,[2]IP!$B$9:$I$116,8,0)</f>
        <v>0</v>
      </c>
      <c r="P32" s="46" t="e">
        <f t="shared" ref="P32:P95" si="5">+H32+I32</f>
        <v>#REF!</v>
      </c>
      <c r="Q32" s="46">
        <f>VLOOKUP(C32,[2]IP!$B$9:$N$116,13,0)</f>
        <v>0</v>
      </c>
      <c r="R32" s="46">
        <f>VLOOKUP(C32,[2]IP!$B$9:$O$116,14,0)</f>
        <v>0</v>
      </c>
      <c r="S32" s="46"/>
      <c r="T32" s="46">
        <f>VLOOKUP(C32,[2]IP!$B$9:$P$116,15,0)</f>
        <v>0</v>
      </c>
      <c r="U32" s="46">
        <f>VLOOKUP(C32,[2]IP!$B$9:$Q$116,16,0)</f>
        <v>0</v>
      </c>
      <c r="V32" s="46">
        <f>VLOOKUP(C32,[2]IP!$B$9:$S$116,18,0)</f>
        <v>0</v>
      </c>
      <c r="W32" s="46">
        <f>VLOOKUP(C32,[2]IP!$B$9:$R$116,17,0)</f>
        <v>0</v>
      </c>
      <c r="X32" s="109"/>
      <c r="Y32" s="100" t="e">
        <f t="shared" si="2"/>
        <v>#REF!</v>
      </c>
      <c r="Z32" s="46" t="e">
        <f t="shared" si="3"/>
        <v>#REF!</v>
      </c>
      <c r="AA32" s="46"/>
      <c r="AB32" s="100" t="e">
        <f>VLOOKUP(C32,[1]SINDICATO!$C$7:$Q$141,15,0)</f>
        <v>#N/A</v>
      </c>
    </row>
    <row r="33" spans="1:28" s="100" customFormat="1" x14ac:dyDescent="0.2">
      <c r="A33" s="61" t="s">
        <v>79</v>
      </c>
      <c r="B33" s="99" t="s">
        <v>57</v>
      </c>
      <c r="C33" s="54" t="s">
        <v>339</v>
      </c>
      <c r="D33" s="99"/>
      <c r="E33" s="102">
        <f>VLOOKUP(C33,[2]IP!$B$9:$V$116,21,0)</f>
        <v>1278</v>
      </c>
      <c r="F33" s="123"/>
      <c r="G33" s="100" t="e">
        <f>VLOOKUP(C33,#REF!,4,0)</f>
        <v>#REF!</v>
      </c>
      <c r="H33" s="100" t="e">
        <f>VLOOKUP(C33,#REF!,5,0)</f>
        <v>#REF!</v>
      </c>
      <c r="I33" s="100" t="e">
        <f>VLOOKUP(C33,#REF!,6,0)</f>
        <v>#REF!</v>
      </c>
      <c r="J33" s="109"/>
      <c r="K33" s="100" t="e">
        <f t="shared" si="0"/>
        <v>#REF!</v>
      </c>
      <c r="L33" s="100">
        <f>VLOOKUP(C33,[1]ABC!$A$3:$B$88,2,0)</f>
        <v>4620</v>
      </c>
      <c r="M33" s="100">
        <f t="shared" si="1"/>
        <v>2310</v>
      </c>
      <c r="N33" s="110"/>
      <c r="O33" s="46">
        <f>VLOOKUP(C33,[2]IP!$B$9:$I$116,8,0)</f>
        <v>0</v>
      </c>
      <c r="P33" s="46" t="e">
        <f t="shared" si="5"/>
        <v>#REF!</v>
      </c>
      <c r="Q33" s="46">
        <f>VLOOKUP(C33,[2]IP!$B$9:$N$116,13,0)</f>
        <v>999.51</v>
      </c>
      <c r="R33" s="46">
        <f>VLOOKUP(C33,[2]IP!$B$9:$O$116,14,0)</f>
        <v>0</v>
      </c>
      <c r="S33" s="46"/>
      <c r="T33" s="46">
        <f>VLOOKUP(C33,[2]IP!$B$9:$P$116,15,0)</f>
        <v>15</v>
      </c>
      <c r="U33" s="46">
        <f>VLOOKUP(C33,[2]IP!$B$9:$Q$116,16,0)</f>
        <v>0</v>
      </c>
      <c r="V33" s="46">
        <f>VLOOKUP(C33,[2]IP!$B$9:$S$116,18,0)</f>
        <v>0</v>
      </c>
      <c r="W33" s="46">
        <f>VLOOKUP(C33,[2]IP!$B$9:$R$116,17,0)</f>
        <v>0</v>
      </c>
      <c r="X33" s="109"/>
      <c r="Y33" s="100" t="e">
        <f t="shared" si="2"/>
        <v>#REF!</v>
      </c>
      <c r="Z33" s="46" t="e">
        <f t="shared" si="3"/>
        <v>#REF!</v>
      </c>
      <c r="AA33" s="46"/>
      <c r="AB33" s="100">
        <f>VLOOKUP(C33,[1]SINDICATO!$C$7:$Q$141,15,0)</f>
        <v>0</v>
      </c>
    </row>
    <row r="34" spans="1:28" s="100" customFormat="1" x14ac:dyDescent="0.2">
      <c r="A34" s="61" t="s">
        <v>81</v>
      </c>
      <c r="B34" s="99" t="s">
        <v>57</v>
      </c>
      <c r="C34" s="61" t="s">
        <v>340</v>
      </c>
      <c r="D34" s="99"/>
      <c r="E34" s="102">
        <f>VLOOKUP(C34,[2]IP!$B$9:$V$116,21,0)</f>
        <v>2692.8</v>
      </c>
      <c r="F34" s="123"/>
      <c r="G34" s="100" t="e">
        <f>VLOOKUP(C34,#REF!,4,0)</f>
        <v>#REF!</v>
      </c>
      <c r="H34" s="100" t="e">
        <f>VLOOKUP(C34,#REF!,5,0)</f>
        <v>#REF!</v>
      </c>
      <c r="I34" s="100" t="e">
        <f>VLOOKUP(C34,#REF!,6,0)</f>
        <v>#REF!</v>
      </c>
      <c r="J34" s="109"/>
      <c r="K34" s="100" t="e">
        <f t="shared" si="0"/>
        <v>#REF!</v>
      </c>
      <c r="L34" s="100">
        <f>VLOOKUP(C34,[1]ABC!$A$3:$B$88,2,0)</f>
        <v>8000</v>
      </c>
      <c r="M34" s="100">
        <f t="shared" si="1"/>
        <v>4000</v>
      </c>
      <c r="N34" s="110"/>
      <c r="O34" s="46">
        <f>VLOOKUP(C34,[2]IP!$B$9:$I$116,8,0)</f>
        <v>0</v>
      </c>
      <c r="P34" s="46" t="e">
        <f t="shared" si="5"/>
        <v>#REF!</v>
      </c>
      <c r="Q34" s="46">
        <f>VLOOKUP(C34,[2]IP!$B$9:$N$116,13,0)</f>
        <v>877.59</v>
      </c>
      <c r="R34" s="46">
        <f>VLOOKUP(C34,[2]IP!$B$9:$O$116,14,0)</f>
        <v>0</v>
      </c>
      <c r="S34" s="46"/>
      <c r="T34" s="46">
        <f>VLOOKUP(C34,[2]IP!$B$9:$P$116,15,0)</f>
        <v>15</v>
      </c>
      <c r="U34" s="46">
        <f>VLOOKUP(C34,[2]IP!$B$9:$Q$116,16,0)</f>
        <v>0</v>
      </c>
      <c r="V34" s="46">
        <f>VLOOKUP(C34,[2]IP!$B$9:$S$116,18,0)</f>
        <v>0</v>
      </c>
      <c r="W34" s="46">
        <f>VLOOKUP(C34,[2]IP!$B$9:$R$116,17,0)</f>
        <v>0</v>
      </c>
      <c r="X34" s="109"/>
      <c r="Y34" s="100" t="e">
        <f t="shared" si="2"/>
        <v>#REF!</v>
      </c>
      <c r="Z34" s="46" t="e">
        <f t="shared" si="3"/>
        <v>#REF!</v>
      </c>
      <c r="AA34" s="46"/>
      <c r="AB34" s="100" t="e">
        <f>VLOOKUP(C34,[1]SINDICATO!$C$7:$Q$141,15,0)</f>
        <v>#N/A</v>
      </c>
    </row>
    <row r="35" spans="1:28" s="100" customFormat="1" x14ac:dyDescent="0.2">
      <c r="A35" s="61" t="s">
        <v>85</v>
      </c>
      <c r="B35" s="99" t="s">
        <v>57</v>
      </c>
      <c r="C35" s="61" t="s">
        <v>342</v>
      </c>
      <c r="D35" s="99"/>
      <c r="E35" s="102">
        <f>VLOOKUP(C35,[2]IP!$B$9:$V$116,21,0)</f>
        <v>5195.2</v>
      </c>
      <c r="F35" s="123"/>
      <c r="G35" s="100" t="e">
        <f>VLOOKUP(C35,#REF!,4,0)</f>
        <v>#REF!</v>
      </c>
      <c r="H35" s="100" t="e">
        <f>VLOOKUP(C35,#REF!,5,0)</f>
        <v>#REF!</v>
      </c>
      <c r="I35" s="100" t="e">
        <f>VLOOKUP(C35,#REF!,6,0)</f>
        <v>#REF!</v>
      </c>
      <c r="J35" s="109"/>
      <c r="K35" s="100" t="e">
        <f t="shared" si="0"/>
        <v>#REF!</v>
      </c>
      <c r="L35" s="100">
        <f>VLOOKUP(C35,[1]ABC!$A$3:$B$88,2,0)</f>
        <v>12000</v>
      </c>
      <c r="M35" s="100">
        <f t="shared" si="1"/>
        <v>6000</v>
      </c>
      <c r="N35" s="110"/>
      <c r="O35" s="46">
        <f>VLOOKUP(C35,[2]IP!$B$9:$I$116,8,0)</f>
        <v>0</v>
      </c>
      <c r="P35" s="46" t="e">
        <f t="shared" si="5"/>
        <v>#REF!</v>
      </c>
      <c r="Q35" s="46">
        <f>VLOOKUP(C35,[2]IP!$B$9:$N$116,13,0)</f>
        <v>0</v>
      </c>
      <c r="R35" s="46">
        <f>VLOOKUP(C35,[2]IP!$B$9:$O$116,14,0)</f>
        <v>0</v>
      </c>
      <c r="S35" s="46"/>
      <c r="T35" s="46">
        <f>VLOOKUP(C35,[2]IP!$B$9:$P$116,15,0)</f>
        <v>0</v>
      </c>
      <c r="U35" s="46">
        <f>VLOOKUP(C35,[2]IP!$B$9:$Q$116,16,0)</f>
        <v>0</v>
      </c>
      <c r="V35" s="46">
        <f>VLOOKUP(C35,[2]IP!$B$9:$S$116,18,0)</f>
        <v>0</v>
      </c>
      <c r="W35" s="46">
        <f>VLOOKUP(C35,[2]IP!$B$9:$R$116,17,0)</f>
        <v>0</v>
      </c>
      <c r="X35" s="109"/>
      <c r="Y35" s="100" t="e">
        <f t="shared" si="2"/>
        <v>#REF!</v>
      </c>
      <c r="Z35" s="46" t="e">
        <f t="shared" si="3"/>
        <v>#REF!</v>
      </c>
      <c r="AA35" s="46"/>
      <c r="AB35" s="100" t="e">
        <f>VLOOKUP(C35,[1]SINDICATO!$C$7:$Q$141,15,0)</f>
        <v>#N/A</v>
      </c>
    </row>
    <row r="36" spans="1:28" s="100" customFormat="1" x14ac:dyDescent="0.2">
      <c r="A36" s="61" t="s">
        <v>87</v>
      </c>
      <c r="B36" s="99" t="s">
        <v>57</v>
      </c>
      <c r="C36" s="61" t="s">
        <v>549</v>
      </c>
      <c r="D36" s="99"/>
      <c r="E36" s="102">
        <f>VLOOKUP(C36,[2]IP!$B$9:$V$116,21,0)</f>
        <v>3585.4</v>
      </c>
      <c r="F36" s="123"/>
      <c r="G36" s="100" t="e">
        <f>VLOOKUP(C36,#REF!,4,0)</f>
        <v>#REF!</v>
      </c>
      <c r="H36" s="100" t="e">
        <f>VLOOKUP(C36,#REF!,5,0)</f>
        <v>#REF!</v>
      </c>
      <c r="I36" s="100" t="e">
        <f>VLOOKUP(C36,#REF!,6,0)</f>
        <v>#REF!</v>
      </c>
      <c r="J36" s="109"/>
      <c r="K36" s="100" t="e">
        <f t="shared" si="0"/>
        <v>#REF!</v>
      </c>
      <c r="L36" s="100">
        <v>8000</v>
      </c>
      <c r="M36" s="100">
        <f t="shared" si="1"/>
        <v>4000</v>
      </c>
      <c r="N36" s="110"/>
      <c r="O36" s="46">
        <f>VLOOKUP(C36,[2]IP!$B$9:$I$116,8,0)</f>
        <v>0</v>
      </c>
      <c r="P36" s="46" t="e">
        <f t="shared" si="5"/>
        <v>#REF!</v>
      </c>
      <c r="Q36" s="46">
        <f>VLOOKUP(C36,[2]IP!$B$9:$N$116,13,0)</f>
        <v>0</v>
      </c>
      <c r="R36" s="46">
        <f>VLOOKUP(C36,[2]IP!$B$9:$O$116,14,0)</f>
        <v>0</v>
      </c>
      <c r="S36" s="46"/>
      <c r="T36" s="46">
        <f>VLOOKUP(C36,[2]IP!$B$9:$P$116,15,0)</f>
        <v>0</v>
      </c>
      <c r="U36" s="46">
        <f>VLOOKUP(C36,[2]IP!$B$9:$Q$116,16,0)</f>
        <v>0</v>
      </c>
      <c r="V36" s="46">
        <f>VLOOKUP(C36,[2]IP!$B$9:$S$116,18,0)</f>
        <v>0</v>
      </c>
      <c r="W36" s="46">
        <f>VLOOKUP(C36,[2]IP!$B$9:$R$116,17,0)</f>
        <v>0</v>
      </c>
      <c r="X36" s="109"/>
      <c r="Y36" s="100" t="e">
        <f t="shared" si="2"/>
        <v>#REF!</v>
      </c>
      <c r="Z36" s="46" t="e">
        <f t="shared" si="3"/>
        <v>#REF!</v>
      </c>
      <c r="AA36" s="46"/>
      <c r="AB36" s="100" t="e">
        <f>VLOOKUP(C36,[1]SINDICATO!$C$7:$Q$141,15,0)</f>
        <v>#N/A</v>
      </c>
    </row>
    <row r="37" spans="1:28" s="46" customFormat="1" x14ac:dyDescent="0.2">
      <c r="A37" s="54" t="s">
        <v>89</v>
      </c>
      <c r="B37" s="102" t="s">
        <v>57</v>
      </c>
      <c r="C37" s="54" t="s">
        <v>343</v>
      </c>
      <c r="D37" s="99"/>
      <c r="E37" s="102">
        <f>VLOOKUP(C37,[2]IP!$B$9:$V$116,21,0)</f>
        <v>1490.6</v>
      </c>
      <c r="F37" s="123"/>
      <c r="G37" s="100" t="e">
        <f>VLOOKUP(C37,#REF!,4,0)</f>
        <v>#REF!</v>
      </c>
      <c r="H37" s="100" t="e">
        <f>VLOOKUP(C37,#REF!,5,0)</f>
        <v>#REF!</v>
      </c>
      <c r="I37" s="100" t="e">
        <f>VLOOKUP(C37,#REF!,6,0)</f>
        <v>#REF!</v>
      </c>
      <c r="J37" s="109"/>
      <c r="K37" s="100" t="e">
        <f t="shared" si="0"/>
        <v>#REF!</v>
      </c>
      <c r="L37" s="46">
        <v>8000</v>
      </c>
      <c r="M37" s="46">
        <f t="shared" si="1"/>
        <v>4000</v>
      </c>
      <c r="N37" s="110"/>
      <c r="O37" s="46">
        <f>VLOOKUP(C37,[2]IP!$B$9:$I$116,8,0)</f>
        <v>0</v>
      </c>
      <c r="P37" s="46" t="e">
        <f t="shared" si="5"/>
        <v>#REF!</v>
      </c>
      <c r="Q37" s="46">
        <f>VLOOKUP(C37,[2]IP!$B$9:$N$116,13,0)</f>
        <v>1359.23</v>
      </c>
      <c r="R37" s="46">
        <f>VLOOKUP(C37,[2]IP!$B$9:$O$116,14,0)</f>
        <v>0</v>
      </c>
      <c r="T37" s="46">
        <f>VLOOKUP(C37,[2]IP!$B$9:$P$116,15,0)</f>
        <v>15</v>
      </c>
      <c r="U37" s="46">
        <f>VLOOKUP(C37,[2]IP!$B$9:$Q$116,16,0)</f>
        <v>0</v>
      </c>
      <c r="V37" s="46">
        <f>VLOOKUP(C37,[2]IP!$B$9:$S$116,18,0)</f>
        <v>0</v>
      </c>
      <c r="W37" s="46">
        <f>VLOOKUP(C37,[2]IP!$B$9:$R$116,17,0)</f>
        <v>0</v>
      </c>
      <c r="X37" s="109"/>
      <c r="Y37" s="100" t="e">
        <f t="shared" si="2"/>
        <v>#REF!</v>
      </c>
      <c r="Z37" s="46" t="e">
        <f t="shared" si="3"/>
        <v>#REF!</v>
      </c>
      <c r="AB37" s="100" t="e">
        <f>VLOOKUP(C37,[1]SINDICATO!$C$7:$Q$141,15,0)</f>
        <v>#N/A</v>
      </c>
    </row>
    <row r="38" spans="1:28" s="100" customFormat="1" x14ac:dyDescent="0.2">
      <c r="A38" s="61" t="s">
        <v>91</v>
      </c>
      <c r="B38" s="99" t="s">
        <v>57</v>
      </c>
      <c r="C38" s="61" t="s">
        <v>344</v>
      </c>
      <c r="D38" s="99"/>
      <c r="E38" s="102">
        <f>VLOOKUP(C38,[2]IP!$B$9:$V$116,21,0)</f>
        <v>4406.3999999999996</v>
      </c>
      <c r="F38" s="123"/>
      <c r="G38" s="100" t="e">
        <f>VLOOKUP(C38,#REF!,4,0)</f>
        <v>#REF!</v>
      </c>
      <c r="H38" s="100" t="e">
        <f>VLOOKUP(C38,#REF!,5,0)</f>
        <v>#REF!</v>
      </c>
      <c r="I38" s="100" t="e">
        <f>VLOOKUP(C38,#REF!,6,0)</f>
        <v>#REF!</v>
      </c>
      <c r="J38" s="109"/>
      <c r="K38" s="100" t="e">
        <f t="shared" si="0"/>
        <v>#REF!</v>
      </c>
      <c r="L38" s="100">
        <f>VLOOKUP(C38,[1]ABC!$A$3:$B$88,2,0)</f>
        <v>10000</v>
      </c>
      <c r="M38" s="100">
        <f t="shared" si="1"/>
        <v>5000</v>
      </c>
      <c r="N38" s="110"/>
      <c r="O38" s="46">
        <f>VLOOKUP(C38,[2]IP!$B$9:$I$116,8,0)</f>
        <v>0</v>
      </c>
      <c r="P38" s="46" t="e">
        <f t="shared" si="5"/>
        <v>#REF!</v>
      </c>
      <c r="Q38" s="46">
        <f>VLOOKUP(C38,[2]IP!$B$9:$N$116,13,0)</f>
        <v>0</v>
      </c>
      <c r="R38" s="46">
        <f>VLOOKUP(C38,[2]IP!$B$9:$O$116,14,0)</f>
        <v>0</v>
      </c>
      <c r="S38" s="46"/>
      <c r="T38" s="46">
        <f>VLOOKUP(C38,[2]IP!$B$9:$P$116,15,0)</f>
        <v>0</v>
      </c>
      <c r="U38" s="46">
        <f>VLOOKUP(C38,[2]IP!$B$9:$Q$116,16,0)</f>
        <v>0</v>
      </c>
      <c r="V38" s="46">
        <f>VLOOKUP(C38,[2]IP!$B$9:$S$116,18,0)</f>
        <v>0</v>
      </c>
      <c r="W38" s="46">
        <f>VLOOKUP(C38,[2]IP!$B$9:$R$116,17,0)</f>
        <v>0</v>
      </c>
      <c r="X38" s="109"/>
      <c r="Y38" s="100" t="e">
        <f t="shared" si="2"/>
        <v>#REF!</v>
      </c>
      <c r="Z38" s="46" t="e">
        <f t="shared" si="3"/>
        <v>#REF!</v>
      </c>
      <c r="AA38" s="46"/>
      <c r="AB38" s="100" t="e">
        <f>VLOOKUP(C38,[1]SINDICATO!$C$7:$Q$141,15,0)</f>
        <v>#N/A</v>
      </c>
    </row>
    <row r="39" spans="1:28" s="100" customFormat="1" x14ac:dyDescent="0.2">
      <c r="A39" s="61" t="s">
        <v>93</v>
      </c>
      <c r="B39" s="99" t="s">
        <v>57</v>
      </c>
      <c r="C39" s="61" t="s">
        <v>345</v>
      </c>
      <c r="D39" s="99"/>
      <c r="E39" s="102">
        <f>VLOOKUP(C39,[2]IP!$B$9:$V$116,21,0)</f>
        <v>3277.4</v>
      </c>
      <c r="F39" s="123"/>
      <c r="G39" s="100" t="e">
        <f>VLOOKUP(C39,#REF!,4,0)</f>
        <v>#REF!</v>
      </c>
      <c r="H39" s="100" t="e">
        <f>VLOOKUP(C39,#REF!,5,0)</f>
        <v>#REF!</v>
      </c>
      <c r="I39" s="100" t="e">
        <f>VLOOKUP(C39,#REF!,6,0)</f>
        <v>#REF!</v>
      </c>
      <c r="J39" s="109"/>
      <c r="K39" s="100" t="e">
        <f t="shared" si="0"/>
        <v>#REF!</v>
      </c>
      <c r="L39" s="100">
        <f>VLOOKUP(C39,[1]ABC!$A$3:$B$88,2,0)</f>
        <v>7000</v>
      </c>
      <c r="M39" s="100">
        <f t="shared" si="1"/>
        <v>3500</v>
      </c>
      <c r="N39" s="110"/>
      <c r="O39" s="46">
        <f>VLOOKUP(C39,[2]IP!$B$9:$I$116,8,0)</f>
        <v>0</v>
      </c>
      <c r="P39" s="46" t="e">
        <f t="shared" si="5"/>
        <v>#REF!</v>
      </c>
      <c r="Q39" s="46">
        <f>VLOOKUP(C39,[2]IP!$B$9:$N$116,13,0)</f>
        <v>0</v>
      </c>
      <c r="R39" s="46">
        <f>VLOOKUP(C39,[2]IP!$B$9:$O$116,14,0)</f>
        <v>0</v>
      </c>
      <c r="S39" s="46"/>
      <c r="T39" s="46">
        <f>VLOOKUP(C39,[2]IP!$B$9:$P$116,15,0)</f>
        <v>0</v>
      </c>
      <c r="U39" s="46">
        <f>VLOOKUP(C39,[2]IP!$B$9:$Q$116,16,0)</f>
        <v>0</v>
      </c>
      <c r="V39" s="46">
        <f>VLOOKUP(C39,[2]IP!$B$9:$S$116,18,0)</f>
        <v>0</v>
      </c>
      <c r="W39" s="46">
        <f>VLOOKUP(C39,[2]IP!$B$9:$R$116,17,0)</f>
        <v>0</v>
      </c>
      <c r="X39" s="109"/>
      <c r="Y39" s="100" t="e">
        <f t="shared" si="2"/>
        <v>#REF!</v>
      </c>
      <c r="Z39" s="46" t="e">
        <f t="shared" si="3"/>
        <v>#REF!</v>
      </c>
      <c r="AA39" s="46"/>
      <c r="AB39" s="100" t="e">
        <f>VLOOKUP(C39,[1]SINDICATO!$C$7:$Q$141,15,0)</f>
        <v>#N/A</v>
      </c>
    </row>
    <row r="40" spans="1:28" s="100" customFormat="1" x14ac:dyDescent="0.2">
      <c r="A40" s="61" t="s">
        <v>101</v>
      </c>
      <c r="B40" s="99" t="s">
        <v>57</v>
      </c>
      <c r="C40" s="61" t="s">
        <v>346</v>
      </c>
      <c r="D40" s="99"/>
      <c r="E40" s="102">
        <f>VLOOKUP(C40,[2]IP!$B$9:$V$116,21,0)</f>
        <v>2090.1999999999998</v>
      </c>
      <c r="F40" s="123"/>
      <c r="G40" s="100" t="e">
        <f>VLOOKUP(C40,#REF!,4,0)</f>
        <v>#REF!</v>
      </c>
      <c r="H40" s="100" t="e">
        <f>VLOOKUP(C40,#REF!,5,0)</f>
        <v>#REF!</v>
      </c>
      <c r="I40" s="100" t="e">
        <f>VLOOKUP(C40,#REF!,6,0)</f>
        <v>#REF!</v>
      </c>
      <c r="J40" s="109"/>
      <c r="K40" s="100" t="e">
        <f t="shared" si="0"/>
        <v>#REF!</v>
      </c>
      <c r="L40" s="100">
        <f>VLOOKUP(C40,[1]ABC!$A$3:$B$88,2,0)</f>
        <v>6000</v>
      </c>
      <c r="M40" s="100">
        <f t="shared" si="1"/>
        <v>3000</v>
      </c>
      <c r="N40" s="110"/>
      <c r="O40" s="46">
        <f>VLOOKUP(C40,[2]IP!$B$9:$I$116,8,0)</f>
        <v>0</v>
      </c>
      <c r="P40" s="46" t="e">
        <f t="shared" si="5"/>
        <v>#REF!</v>
      </c>
      <c r="Q40" s="46">
        <f>VLOOKUP(C40,[2]IP!$B$9:$N$116,13,0)</f>
        <v>0</v>
      </c>
      <c r="R40" s="46">
        <f>VLOOKUP(C40,[2]IP!$B$9:$O$116,14,0)</f>
        <v>0</v>
      </c>
      <c r="S40" s="46"/>
      <c r="T40" s="46">
        <f>VLOOKUP(C40,[2]IP!$B$9:$P$116,15,0)</f>
        <v>0</v>
      </c>
      <c r="U40" s="46">
        <f>VLOOKUP(C40,[2]IP!$B$9:$Q$116,16,0)</f>
        <v>600</v>
      </c>
      <c r="V40" s="46">
        <f>VLOOKUP(C40,[2]IP!$B$9:$S$116,18,0)</f>
        <v>0</v>
      </c>
      <c r="W40" s="46">
        <f>VLOOKUP(C40,[2]IP!$B$9:$R$116,17,0)</f>
        <v>0</v>
      </c>
      <c r="X40" s="109"/>
      <c r="Y40" s="100" t="e">
        <f t="shared" si="2"/>
        <v>#REF!</v>
      </c>
      <c r="Z40" s="46" t="e">
        <f t="shared" si="3"/>
        <v>#REF!</v>
      </c>
      <c r="AA40" s="111"/>
      <c r="AB40" s="100" t="e">
        <f>VLOOKUP(C40,[1]SINDICATO!$C$7:$Q$141,15,0)</f>
        <v>#N/A</v>
      </c>
    </row>
    <row r="41" spans="1:28" s="100" customFormat="1" x14ac:dyDescent="0.2">
      <c r="A41" s="61" t="s">
        <v>105</v>
      </c>
      <c r="B41" s="99" t="s">
        <v>57</v>
      </c>
      <c r="C41" s="61" t="s">
        <v>348</v>
      </c>
      <c r="D41" s="99"/>
      <c r="E41" s="102">
        <f>VLOOKUP(C41,[2]IP!$B$9:$V$116,21,0)</f>
        <v>3234.2</v>
      </c>
      <c r="F41" s="123"/>
      <c r="G41" s="100" t="e">
        <f>VLOOKUP(C41,#REF!,4,0)</f>
        <v>#REF!</v>
      </c>
      <c r="H41" s="100" t="e">
        <f>VLOOKUP(C41,#REF!,5,0)</f>
        <v>#REF!</v>
      </c>
      <c r="I41" s="100" t="e">
        <f>VLOOKUP(C41,#REF!,6,0)</f>
        <v>#REF!</v>
      </c>
      <c r="J41" s="109"/>
      <c r="K41" s="100" t="e">
        <f t="shared" si="0"/>
        <v>#REF!</v>
      </c>
      <c r="L41" s="100">
        <f>VLOOKUP(C41,[1]ABC!$A$3:$B$88,2,0)</f>
        <v>6900</v>
      </c>
      <c r="M41" s="100">
        <f t="shared" si="1"/>
        <v>3450</v>
      </c>
      <c r="N41" s="110"/>
      <c r="O41" s="46">
        <f>VLOOKUP(C41,[2]IP!$B$9:$I$116,8,0)</f>
        <v>0</v>
      </c>
      <c r="P41" s="46" t="e">
        <f t="shared" si="5"/>
        <v>#REF!</v>
      </c>
      <c r="Q41" s="46">
        <f>VLOOKUP(C41,[2]IP!$B$9:$N$116,13,0)</f>
        <v>0</v>
      </c>
      <c r="R41" s="46">
        <f>VLOOKUP(C41,[2]IP!$B$9:$O$116,14,0)</f>
        <v>0</v>
      </c>
      <c r="S41" s="46"/>
      <c r="T41" s="46">
        <f>VLOOKUP(C41,[2]IP!$B$9:$P$116,15,0)</f>
        <v>0</v>
      </c>
      <c r="U41" s="46">
        <f>VLOOKUP(C41,[2]IP!$B$9:$Q$116,16,0)</f>
        <v>0</v>
      </c>
      <c r="V41" s="46">
        <f>VLOOKUP(C41,[2]IP!$B$9:$S$116,18,0)</f>
        <v>0</v>
      </c>
      <c r="W41" s="46">
        <f>VLOOKUP(C41,[2]IP!$B$9:$R$116,17,0)</f>
        <v>0</v>
      </c>
      <c r="X41" s="109"/>
      <c r="Y41" s="100" t="e">
        <f t="shared" si="2"/>
        <v>#REF!</v>
      </c>
      <c r="Z41" s="46" t="e">
        <f t="shared" si="3"/>
        <v>#REF!</v>
      </c>
      <c r="AA41" s="46"/>
      <c r="AB41" s="100">
        <f>VLOOKUP(C41,[1]SINDICATO!$C$7:$Q$141,15,0)</f>
        <v>0</v>
      </c>
    </row>
    <row r="42" spans="1:28" s="100" customFormat="1" x14ac:dyDescent="0.2">
      <c r="A42" s="61" t="s">
        <v>209</v>
      </c>
      <c r="B42" s="99" t="s">
        <v>57</v>
      </c>
      <c r="C42" s="61" t="s">
        <v>350</v>
      </c>
      <c r="D42" s="99"/>
      <c r="E42" s="102">
        <f>VLOOKUP(C42,[2]IP!$B$9:$V$116,21,0)</f>
        <v>2864.8</v>
      </c>
      <c r="F42" s="123"/>
      <c r="G42" s="100" t="e">
        <f>VLOOKUP(C42,#REF!,4,0)</f>
        <v>#REF!</v>
      </c>
      <c r="H42" s="100" t="e">
        <f>VLOOKUP(C42,#REF!,5,0)</f>
        <v>#REF!</v>
      </c>
      <c r="I42" s="100" t="e">
        <f>VLOOKUP(C42,#REF!,6,0)</f>
        <v>#REF!</v>
      </c>
      <c r="J42" s="109"/>
      <c r="K42" s="100" t="e">
        <f t="shared" si="0"/>
        <v>#REF!</v>
      </c>
      <c r="L42" s="79">
        <v>10000</v>
      </c>
      <c r="M42" s="100">
        <f t="shared" si="1"/>
        <v>5000</v>
      </c>
      <c r="N42" s="110"/>
      <c r="O42" s="46">
        <f>VLOOKUP(C42,[2]IP!$B$9:$I$116,8,0)</f>
        <v>0</v>
      </c>
      <c r="P42" s="46" t="e">
        <f t="shared" si="5"/>
        <v>#REF!</v>
      </c>
      <c r="Q42" s="46">
        <f>VLOOKUP(C42,[2]IP!$B$9:$N$116,13,0)</f>
        <v>0</v>
      </c>
      <c r="R42" s="46">
        <f>VLOOKUP(C42,[2]IP!$B$9:$O$116,14,0)</f>
        <v>0</v>
      </c>
      <c r="S42" s="46"/>
      <c r="T42" s="46">
        <f>VLOOKUP(C42,[2]IP!$B$9:$P$116,15,0)</f>
        <v>0</v>
      </c>
      <c r="U42" s="46">
        <f>VLOOKUP(C42,[2]IP!$B$9:$Q$116,16,0)</f>
        <v>0</v>
      </c>
      <c r="V42" s="46">
        <f>VLOOKUP(C42,[2]IP!$B$9:$S$116,18,0)</f>
        <v>0</v>
      </c>
      <c r="W42" s="46">
        <f>VLOOKUP(C42,[2]IP!$B$9:$R$116,17,0)</f>
        <v>0</v>
      </c>
      <c r="X42" s="109"/>
      <c r="Y42" s="100" t="e">
        <f t="shared" si="2"/>
        <v>#REF!</v>
      </c>
      <c r="Z42" s="46" t="e">
        <f t="shared" si="3"/>
        <v>#REF!</v>
      </c>
      <c r="AA42" s="46"/>
      <c r="AB42" s="100">
        <f>VLOOKUP(C42,[1]SINDICATO!$C$7:$Q$141,15,0)</f>
        <v>0</v>
      </c>
    </row>
    <row r="43" spans="1:28" s="46" customFormat="1" x14ac:dyDescent="0.2">
      <c r="A43" s="54" t="s">
        <v>213</v>
      </c>
      <c r="B43" s="102" t="s">
        <v>57</v>
      </c>
      <c r="C43" s="54" t="s">
        <v>351</v>
      </c>
      <c r="D43" s="99"/>
      <c r="E43" s="102">
        <f>VLOOKUP(C43,[2]IP!$B$9:$V$116,21,0)</f>
        <v>3583.6</v>
      </c>
      <c r="F43" s="128"/>
      <c r="G43" s="100" t="e">
        <f>VLOOKUP(C43,#REF!,4,0)</f>
        <v>#REF!</v>
      </c>
      <c r="H43" s="100" t="e">
        <f>VLOOKUP(C43,#REF!,5,0)</f>
        <v>#REF!</v>
      </c>
      <c r="I43" s="100" t="e">
        <f>VLOOKUP(C43,#REF!,6,0)</f>
        <v>#REF!</v>
      </c>
      <c r="J43" s="129"/>
      <c r="K43" s="46" t="e">
        <f t="shared" si="0"/>
        <v>#REF!</v>
      </c>
      <c r="L43" s="46">
        <v>9000</v>
      </c>
      <c r="M43" s="46">
        <f t="shared" si="1"/>
        <v>4500</v>
      </c>
      <c r="N43" s="129"/>
      <c r="O43" s="46">
        <f>VLOOKUP(C43,[2]IP!$B$9:$I$116,8,0)</f>
        <v>0</v>
      </c>
      <c r="P43" s="46" t="e">
        <f t="shared" si="5"/>
        <v>#REF!</v>
      </c>
      <c r="Q43" s="46">
        <f>VLOOKUP(C43,[2]IP!$B$9:$N$116,13,0)</f>
        <v>0</v>
      </c>
      <c r="R43" s="46">
        <f>VLOOKUP(C43,[2]IP!$B$9:$O$116,14,0)</f>
        <v>0</v>
      </c>
      <c r="T43" s="46">
        <f>VLOOKUP(C43,[2]IP!$B$9:$P$116,15,0)</f>
        <v>0</v>
      </c>
      <c r="U43" s="46">
        <f>VLOOKUP(C43,[2]IP!$B$9:$Q$116,16,0)</f>
        <v>0</v>
      </c>
      <c r="V43" s="46">
        <f>VLOOKUP(C43,[2]IP!$B$9:$S$116,18,0)</f>
        <v>0</v>
      </c>
      <c r="W43" s="46">
        <f>VLOOKUP(C43,[2]IP!$B$9:$R$116,17,0)</f>
        <v>0</v>
      </c>
      <c r="X43" s="129"/>
      <c r="Y43" s="46" t="e">
        <f t="shared" si="2"/>
        <v>#REF!</v>
      </c>
      <c r="AB43" s="100">
        <f>VLOOKUP(C43,[1]SINDICATO!$C$7:$Q$141,15,0)</f>
        <v>0</v>
      </c>
    </row>
    <row r="44" spans="1:28" s="100" customFormat="1" x14ac:dyDescent="0.2">
      <c r="A44" s="61" t="s">
        <v>214</v>
      </c>
      <c r="B44" s="99" t="s">
        <v>57</v>
      </c>
      <c r="C44" s="61" t="s">
        <v>352</v>
      </c>
      <c r="D44" s="99"/>
      <c r="E44" s="102">
        <f>VLOOKUP(C44,[2]IP!$B$9:$V$116,21,0)</f>
        <v>7087.8</v>
      </c>
      <c r="F44" s="123"/>
      <c r="G44" s="100" t="e">
        <f>VLOOKUP(C44,#REF!,4,0)</f>
        <v>#REF!</v>
      </c>
      <c r="H44" s="100" t="e">
        <f>VLOOKUP(C44,#REF!,5,0)</f>
        <v>#REF!</v>
      </c>
      <c r="I44" s="100" t="e">
        <f>VLOOKUP(C44,#REF!,6,0)</f>
        <v>#REF!</v>
      </c>
      <c r="J44" s="109"/>
      <c r="K44" s="100" t="e">
        <f t="shared" si="0"/>
        <v>#REF!</v>
      </c>
      <c r="L44" s="100">
        <f>VLOOKUP(C44,[1]ABC!$A$3:$B$88,2,0)</f>
        <v>18500</v>
      </c>
      <c r="M44" s="100">
        <f t="shared" si="1"/>
        <v>9250</v>
      </c>
      <c r="N44" s="110"/>
      <c r="O44" s="46">
        <f>VLOOKUP(C44,[2]IP!$B$9:$I$116,8,0)</f>
        <v>0</v>
      </c>
      <c r="P44" s="46" t="e">
        <f t="shared" si="5"/>
        <v>#REF!</v>
      </c>
      <c r="Q44" s="46">
        <f>VLOOKUP(C44,[2]IP!$B$9:$N$116,13,0)</f>
        <v>0</v>
      </c>
      <c r="R44" s="46">
        <f>VLOOKUP(C44,[2]IP!$B$9:$O$116,14,0)</f>
        <v>0</v>
      </c>
      <c r="S44" s="46"/>
      <c r="T44" s="46">
        <f>VLOOKUP(C44,[2]IP!$B$9:$P$116,15,0)</f>
        <v>0</v>
      </c>
      <c r="U44" s="46">
        <f>VLOOKUP(C44,[2]IP!$B$9:$Q$116,16,0)</f>
        <v>0</v>
      </c>
      <c r="V44" s="46">
        <f>VLOOKUP(C44,[2]IP!$B$9:$S$116,18,0)</f>
        <v>0</v>
      </c>
      <c r="W44" s="46">
        <f>VLOOKUP(C44,[2]IP!$B$9:$R$116,17,0)</f>
        <v>0</v>
      </c>
      <c r="X44" s="109"/>
      <c r="Y44" s="100" t="e">
        <f t="shared" si="2"/>
        <v>#REF!</v>
      </c>
      <c r="Z44" s="46" t="e">
        <f t="shared" ref="Z44:Z83" si="6">+M44-Y44</f>
        <v>#REF!</v>
      </c>
      <c r="AA44" s="46"/>
      <c r="AB44" s="100">
        <f>VLOOKUP(C44,[1]SINDICATO!$C$7:$Q$141,15,0)</f>
        <v>0</v>
      </c>
    </row>
    <row r="45" spans="1:28" s="100" customFormat="1" x14ac:dyDescent="0.2">
      <c r="A45" s="61" t="s">
        <v>215</v>
      </c>
      <c r="B45" s="99" t="s">
        <v>57</v>
      </c>
      <c r="C45" s="61" t="s">
        <v>353</v>
      </c>
      <c r="D45" s="99"/>
      <c r="E45" s="102">
        <f>VLOOKUP(C45,[2]IP!$B$9:$V$116,21,0)</f>
        <v>3518.2</v>
      </c>
      <c r="F45" s="123"/>
      <c r="G45" s="100" t="e">
        <f>VLOOKUP(C45,#REF!,4,0)</f>
        <v>#REF!</v>
      </c>
      <c r="H45" s="100" t="e">
        <f>VLOOKUP(C45,#REF!,5,0)</f>
        <v>#REF!</v>
      </c>
      <c r="I45" s="100" t="e">
        <f>VLOOKUP(C45,#REF!,6,0)</f>
        <v>#REF!</v>
      </c>
      <c r="J45" s="109"/>
      <c r="K45" s="100" t="e">
        <f t="shared" si="0"/>
        <v>#REF!</v>
      </c>
      <c r="L45" s="100">
        <f>VLOOKUP(C45,[1]ABC!$A$3:$B$88,2,0)</f>
        <v>8500</v>
      </c>
      <c r="M45" s="100">
        <f t="shared" si="1"/>
        <v>4250</v>
      </c>
      <c r="N45" s="110"/>
      <c r="O45" s="46">
        <f>VLOOKUP(C45,[2]IP!$B$9:$I$116,8,0)</f>
        <v>150</v>
      </c>
      <c r="P45" s="46" t="e">
        <f t="shared" si="5"/>
        <v>#REF!</v>
      </c>
      <c r="Q45" s="46">
        <f>VLOOKUP(C45,[2]IP!$B$9:$N$116,13,0)</f>
        <v>0</v>
      </c>
      <c r="R45" s="46">
        <f>VLOOKUP(C45,[2]IP!$B$9:$O$116,14,0)</f>
        <v>0</v>
      </c>
      <c r="S45" s="46"/>
      <c r="T45" s="46">
        <f>VLOOKUP(C45,[2]IP!$B$9:$P$116,15,0)</f>
        <v>0</v>
      </c>
      <c r="U45" s="46">
        <f>VLOOKUP(C45,[2]IP!$B$9:$Q$116,16,0)</f>
        <v>0</v>
      </c>
      <c r="V45" s="46">
        <f>VLOOKUP(C45,[2]IP!$B$9:$S$116,18,0)</f>
        <v>0</v>
      </c>
      <c r="W45" s="46">
        <f>VLOOKUP(C45,[2]IP!$B$9:$R$116,17,0)</f>
        <v>0</v>
      </c>
      <c r="X45" s="109"/>
      <c r="Y45" s="100" t="e">
        <f t="shared" si="2"/>
        <v>#REF!</v>
      </c>
      <c r="Z45" s="46" t="e">
        <f t="shared" si="6"/>
        <v>#REF!</v>
      </c>
      <c r="AA45" s="46"/>
      <c r="AB45" s="100">
        <f>VLOOKUP(C45,[1]SINDICATO!$C$7:$Q$141,15,0)</f>
        <v>0</v>
      </c>
    </row>
    <row r="46" spans="1:28" s="100" customFormat="1" x14ac:dyDescent="0.2">
      <c r="A46" s="61" t="s">
        <v>216</v>
      </c>
      <c r="B46" s="99" t="s">
        <v>57</v>
      </c>
      <c r="C46" s="61" t="s">
        <v>356</v>
      </c>
      <c r="D46" s="99"/>
      <c r="E46" s="102">
        <f>VLOOKUP(C46,[2]IP!$B$9:$V$116,21,0)</f>
        <v>3906.4</v>
      </c>
      <c r="F46" s="123"/>
      <c r="G46" s="100" t="e">
        <f>VLOOKUP(C46,#REF!,4,0)</f>
        <v>#REF!</v>
      </c>
      <c r="H46" s="100" t="e">
        <f>VLOOKUP(C46,#REF!,5,0)</f>
        <v>#REF!</v>
      </c>
      <c r="I46" s="100" t="e">
        <f>VLOOKUP(C46,#REF!,6,0)</f>
        <v>#REF!</v>
      </c>
      <c r="J46" s="109"/>
      <c r="K46" s="100" t="e">
        <f t="shared" si="0"/>
        <v>#REF!</v>
      </c>
      <c r="L46" s="100">
        <f>VLOOKUP(C46,[1]ABC!$A$3:$B$88,2,0)</f>
        <v>10000</v>
      </c>
      <c r="M46" s="100">
        <f t="shared" si="1"/>
        <v>5000</v>
      </c>
      <c r="N46" s="110"/>
      <c r="O46" s="46">
        <f>VLOOKUP(C46,[2]IP!$B$9:$I$116,8,0)</f>
        <v>0</v>
      </c>
      <c r="P46" s="46" t="e">
        <f t="shared" si="5"/>
        <v>#REF!</v>
      </c>
      <c r="Q46" s="46">
        <f>VLOOKUP(C46,[2]IP!$B$9:$N$116,13,0)</f>
        <v>0</v>
      </c>
      <c r="R46" s="46">
        <f>VLOOKUP(C46,[2]IP!$B$9:$O$116,14,0)</f>
        <v>0</v>
      </c>
      <c r="S46" s="46"/>
      <c r="T46" s="46">
        <f>VLOOKUP(C46,[2]IP!$B$9:$P$116,15,0)</f>
        <v>0</v>
      </c>
      <c r="U46" s="46">
        <f>VLOOKUP(C46,[2]IP!$B$9:$Q$116,16,0)</f>
        <v>0</v>
      </c>
      <c r="V46" s="46">
        <f>VLOOKUP(C46,[2]IP!$B$9:$S$116,18,0)</f>
        <v>500</v>
      </c>
      <c r="W46" s="46">
        <f>VLOOKUP(C46,[2]IP!$B$9:$R$116,17,0)</f>
        <v>0</v>
      </c>
      <c r="X46" s="109"/>
      <c r="Y46" s="100" t="e">
        <f t="shared" si="2"/>
        <v>#REF!</v>
      </c>
      <c r="Z46" s="46" t="e">
        <f t="shared" si="6"/>
        <v>#REF!</v>
      </c>
      <c r="AA46" s="46"/>
      <c r="AB46" s="100">
        <f>VLOOKUP(C46,[1]SINDICATO!$C$7:$Q$141,15,0)</f>
        <v>0</v>
      </c>
    </row>
    <row r="47" spans="1:28" s="100" customFormat="1" x14ac:dyDescent="0.2">
      <c r="A47" s="61" t="s">
        <v>217</v>
      </c>
      <c r="B47" s="99" t="s">
        <v>57</v>
      </c>
      <c r="C47" s="61" t="s">
        <v>357</v>
      </c>
      <c r="D47" s="99"/>
      <c r="E47" s="102">
        <f>VLOOKUP(C47,[2]IP!$B$9:$V$116,21,0)</f>
        <v>2125.1999999999998</v>
      </c>
      <c r="F47" s="123"/>
      <c r="G47" s="100" t="e">
        <f>VLOOKUP(C47,#REF!,4,0)</f>
        <v>#REF!</v>
      </c>
      <c r="H47" s="100" t="e">
        <f>VLOOKUP(C47,#REF!,5,0)</f>
        <v>#REF!</v>
      </c>
      <c r="I47" s="100" t="e">
        <f>VLOOKUP(C47,#REF!,6,0)</f>
        <v>#REF!</v>
      </c>
      <c r="J47" s="109"/>
      <c r="K47" s="100" t="e">
        <f t="shared" si="0"/>
        <v>#REF!</v>
      </c>
      <c r="L47" s="100">
        <f>VLOOKUP(C47,[1]ABC!$A$3:$B$88,2,0)</f>
        <v>9800</v>
      </c>
      <c r="M47" s="100">
        <f t="shared" si="1"/>
        <v>4900</v>
      </c>
      <c r="N47" s="110"/>
      <c r="O47" s="46">
        <f>VLOOKUP(C47,[2]IP!$B$9:$I$116,8,0)</f>
        <v>0</v>
      </c>
      <c r="P47" s="46" t="e">
        <f t="shared" si="5"/>
        <v>#REF!</v>
      </c>
      <c r="Q47" s="46">
        <f>VLOOKUP(C47,[2]IP!$B$9:$N$116,13,0)</f>
        <v>1637.48</v>
      </c>
      <c r="R47" s="46">
        <f>VLOOKUP(C47,[2]IP!$B$9:$O$116,14,0)</f>
        <v>0</v>
      </c>
      <c r="S47" s="46"/>
      <c r="T47" s="46">
        <f>VLOOKUP(C47,[2]IP!$B$9:$P$116,15,0)</f>
        <v>15</v>
      </c>
      <c r="U47" s="46">
        <f>VLOOKUP(C47,[2]IP!$B$9:$Q$116,16,0)</f>
        <v>0</v>
      </c>
      <c r="V47" s="46">
        <f>VLOOKUP(C47,[2]IP!$B$9:$S$116,18,0)</f>
        <v>0</v>
      </c>
      <c r="W47" s="46">
        <f>VLOOKUP(C47,[2]IP!$B$9:$R$116,17,0)</f>
        <v>0</v>
      </c>
      <c r="X47" s="109"/>
      <c r="Y47" s="100" t="e">
        <f t="shared" si="2"/>
        <v>#REF!</v>
      </c>
      <c r="Z47" s="46" t="e">
        <f t="shared" si="6"/>
        <v>#REF!</v>
      </c>
      <c r="AA47" s="46"/>
      <c r="AB47" s="100">
        <f>VLOOKUP(C47,[1]SINDICATO!$C$7:$Q$141,15,0)</f>
        <v>0</v>
      </c>
    </row>
    <row r="48" spans="1:28" s="46" customFormat="1" x14ac:dyDescent="0.2">
      <c r="A48" s="54" t="s">
        <v>219</v>
      </c>
      <c r="B48" s="102" t="s">
        <v>57</v>
      </c>
      <c r="C48" s="54" t="s">
        <v>358</v>
      </c>
      <c r="D48" s="99"/>
      <c r="E48" s="102">
        <f>VLOOKUP(C48,[2]IP!$B$9:$V$116,21,0)</f>
        <v>4810.8</v>
      </c>
      <c r="F48" s="128"/>
      <c r="G48" s="100" t="e">
        <f>VLOOKUP(C48,#REF!,4,0)</f>
        <v>#REF!</v>
      </c>
      <c r="H48" s="100" t="e">
        <f>VLOOKUP(C48,#REF!,5,0)</f>
        <v>#REF!</v>
      </c>
      <c r="I48" s="100" t="e">
        <f>VLOOKUP(C48,#REF!,6,0)</f>
        <v>#REF!</v>
      </c>
      <c r="J48" s="129"/>
      <c r="K48" s="46" t="e">
        <f t="shared" si="0"/>
        <v>#REF!</v>
      </c>
      <c r="L48" s="46">
        <v>9000</v>
      </c>
      <c r="M48" s="46">
        <f t="shared" si="1"/>
        <v>4500</v>
      </c>
      <c r="N48" s="129"/>
      <c r="O48" s="46">
        <f>VLOOKUP(C48,[2]IP!$B$9:$I$116,8,0)</f>
        <v>307.22000000000003</v>
      </c>
      <c r="P48" s="46" t="e">
        <f t="shared" si="5"/>
        <v>#REF!</v>
      </c>
      <c r="Q48" s="46">
        <f>VLOOKUP(C48,[2]IP!$B$9:$N$116,13,0)</f>
        <v>0</v>
      </c>
      <c r="R48" s="46">
        <f>VLOOKUP(C48,[2]IP!$B$9:$O$116,14,0)</f>
        <v>0</v>
      </c>
      <c r="T48" s="46">
        <f>VLOOKUP(C48,[2]IP!$B$9:$P$116,15,0)</f>
        <v>0</v>
      </c>
      <c r="U48" s="46">
        <f>VLOOKUP(C48,[2]IP!$B$9:$Q$116,16,0)</f>
        <v>0</v>
      </c>
      <c r="V48" s="46">
        <f>VLOOKUP(C48,[2]IP!$B$9:$S$116,18,0)</f>
        <v>0</v>
      </c>
      <c r="W48" s="46">
        <f>VLOOKUP(C48,[2]IP!$B$9:$R$116,17,0)</f>
        <v>0</v>
      </c>
      <c r="X48" s="129"/>
      <c r="Y48" s="46" t="e">
        <f t="shared" si="2"/>
        <v>#REF!</v>
      </c>
      <c r="Z48" s="125" t="e">
        <f t="shared" si="6"/>
        <v>#REF!</v>
      </c>
      <c r="AA48" s="125" t="s">
        <v>654</v>
      </c>
      <c r="AB48" s="100">
        <f>VLOOKUP(C48,[1]SINDICATO!$C$7:$Q$141,15,0)</f>
        <v>0</v>
      </c>
    </row>
    <row r="49" spans="1:29" s="100" customFormat="1" x14ac:dyDescent="0.2">
      <c r="A49" s="61" t="s">
        <v>220</v>
      </c>
      <c r="B49" s="99" t="s">
        <v>57</v>
      </c>
      <c r="C49" s="61" t="s">
        <v>359</v>
      </c>
      <c r="D49" s="99"/>
      <c r="E49" s="102">
        <f>VLOOKUP(C49,[2]IP!$B$9:$V$116,21,0)</f>
        <v>2480.1999999999998</v>
      </c>
      <c r="F49" s="123"/>
      <c r="G49" s="100" t="e">
        <f>VLOOKUP(C49,#REF!,4,0)</f>
        <v>#REF!</v>
      </c>
      <c r="H49" s="100" t="e">
        <f>VLOOKUP(C49,#REF!,5,0)</f>
        <v>#REF!</v>
      </c>
      <c r="I49" s="100" t="e">
        <f>VLOOKUP(C49,#REF!,6,0)</f>
        <v>#REF!</v>
      </c>
      <c r="J49" s="109"/>
      <c r="K49" s="100" t="e">
        <f t="shared" si="0"/>
        <v>#REF!</v>
      </c>
      <c r="L49" s="100">
        <f>VLOOKUP(C49,[1]ABC!$A$3:$B$88,2,0)</f>
        <v>11500</v>
      </c>
      <c r="M49" s="100">
        <f t="shared" si="1"/>
        <v>5750</v>
      </c>
      <c r="N49" s="110"/>
      <c r="O49" s="46">
        <f>VLOOKUP(C49,[2]IP!$B$9:$I$116,8,0)</f>
        <v>0</v>
      </c>
      <c r="P49" s="46" t="e">
        <f t="shared" si="5"/>
        <v>#REF!</v>
      </c>
      <c r="Q49" s="46">
        <f>VLOOKUP(C49,[2]IP!$B$9:$N$116,13,0)</f>
        <v>1088.47</v>
      </c>
      <c r="R49" s="46">
        <f>VLOOKUP(C49,[2]IP!$B$9:$O$116,14,0)</f>
        <v>0</v>
      </c>
      <c r="S49" s="46"/>
      <c r="T49" s="46">
        <f>VLOOKUP(C49,[2]IP!$B$9:$P$116,15,0)</f>
        <v>15</v>
      </c>
      <c r="U49" s="46">
        <f>VLOOKUP(C49,[2]IP!$B$9:$Q$116,16,0)</f>
        <v>0</v>
      </c>
      <c r="V49" s="46">
        <f>VLOOKUP(C49,[2]IP!$B$9:$S$116,18,0)</f>
        <v>0</v>
      </c>
      <c r="W49" s="46">
        <f>VLOOKUP(C49,[2]IP!$B$9:$R$116,17,0)</f>
        <v>0</v>
      </c>
      <c r="X49" s="109"/>
      <c r="Y49" s="100" t="e">
        <f t="shared" si="2"/>
        <v>#REF!</v>
      </c>
      <c r="Z49" s="46" t="e">
        <f t="shared" si="6"/>
        <v>#REF!</v>
      </c>
      <c r="AA49" s="46"/>
      <c r="AB49" s="100">
        <f>VLOOKUP(C49,[1]SINDICATO!$C$7:$Q$141,15,0)</f>
        <v>0</v>
      </c>
    </row>
    <row r="50" spans="1:29" s="100" customFormat="1" x14ac:dyDescent="0.2">
      <c r="A50" s="61" t="s">
        <v>221</v>
      </c>
      <c r="B50" s="99" t="s">
        <v>57</v>
      </c>
      <c r="C50" s="61" t="s">
        <v>360</v>
      </c>
      <c r="D50" s="99"/>
      <c r="E50" s="102">
        <f>VLOOKUP(C50,[2]IP!$B$9:$V$116,21,0)</f>
        <v>2929.8</v>
      </c>
      <c r="F50" s="123"/>
      <c r="G50" s="100" t="e">
        <f>VLOOKUP(C50,#REF!,4,0)</f>
        <v>#REF!</v>
      </c>
      <c r="H50" s="100" t="e">
        <f>VLOOKUP(C50,#REF!,5,0)</f>
        <v>#REF!</v>
      </c>
      <c r="I50" s="100" t="e">
        <f>VLOOKUP(C50,#REF!,6,0)</f>
        <v>#REF!</v>
      </c>
      <c r="J50" s="109"/>
      <c r="K50" s="100" t="e">
        <f t="shared" si="0"/>
        <v>#REF!</v>
      </c>
      <c r="L50" s="100">
        <f>VLOOKUP(C50,[1]ABC!$A$3:$B$88,2,0)</f>
        <v>10000</v>
      </c>
      <c r="M50" s="100">
        <f t="shared" si="1"/>
        <v>5000</v>
      </c>
      <c r="N50" s="110"/>
      <c r="O50" s="46">
        <f>VLOOKUP(C50,[2]IP!$B$9:$I$116,8,0)</f>
        <v>240</v>
      </c>
      <c r="P50" s="46" t="e">
        <f t="shared" si="5"/>
        <v>#REF!</v>
      </c>
      <c r="Q50" s="46">
        <f>VLOOKUP(C50,[2]IP!$B$9:$N$116,13,0)</f>
        <v>878.84</v>
      </c>
      <c r="R50" s="46">
        <f>VLOOKUP(C50,[2]IP!$B$9:$O$116,14,0)</f>
        <v>0</v>
      </c>
      <c r="S50" s="46"/>
      <c r="T50" s="46">
        <f>VLOOKUP(C50,[2]IP!$B$9:$P$116,15,0)</f>
        <v>15</v>
      </c>
      <c r="U50" s="46">
        <f>VLOOKUP(C50,[2]IP!$B$9:$Q$116,16,0)</f>
        <v>0</v>
      </c>
      <c r="V50" s="46">
        <f>VLOOKUP(C50,[2]IP!$B$9:$S$116,18,0)</f>
        <v>0</v>
      </c>
      <c r="W50" s="46">
        <f>VLOOKUP(C50,[2]IP!$B$9:$R$116,17,0)</f>
        <v>0</v>
      </c>
      <c r="X50" s="109"/>
      <c r="Y50" s="100" t="e">
        <f t="shared" si="2"/>
        <v>#REF!</v>
      </c>
      <c r="Z50" s="46" t="e">
        <f t="shared" si="6"/>
        <v>#REF!</v>
      </c>
      <c r="AA50" s="46"/>
      <c r="AB50" s="100">
        <f>VLOOKUP(C50,[1]SINDICATO!$C$7:$Q$141,15,0)</f>
        <v>0</v>
      </c>
    </row>
    <row r="51" spans="1:29" s="100" customFormat="1" x14ac:dyDescent="0.2">
      <c r="A51" s="61" t="s">
        <v>225</v>
      </c>
      <c r="B51" s="99" t="s">
        <v>57</v>
      </c>
      <c r="C51" s="61" t="s">
        <v>361</v>
      </c>
      <c r="D51" s="99"/>
      <c r="E51" s="102">
        <f>VLOOKUP(C51,[2]IP!$B$9:$V$116,21,0)</f>
        <v>3583.6</v>
      </c>
      <c r="F51" s="123"/>
      <c r="G51" s="100" t="e">
        <f>VLOOKUP(C51,#REF!,4,0)</f>
        <v>#REF!</v>
      </c>
      <c r="H51" s="100" t="e">
        <f>VLOOKUP(C51,#REF!,5,0)</f>
        <v>#REF!</v>
      </c>
      <c r="I51" s="100" t="e">
        <f>VLOOKUP(C51,#REF!,6,0)</f>
        <v>#REF!</v>
      </c>
      <c r="J51" s="109"/>
      <c r="K51" s="100" t="e">
        <f t="shared" si="0"/>
        <v>#REF!</v>
      </c>
      <c r="L51" s="100">
        <v>12600</v>
      </c>
      <c r="M51" s="100">
        <f t="shared" si="1"/>
        <v>6300</v>
      </c>
      <c r="N51" s="110"/>
      <c r="O51" s="46">
        <f>VLOOKUP(C51,[2]IP!$B$9:$I$116,8,0)</f>
        <v>0</v>
      </c>
      <c r="P51" s="46" t="e">
        <f t="shared" si="5"/>
        <v>#REF!</v>
      </c>
      <c r="Q51" s="46">
        <f>VLOOKUP(C51,[2]IP!$B$9:$N$116,13,0)</f>
        <v>0</v>
      </c>
      <c r="R51" s="46">
        <f>VLOOKUP(C51,[2]IP!$B$9:$O$116,14,0)</f>
        <v>0</v>
      </c>
      <c r="S51" s="46"/>
      <c r="T51" s="46">
        <f>VLOOKUP(C51,[2]IP!$B$9:$P$116,15,0)</f>
        <v>0</v>
      </c>
      <c r="U51" s="46">
        <f>VLOOKUP(C51,[2]IP!$B$9:$Q$116,16,0)</f>
        <v>0</v>
      </c>
      <c r="V51" s="46">
        <f>VLOOKUP(C51,[2]IP!$B$9:$S$116,18,0)</f>
        <v>0</v>
      </c>
      <c r="W51" s="46">
        <f>VLOOKUP(C51,[2]IP!$B$9:$R$116,17,0)</f>
        <v>0</v>
      </c>
      <c r="X51" s="109"/>
      <c r="Y51" s="100" t="e">
        <f t="shared" si="2"/>
        <v>#REF!</v>
      </c>
      <c r="Z51" s="46" t="e">
        <f t="shared" si="6"/>
        <v>#REF!</v>
      </c>
      <c r="AA51" s="46"/>
      <c r="AB51" s="100">
        <f>VLOOKUP(C51,[1]SINDICATO!$C$7:$Q$141,15,0)</f>
        <v>0</v>
      </c>
      <c r="AC51" s="124"/>
    </row>
    <row r="52" spans="1:29" s="46" customFormat="1" x14ac:dyDescent="0.2">
      <c r="A52" s="54" t="s">
        <v>226</v>
      </c>
      <c r="B52" s="102" t="s">
        <v>57</v>
      </c>
      <c r="C52" s="54" t="s">
        <v>362</v>
      </c>
      <c r="D52" s="99"/>
      <c r="E52" s="102">
        <f>VLOOKUP(C52,[2]IP!$B$9:$V$116,21,0)</f>
        <v>4753.8</v>
      </c>
      <c r="F52" s="128"/>
      <c r="G52" s="100" t="e">
        <f>VLOOKUP(C52,#REF!,4,0)</f>
        <v>#REF!</v>
      </c>
      <c r="H52" s="100" t="e">
        <f>VLOOKUP(C52,#REF!,5,0)</f>
        <v>#REF!</v>
      </c>
      <c r="I52" s="100" t="e">
        <f>VLOOKUP(C52,#REF!,6,0)</f>
        <v>#REF!</v>
      </c>
      <c r="J52" s="129"/>
      <c r="K52" s="46" t="e">
        <f t="shared" si="0"/>
        <v>#REF!</v>
      </c>
      <c r="L52" s="46">
        <f>VLOOKUP(C52,[1]ABC!$A$3:$B$88,2,0)</f>
        <v>9500</v>
      </c>
      <c r="M52" s="46">
        <f t="shared" si="1"/>
        <v>4750</v>
      </c>
      <c r="N52" s="129"/>
      <c r="O52" s="46">
        <f>VLOOKUP(C52,[2]IP!$B$9:$I$116,8,0)</f>
        <v>0</v>
      </c>
      <c r="P52" s="46" t="e">
        <f t="shared" si="5"/>
        <v>#REF!</v>
      </c>
      <c r="Q52" s="46">
        <f>VLOOKUP(C52,[2]IP!$B$9:$N$116,13,0)</f>
        <v>0</v>
      </c>
      <c r="R52" s="46">
        <f>VLOOKUP(C52,[2]IP!$B$9:$O$116,14,0)</f>
        <v>0</v>
      </c>
      <c r="T52" s="46">
        <f>VLOOKUP(C52,[2]IP!$B$9:$P$116,15,0)</f>
        <v>0</v>
      </c>
      <c r="U52" s="46">
        <f>VLOOKUP(C52,[2]IP!$B$9:$Q$116,16,0)</f>
        <v>0</v>
      </c>
      <c r="V52" s="46">
        <f>VLOOKUP(C52,[2]IP!$B$9:$S$116,18,0)</f>
        <v>0</v>
      </c>
      <c r="W52" s="46">
        <f>VLOOKUP(C52,[2]IP!$B$9:$R$116,17,0)</f>
        <v>0</v>
      </c>
      <c r="X52" s="129"/>
      <c r="Y52" s="46" t="e">
        <f t="shared" si="2"/>
        <v>#REF!</v>
      </c>
      <c r="Z52" s="125" t="e">
        <f t="shared" si="6"/>
        <v>#REF!</v>
      </c>
      <c r="AA52" s="125" t="s">
        <v>654</v>
      </c>
      <c r="AB52" s="100">
        <f>VLOOKUP(C52,[1]SINDICATO!$C$7:$Q$141,15,0)</f>
        <v>0</v>
      </c>
    </row>
    <row r="53" spans="1:29" s="100" customFormat="1" x14ac:dyDescent="0.2">
      <c r="A53" s="61" t="s">
        <v>113</v>
      </c>
      <c r="B53" s="99" t="s">
        <v>57</v>
      </c>
      <c r="C53" s="61" t="s">
        <v>363</v>
      </c>
      <c r="D53" s="99"/>
      <c r="E53" s="102">
        <f>VLOOKUP(C53,[2]IP!$B$9:$V$116,21,0)</f>
        <v>3003.4</v>
      </c>
      <c r="F53" s="123"/>
      <c r="G53" s="100" t="e">
        <f>VLOOKUP(C53,#REF!,4,0)</f>
        <v>#REF!</v>
      </c>
      <c r="H53" s="100" t="e">
        <f>VLOOKUP(C53,#REF!,5,0)</f>
        <v>#REF!</v>
      </c>
      <c r="I53" s="100" t="e">
        <f>VLOOKUP(C53,#REF!,6,0)</f>
        <v>#REF!</v>
      </c>
      <c r="J53" s="109"/>
      <c r="K53" s="100" t="e">
        <f t="shared" si="0"/>
        <v>#REF!</v>
      </c>
      <c r="L53" s="100">
        <v>9050</v>
      </c>
      <c r="M53" s="100">
        <f t="shared" si="1"/>
        <v>4525</v>
      </c>
      <c r="N53" s="110"/>
      <c r="O53" s="46">
        <f>VLOOKUP(C53,[2]IP!$B$9:$I$116,8,0)</f>
        <v>0</v>
      </c>
      <c r="P53" s="46" t="e">
        <f t="shared" si="5"/>
        <v>#REF!</v>
      </c>
      <c r="Q53" s="46">
        <f>VLOOKUP(C53,[2]IP!$B$9:$N$116,13,0)</f>
        <v>565.24</v>
      </c>
      <c r="R53" s="46">
        <f>VLOOKUP(C53,[2]IP!$B$9:$O$116,14,0)</f>
        <v>0</v>
      </c>
      <c r="S53" s="46"/>
      <c r="T53" s="46">
        <f>VLOOKUP(C53,[2]IP!$B$9:$P$116,15,0)</f>
        <v>15</v>
      </c>
      <c r="U53" s="46">
        <f>VLOOKUP(C53,[2]IP!$B$9:$Q$116,16,0)</f>
        <v>0</v>
      </c>
      <c r="V53" s="46">
        <f>VLOOKUP(C53,[2]IP!$B$9:$S$116,18,0)</f>
        <v>0</v>
      </c>
      <c r="W53" s="46">
        <f>VLOOKUP(C53,[2]IP!$B$9:$R$116,17,0)</f>
        <v>0</v>
      </c>
      <c r="X53" s="109"/>
      <c r="Y53" s="100" t="e">
        <f t="shared" si="2"/>
        <v>#REF!</v>
      </c>
      <c r="Z53" s="46" t="e">
        <f t="shared" si="6"/>
        <v>#REF!</v>
      </c>
      <c r="AA53" s="46"/>
      <c r="AB53" s="100">
        <f>VLOOKUP(C53,[1]SINDICATO!$C$7:$Q$141,15,0)</f>
        <v>0</v>
      </c>
    </row>
    <row r="54" spans="1:29" s="100" customFormat="1" x14ac:dyDescent="0.2">
      <c r="A54" s="61" t="s">
        <v>227</v>
      </c>
      <c r="B54" s="99" t="s">
        <v>57</v>
      </c>
      <c r="C54" s="61" t="s">
        <v>364</v>
      </c>
      <c r="D54" s="99"/>
      <c r="E54" s="102">
        <f>VLOOKUP(C54,[2]IP!$B$9:$V$116,21,0)</f>
        <v>1917</v>
      </c>
      <c r="F54" s="123"/>
      <c r="G54" s="100" t="e">
        <f>VLOOKUP(C54,#REF!,4,0)</f>
        <v>#REF!</v>
      </c>
      <c r="H54" s="100" t="e">
        <f>VLOOKUP(C54,#REF!,5,0)</f>
        <v>#REF!</v>
      </c>
      <c r="I54" s="100" t="e">
        <f>VLOOKUP(C54,#REF!,6,0)</f>
        <v>#REF!</v>
      </c>
      <c r="J54" s="109"/>
      <c r="K54" s="100" t="e">
        <f t="shared" si="0"/>
        <v>#REF!</v>
      </c>
      <c r="L54" s="100">
        <f>VLOOKUP(C54,[1]ABC!$A$3:$B$88,2,0)</f>
        <v>10000</v>
      </c>
      <c r="M54" s="100">
        <f t="shared" si="1"/>
        <v>5000</v>
      </c>
      <c r="N54" s="110"/>
      <c r="O54" s="46">
        <f>VLOOKUP(C54,[2]IP!$B$9:$I$116,8,0)</f>
        <v>0</v>
      </c>
      <c r="P54" s="46" t="e">
        <f t="shared" si="5"/>
        <v>#REF!</v>
      </c>
      <c r="Q54" s="46">
        <f>VLOOKUP(C54,[2]IP!$B$9:$N$116,13,0)</f>
        <v>0</v>
      </c>
      <c r="R54" s="46">
        <f>VLOOKUP(C54,[2]IP!$B$9:$O$116,14,0)</f>
        <v>0</v>
      </c>
      <c r="S54" s="46"/>
      <c r="T54" s="46">
        <f>VLOOKUP(C54,[2]IP!$B$9:$P$116,15,0)</f>
        <v>0</v>
      </c>
      <c r="U54" s="46">
        <f>VLOOKUP(C54,[2]IP!$B$9:$Q$116,16,0)</f>
        <v>0</v>
      </c>
      <c r="V54" s="46">
        <f>VLOOKUP(C54,[2]IP!$B$9:$S$116,18,0)</f>
        <v>0</v>
      </c>
      <c r="W54" s="46">
        <f>VLOOKUP(C54,[2]IP!$B$9:$R$116,17,0)</f>
        <v>1666.67</v>
      </c>
      <c r="X54" s="109"/>
      <c r="Y54" s="100" t="e">
        <f t="shared" si="2"/>
        <v>#REF!</v>
      </c>
      <c r="Z54" s="46" t="e">
        <f t="shared" si="6"/>
        <v>#REF!</v>
      </c>
      <c r="AA54" s="46"/>
      <c r="AB54" s="100" t="e">
        <f>VLOOKUP(C54,[1]SINDICATO!$C$7:$Q$141,15,0)</f>
        <v>#N/A</v>
      </c>
    </row>
    <row r="55" spans="1:29" s="100" customFormat="1" x14ac:dyDescent="0.2">
      <c r="A55" s="61" t="s">
        <v>115</v>
      </c>
      <c r="B55" s="99" t="s">
        <v>57</v>
      </c>
      <c r="C55" s="61" t="s">
        <v>365</v>
      </c>
      <c r="D55" s="99"/>
      <c r="E55" s="102">
        <f>VLOOKUP(C55,[2]IP!$B$9:$V$116,21,0)</f>
        <v>2351</v>
      </c>
      <c r="F55" s="123"/>
      <c r="G55" s="100" t="e">
        <f>VLOOKUP(C55,#REF!,4,0)</f>
        <v>#REF!</v>
      </c>
      <c r="H55" s="100" t="e">
        <f>VLOOKUP(C55,#REF!,5,0)</f>
        <v>#REF!</v>
      </c>
      <c r="I55" s="100" t="e">
        <f>VLOOKUP(C55,#REF!,6,0)</f>
        <v>#REF!</v>
      </c>
      <c r="J55" s="109"/>
      <c r="K55" s="100" t="e">
        <f t="shared" si="0"/>
        <v>#REF!</v>
      </c>
      <c r="L55" s="100">
        <v>9050</v>
      </c>
      <c r="M55" s="100">
        <f t="shared" si="1"/>
        <v>4525</v>
      </c>
      <c r="N55" s="110"/>
      <c r="O55" s="46">
        <f>VLOOKUP(C55,[2]IP!$B$9:$I$116,8,0)</f>
        <v>0</v>
      </c>
      <c r="P55" s="46" t="e">
        <f t="shared" si="5"/>
        <v>#REF!</v>
      </c>
      <c r="Q55" s="46">
        <f>VLOOKUP(C55,[2]IP!$B$9:$N$116,13,0)</f>
        <v>0</v>
      </c>
      <c r="R55" s="46">
        <f>VLOOKUP(C55,[2]IP!$B$9:$O$116,14,0)</f>
        <v>1217.5999999999999</v>
      </c>
      <c r="S55" s="46"/>
      <c r="T55" s="46">
        <f>VLOOKUP(C55,[2]IP!$B$9:$P$116,15,0)</f>
        <v>15</v>
      </c>
      <c r="U55" s="46">
        <f>VLOOKUP(C55,[2]IP!$B$9:$Q$116,16,0)</f>
        <v>0</v>
      </c>
      <c r="V55" s="46">
        <f>VLOOKUP(C55,[2]IP!$B$9:$S$116,18,0)</f>
        <v>0</v>
      </c>
      <c r="W55" s="46">
        <f>VLOOKUP(C55,[2]IP!$B$9:$R$116,17,0)</f>
        <v>0</v>
      </c>
      <c r="X55" s="109"/>
      <c r="Y55" s="100" t="e">
        <f t="shared" si="2"/>
        <v>#REF!</v>
      </c>
      <c r="Z55" s="46" t="e">
        <f t="shared" si="6"/>
        <v>#REF!</v>
      </c>
      <c r="AA55" s="46"/>
      <c r="AB55" s="100">
        <f>VLOOKUP(C55,[1]SINDICATO!$C$7:$Q$141,15,0)</f>
        <v>0</v>
      </c>
    </row>
    <row r="56" spans="1:29" s="100" customFormat="1" x14ac:dyDescent="0.2">
      <c r="A56" s="61" t="s">
        <v>229</v>
      </c>
      <c r="B56" s="99" t="s">
        <v>57</v>
      </c>
      <c r="C56" s="61" t="s">
        <v>366</v>
      </c>
      <c r="D56" s="99"/>
      <c r="E56" s="102">
        <f>VLOOKUP(C56,[2]IP!$B$9:$V$116,21,0)</f>
        <v>1773.8</v>
      </c>
      <c r="F56" s="123"/>
      <c r="G56" s="100" t="e">
        <f>VLOOKUP(C56,#REF!,4,0)</f>
        <v>#REF!</v>
      </c>
      <c r="H56" s="100" t="e">
        <f>VLOOKUP(C56,#REF!,5,0)</f>
        <v>#REF!</v>
      </c>
      <c r="I56" s="100" t="e">
        <f>VLOOKUP(C56,#REF!,6,0)</f>
        <v>#REF!</v>
      </c>
      <c r="J56" s="109"/>
      <c r="K56" s="100" t="e">
        <f t="shared" si="0"/>
        <v>#REF!</v>
      </c>
      <c r="L56" s="100">
        <f>VLOOKUP(C56,[1]ABC!$A$3:$B$88,2,0)</f>
        <v>7500</v>
      </c>
      <c r="M56" s="100">
        <f t="shared" si="1"/>
        <v>3750</v>
      </c>
      <c r="N56" s="110"/>
      <c r="O56" s="46">
        <f>VLOOKUP(C56,[2]IP!$B$9:$I$116,8,0)</f>
        <v>0</v>
      </c>
      <c r="P56" s="46" t="e">
        <f t="shared" si="5"/>
        <v>#REF!</v>
      </c>
      <c r="Q56" s="46">
        <f>VLOOKUP(C56,[2]IP!$B$9:$N$116,13,0)</f>
        <v>1075.99</v>
      </c>
      <c r="R56" s="46">
        <f>VLOOKUP(C56,[2]IP!$B$9:$O$116,14,0)</f>
        <v>0</v>
      </c>
      <c r="S56" s="46"/>
      <c r="T56" s="46">
        <f>VLOOKUP(C56,[2]IP!$B$9:$P$116,15,0)</f>
        <v>15</v>
      </c>
      <c r="U56" s="46">
        <f>VLOOKUP(C56,[2]IP!$B$9:$Q$116,16,0)</f>
        <v>0</v>
      </c>
      <c r="V56" s="46">
        <f>VLOOKUP(C56,[2]IP!$B$9:$S$116,18,0)</f>
        <v>0</v>
      </c>
      <c r="W56" s="46">
        <f>VLOOKUP(C56,[2]IP!$B$9:$R$116,17,0)</f>
        <v>0</v>
      </c>
      <c r="X56" s="109"/>
      <c r="Y56" s="100" t="e">
        <f t="shared" si="2"/>
        <v>#REF!</v>
      </c>
      <c r="Z56" s="46" t="e">
        <f t="shared" si="6"/>
        <v>#REF!</v>
      </c>
      <c r="AA56" s="46"/>
      <c r="AB56" s="100">
        <f>VLOOKUP(C56,[1]SINDICATO!$C$7:$Q$141,15,0)</f>
        <v>0</v>
      </c>
    </row>
    <row r="57" spans="1:29" s="100" customFormat="1" x14ac:dyDescent="0.2">
      <c r="A57" s="52" t="s">
        <v>377</v>
      </c>
      <c r="B57" s="99" t="s">
        <v>57</v>
      </c>
      <c r="C57" s="52" t="s">
        <v>378</v>
      </c>
      <c r="D57" s="99"/>
      <c r="E57" s="102">
        <f>VLOOKUP(C57,[2]IP!$B$9:$V$116,21,0)</f>
        <v>2447.6</v>
      </c>
      <c r="F57" s="123"/>
      <c r="G57" s="100" t="e">
        <f>VLOOKUP(C57,#REF!,4,0)</f>
        <v>#REF!</v>
      </c>
      <c r="H57" s="100" t="e">
        <f>VLOOKUP(C57,#REF!,5,0)</f>
        <v>#REF!</v>
      </c>
      <c r="I57" s="100" t="e">
        <f>VLOOKUP(C57,#REF!,6,0)</f>
        <v>#REF!</v>
      </c>
      <c r="J57" s="109"/>
      <c r="K57" s="100" t="e">
        <f t="shared" si="0"/>
        <v>#REF!</v>
      </c>
      <c r="L57" s="100">
        <v>5000</v>
      </c>
      <c r="M57" s="100">
        <f t="shared" si="1"/>
        <v>2500</v>
      </c>
      <c r="N57" s="110"/>
      <c r="O57" s="46">
        <f>VLOOKUP(C57,[2]IP!$B$9:$I$116,8,0)</f>
        <v>0</v>
      </c>
      <c r="P57" s="46" t="e">
        <f t="shared" si="5"/>
        <v>#REF!</v>
      </c>
      <c r="Q57" s="46">
        <f>VLOOKUP(C57,[2]IP!$B$9:$N$116,13,0)</f>
        <v>0</v>
      </c>
      <c r="R57" s="46">
        <f>VLOOKUP(C57,[2]IP!$B$9:$O$116,14,0)</f>
        <v>0</v>
      </c>
      <c r="S57" s="46"/>
      <c r="T57" s="46">
        <f>VLOOKUP(C57,[2]IP!$B$9:$P$116,15,0)</f>
        <v>0</v>
      </c>
      <c r="U57" s="46">
        <f>VLOOKUP(C57,[2]IP!$B$9:$Q$116,16,0)</f>
        <v>0</v>
      </c>
      <c r="V57" s="46">
        <f>VLOOKUP(C57,[2]IP!$B$9:$S$116,18,0)</f>
        <v>0</v>
      </c>
      <c r="W57" s="46">
        <f>VLOOKUP(C57,[2]IP!$B$9:$R$116,17,0)</f>
        <v>0</v>
      </c>
      <c r="X57" s="109"/>
      <c r="Y57" s="100" t="e">
        <f t="shared" si="2"/>
        <v>#REF!</v>
      </c>
      <c r="Z57" s="46" t="e">
        <f t="shared" si="6"/>
        <v>#REF!</v>
      </c>
      <c r="AA57" s="46"/>
      <c r="AB57" s="100" t="e">
        <f>VLOOKUP(C57,[1]SINDICATO!$C$7:$Q$141,15,0)</f>
        <v>#N/A</v>
      </c>
    </row>
    <row r="58" spans="1:29" s="100" customFormat="1" x14ac:dyDescent="0.2">
      <c r="A58" s="52" t="s">
        <v>387</v>
      </c>
      <c r="B58" s="99" t="s">
        <v>57</v>
      </c>
      <c r="C58" s="52" t="s">
        <v>386</v>
      </c>
      <c r="D58" s="99"/>
      <c r="E58" s="102">
        <f>VLOOKUP(C58,[2]IP!$B$9:$V$116,21,0)</f>
        <v>3693.2</v>
      </c>
      <c r="F58" s="123"/>
      <c r="G58" s="100" t="e">
        <f>VLOOKUP(C58,#REF!,4,0)</f>
        <v>#REF!</v>
      </c>
      <c r="H58" s="100" t="e">
        <f>VLOOKUP(C58,#REF!,5,0)</f>
        <v>#REF!</v>
      </c>
      <c r="I58" s="100" t="e">
        <f>VLOOKUP(C58,#REF!,6,0)</f>
        <v>#REF!</v>
      </c>
      <c r="J58" s="109"/>
      <c r="K58" s="100" t="e">
        <f t="shared" si="0"/>
        <v>#REF!</v>
      </c>
      <c r="L58" s="100">
        <v>8800</v>
      </c>
      <c r="M58" s="100">
        <f t="shared" si="1"/>
        <v>4400</v>
      </c>
      <c r="N58" s="110"/>
      <c r="O58" s="46">
        <f>VLOOKUP(C58,[2]IP!$B$9:$I$116,8,0)</f>
        <v>0</v>
      </c>
      <c r="P58" s="46" t="e">
        <f t="shared" si="5"/>
        <v>#REF!</v>
      </c>
      <c r="Q58" s="46">
        <f>VLOOKUP(C58,[2]IP!$B$9:$N$116,13,0)</f>
        <v>0</v>
      </c>
      <c r="R58" s="46">
        <f>VLOOKUP(C58,[2]IP!$B$9:$O$116,14,0)</f>
        <v>0</v>
      </c>
      <c r="S58" s="46"/>
      <c r="T58" s="46">
        <f>VLOOKUP(C58,[2]IP!$B$9:$P$116,15,0)</f>
        <v>0</v>
      </c>
      <c r="U58" s="46">
        <f>VLOOKUP(C58,[2]IP!$B$9:$Q$116,16,0)</f>
        <v>0</v>
      </c>
      <c r="V58" s="46">
        <f>VLOOKUP(C58,[2]IP!$B$9:$S$116,18,0)</f>
        <v>0</v>
      </c>
      <c r="W58" s="46">
        <f>VLOOKUP(C58,[2]IP!$B$9:$R$116,17,0)</f>
        <v>0</v>
      </c>
      <c r="X58" s="109"/>
      <c r="Y58" s="100" t="e">
        <f t="shared" si="2"/>
        <v>#REF!</v>
      </c>
      <c r="Z58" s="46" t="e">
        <f t="shared" si="6"/>
        <v>#REF!</v>
      </c>
      <c r="AA58" s="46"/>
      <c r="AB58" s="100">
        <f>VLOOKUP(C58,[1]SINDICATO!$C$7:$Q$141,15,0)</f>
        <v>0</v>
      </c>
    </row>
    <row r="59" spans="1:29" s="100" customFormat="1" x14ac:dyDescent="0.2">
      <c r="A59" s="52" t="s">
        <v>399</v>
      </c>
      <c r="B59" s="52" t="s">
        <v>57</v>
      </c>
      <c r="C59" s="52" t="s">
        <v>400</v>
      </c>
      <c r="D59" s="99"/>
      <c r="E59" s="102">
        <f>VLOOKUP(C59,[2]IP!$B$9:$V$116,21,0)</f>
        <v>3583.6</v>
      </c>
      <c r="F59" s="123"/>
      <c r="G59" s="100" t="e">
        <f>VLOOKUP(C59,#REF!,4,0)</f>
        <v>#REF!</v>
      </c>
      <c r="H59" s="100" t="e">
        <f>VLOOKUP(C59,#REF!,5,0)</f>
        <v>#REF!</v>
      </c>
      <c r="I59" s="100" t="e">
        <f>VLOOKUP(C59,#REF!,6,0)</f>
        <v>#REF!</v>
      </c>
      <c r="J59" s="109"/>
      <c r="K59" s="100" t="e">
        <f t="shared" si="0"/>
        <v>#REF!</v>
      </c>
      <c r="L59" s="100">
        <v>8000</v>
      </c>
      <c r="M59" s="100">
        <f t="shared" si="1"/>
        <v>4000</v>
      </c>
      <c r="N59" s="110"/>
      <c r="O59" s="46">
        <f>VLOOKUP(C59,[2]IP!$B$9:$I$116,8,0)</f>
        <v>0</v>
      </c>
      <c r="P59" s="46" t="e">
        <f t="shared" si="5"/>
        <v>#REF!</v>
      </c>
      <c r="Q59" s="46">
        <f>VLOOKUP(C59,[2]IP!$B$9:$N$116,13,0)</f>
        <v>0</v>
      </c>
      <c r="R59" s="46">
        <f>VLOOKUP(C59,[2]IP!$B$9:$O$116,14,0)</f>
        <v>0</v>
      </c>
      <c r="S59" s="46"/>
      <c r="T59" s="46">
        <f>VLOOKUP(C59,[2]IP!$B$9:$P$116,15,0)</f>
        <v>0</v>
      </c>
      <c r="U59" s="46">
        <f>VLOOKUP(C59,[2]IP!$B$9:$Q$116,16,0)</f>
        <v>0</v>
      </c>
      <c r="V59" s="46">
        <f>VLOOKUP(C59,[2]IP!$B$9:$S$116,18,0)</f>
        <v>0</v>
      </c>
      <c r="W59" s="46">
        <f>VLOOKUP(C59,[2]IP!$B$9:$R$116,17,0)</f>
        <v>0</v>
      </c>
      <c r="X59" s="109"/>
      <c r="Y59" s="100" t="e">
        <f t="shared" si="2"/>
        <v>#REF!</v>
      </c>
      <c r="Z59" s="46" t="e">
        <f t="shared" si="6"/>
        <v>#REF!</v>
      </c>
      <c r="AA59" s="46"/>
      <c r="AB59" s="100" t="e">
        <f>VLOOKUP(C59,[1]SINDICATO!$C$7:$Q$141,15,0)</f>
        <v>#N/A</v>
      </c>
    </row>
    <row r="60" spans="1:29" s="100" customFormat="1" x14ac:dyDescent="0.2">
      <c r="A60" s="52" t="s">
        <v>414</v>
      </c>
      <c r="B60" s="52" t="s">
        <v>57</v>
      </c>
      <c r="C60" s="52" t="s">
        <v>415</v>
      </c>
      <c r="D60" s="99"/>
      <c r="E60" s="102">
        <f>VLOOKUP(C60,[2]IP!$B$9:$V$116,21,0)</f>
        <v>3583.8</v>
      </c>
      <c r="F60" s="123"/>
      <c r="G60" s="100" t="e">
        <f>VLOOKUP(C60,#REF!,4,0)</f>
        <v>#REF!</v>
      </c>
      <c r="H60" s="100" t="e">
        <f>VLOOKUP(C60,#REF!,5,0)</f>
        <v>#REF!</v>
      </c>
      <c r="I60" s="100" t="e">
        <f>VLOOKUP(C60,#REF!,6,0)</f>
        <v>#REF!</v>
      </c>
      <c r="J60" s="109"/>
      <c r="K60" s="100" t="e">
        <f t="shared" si="0"/>
        <v>#REF!</v>
      </c>
      <c r="L60" s="100">
        <v>8000</v>
      </c>
      <c r="M60" s="100">
        <f t="shared" si="1"/>
        <v>4000</v>
      </c>
      <c r="N60" s="110"/>
      <c r="O60" s="46">
        <f>VLOOKUP(C60,[2]IP!$B$9:$I$116,8,0)</f>
        <v>0</v>
      </c>
      <c r="P60" s="46" t="e">
        <f t="shared" si="5"/>
        <v>#REF!</v>
      </c>
      <c r="Q60" s="46">
        <f>VLOOKUP(C60,[2]IP!$B$9:$N$116,13,0)</f>
        <v>0</v>
      </c>
      <c r="R60" s="46">
        <f>VLOOKUP(C60,[2]IP!$B$9:$O$116,14,0)</f>
        <v>0</v>
      </c>
      <c r="S60" s="46"/>
      <c r="T60" s="46">
        <f>VLOOKUP(C60,[2]IP!$B$9:$P$116,15,0)</f>
        <v>0</v>
      </c>
      <c r="U60" s="46">
        <f>VLOOKUP(C60,[2]IP!$B$9:$Q$116,16,0)</f>
        <v>0</v>
      </c>
      <c r="V60" s="46">
        <f>VLOOKUP(C60,[2]IP!$B$9:$S$116,18,0)</f>
        <v>0</v>
      </c>
      <c r="W60" s="46">
        <f>VLOOKUP(C60,[2]IP!$B$9:$R$116,17,0)</f>
        <v>0</v>
      </c>
      <c r="X60" s="109"/>
      <c r="Y60" s="100" t="e">
        <f t="shared" si="2"/>
        <v>#REF!</v>
      </c>
      <c r="Z60" s="46" t="e">
        <f t="shared" si="6"/>
        <v>#REF!</v>
      </c>
      <c r="AA60" s="46"/>
      <c r="AB60" s="100" t="e">
        <f>VLOOKUP(C60,[1]SINDICATO!$C$7:$Q$141,15,0)</f>
        <v>#N/A</v>
      </c>
    </row>
    <row r="61" spans="1:29" s="100" customFormat="1" x14ac:dyDescent="0.2">
      <c r="A61" s="52" t="s">
        <v>403</v>
      </c>
      <c r="B61" s="52" t="s">
        <v>57</v>
      </c>
      <c r="C61" s="52" t="s">
        <v>404</v>
      </c>
      <c r="D61" s="99"/>
      <c r="E61" s="102">
        <f>VLOOKUP(C61,[2]IP!$B$9:$V$116,21,0)</f>
        <v>1129.4000000000001</v>
      </c>
      <c r="F61" s="123"/>
      <c r="G61" s="100" t="e">
        <f>VLOOKUP(C61,#REF!,4,0)</f>
        <v>#REF!</v>
      </c>
      <c r="H61" s="100" t="e">
        <f>VLOOKUP(C61,#REF!,5,0)</f>
        <v>#REF!</v>
      </c>
      <c r="I61" s="100" t="e">
        <f>VLOOKUP(C61,#REF!,6,0)</f>
        <v>#REF!</v>
      </c>
      <c r="J61" s="109"/>
      <c r="K61" s="100" t="e">
        <f t="shared" si="0"/>
        <v>#REF!</v>
      </c>
      <c r="L61" s="100">
        <v>6000</v>
      </c>
      <c r="M61" s="100">
        <f t="shared" si="1"/>
        <v>3000</v>
      </c>
      <c r="N61" s="110"/>
      <c r="O61" s="46">
        <f>VLOOKUP(C61,[2]IP!$B$9:$I$116,8,0)</f>
        <v>0</v>
      </c>
      <c r="P61" s="46" t="e">
        <f t="shared" si="5"/>
        <v>#REF!</v>
      </c>
      <c r="Q61" s="46">
        <f>VLOOKUP(C61,[2]IP!$B$9:$N$116,13,0)</f>
        <v>0</v>
      </c>
      <c r="R61" s="46">
        <f>VLOOKUP(C61,[2]IP!$B$9:$O$116,14,0)</f>
        <v>1120.4000000000001</v>
      </c>
      <c r="S61" s="46"/>
      <c r="T61" s="46">
        <f>VLOOKUP(C61,[2]IP!$B$9:$P$116,15,0)</f>
        <v>15</v>
      </c>
      <c r="U61" s="46">
        <f>VLOOKUP(C61,[2]IP!$B$9:$Q$116,16,0)</f>
        <v>600</v>
      </c>
      <c r="V61" s="46">
        <f>VLOOKUP(C61,[2]IP!$B$9:$S$116,18,0)</f>
        <v>0</v>
      </c>
      <c r="W61" s="46">
        <f>VLOOKUP(C61,[2]IP!$B$9:$R$116,17,0)</f>
        <v>0</v>
      </c>
      <c r="X61" s="109"/>
      <c r="Y61" s="100" t="e">
        <f t="shared" si="2"/>
        <v>#REF!</v>
      </c>
      <c r="Z61" s="46" t="e">
        <f t="shared" si="6"/>
        <v>#REF!</v>
      </c>
      <c r="AA61" s="111"/>
      <c r="AB61" s="100" t="e">
        <f>VLOOKUP(C61,[1]SINDICATO!$C$7:$Q$141,15,0)</f>
        <v>#N/A</v>
      </c>
    </row>
    <row r="62" spans="1:29" s="100" customFormat="1" ht="14.25" customHeight="1" x14ac:dyDescent="0.2">
      <c r="A62" s="52" t="s">
        <v>411</v>
      </c>
      <c r="B62" s="52" t="s">
        <v>57</v>
      </c>
      <c r="C62" s="52" t="s">
        <v>407</v>
      </c>
      <c r="D62" s="99"/>
      <c r="E62" s="102">
        <f>VLOOKUP(C62,[2]IP!$B$9:$V$116,21,0)</f>
        <v>5952.2</v>
      </c>
      <c r="F62" s="123"/>
      <c r="G62" s="100" t="e">
        <f>VLOOKUP(C62,#REF!,4,0)</f>
        <v>#REF!</v>
      </c>
      <c r="H62" s="100" t="e">
        <f>VLOOKUP(C62,#REF!,5,0)</f>
        <v>#REF!</v>
      </c>
      <c r="I62" s="100" t="e">
        <f>VLOOKUP(C62,#REF!,6,0)</f>
        <v>#REF!</v>
      </c>
      <c r="J62" s="109"/>
      <c r="K62" s="100" t="e">
        <f t="shared" si="0"/>
        <v>#REF!</v>
      </c>
      <c r="L62" s="100">
        <v>14000</v>
      </c>
      <c r="M62" s="100">
        <f t="shared" si="1"/>
        <v>7000</v>
      </c>
      <c r="N62" s="110"/>
      <c r="O62" s="46">
        <f>VLOOKUP(C62,[2]IP!$B$9:$I$116,8,0)</f>
        <v>0</v>
      </c>
      <c r="P62" s="46" t="e">
        <f t="shared" si="5"/>
        <v>#REF!</v>
      </c>
      <c r="Q62" s="46">
        <f>VLOOKUP(C62,[2]IP!$B$9:$N$116,13,0)</f>
        <v>0</v>
      </c>
      <c r="R62" s="46">
        <f>VLOOKUP(C62,[2]IP!$B$9:$O$116,14,0)</f>
        <v>0</v>
      </c>
      <c r="S62" s="46"/>
      <c r="T62" s="46">
        <f>VLOOKUP(C62,[2]IP!$B$9:$P$116,15,0)</f>
        <v>0</v>
      </c>
      <c r="U62" s="46">
        <f>VLOOKUP(C62,[2]IP!$B$9:$Q$116,16,0)</f>
        <v>0</v>
      </c>
      <c r="V62" s="46">
        <f>VLOOKUP(C62,[2]IP!$B$9:$S$116,18,0)</f>
        <v>0</v>
      </c>
      <c r="W62" s="46">
        <f>VLOOKUP(C62,[2]IP!$B$9:$R$116,17,0)</f>
        <v>0</v>
      </c>
      <c r="X62" s="109"/>
      <c r="Y62" s="100" t="e">
        <f t="shared" si="2"/>
        <v>#REF!</v>
      </c>
      <c r="Z62" s="46" t="e">
        <f t="shared" si="6"/>
        <v>#REF!</v>
      </c>
      <c r="AA62" s="46"/>
      <c r="AB62" s="100" t="e">
        <f>VLOOKUP(C62,[1]SINDICATO!$C$7:$Q$141,15,0)</f>
        <v>#N/A</v>
      </c>
    </row>
    <row r="63" spans="1:29" s="46" customFormat="1" x14ac:dyDescent="0.2">
      <c r="A63" s="54" t="s">
        <v>413</v>
      </c>
      <c r="B63" s="54" t="s">
        <v>57</v>
      </c>
      <c r="C63" s="54" t="s">
        <v>409</v>
      </c>
      <c r="D63" s="99"/>
      <c r="E63" s="102">
        <f>VLOOKUP(C63,[2]IP!$B$9:$V$116,21,0)</f>
        <v>5952.2</v>
      </c>
      <c r="F63" s="123"/>
      <c r="G63" s="100" t="e">
        <f>VLOOKUP(C63,#REF!,4,0)</f>
        <v>#REF!</v>
      </c>
      <c r="H63" s="100" t="e">
        <f>VLOOKUP(C63,#REF!,5,0)</f>
        <v>#REF!</v>
      </c>
      <c r="I63" s="100" t="e">
        <f>VLOOKUP(C63,#REF!,6,0)</f>
        <v>#REF!</v>
      </c>
      <c r="J63" s="109"/>
      <c r="K63" s="100" t="e">
        <f t="shared" si="0"/>
        <v>#REF!</v>
      </c>
      <c r="L63" s="46">
        <v>14000</v>
      </c>
      <c r="M63" s="46">
        <f t="shared" si="1"/>
        <v>7000</v>
      </c>
      <c r="N63" s="110"/>
      <c r="O63" s="46">
        <f>VLOOKUP(C63,[2]IP!$B$9:$I$116,8,0)</f>
        <v>0</v>
      </c>
      <c r="P63" s="46" t="e">
        <f t="shared" si="5"/>
        <v>#REF!</v>
      </c>
      <c r="Q63" s="46">
        <f>VLOOKUP(C63,[2]IP!$B$9:$N$116,13,0)</f>
        <v>0</v>
      </c>
      <c r="R63" s="46">
        <f>VLOOKUP(C63,[2]IP!$B$9:$O$116,14,0)</f>
        <v>0</v>
      </c>
      <c r="T63" s="46">
        <f>VLOOKUP(C63,[2]IP!$B$9:$P$116,15,0)</f>
        <v>0</v>
      </c>
      <c r="U63" s="46">
        <f>VLOOKUP(C63,[2]IP!$B$9:$Q$116,16,0)</f>
        <v>0</v>
      </c>
      <c r="V63" s="46">
        <f>VLOOKUP(C63,[2]IP!$B$9:$S$116,18,0)</f>
        <v>0</v>
      </c>
      <c r="W63" s="46">
        <f>VLOOKUP(C63,[2]IP!$B$9:$R$116,17,0)</f>
        <v>0</v>
      </c>
      <c r="X63" s="109"/>
      <c r="Y63" s="100" t="e">
        <f t="shared" si="2"/>
        <v>#REF!</v>
      </c>
      <c r="Z63" s="46" t="e">
        <f t="shared" si="6"/>
        <v>#REF!</v>
      </c>
      <c r="AB63" s="100" t="e">
        <f>VLOOKUP(C63,[1]SINDICATO!$C$7:$Q$141,15,0)</f>
        <v>#N/A</v>
      </c>
    </row>
    <row r="64" spans="1:29" s="46" customFormat="1" x14ac:dyDescent="0.2">
      <c r="A64" s="54" t="s">
        <v>416</v>
      </c>
      <c r="B64" s="54" t="s">
        <v>57</v>
      </c>
      <c r="C64" s="54" t="s">
        <v>417</v>
      </c>
      <c r="D64" s="99"/>
      <c r="E64" s="102">
        <f>VLOOKUP(C64,[2]IP!$B$9:$V$116,21,0)</f>
        <v>2864.8</v>
      </c>
      <c r="F64" s="123"/>
      <c r="G64" s="100" t="e">
        <f>VLOOKUP(C64,#REF!,4,0)</f>
        <v>#REF!</v>
      </c>
      <c r="H64" s="100" t="e">
        <f>VLOOKUP(C64,#REF!,5,0)</f>
        <v>#REF!</v>
      </c>
      <c r="I64" s="100" t="e">
        <f>VLOOKUP(C64,#REF!,6,0)</f>
        <v>#REF!</v>
      </c>
      <c r="J64" s="109"/>
      <c r="K64" s="100" t="e">
        <f t="shared" si="0"/>
        <v>#REF!</v>
      </c>
      <c r="L64" s="46">
        <v>6000</v>
      </c>
      <c r="M64" s="46">
        <f t="shared" si="1"/>
        <v>3000</v>
      </c>
      <c r="N64" s="110"/>
      <c r="O64" s="46">
        <f>VLOOKUP(C64,[2]IP!$B$9:$I$116,8,0)</f>
        <v>0</v>
      </c>
      <c r="P64" s="46" t="e">
        <f t="shared" si="5"/>
        <v>#REF!</v>
      </c>
      <c r="Q64" s="46">
        <f>VLOOKUP(C64,[2]IP!$B$9:$N$116,13,0)</f>
        <v>0</v>
      </c>
      <c r="R64" s="46">
        <f>VLOOKUP(C64,[2]IP!$B$9:$O$116,14,0)</f>
        <v>0</v>
      </c>
      <c r="T64" s="46">
        <f>VLOOKUP(C64,[2]IP!$B$9:$P$116,15,0)</f>
        <v>0</v>
      </c>
      <c r="U64" s="46">
        <f>VLOOKUP(C64,[2]IP!$B$9:$Q$116,16,0)</f>
        <v>0</v>
      </c>
      <c r="V64" s="46">
        <f>VLOOKUP(C64,[2]IP!$B$9:$S$116,18,0)</f>
        <v>0</v>
      </c>
      <c r="W64" s="46">
        <f>VLOOKUP(C64,[2]IP!$B$9:$R$116,17,0)</f>
        <v>0</v>
      </c>
      <c r="X64" s="109"/>
      <c r="Y64" s="100" t="e">
        <f t="shared" si="2"/>
        <v>#REF!</v>
      </c>
      <c r="Z64" s="46" t="e">
        <f t="shared" si="6"/>
        <v>#REF!</v>
      </c>
      <c r="AB64" s="100" t="e">
        <f>VLOOKUP(C64,[1]SINDICATO!$C$7:$Q$141,15,0)</f>
        <v>#N/A</v>
      </c>
    </row>
    <row r="65" spans="1:28" s="46" customFormat="1" x14ac:dyDescent="0.2">
      <c r="A65" s="54" t="s">
        <v>418</v>
      </c>
      <c r="B65" s="54" t="s">
        <v>57</v>
      </c>
      <c r="C65" s="54" t="s">
        <v>419</v>
      </c>
      <c r="D65" s="99"/>
      <c r="E65" s="102">
        <f>VLOOKUP(C65,[2]IP!$B$9:$V$116,21,0)</f>
        <v>3583.6</v>
      </c>
      <c r="F65" s="123"/>
      <c r="G65" s="100" t="e">
        <f>VLOOKUP(C65,#REF!,4,0)</f>
        <v>#REF!</v>
      </c>
      <c r="H65" s="100" t="e">
        <f>VLOOKUP(C65,#REF!,5,0)</f>
        <v>#REF!</v>
      </c>
      <c r="I65" s="100" t="e">
        <f>VLOOKUP(C65,#REF!,6,0)</f>
        <v>#REF!</v>
      </c>
      <c r="J65" s="109"/>
      <c r="K65" s="100" t="e">
        <f t="shared" si="0"/>
        <v>#REF!</v>
      </c>
      <c r="L65" s="46">
        <v>8000</v>
      </c>
      <c r="M65" s="46">
        <f t="shared" si="1"/>
        <v>4000</v>
      </c>
      <c r="N65" s="110"/>
      <c r="O65" s="46">
        <f>VLOOKUP(C65,[2]IP!$B$9:$I$116,8,0)</f>
        <v>0</v>
      </c>
      <c r="P65" s="46" t="e">
        <f t="shared" si="5"/>
        <v>#REF!</v>
      </c>
      <c r="Q65" s="46">
        <f>VLOOKUP(C65,[2]IP!$B$9:$N$116,13,0)</f>
        <v>0</v>
      </c>
      <c r="R65" s="46">
        <f>VLOOKUP(C65,[2]IP!$B$9:$O$116,14,0)</f>
        <v>0</v>
      </c>
      <c r="T65" s="46">
        <f>VLOOKUP(C65,[2]IP!$B$9:$P$116,15,0)</f>
        <v>0</v>
      </c>
      <c r="U65" s="46">
        <f>VLOOKUP(C65,[2]IP!$B$9:$Q$116,16,0)</f>
        <v>0</v>
      </c>
      <c r="V65" s="46">
        <f>VLOOKUP(C65,[2]IP!$B$9:$S$116,18,0)</f>
        <v>0</v>
      </c>
      <c r="W65" s="46">
        <f>VLOOKUP(C65,[2]IP!$B$9:$R$116,17,0)</f>
        <v>0</v>
      </c>
      <c r="X65" s="109"/>
      <c r="Y65" s="100" t="e">
        <f t="shared" si="2"/>
        <v>#REF!</v>
      </c>
      <c r="Z65" s="46" t="e">
        <f t="shared" si="6"/>
        <v>#REF!</v>
      </c>
      <c r="AB65" s="100" t="e">
        <f>VLOOKUP(C65,[1]SINDICATO!$C$7:$Q$141,15,0)</f>
        <v>#N/A</v>
      </c>
    </row>
    <row r="66" spans="1:28" s="46" customFormat="1" x14ac:dyDescent="0.2">
      <c r="A66" s="52" t="s">
        <v>436</v>
      </c>
      <c r="B66" s="54" t="s">
        <v>57</v>
      </c>
      <c r="C66" s="52" t="s">
        <v>437</v>
      </c>
      <c r="D66" s="99"/>
      <c r="E66" s="102">
        <f>VLOOKUP(C66,[2]IP!$B$9:$V$116,21,0)</f>
        <v>3583.6</v>
      </c>
      <c r="F66" s="123"/>
      <c r="G66" s="100" t="e">
        <f>VLOOKUP(C66,#REF!,4,0)</f>
        <v>#REF!</v>
      </c>
      <c r="H66" s="100" t="e">
        <f>VLOOKUP(C66,#REF!,5,0)</f>
        <v>#REF!</v>
      </c>
      <c r="I66" s="100" t="e">
        <f>VLOOKUP(C66,#REF!,6,0)</f>
        <v>#REF!</v>
      </c>
      <c r="J66" s="109"/>
      <c r="K66" s="100" t="e">
        <f t="shared" si="0"/>
        <v>#REF!</v>
      </c>
      <c r="L66" s="100">
        <v>8000</v>
      </c>
      <c r="M66" s="100">
        <f t="shared" si="1"/>
        <v>4000</v>
      </c>
      <c r="N66" s="110"/>
      <c r="O66" s="46">
        <f>VLOOKUP(C66,[2]IP!$B$9:$I$116,8,0)</f>
        <v>0</v>
      </c>
      <c r="P66" s="46" t="e">
        <f t="shared" si="5"/>
        <v>#REF!</v>
      </c>
      <c r="Q66" s="46">
        <f>VLOOKUP(C66,[2]IP!$B$9:$N$116,13,0)</f>
        <v>0</v>
      </c>
      <c r="R66" s="46">
        <f>VLOOKUP(C66,[2]IP!$B$9:$O$116,14,0)</f>
        <v>0</v>
      </c>
      <c r="T66" s="46">
        <f>VLOOKUP(C66,[2]IP!$B$9:$P$116,15,0)</f>
        <v>0</v>
      </c>
      <c r="U66" s="46">
        <f>VLOOKUP(C66,[2]IP!$B$9:$Q$116,16,0)</f>
        <v>0</v>
      </c>
      <c r="V66" s="46">
        <f>VLOOKUP(C66,[2]IP!$B$9:$S$116,18,0)</f>
        <v>0</v>
      </c>
      <c r="W66" s="46">
        <f>VLOOKUP(C66,[2]IP!$B$9:$R$116,17,0)</f>
        <v>0</v>
      </c>
      <c r="X66" s="109"/>
      <c r="Y66" s="100" t="e">
        <f t="shared" si="2"/>
        <v>#REF!</v>
      </c>
      <c r="Z66" s="46" t="e">
        <f t="shared" si="6"/>
        <v>#REF!</v>
      </c>
      <c r="AB66" s="100" t="e">
        <f>VLOOKUP(C66,[1]SINDICATO!$C$7:$Q$141,15,0)</f>
        <v>#N/A</v>
      </c>
    </row>
    <row r="67" spans="1:28" s="46" customFormat="1" x14ac:dyDescent="0.2">
      <c r="A67" s="52" t="s">
        <v>438</v>
      </c>
      <c r="B67" s="54" t="s">
        <v>57</v>
      </c>
      <c r="C67" s="52" t="s">
        <v>439</v>
      </c>
      <c r="D67" s="99"/>
      <c r="E67" s="102">
        <f>VLOOKUP(C67,[2]IP!$B$9:$V$116,21,0)</f>
        <v>2864.6</v>
      </c>
      <c r="F67" s="123"/>
      <c r="G67" s="100" t="e">
        <f>VLOOKUP(C67,#REF!,4,0)</f>
        <v>#REF!</v>
      </c>
      <c r="H67" s="100" t="e">
        <f>VLOOKUP(C67,#REF!,5,0)</f>
        <v>#REF!</v>
      </c>
      <c r="I67" s="100" t="e">
        <f>VLOOKUP(C67,#REF!,6,0)</f>
        <v>#REF!</v>
      </c>
      <c r="J67" s="109"/>
      <c r="K67" s="100" t="e">
        <f t="shared" si="0"/>
        <v>#REF!</v>
      </c>
      <c r="L67" s="100">
        <v>6000</v>
      </c>
      <c r="M67" s="100">
        <f t="shared" si="1"/>
        <v>3000</v>
      </c>
      <c r="N67" s="110"/>
      <c r="O67" s="46">
        <f>VLOOKUP(C67,[2]IP!$B$9:$I$116,8,0)</f>
        <v>0</v>
      </c>
      <c r="P67" s="46" t="e">
        <f t="shared" si="5"/>
        <v>#REF!</v>
      </c>
      <c r="Q67" s="46">
        <f>VLOOKUP(C67,[2]IP!$B$9:$N$116,13,0)</f>
        <v>0</v>
      </c>
      <c r="R67" s="46">
        <f>VLOOKUP(C67,[2]IP!$B$9:$O$116,14,0)</f>
        <v>0</v>
      </c>
      <c r="T67" s="46">
        <f>VLOOKUP(C67,[2]IP!$B$9:$P$116,15,0)</f>
        <v>0</v>
      </c>
      <c r="U67" s="46">
        <f>VLOOKUP(C67,[2]IP!$B$9:$Q$116,16,0)</f>
        <v>0</v>
      </c>
      <c r="V67" s="46">
        <f>VLOOKUP(C67,[2]IP!$B$9:$S$116,18,0)</f>
        <v>0</v>
      </c>
      <c r="W67" s="46">
        <f>VLOOKUP(C67,[2]IP!$B$9:$R$116,17,0)</f>
        <v>0</v>
      </c>
      <c r="X67" s="109"/>
      <c r="Y67" s="100" t="e">
        <f t="shared" si="2"/>
        <v>#REF!</v>
      </c>
      <c r="Z67" s="46" t="e">
        <f t="shared" si="6"/>
        <v>#REF!</v>
      </c>
      <c r="AB67" s="100">
        <f>VLOOKUP(C67,[1]SINDICATO!$C$7:$Q$141,15,0)</f>
        <v>0</v>
      </c>
    </row>
    <row r="68" spans="1:28" s="46" customFormat="1" x14ac:dyDescent="0.2">
      <c r="A68" s="52" t="s">
        <v>442</v>
      </c>
      <c r="B68" s="54" t="s">
        <v>57</v>
      </c>
      <c r="C68" s="52" t="s">
        <v>443</v>
      </c>
      <c r="D68" s="99"/>
      <c r="E68" s="102">
        <f>VLOOKUP(C68,[2]IP!$B$9:$V$116,21,0)</f>
        <v>3583.8</v>
      </c>
      <c r="F68" s="123"/>
      <c r="G68" s="100" t="e">
        <f>VLOOKUP(C68,#REF!,4,0)</f>
        <v>#REF!</v>
      </c>
      <c r="H68" s="100" t="e">
        <f>VLOOKUP(C68,#REF!,5,0)</f>
        <v>#REF!</v>
      </c>
      <c r="I68" s="100" t="e">
        <f>VLOOKUP(C68,#REF!,6,0)</f>
        <v>#REF!</v>
      </c>
      <c r="J68" s="109"/>
      <c r="K68" s="100" t="e">
        <f t="shared" ref="K68:K131" si="7">+D68+E68+G68+H68+I68</f>
        <v>#REF!</v>
      </c>
      <c r="L68" s="100">
        <v>8000</v>
      </c>
      <c r="M68" s="100">
        <f t="shared" ref="M68:M131" si="8">+L68/2</f>
        <v>4000</v>
      </c>
      <c r="N68" s="110"/>
      <c r="O68" s="46">
        <f>VLOOKUP(C68,[2]IP!$B$9:$I$116,8,0)</f>
        <v>0</v>
      </c>
      <c r="P68" s="46" t="e">
        <f t="shared" si="5"/>
        <v>#REF!</v>
      </c>
      <c r="Q68" s="46">
        <f>VLOOKUP(C68,[2]IP!$B$9:$N$116,13,0)</f>
        <v>0</v>
      </c>
      <c r="R68" s="46">
        <f>VLOOKUP(C68,[2]IP!$B$9:$O$116,14,0)</f>
        <v>0</v>
      </c>
      <c r="T68" s="46">
        <f>VLOOKUP(C68,[2]IP!$B$9:$P$116,15,0)</f>
        <v>0</v>
      </c>
      <c r="U68" s="46">
        <f>VLOOKUP(C68,[2]IP!$B$9:$Q$116,16,0)</f>
        <v>0</v>
      </c>
      <c r="V68" s="46">
        <f>VLOOKUP(C68,[2]IP!$B$9:$S$116,18,0)</f>
        <v>0</v>
      </c>
      <c r="W68" s="46">
        <f>VLOOKUP(C68,[2]IP!$B$9:$R$116,17,0)</f>
        <v>0</v>
      </c>
      <c r="X68" s="109"/>
      <c r="Y68" s="100" t="e">
        <f t="shared" ref="Y68:Y131" si="9">+K68-O68-P68+Q68+R68+S68+T68+U68+V68+W68</f>
        <v>#REF!</v>
      </c>
      <c r="Z68" s="46" t="e">
        <f t="shared" si="6"/>
        <v>#REF!</v>
      </c>
      <c r="AB68" s="100">
        <f>VLOOKUP(C68,[1]SINDICATO!$C$7:$Q$141,15,0)</f>
        <v>0</v>
      </c>
    </row>
    <row r="69" spans="1:28" s="46" customFormat="1" x14ac:dyDescent="0.2">
      <c r="A69" s="54" t="s">
        <v>444</v>
      </c>
      <c r="B69" s="54" t="s">
        <v>57</v>
      </c>
      <c r="C69" s="54" t="s">
        <v>445</v>
      </c>
      <c r="D69" s="99"/>
      <c r="E69" s="102">
        <f>VLOOKUP(C69,[2]IP!$B$9:$V$116,21,0)</f>
        <v>4503.3999999999996</v>
      </c>
      <c r="F69" s="128"/>
      <c r="G69" s="100" t="e">
        <f>VLOOKUP(C69,#REF!,4,0)</f>
        <v>#REF!</v>
      </c>
      <c r="H69" s="100" t="e">
        <f>VLOOKUP(C69,#REF!,5,0)</f>
        <v>#REF!</v>
      </c>
      <c r="I69" s="100" t="e">
        <f>VLOOKUP(C69,#REF!,6,0)</f>
        <v>#REF!</v>
      </c>
      <c r="J69" s="129"/>
      <c r="K69" s="46" t="e">
        <f t="shared" si="7"/>
        <v>#REF!</v>
      </c>
      <c r="L69" s="46">
        <v>9000</v>
      </c>
      <c r="M69" s="46">
        <f t="shared" si="8"/>
        <v>4500</v>
      </c>
      <c r="N69" s="129"/>
      <c r="O69" s="46">
        <f>VLOOKUP(C69,[2]IP!$B$9:$I$116,8,0)</f>
        <v>0</v>
      </c>
      <c r="P69" s="46" t="e">
        <f t="shared" si="5"/>
        <v>#REF!</v>
      </c>
      <c r="Q69" s="46">
        <f>VLOOKUP(C69,[2]IP!$B$9:$N$116,13,0)</f>
        <v>0</v>
      </c>
      <c r="R69" s="46">
        <f>VLOOKUP(C69,[2]IP!$B$9:$O$116,14,0)</f>
        <v>0</v>
      </c>
      <c r="T69" s="46">
        <f>VLOOKUP(C69,[2]IP!$B$9:$P$116,15,0)</f>
        <v>0</v>
      </c>
      <c r="U69" s="46">
        <f>VLOOKUP(C69,[2]IP!$B$9:$Q$116,16,0)</f>
        <v>0</v>
      </c>
      <c r="V69" s="46">
        <f>VLOOKUP(C69,[2]IP!$B$9:$S$116,18,0)</f>
        <v>0</v>
      </c>
      <c r="W69" s="46">
        <f>VLOOKUP(C69,[2]IP!$B$9:$R$116,17,0)</f>
        <v>0</v>
      </c>
      <c r="X69" s="129"/>
      <c r="Y69" s="46" t="e">
        <f t="shared" si="9"/>
        <v>#REF!</v>
      </c>
      <c r="Z69" s="125" t="e">
        <f t="shared" si="6"/>
        <v>#REF!</v>
      </c>
      <c r="AA69" s="125" t="s">
        <v>654</v>
      </c>
      <c r="AB69" s="100">
        <f>VLOOKUP(C69,[1]SINDICATO!$C$7:$Q$141,15,0)</f>
        <v>0</v>
      </c>
    </row>
    <row r="70" spans="1:28" s="46" customFormat="1" x14ac:dyDescent="0.2">
      <c r="A70" s="52" t="s">
        <v>446</v>
      </c>
      <c r="B70" s="54" t="s">
        <v>57</v>
      </c>
      <c r="C70" s="52" t="s">
        <v>447</v>
      </c>
      <c r="D70" s="99"/>
      <c r="E70" s="102">
        <f>VLOOKUP(C70,[2]IP!$B$9:$V$116,21,0)</f>
        <v>3583.6</v>
      </c>
      <c r="F70" s="123"/>
      <c r="G70" s="100" t="e">
        <f>VLOOKUP(C70,#REF!,4,0)</f>
        <v>#REF!</v>
      </c>
      <c r="H70" s="100" t="e">
        <f>VLOOKUP(C70,#REF!,5,0)</f>
        <v>#REF!</v>
      </c>
      <c r="I70" s="100" t="e">
        <f>VLOOKUP(C70,#REF!,6,0)</f>
        <v>#REF!</v>
      </c>
      <c r="J70" s="109"/>
      <c r="K70" s="100" t="e">
        <f t="shared" si="7"/>
        <v>#REF!</v>
      </c>
      <c r="L70" s="100">
        <v>8000</v>
      </c>
      <c r="M70" s="100">
        <f t="shared" si="8"/>
        <v>4000</v>
      </c>
      <c r="N70" s="110"/>
      <c r="O70" s="46">
        <f>VLOOKUP(C70,[2]IP!$B$9:$I$116,8,0)</f>
        <v>0</v>
      </c>
      <c r="P70" s="46" t="e">
        <f t="shared" si="5"/>
        <v>#REF!</v>
      </c>
      <c r="Q70" s="46">
        <f>VLOOKUP(C70,[2]IP!$B$9:$N$116,13,0)</f>
        <v>0</v>
      </c>
      <c r="R70" s="46">
        <f>VLOOKUP(C70,[2]IP!$B$9:$O$116,14,0)</f>
        <v>0</v>
      </c>
      <c r="T70" s="46">
        <f>VLOOKUP(C70,[2]IP!$B$9:$P$116,15,0)</f>
        <v>0</v>
      </c>
      <c r="U70" s="46">
        <f>VLOOKUP(C70,[2]IP!$B$9:$Q$116,16,0)</f>
        <v>0</v>
      </c>
      <c r="V70" s="46">
        <f>VLOOKUP(C70,[2]IP!$B$9:$S$116,18,0)</f>
        <v>0</v>
      </c>
      <c r="W70" s="46">
        <f>VLOOKUP(C70,[2]IP!$B$9:$R$116,17,0)</f>
        <v>0</v>
      </c>
      <c r="X70" s="109"/>
      <c r="Y70" s="100" t="e">
        <f t="shared" si="9"/>
        <v>#REF!</v>
      </c>
      <c r="Z70" s="46" t="e">
        <f t="shared" si="6"/>
        <v>#REF!</v>
      </c>
      <c r="AB70" s="100" t="e">
        <f>VLOOKUP(C70,[1]SINDICATO!$C$7:$Q$141,15,0)</f>
        <v>#N/A</v>
      </c>
    </row>
    <row r="71" spans="1:28" s="46" customFormat="1" x14ac:dyDescent="0.2">
      <c r="A71" s="52" t="s">
        <v>448</v>
      </c>
      <c r="B71" s="54" t="s">
        <v>57</v>
      </c>
      <c r="C71" s="52" t="s">
        <v>449</v>
      </c>
      <c r="D71" s="99"/>
      <c r="E71" s="102">
        <f>VLOOKUP(C71,[2]IP!$B$9:$V$116,21,0)</f>
        <v>4406.3999999999996</v>
      </c>
      <c r="F71" s="123"/>
      <c r="G71" s="100" t="e">
        <f>VLOOKUP(C71,#REF!,4,0)</f>
        <v>#REF!</v>
      </c>
      <c r="H71" s="100" t="e">
        <f>VLOOKUP(C71,#REF!,5,0)</f>
        <v>#REF!</v>
      </c>
      <c r="I71" s="100" t="e">
        <f>VLOOKUP(C71,#REF!,6,0)</f>
        <v>#REF!</v>
      </c>
      <c r="J71" s="109"/>
      <c r="K71" s="100" t="e">
        <f t="shared" si="7"/>
        <v>#REF!</v>
      </c>
      <c r="L71" s="100">
        <v>10000</v>
      </c>
      <c r="M71" s="100">
        <f t="shared" si="8"/>
        <v>5000</v>
      </c>
      <c r="N71" s="110"/>
      <c r="O71" s="46">
        <f>VLOOKUP(C71,[2]IP!$B$9:$I$116,8,0)</f>
        <v>0</v>
      </c>
      <c r="P71" s="46" t="e">
        <f t="shared" si="5"/>
        <v>#REF!</v>
      </c>
      <c r="Q71" s="46">
        <f>VLOOKUP(C71,[2]IP!$B$9:$N$116,13,0)</f>
        <v>0</v>
      </c>
      <c r="R71" s="46">
        <f>VLOOKUP(C71,[2]IP!$B$9:$O$116,14,0)</f>
        <v>0</v>
      </c>
      <c r="T71" s="46">
        <f>VLOOKUP(C71,[2]IP!$B$9:$P$116,15,0)</f>
        <v>0</v>
      </c>
      <c r="U71" s="46">
        <f>VLOOKUP(C71,[2]IP!$B$9:$Q$116,16,0)</f>
        <v>0</v>
      </c>
      <c r="V71" s="46">
        <f>VLOOKUP(C71,[2]IP!$B$9:$S$116,18,0)</f>
        <v>0</v>
      </c>
      <c r="W71" s="46">
        <f>VLOOKUP(C71,[2]IP!$B$9:$R$116,17,0)</f>
        <v>0</v>
      </c>
      <c r="X71" s="109"/>
      <c r="Y71" s="100" t="e">
        <f t="shared" si="9"/>
        <v>#REF!</v>
      </c>
      <c r="Z71" s="46" t="e">
        <f t="shared" si="6"/>
        <v>#REF!</v>
      </c>
      <c r="AB71" s="100" t="e">
        <f>VLOOKUP(C71,[1]SINDICATO!$C$7:$Q$141,15,0)</f>
        <v>#N/A</v>
      </c>
    </row>
    <row r="72" spans="1:28" s="46" customFormat="1" x14ac:dyDescent="0.2">
      <c r="A72" s="52" t="s">
        <v>450</v>
      </c>
      <c r="B72" s="54" t="s">
        <v>57</v>
      </c>
      <c r="C72" s="52" t="s">
        <v>451</v>
      </c>
      <c r="D72" s="99"/>
      <c r="E72" s="102">
        <f>VLOOKUP(C72,[2]IP!$B$9:$V$116,21,0)</f>
        <v>3238.4</v>
      </c>
      <c r="F72" s="123"/>
      <c r="G72" s="100" t="e">
        <f>VLOOKUP(C72,#REF!,4,0)</f>
        <v>#REF!</v>
      </c>
      <c r="H72" s="100" t="e">
        <f>VLOOKUP(C72,#REF!,5,0)</f>
        <v>#REF!</v>
      </c>
      <c r="I72" s="100" t="e">
        <f>VLOOKUP(C72,#REF!,6,0)</f>
        <v>#REF!</v>
      </c>
      <c r="J72" s="109"/>
      <c r="K72" s="100" t="e">
        <f t="shared" si="7"/>
        <v>#REF!</v>
      </c>
      <c r="L72" s="100">
        <v>8000</v>
      </c>
      <c r="M72" s="100">
        <f t="shared" si="8"/>
        <v>4000</v>
      </c>
      <c r="N72" s="110"/>
      <c r="O72" s="46">
        <f>VLOOKUP(C72,[2]IP!$B$9:$I$116,8,0)</f>
        <v>0</v>
      </c>
      <c r="P72" s="46" t="e">
        <f t="shared" si="5"/>
        <v>#REF!</v>
      </c>
      <c r="Q72" s="46">
        <f>VLOOKUP(C72,[2]IP!$B$9:$N$116,13,0)</f>
        <v>0</v>
      </c>
      <c r="R72" s="46">
        <f>VLOOKUP(C72,[2]IP!$B$9:$O$116,14,0)</f>
        <v>0</v>
      </c>
      <c r="T72" s="46">
        <f>VLOOKUP(C72,[2]IP!$B$9:$P$116,15,0)</f>
        <v>0</v>
      </c>
      <c r="U72" s="46">
        <f>VLOOKUP(C72,[2]IP!$B$9:$Q$116,16,0)</f>
        <v>0</v>
      </c>
      <c r="V72" s="46">
        <f>VLOOKUP(C72,[2]IP!$B$9:$S$116,18,0)</f>
        <v>0</v>
      </c>
      <c r="W72" s="46">
        <f>VLOOKUP(C72,[2]IP!$B$9:$R$116,17,0)</f>
        <v>345.25</v>
      </c>
      <c r="X72" s="109"/>
      <c r="Y72" s="100" t="e">
        <f t="shared" si="9"/>
        <v>#REF!</v>
      </c>
      <c r="Z72" s="46" t="e">
        <f t="shared" si="6"/>
        <v>#REF!</v>
      </c>
      <c r="AB72" s="100" t="e">
        <f>VLOOKUP(C72,[1]SINDICATO!$C$7:$Q$141,15,0)</f>
        <v>#N/A</v>
      </c>
    </row>
    <row r="73" spans="1:28" s="46" customFormat="1" x14ac:dyDescent="0.2">
      <c r="A73" s="52" t="s">
        <v>452</v>
      </c>
      <c r="B73" s="54" t="s">
        <v>57</v>
      </c>
      <c r="C73" s="52" t="s">
        <v>453</v>
      </c>
      <c r="D73" s="99"/>
      <c r="E73" s="102">
        <f>VLOOKUP(C73,[2]IP!$B$9:$V$116,21,0)</f>
        <v>2681.6</v>
      </c>
      <c r="F73" s="123"/>
      <c r="G73" s="100" t="e">
        <f>VLOOKUP(C73,#REF!,4,0)</f>
        <v>#REF!</v>
      </c>
      <c r="H73" s="100" t="e">
        <f>VLOOKUP(C73,#REF!,5,0)</f>
        <v>#REF!</v>
      </c>
      <c r="I73" s="100" t="e">
        <f>VLOOKUP(C73,#REF!,6,0)</f>
        <v>#REF!</v>
      </c>
      <c r="J73" s="109"/>
      <c r="K73" s="100" t="e">
        <f t="shared" si="7"/>
        <v>#REF!</v>
      </c>
      <c r="L73" s="100">
        <v>9550.01</v>
      </c>
      <c r="M73" s="100">
        <f t="shared" si="8"/>
        <v>4775.0050000000001</v>
      </c>
      <c r="N73" s="110"/>
      <c r="O73" s="46">
        <f>VLOOKUP(C73,[2]IP!$B$9:$I$116,8,0)</f>
        <v>0</v>
      </c>
      <c r="P73" s="46" t="e">
        <f t="shared" si="5"/>
        <v>#REF!</v>
      </c>
      <c r="Q73" s="46">
        <f>VLOOKUP(C73,[2]IP!$B$9:$N$116,13,0)</f>
        <v>1528.5</v>
      </c>
      <c r="R73" s="46">
        <f>VLOOKUP(C73,[2]IP!$B$9:$O$116,14,0)</f>
        <v>0</v>
      </c>
      <c r="T73" s="46">
        <f>VLOOKUP(C73,[2]IP!$B$9:$P$116,15,0)</f>
        <v>15</v>
      </c>
      <c r="U73" s="46">
        <f>VLOOKUP(C73,[2]IP!$B$9:$Q$116,16,0)</f>
        <v>0</v>
      </c>
      <c r="V73" s="46">
        <f>VLOOKUP(C73,[2]IP!$B$9:$S$116,18,0)</f>
        <v>0</v>
      </c>
      <c r="W73" s="46">
        <f>VLOOKUP(C73,[2]IP!$B$9:$R$116,17,0)</f>
        <v>0</v>
      </c>
      <c r="X73" s="109"/>
      <c r="Y73" s="100" t="e">
        <f t="shared" si="9"/>
        <v>#REF!</v>
      </c>
      <c r="Z73" s="46" t="e">
        <f t="shared" si="6"/>
        <v>#REF!</v>
      </c>
      <c r="AB73" s="100" t="e">
        <f>VLOOKUP(C73,[1]SINDICATO!$C$7:$Q$141,15,0)</f>
        <v>#N/A</v>
      </c>
    </row>
    <row r="74" spans="1:28" s="46" customFormat="1" x14ac:dyDescent="0.2">
      <c r="A74" s="52" t="s">
        <v>454</v>
      </c>
      <c r="B74" s="54" t="s">
        <v>57</v>
      </c>
      <c r="C74" s="52" t="s">
        <v>455</v>
      </c>
      <c r="D74" s="99"/>
      <c r="E74" s="102">
        <f>VLOOKUP(C74,[2]IP!$B$9:$V$116,21,0)</f>
        <v>1157.8</v>
      </c>
      <c r="F74" s="123"/>
      <c r="G74" s="100" t="e">
        <f>VLOOKUP(C74,#REF!,4,0)</f>
        <v>#REF!</v>
      </c>
      <c r="H74" s="100" t="e">
        <f>VLOOKUP(C74,#REF!,5,0)</f>
        <v>#REF!</v>
      </c>
      <c r="I74" s="100" t="e">
        <f>VLOOKUP(C74,#REF!,6,0)</f>
        <v>#REF!</v>
      </c>
      <c r="J74" s="109"/>
      <c r="K74" s="100" t="e">
        <f t="shared" si="7"/>
        <v>#REF!</v>
      </c>
      <c r="L74" s="100">
        <v>7505.99</v>
      </c>
      <c r="M74" s="100">
        <f t="shared" si="8"/>
        <v>3752.9949999999999</v>
      </c>
      <c r="N74" s="110"/>
      <c r="O74" s="46">
        <f>VLOOKUP(C74,[2]IP!$B$9:$I$116,8,0)</f>
        <v>0</v>
      </c>
      <c r="P74" s="46" t="e">
        <f t="shared" si="5"/>
        <v>#REF!</v>
      </c>
      <c r="Q74" s="46">
        <f>VLOOKUP(C74,[2]IP!$B$9:$N$116,13,0)</f>
        <v>0</v>
      </c>
      <c r="R74" s="46">
        <f>VLOOKUP(C74,[2]IP!$B$9:$O$116,14,0)</f>
        <v>1346.54</v>
      </c>
      <c r="T74" s="46">
        <f>VLOOKUP(C74,[2]IP!$B$9:$P$116,15,0)</f>
        <v>15</v>
      </c>
      <c r="U74" s="46">
        <f>VLOOKUP(C74,[2]IP!$B$9:$Q$116,16,0)</f>
        <v>0</v>
      </c>
      <c r="V74" s="46">
        <f>VLOOKUP(C74,[2]IP!$B$9:$S$116,18,0)</f>
        <v>0</v>
      </c>
      <c r="W74" s="46">
        <f>VLOOKUP(C74,[2]IP!$B$9:$R$116,17,0)</f>
        <v>848.88</v>
      </c>
      <c r="X74" s="109"/>
      <c r="Y74" s="100" t="e">
        <f t="shared" si="9"/>
        <v>#REF!</v>
      </c>
      <c r="Z74" s="46" t="e">
        <f t="shared" si="6"/>
        <v>#REF!</v>
      </c>
      <c r="AB74" s="100" t="e">
        <f>VLOOKUP(C74,[1]SINDICATO!$C$7:$Q$141,15,0)</f>
        <v>#N/A</v>
      </c>
    </row>
    <row r="75" spans="1:28" s="46" customFormat="1" x14ac:dyDescent="0.2">
      <c r="A75" s="52" t="s">
        <v>456</v>
      </c>
      <c r="B75" s="54" t="s">
        <v>57</v>
      </c>
      <c r="C75" s="52" t="s">
        <v>457</v>
      </c>
      <c r="D75" s="99"/>
      <c r="E75" s="102">
        <f>VLOOKUP(C75,[2]IP!$B$9:$V$116,21,0)</f>
        <v>3799</v>
      </c>
      <c r="F75" s="123"/>
      <c r="G75" s="100" t="e">
        <f>VLOOKUP(C75,#REF!,4,0)</f>
        <v>#REF!</v>
      </c>
      <c r="H75" s="100" t="e">
        <f>VLOOKUP(C75,#REF!,5,0)</f>
        <v>#REF!</v>
      </c>
      <c r="I75" s="100" t="e">
        <f>VLOOKUP(C75,#REF!,6,0)</f>
        <v>#REF!</v>
      </c>
      <c r="J75" s="109"/>
      <c r="K75" s="100" t="e">
        <f t="shared" si="7"/>
        <v>#REF!</v>
      </c>
      <c r="L75" s="100">
        <v>8500.01</v>
      </c>
      <c r="M75" s="100">
        <f t="shared" si="8"/>
        <v>4250.0050000000001</v>
      </c>
      <c r="N75" s="110"/>
      <c r="O75" s="46">
        <f>VLOOKUP(C75,[2]IP!$B$9:$I$116,8,0)</f>
        <v>0</v>
      </c>
      <c r="P75" s="46" t="e">
        <f t="shared" si="5"/>
        <v>#REF!</v>
      </c>
      <c r="Q75" s="46">
        <f>VLOOKUP(C75,[2]IP!$B$9:$N$116,13,0)</f>
        <v>0</v>
      </c>
      <c r="R75" s="46">
        <f>VLOOKUP(C75,[2]IP!$B$9:$O$116,14,0)</f>
        <v>0</v>
      </c>
      <c r="T75" s="46">
        <f>VLOOKUP(C75,[2]IP!$B$9:$P$116,15,0)</f>
        <v>0</v>
      </c>
      <c r="U75" s="46">
        <f>VLOOKUP(C75,[2]IP!$B$9:$Q$116,16,0)</f>
        <v>0</v>
      </c>
      <c r="V75" s="46">
        <f>VLOOKUP(C75,[2]IP!$B$9:$S$116,18,0)</f>
        <v>0</v>
      </c>
      <c r="W75" s="46">
        <f>VLOOKUP(C75,[2]IP!$B$9:$R$116,17,0)</f>
        <v>0</v>
      </c>
      <c r="X75" s="109"/>
      <c r="Y75" s="100" t="e">
        <f t="shared" si="9"/>
        <v>#REF!</v>
      </c>
      <c r="Z75" s="46" t="e">
        <f t="shared" si="6"/>
        <v>#REF!</v>
      </c>
      <c r="AB75" s="100" t="e">
        <f>VLOOKUP(C75,[1]SINDICATO!$C$7:$Q$141,15,0)</f>
        <v>#N/A</v>
      </c>
    </row>
    <row r="76" spans="1:28" s="46" customFormat="1" x14ac:dyDescent="0.2">
      <c r="A76" s="52" t="s">
        <v>531</v>
      </c>
      <c r="B76" s="54" t="s">
        <v>57</v>
      </c>
      <c r="C76" s="52" t="s">
        <v>532</v>
      </c>
      <c r="D76" s="99"/>
      <c r="E76" s="102">
        <f>VLOOKUP(C76,[2]IP!$B$9:$V$116,21,0)</f>
        <v>3585.4</v>
      </c>
      <c r="F76" s="123"/>
      <c r="G76" s="100" t="e">
        <f>VLOOKUP(C76,#REF!,4,0)</f>
        <v>#REF!</v>
      </c>
      <c r="H76" s="100" t="e">
        <f>VLOOKUP(C76,#REF!,5,0)</f>
        <v>#REF!</v>
      </c>
      <c r="I76" s="100" t="e">
        <f>VLOOKUP(C76,#REF!,6,0)</f>
        <v>#REF!</v>
      </c>
      <c r="J76" s="109"/>
      <c r="K76" s="100" t="e">
        <f t="shared" si="7"/>
        <v>#REF!</v>
      </c>
      <c r="L76" s="100">
        <v>8000</v>
      </c>
      <c r="M76" s="100">
        <f t="shared" si="8"/>
        <v>4000</v>
      </c>
      <c r="N76" s="110"/>
      <c r="O76" s="46">
        <f>VLOOKUP(C76,[2]IP!$B$9:$I$116,8,0)</f>
        <v>0</v>
      </c>
      <c r="P76" s="46" t="e">
        <f t="shared" si="5"/>
        <v>#REF!</v>
      </c>
      <c r="Q76" s="46">
        <f>VLOOKUP(C76,[2]IP!$B$9:$N$116,13,0)</f>
        <v>0</v>
      </c>
      <c r="R76" s="46">
        <f>VLOOKUP(C76,[2]IP!$B$9:$O$116,14,0)</f>
        <v>0</v>
      </c>
      <c r="T76" s="46">
        <f>VLOOKUP(C76,[2]IP!$B$9:$P$116,15,0)</f>
        <v>0</v>
      </c>
      <c r="U76" s="46">
        <f>VLOOKUP(C76,[2]IP!$B$9:$Q$116,16,0)</f>
        <v>0</v>
      </c>
      <c r="V76" s="46">
        <f>VLOOKUP(C76,[2]IP!$B$9:$S$116,18,0)</f>
        <v>0</v>
      </c>
      <c r="W76" s="46">
        <f>VLOOKUP(C76,[2]IP!$B$9:$R$116,17,0)</f>
        <v>0</v>
      </c>
      <c r="X76" s="109"/>
      <c r="Y76" s="100" t="e">
        <f t="shared" si="9"/>
        <v>#REF!</v>
      </c>
      <c r="Z76" s="46" t="e">
        <f t="shared" si="6"/>
        <v>#REF!</v>
      </c>
      <c r="AB76" s="100" t="e">
        <f>VLOOKUP(C76,[1]SINDICATO!$C$7:$Q$141,15,0)</f>
        <v>#N/A</v>
      </c>
    </row>
    <row r="77" spans="1:28" s="46" customFormat="1" x14ac:dyDescent="0.2">
      <c r="A77" s="52" t="s">
        <v>460</v>
      </c>
      <c r="B77" s="54" t="s">
        <v>57</v>
      </c>
      <c r="C77" s="52" t="s">
        <v>461</v>
      </c>
      <c r="D77" s="99"/>
      <c r="E77" s="102">
        <f>VLOOKUP(C77,[2]IP!$B$9:$V$116,21,0)</f>
        <v>2869</v>
      </c>
      <c r="F77" s="123"/>
      <c r="G77" s="100" t="e">
        <f>VLOOKUP(C77,#REF!,4,0)</f>
        <v>#REF!</v>
      </c>
      <c r="H77" s="100" t="e">
        <f>VLOOKUP(C77,#REF!,5,0)</f>
        <v>#REF!</v>
      </c>
      <c r="I77" s="100" t="e">
        <f>VLOOKUP(C77,#REF!,6,0)</f>
        <v>#REF!</v>
      </c>
      <c r="J77" s="109"/>
      <c r="K77" s="100" t="e">
        <f t="shared" si="7"/>
        <v>#REF!</v>
      </c>
      <c r="L77" s="100">
        <v>8500.01</v>
      </c>
      <c r="M77" s="100">
        <f t="shared" si="8"/>
        <v>4250.0050000000001</v>
      </c>
      <c r="N77" s="110"/>
      <c r="O77" s="46">
        <f>VLOOKUP(C77,[2]IP!$B$9:$I$116,8,0)</f>
        <v>0</v>
      </c>
      <c r="P77" s="46" t="e">
        <f t="shared" si="5"/>
        <v>#REF!</v>
      </c>
      <c r="Q77" s="46">
        <f>VLOOKUP(C77,[2]IP!$B$9:$N$116,13,0)</f>
        <v>0</v>
      </c>
      <c r="R77" s="46">
        <f>VLOOKUP(C77,[2]IP!$B$9:$O$116,14,0)</f>
        <v>592.54</v>
      </c>
      <c r="T77" s="46">
        <f>VLOOKUP(C77,[2]IP!$B$9:$P$116,15,0)</f>
        <v>15</v>
      </c>
      <c r="U77" s="46">
        <f>VLOOKUP(C77,[2]IP!$B$9:$Q$116,16,0)</f>
        <v>0</v>
      </c>
      <c r="V77" s="46">
        <f>VLOOKUP(C77,[2]IP!$B$9:$S$116,18,0)</f>
        <v>0</v>
      </c>
      <c r="W77" s="46">
        <f>VLOOKUP(C77,[2]IP!$B$9:$R$116,17,0)</f>
        <v>322.5</v>
      </c>
      <c r="X77" s="109"/>
      <c r="Y77" s="100" t="e">
        <f t="shared" si="9"/>
        <v>#REF!</v>
      </c>
      <c r="Z77" s="46" t="e">
        <f t="shared" si="6"/>
        <v>#REF!</v>
      </c>
      <c r="AB77" s="100" t="e">
        <f>VLOOKUP(C77,[1]SINDICATO!$C$7:$Q$141,15,0)</f>
        <v>#N/A</v>
      </c>
    </row>
    <row r="78" spans="1:28" s="46" customFormat="1" x14ac:dyDescent="0.2">
      <c r="A78" s="52" t="s">
        <v>464</v>
      </c>
      <c r="B78" s="54" t="s">
        <v>57</v>
      </c>
      <c r="C78" s="52" t="s">
        <v>465</v>
      </c>
      <c r="D78" s="99"/>
      <c r="E78" s="102">
        <f>VLOOKUP(C78,[2]IP!$B$9:$V$116,21,0)</f>
        <v>3583.6</v>
      </c>
      <c r="F78" s="123"/>
      <c r="G78" s="100" t="e">
        <f>VLOOKUP(C78,#REF!,4,0)</f>
        <v>#REF!</v>
      </c>
      <c r="H78" s="100" t="e">
        <f>VLOOKUP(C78,#REF!,5,0)</f>
        <v>#REF!</v>
      </c>
      <c r="I78" s="100" t="e">
        <f>VLOOKUP(C78,#REF!,6,0)</f>
        <v>#REF!</v>
      </c>
      <c r="J78" s="109"/>
      <c r="K78" s="100" t="e">
        <f t="shared" si="7"/>
        <v>#REF!</v>
      </c>
      <c r="L78" s="100">
        <v>8000</v>
      </c>
      <c r="M78" s="100">
        <f t="shared" si="8"/>
        <v>4000</v>
      </c>
      <c r="N78" s="110"/>
      <c r="O78" s="46">
        <f>VLOOKUP(C78,[2]IP!$B$9:$I$116,8,0)</f>
        <v>0</v>
      </c>
      <c r="P78" s="46" t="e">
        <f t="shared" si="5"/>
        <v>#REF!</v>
      </c>
      <c r="Q78" s="46">
        <f>VLOOKUP(C78,[2]IP!$B$9:$N$116,13,0)</f>
        <v>0</v>
      </c>
      <c r="R78" s="46">
        <f>VLOOKUP(C78,[2]IP!$B$9:$O$116,14,0)</f>
        <v>0</v>
      </c>
      <c r="T78" s="46">
        <f>VLOOKUP(C78,[2]IP!$B$9:$P$116,15,0)</f>
        <v>0</v>
      </c>
      <c r="U78" s="46">
        <f>VLOOKUP(C78,[2]IP!$B$9:$Q$116,16,0)</f>
        <v>0</v>
      </c>
      <c r="V78" s="46">
        <f>VLOOKUP(C78,[2]IP!$B$9:$S$116,18,0)</f>
        <v>0</v>
      </c>
      <c r="W78" s="46">
        <f>VLOOKUP(C78,[2]IP!$B$9:$R$116,17,0)</f>
        <v>0</v>
      </c>
      <c r="X78" s="109"/>
      <c r="Y78" s="100" t="e">
        <f t="shared" si="9"/>
        <v>#REF!</v>
      </c>
      <c r="Z78" s="46" t="e">
        <f t="shared" si="6"/>
        <v>#REF!</v>
      </c>
      <c r="AB78" s="100" t="e">
        <f>VLOOKUP(C78,[1]SINDICATO!$C$7:$Q$141,15,0)</f>
        <v>#N/A</v>
      </c>
    </row>
    <row r="79" spans="1:28" s="46" customFormat="1" x14ac:dyDescent="0.2">
      <c r="A79" s="52" t="s">
        <v>468</v>
      </c>
      <c r="B79" s="54" t="s">
        <v>57</v>
      </c>
      <c r="C79" s="52" t="s">
        <v>469</v>
      </c>
      <c r="D79" s="99"/>
      <c r="E79" s="102">
        <f>VLOOKUP(C79,[2]IP!$B$9:$V$116,21,0)</f>
        <v>1320.4</v>
      </c>
      <c r="F79" s="123"/>
      <c r="G79" s="100" t="e">
        <f>VLOOKUP(C79,#REF!,4,0)</f>
        <v>#REF!</v>
      </c>
      <c r="H79" s="100" t="e">
        <f>VLOOKUP(C79,#REF!,5,0)</f>
        <v>#REF!</v>
      </c>
      <c r="I79" s="100" t="e">
        <f>VLOOKUP(C79,#REF!,6,0)</f>
        <v>#REF!</v>
      </c>
      <c r="J79" s="109"/>
      <c r="K79" s="100" t="e">
        <f t="shared" si="7"/>
        <v>#REF!</v>
      </c>
      <c r="L79" s="100">
        <v>8000</v>
      </c>
      <c r="M79" s="100">
        <f t="shared" si="8"/>
        <v>4000</v>
      </c>
      <c r="N79" s="110"/>
      <c r="O79" s="46">
        <f>VLOOKUP(C79,[2]IP!$B$9:$I$116,8,0)</f>
        <v>0</v>
      </c>
      <c r="P79" s="46" t="e">
        <f t="shared" si="5"/>
        <v>#REF!</v>
      </c>
      <c r="Q79" s="46">
        <f>VLOOKUP(C79,[2]IP!$B$9:$N$116,13,0)</f>
        <v>1848.35</v>
      </c>
      <c r="R79" s="46">
        <f>VLOOKUP(C79,[2]IP!$B$9:$O$116,14,0)</f>
        <v>0</v>
      </c>
      <c r="T79" s="46">
        <f>VLOOKUP(C79,[2]IP!$B$9:$P$116,15,0)</f>
        <v>15</v>
      </c>
      <c r="U79" s="46">
        <f>VLOOKUP(C79,[2]IP!$B$9:$Q$116,16,0)</f>
        <v>0</v>
      </c>
      <c r="V79" s="46">
        <f>VLOOKUP(C79,[2]IP!$B$9:$S$116,18,0)</f>
        <v>0</v>
      </c>
      <c r="W79" s="46">
        <f>VLOOKUP(C79,[2]IP!$B$9:$R$116,17,0)</f>
        <v>400</v>
      </c>
      <c r="X79" s="109"/>
      <c r="Y79" s="100" t="e">
        <f t="shared" si="9"/>
        <v>#REF!</v>
      </c>
      <c r="Z79" s="46" t="e">
        <f t="shared" si="6"/>
        <v>#REF!</v>
      </c>
      <c r="AB79" s="100" t="e">
        <f>VLOOKUP(C79,[1]SINDICATO!$C$7:$Q$141,15,0)</f>
        <v>#N/A</v>
      </c>
    </row>
    <row r="80" spans="1:28" s="46" customFormat="1" x14ac:dyDescent="0.2">
      <c r="A80" s="54" t="s">
        <v>470</v>
      </c>
      <c r="B80" s="54" t="s">
        <v>57</v>
      </c>
      <c r="C80" s="54" t="s">
        <v>550</v>
      </c>
      <c r="D80" s="99"/>
      <c r="E80" s="102">
        <f>VLOOKUP(C80,[2]IP!$B$9:$V$116,21,0)</f>
        <v>3561.4</v>
      </c>
      <c r="F80" s="123"/>
      <c r="G80" s="100" t="e">
        <f>VLOOKUP(C80,#REF!,4,0)</f>
        <v>#REF!</v>
      </c>
      <c r="H80" s="100" t="e">
        <f>VLOOKUP(C80,#REF!,5,0)</f>
        <v>#REF!</v>
      </c>
      <c r="I80" s="100" t="e">
        <f>VLOOKUP(C80,#REF!,6,0)</f>
        <v>#REF!</v>
      </c>
      <c r="J80" s="109"/>
      <c r="K80" s="100" t="e">
        <f t="shared" si="7"/>
        <v>#REF!</v>
      </c>
      <c r="L80" s="46">
        <v>7900</v>
      </c>
      <c r="M80" s="46">
        <f t="shared" si="8"/>
        <v>3950</v>
      </c>
      <c r="N80" s="110"/>
      <c r="O80" s="46">
        <f>VLOOKUP(C80,[2]IP!$B$9:$I$116,8,0)</f>
        <v>0</v>
      </c>
      <c r="P80" s="46" t="e">
        <f t="shared" si="5"/>
        <v>#REF!</v>
      </c>
      <c r="Q80" s="46">
        <f>VLOOKUP(C80,[2]IP!$B$9:$N$116,13,0)</f>
        <v>428.6</v>
      </c>
      <c r="R80" s="46">
        <f>VLOOKUP(C80,[2]IP!$B$9:$O$116,14,0)</f>
        <v>0</v>
      </c>
      <c r="T80" s="46">
        <f>VLOOKUP(C80,[2]IP!$B$9:$P$116,15,0)</f>
        <v>15</v>
      </c>
      <c r="U80" s="46">
        <f>VLOOKUP(C80,[2]IP!$B$9:$Q$116,16,0)</f>
        <v>0</v>
      </c>
      <c r="V80" s="46">
        <f>VLOOKUP(C80,[2]IP!$B$9:$S$116,18,0)</f>
        <v>0</v>
      </c>
      <c r="W80" s="46">
        <f>VLOOKUP(C80,[2]IP!$B$9:$R$116,17,0)</f>
        <v>0</v>
      </c>
      <c r="X80" s="109"/>
      <c r="Y80" s="100" t="e">
        <f t="shared" si="9"/>
        <v>#REF!</v>
      </c>
      <c r="Z80" s="125" t="e">
        <f t="shared" si="6"/>
        <v>#REF!</v>
      </c>
      <c r="AA80" s="125" t="s">
        <v>653</v>
      </c>
      <c r="AB80" s="100">
        <f>VLOOKUP(C80,[1]SINDICATO!$C$7:$Q$141,15,0)</f>
        <v>0</v>
      </c>
    </row>
    <row r="81" spans="1:28" s="46" customFormat="1" x14ac:dyDescent="0.2">
      <c r="A81" s="52" t="s">
        <v>473</v>
      </c>
      <c r="B81" s="54" t="s">
        <v>57</v>
      </c>
      <c r="C81" s="52" t="s">
        <v>474</v>
      </c>
      <c r="D81" s="99"/>
      <c r="E81" s="102">
        <f>VLOOKUP(C81,[2]IP!$B$9:$V$116,21,0)</f>
        <v>5952.2</v>
      </c>
      <c r="F81" s="123"/>
      <c r="G81" s="100" t="e">
        <f>VLOOKUP(C81,#REF!,4,0)</f>
        <v>#REF!</v>
      </c>
      <c r="H81" s="100" t="e">
        <f>VLOOKUP(C81,#REF!,5,0)</f>
        <v>#REF!</v>
      </c>
      <c r="I81" s="100" t="e">
        <f>VLOOKUP(C81,#REF!,6,0)</f>
        <v>#REF!</v>
      </c>
      <c r="J81" s="109"/>
      <c r="K81" s="100" t="e">
        <f t="shared" si="7"/>
        <v>#REF!</v>
      </c>
      <c r="L81" s="100">
        <v>14000</v>
      </c>
      <c r="M81" s="100">
        <f t="shared" si="8"/>
        <v>7000</v>
      </c>
      <c r="N81" s="110"/>
      <c r="O81" s="46">
        <f>VLOOKUP(C81,[2]IP!$B$9:$I$116,8,0)</f>
        <v>0</v>
      </c>
      <c r="P81" s="46" t="e">
        <f t="shared" si="5"/>
        <v>#REF!</v>
      </c>
      <c r="Q81" s="46">
        <f>VLOOKUP(C81,[2]IP!$B$9:$N$116,13,0)</f>
        <v>0</v>
      </c>
      <c r="R81" s="46">
        <f>VLOOKUP(C81,[2]IP!$B$9:$O$116,14,0)</f>
        <v>0</v>
      </c>
      <c r="T81" s="46">
        <f>VLOOKUP(C81,[2]IP!$B$9:$P$116,15,0)</f>
        <v>0</v>
      </c>
      <c r="U81" s="46">
        <f>VLOOKUP(C81,[2]IP!$B$9:$Q$116,16,0)</f>
        <v>0</v>
      </c>
      <c r="V81" s="46">
        <f>VLOOKUP(C81,[2]IP!$B$9:$S$116,18,0)</f>
        <v>0</v>
      </c>
      <c r="W81" s="46">
        <f>VLOOKUP(C81,[2]IP!$B$9:$R$116,17,0)</f>
        <v>0</v>
      </c>
      <c r="X81" s="109"/>
      <c r="Y81" s="100" t="e">
        <f t="shared" si="9"/>
        <v>#REF!</v>
      </c>
      <c r="Z81" s="46" t="e">
        <f t="shared" si="6"/>
        <v>#REF!</v>
      </c>
      <c r="AB81" s="100" t="e">
        <f>VLOOKUP(C81,[1]SINDICATO!$C$7:$Q$141,15,0)</f>
        <v>#N/A</v>
      </c>
    </row>
    <row r="82" spans="1:28" s="46" customFormat="1" x14ac:dyDescent="0.2">
      <c r="A82" s="52" t="s">
        <v>475</v>
      </c>
      <c r="B82" s="54" t="s">
        <v>57</v>
      </c>
      <c r="C82" s="52" t="s">
        <v>551</v>
      </c>
      <c r="D82" s="99"/>
      <c r="E82" s="102">
        <f>VLOOKUP(C82,[2]IP!$B$9:$V$116,21,0)</f>
        <v>2895</v>
      </c>
      <c r="F82" s="123"/>
      <c r="G82" s="100" t="e">
        <f>VLOOKUP(C82,#REF!,4,0)</f>
        <v>#REF!</v>
      </c>
      <c r="H82" s="100" t="e">
        <f>VLOOKUP(C82,#REF!,5,0)</f>
        <v>#REF!</v>
      </c>
      <c r="I82" s="100" t="e">
        <f>VLOOKUP(C82,#REF!,6,0)</f>
        <v>#REF!</v>
      </c>
      <c r="J82" s="109"/>
      <c r="K82" s="100" t="e">
        <f t="shared" si="7"/>
        <v>#REF!</v>
      </c>
      <c r="L82" s="100">
        <v>8000</v>
      </c>
      <c r="M82" s="100">
        <f t="shared" si="8"/>
        <v>4000</v>
      </c>
      <c r="N82" s="110"/>
      <c r="O82" s="46">
        <f>VLOOKUP(C82,[2]IP!$B$9:$I$116,8,0)</f>
        <v>0</v>
      </c>
      <c r="P82" s="46" t="e">
        <f t="shared" si="5"/>
        <v>#REF!</v>
      </c>
      <c r="Q82" s="46">
        <f>VLOOKUP(C82,[2]IP!$B$9:$N$116,13,0)</f>
        <v>0</v>
      </c>
      <c r="R82" s="46">
        <f>VLOOKUP(C82,[2]IP!$B$9:$O$116,14,0)</f>
        <v>0</v>
      </c>
      <c r="T82" s="46">
        <f>VLOOKUP(C82,[2]IP!$B$9:$P$116,15,0)</f>
        <v>0</v>
      </c>
      <c r="U82" s="46">
        <f>VLOOKUP(C82,[2]IP!$B$9:$Q$116,16,0)</f>
        <v>0</v>
      </c>
      <c r="V82" s="46">
        <f>VLOOKUP(C82,[2]IP!$B$9:$S$116,18,0)</f>
        <v>0</v>
      </c>
      <c r="W82" s="46">
        <f>VLOOKUP(C82,[2]IP!$B$9:$R$116,17,0)</f>
        <v>688.8</v>
      </c>
      <c r="X82" s="109"/>
      <c r="Y82" s="100" t="e">
        <f t="shared" si="9"/>
        <v>#REF!</v>
      </c>
      <c r="Z82" s="46" t="e">
        <f t="shared" si="6"/>
        <v>#REF!</v>
      </c>
      <c r="AB82" s="100" t="e">
        <f>VLOOKUP(C82,[1]SINDICATO!$C$7:$Q$141,15,0)</f>
        <v>#N/A</v>
      </c>
    </row>
    <row r="83" spans="1:28" s="46" customFormat="1" x14ac:dyDescent="0.2">
      <c r="A83" s="52" t="s">
        <v>478</v>
      </c>
      <c r="B83" s="54" t="s">
        <v>57</v>
      </c>
      <c r="C83" s="52" t="s">
        <v>479</v>
      </c>
      <c r="D83" s="99"/>
      <c r="E83" s="102">
        <f>VLOOKUP(C83,[2]IP!$B$9:$V$116,21,0)</f>
        <v>3583.6</v>
      </c>
      <c r="F83" s="123"/>
      <c r="G83" s="100" t="e">
        <f>VLOOKUP(C83,#REF!,4,0)</f>
        <v>#REF!</v>
      </c>
      <c r="H83" s="100" t="e">
        <f>VLOOKUP(C83,#REF!,5,0)</f>
        <v>#REF!</v>
      </c>
      <c r="I83" s="100" t="e">
        <f>VLOOKUP(C83,#REF!,6,0)</f>
        <v>#REF!</v>
      </c>
      <c r="J83" s="109"/>
      <c r="K83" s="100" t="e">
        <f t="shared" si="7"/>
        <v>#REF!</v>
      </c>
      <c r="L83" s="100">
        <v>8000</v>
      </c>
      <c r="M83" s="100">
        <f t="shared" si="8"/>
        <v>4000</v>
      </c>
      <c r="N83" s="110"/>
      <c r="O83" s="46">
        <f>VLOOKUP(C83,[2]IP!$B$9:$I$116,8,0)</f>
        <v>0</v>
      </c>
      <c r="P83" s="46" t="e">
        <f t="shared" si="5"/>
        <v>#REF!</v>
      </c>
      <c r="Q83" s="46">
        <f>VLOOKUP(C83,[2]IP!$B$9:$N$116,13,0)</f>
        <v>0</v>
      </c>
      <c r="R83" s="46">
        <f>VLOOKUP(C83,[2]IP!$B$9:$O$116,14,0)</f>
        <v>0</v>
      </c>
      <c r="T83" s="46">
        <f>VLOOKUP(C83,[2]IP!$B$9:$P$116,15,0)</f>
        <v>0</v>
      </c>
      <c r="U83" s="46">
        <f>VLOOKUP(C83,[2]IP!$B$9:$Q$116,16,0)</f>
        <v>0</v>
      </c>
      <c r="V83" s="46">
        <f>VLOOKUP(C83,[2]IP!$B$9:$S$116,18,0)</f>
        <v>0</v>
      </c>
      <c r="W83" s="46">
        <f>VLOOKUP(C83,[2]IP!$B$9:$R$116,17,0)</f>
        <v>0</v>
      </c>
      <c r="X83" s="109"/>
      <c r="Y83" s="100" t="e">
        <f t="shared" si="9"/>
        <v>#REF!</v>
      </c>
      <c r="Z83" s="46" t="e">
        <f t="shared" si="6"/>
        <v>#REF!</v>
      </c>
      <c r="AB83" s="100" t="e">
        <f>VLOOKUP(C83,[1]SINDICATO!$C$7:$Q$141,15,0)</f>
        <v>#N/A</v>
      </c>
    </row>
    <row r="84" spans="1:28" s="46" customFormat="1" x14ac:dyDescent="0.2">
      <c r="A84" s="52" t="s">
        <v>480</v>
      </c>
      <c r="B84" s="54" t="s">
        <v>57</v>
      </c>
      <c r="C84" s="52" t="s">
        <v>481</v>
      </c>
      <c r="D84" s="99"/>
      <c r="E84" s="102">
        <f>VLOOKUP(C84,[2]IP!$B$9:$V$116,21,0)</f>
        <v>2864.8</v>
      </c>
      <c r="F84" s="123"/>
      <c r="G84" s="100" t="e">
        <f>VLOOKUP(C84,#REF!,4,0)</f>
        <v>#REF!</v>
      </c>
      <c r="H84" s="100" t="e">
        <f>VLOOKUP(C84,#REF!,5,0)</f>
        <v>#REF!</v>
      </c>
      <c r="I84" s="100" t="e">
        <f>VLOOKUP(C84,#REF!,6,0)</f>
        <v>#REF!</v>
      </c>
      <c r="J84" s="109"/>
      <c r="K84" s="100" t="e">
        <f t="shared" si="7"/>
        <v>#REF!</v>
      </c>
      <c r="L84" s="100">
        <v>6000</v>
      </c>
      <c r="M84" s="100">
        <f t="shared" si="8"/>
        <v>3000</v>
      </c>
      <c r="N84" s="110"/>
      <c r="O84" s="46">
        <f>VLOOKUP(C84,[2]IP!$B$9:$I$116,8,0)</f>
        <v>0</v>
      </c>
      <c r="P84" s="46" t="e">
        <f t="shared" si="5"/>
        <v>#REF!</v>
      </c>
      <c r="Q84" s="46">
        <f>VLOOKUP(C84,[2]IP!$B$9:$N$116,13,0)</f>
        <v>0</v>
      </c>
      <c r="R84" s="46">
        <f>VLOOKUP(C84,[2]IP!$B$9:$O$116,14,0)</f>
        <v>0</v>
      </c>
      <c r="T84" s="46">
        <f>VLOOKUP(C84,[2]IP!$B$9:$P$116,15,0)</f>
        <v>0</v>
      </c>
      <c r="U84" s="46">
        <f>VLOOKUP(C84,[2]IP!$B$9:$Q$116,16,0)</f>
        <v>0</v>
      </c>
      <c r="V84" s="46">
        <f>VLOOKUP(C84,[2]IP!$B$9:$S$116,18,0)</f>
        <v>0</v>
      </c>
      <c r="W84" s="46">
        <f>VLOOKUP(C84,[2]IP!$B$9:$R$116,17,0)</f>
        <v>0</v>
      </c>
      <c r="X84" s="109"/>
      <c r="Y84" s="100" t="e">
        <f t="shared" si="9"/>
        <v>#REF!</v>
      </c>
      <c r="AB84" s="100" t="e">
        <f>VLOOKUP(C84,[1]SINDICATO!$C$7:$Q$141,15,0)</f>
        <v>#N/A</v>
      </c>
    </row>
    <row r="85" spans="1:28" s="46" customFormat="1" x14ac:dyDescent="0.2">
      <c r="A85" s="52" t="s">
        <v>482</v>
      </c>
      <c r="B85" s="54" t="s">
        <v>57</v>
      </c>
      <c r="C85" s="52" t="s">
        <v>483</v>
      </c>
      <c r="D85" s="99"/>
      <c r="E85" s="102">
        <f>VLOOKUP(C85,[2]IP!$B$9:$V$116,21,0)</f>
        <v>3583.8</v>
      </c>
      <c r="F85" s="123"/>
      <c r="G85" s="100" t="e">
        <f>VLOOKUP(C85,#REF!,4,0)</f>
        <v>#REF!</v>
      </c>
      <c r="H85" s="100" t="e">
        <f>VLOOKUP(C85,#REF!,5,0)</f>
        <v>#REF!</v>
      </c>
      <c r="I85" s="100" t="e">
        <f>VLOOKUP(C85,#REF!,6,0)</f>
        <v>#REF!</v>
      </c>
      <c r="J85" s="109"/>
      <c r="K85" s="100" t="e">
        <f t="shared" si="7"/>
        <v>#REF!</v>
      </c>
      <c r="L85" s="100">
        <v>8000</v>
      </c>
      <c r="M85" s="100">
        <f t="shared" si="8"/>
        <v>4000</v>
      </c>
      <c r="N85" s="110"/>
      <c r="O85" s="46">
        <f>VLOOKUP(C85,[2]IP!$B$9:$I$116,8,0)</f>
        <v>0</v>
      </c>
      <c r="P85" s="46" t="e">
        <f t="shared" si="5"/>
        <v>#REF!</v>
      </c>
      <c r="Q85" s="46">
        <f>VLOOKUP(C85,[2]IP!$B$9:$N$116,13,0)</f>
        <v>0</v>
      </c>
      <c r="R85" s="46">
        <f>VLOOKUP(C85,[2]IP!$B$9:$O$116,14,0)</f>
        <v>0</v>
      </c>
      <c r="T85" s="46">
        <f>VLOOKUP(C85,[2]IP!$B$9:$P$116,15,0)</f>
        <v>0</v>
      </c>
      <c r="U85" s="46">
        <f>VLOOKUP(C85,[2]IP!$B$9:$Q$116,16,0)</f>
        <v>0</v>
      </c>
      <c r="V85" s="46">
        <f>VLOOKUP(C85,[2]IP!$B$9:$S$116,18,0)</f>
        <v>0</v>
      </c>
      <c r="W85" s="46">
        <f>VLOOKUP(C85,[2]IP!$B$9:$R$116,17,0)</f>
        <v>0</v>
      </c>
      <c r="X85" s="109"/>
      <c r="Y85" s="100" t="e">
        <f t="shared" si="9"/>
        <v>#REF!</v>
      </c>
      <c r="Z85" s="46" t="e">
        <f t="shared" ref="Z85:Z111" si="10">+M85-Y85</f>
        <v>#REF!</v>
      </c>
      <c r="AB85" s="100" t="e">
        <f>VLOOKUP(C85,[1]SINDICATO!$C$7:$Q$141,15,0)</f>
        <v>#N/A</v>
      </c>
    </row>
    <row r="86" spans="1:28" s="46" customFormat="1" x14ac:dyDescent="0.2">
      <c r="A86" s="52" t="s">
        <v>484</v>
      </c>
      <c r="B86" s="54" t="s">
        <v>57</v>
      </c>
      <c r="C86" s="52" t="s">
        <v>485</v>
      </c>
      <c r="D86" s="99"/>
      <c r="E86" s="102">
        <f>VLOOKUP(C86,[2]IP!$B$9:$V$116,21,0)</f>
        <v>3585.4</v>
      </c>
      <c r="F86" s="123"/>
      <c r="G86" s="100" t="e">
        <f>VLOOKUP(C86,#REF!,4,0)</f>
        <v>#REF!</v>
      </c>
      <c r="H86" s="100" t="e">
        <f>VLOOKUP(C86,#REF!,5,0)</f>
        <v>#REF!</v>
      </c>
      <c r="I86" s="100" t="e">
        <f>VLOOKUP(C86,#REF!,6,0)</f>
        <v>#REF!</v>
      </c>
      <c r="J86" s="109"/>
      <c r="K86" s="100" t="e">
        <f t="shared" si="7"/>
        <v>#REF!</v>
      </c>
      <c r="L86" s="100">
        <v>8000</v>
      </c>
      <c r="M86" s="100">
        <f t="shared" si="8"/>
        <v>4000</v>
      </c>
      <c r="N86" s="110"/>
      <c r="O86" s="46">
        <f>VLOOKUP(C86,[2]IP!$B$9:$I$116,8,0)</f>
        <v>0</v>
      </c>
      <c r="P86" s="46" t="e">
        <f t="shared" si="5"/>
        <v>#REF!</v>
      </c>
      <c r="Q86" s="46">
        <f>VLOOKUP(C86,[2]IP!$B$9:$N$116,13,0)</f>
        <v>0</v>
      </c>
      <c r="R86" s="46">
        <f>VLOOKUP(C86,[2]IP!$B$9:$O$116,14,0)</f>
        <v>0</v>
      </c>
      <c r="T86" s="46">
        <f>VLOOKUP(C86,[2]IP!$B$9:$P$116,15,0)</f>
        <v>0</v>
      </c>
      <c r="U86" s="46">
        <f>VLOOKUP(C86,[2]IP!$B$9:$Q$116,16,0)</f>
        <v>0</v>
      </c>
      <c r="V86" s="46">
        <f>VLOOKUP(C86,[2]IP!$B$9:$S$116,18,0)</f>
        <v>0</v>
      </c>
      <c r="W86" s="46">
        <f>VLOOKUP(C86,[2]IP!$B$9:$R$116,17,0)</f>
        <v>0</v>
      </c>
      <c r="X86" s="109"/>
      <c r="Y86" s="100" t="e">
        <f t="shared" si="9"/>
        <v>#REF!</v>
      </c>
      <c r="Z86" s="46" t="e">
        <f t="shared" si="10"/>
        <v>#REF!</v>
      </c>
      <c r="AA86" s="127"/>
      <c r="AB86" s="100" t="e">
        <f>VLOOKUP(C86,[1]SINDICATO!$C$7:$Q$141,15,0)</f>
        <v>#N/A</v>
      </c>
    </row>
    <row r="87" spans="1:28" s="46" customFormat="1" x14ac:dyDescent="0.2">
      <c r="A87" s="52" t="s">
        <v>486</v>
      </c>
      <c r="B87" s="54" t="s">
        <v>57</v>
      </c>
      <c r="C87" s="52" t="s">
        <v>487</v>
      </c>
      <c r="D87" s="99"/>
      <c r="E87" s="102">
        <f>VLOOKUP(C87,[2]IP!$B$9:$V$116,21,0)</f>
        <v>3585.4</v>
      </c>
      <c r="F87" s="123"/>
      <c r="G87" s="100" t="e">
        <f>VLOOKUP(C87,#REF!,4,0)</f>
        <v>#REF!</v>
      </c>
      <c r="H87" s="100" t="e">
        <f>VLOOKUP(C87,#REF!,5,0)</f>
        <v>#REF!</v>
      </c>
      <c r="I87" s="100" t="e">
        <f>VLOOKUP(C87,#REF!,6,0)</f>
        <v>#REF!</v>
      </c>
      <c r="J87" s="109"/>
      <c r="K87" s="100" t="e">
        <f t="shared" si="7"/>
        <v>#REF!</v>
      </c>
      <c r="L87" s="100">
        <v>8000</v>
      </c>
      <c r="M87" s="100">
        <f t="shared" si="8"/>
        <v>4000</v>
      </c>
      <c r="N87" s="110"/>
      <c r="O87" s="46">
        <f>VLOOKUP(C87,[2]IP!$B$9:$I$116,8,0)</f>
        <v>0</v>
      </c>
      <c r="P87" s="46" t="e">
        <f t="shared" si="5"/>
        <v>#REF!</v>
      </c>
      <c r="Q87" s="46">
        <f>VLOOKUP(C87,[2]IP!$B$9:$N$116,13,0)</f>
        <v>0</v>
      </c>
      <c r="R87" s="46">
        <f>VLOOKUP(C87,[2]IP!$B$9:$O$116,14,0)</f>
        <v>0</v>
      </c>
      <c r="T87" s="46">
        <f>VLOOKUP(C87,[2]IP!$B$9:$P$116,15,0)</f>
        <v>0</v>
      </c>
      <c r="U87" s="46">
        <f>VLOOKUP(C87,[2]IP!$B$9:$Q$116,16,0)</f>
        <v>0</v>
      </c>
      <c r="V87" s="46">
        <f>VLOOKUP(C87,[2]IP!$B$9:$S$116,18,0)</f>
        <v>0</v>
      </c>
      <c r="W87" s="46">
        <f>VLOOKUP(C87,[2]IP!$B$9:$R$116,17,0)</f>
        <v>0</v>
      </c>
      <c r="X87" s="109"/>
      <c r="Y87" s="100" t="e">
        <f t="shared" si="9"/>
        <v>#REF!</v>
      </c>
      <c r="Z87" s="46" t="e">
        <f t="shared" si="10"/>
        <v>#REF!</v>
      </c>
      <c r="AA87" s="130"/>
      <c r="AB87" s="100" t="e">
        <f>VLOOKUP(C87,[1]SINDICATO!$C$7:$Q$141,15,0)</f>
        <v>#N/A</v>
      </c>
    </row>
    <row r="88" spans="1:28" s="46" customFormat="1" x14ac:dyDescent="0.2">
      <c r="A88" s="52" t="s">
        <v>490</v>
      </c>
      <c r="B88" s="54" t="s">
        <v>57</v>
      </c>
      <c r="C88" s="52" t="s">
        <v>488</v>
      </c>
      <c r="D88" s="99"/>
      <c r="E88" s="102">
        <f>VLOOKUP(C88,[2]IP!$B$9:$V$116,21,0)</f>
        <v>1831</v>
      </c>
      <c r="F88" s="123"/>
      <c r="G88" s="100" t="e">
        <f>VLOOKUP(C88,#REF!,4,0)</f>
        <v>#REF!</v>
      </c>
      <c r="H88" s="100" t="e">
        <f>VLOOKUP(C88,#REF!,5,0)</f>
        <v>#REF!</v>
      </c>
      <c r="I88" s="100" t="e">
        <f>VLOOKUP(C88,#REF!,6,0)</f>
        <v>#REF!</v>
      </c>
      <c r="J88" s="109"/>
      <c r="K88" s="100" t="e">
        <f t="shared" si="7"/>
        <v>#REF!</v>
      </c>
      <c r="L88" s="100">
        <v>6000</v>
      </c>
      <c r="M88" s="100">
        <f t="shared" si="8"/>
        <v>3000</v>
      </c>
      <c r="N88" s="110"/>
      <c r="O88" s="46">
        <f>VLOOKUP(C88,[2]IP!$B$9:$I$116,8,0)</f>
        <v>0</v>
      </c>
      <c r="P88" s="46" t="e">
        <f t="shared" si="5"/>
        <v>#REF!</v>
      </c>
      <c r="Q88" s="46">
        <f>VLOOKUP(C88,[2]IP!$B$9:$N$116,13,0)</f>
        <v>1018.71</v>
      </c>
      <c r="R88" s="46">
        <f>VLOOKUP(C88,[2]IP!$B$9:$O$116,14,0)</f>
        <v>0</v>
      </c>
      <c r="T88" s="46">
        <f>VLOOKUP(C88,[2]IP!$B$9:$P$116,15,0)</f>
        <v>15</v>
      </c>
      <c r="U88" s="46">
        <f>VLOOKUP(C88,[2]IP!$B$9:$Q$116,16,0)</f>
        <v>0</v>
      </c>
      <c r="V88" s="46">
        <f>VLOOKUP(C88,[2]IP!$B$9:$S$116,18,0)</f>
        <v>0</v>
      </c>
      <c r="W88" s="46">
        <f>VLOOKUP(C88,[2]IP!$B$9:$R$116,17,0)</f>
        <v>0</v>
      </c>
      <c r="X88" s="109"/>
      <c r="Y88" s="100" t="e">
        <f t="shared" si="9"/>
        <v>#REF!</v>
      </c>
      <c r="Z88" s="46" t="e">
        <f t="shared" si="10"/>
        <v>#REF!</v>
      </c>
      <c r="AA88" s="131"/>
      <c r="AB88" s="100">
        <f>VLOOKUP(C88,[1]SINDICATO!$C$7:$Q$141,15,0)</f>
        <v>0</v>
      </c>
    </row>
    <row r="89" spans="1:28" s="46" customFormat="1" x14ac:dyDescent="0.2">
      <c r="A89" s="52" t="s">
        <v>491</v>
      </c>
      <c r="B89" s="54" t="s">
        <v>57</v>
      </c>
      <c r="C89" s="52" t="s">
        <v>489</v>
      </c>
      <c r="D89" s="99"/>
      <c r="E89" s="102">
        <f>VLOOKUP(C89,[2]IP!$B$9:$V$116,21,0)</f>
        <v>3583.6</v>
      </c>
      <c r="F89" s="123"/>
      <c r="G89" s="100" t="e">
        <f>VLOOKUP(C89,#REF!,4,0)</f>
        <v>#REF!</v>
      </c>
      <c r="H89" s="100" t="e">
        <f>VLOOKUP(C89,#REF!,5,0)</f>
        <v>#REF!</v>
      </c>
      <c r="I89" s="100" t="e">
        <f>VLOOKUP(C89,#REF!,6,0)</f>
        <v>#REF!</v>
      </c>
      <c r="J89" s="109"/>
      <c r="K89" s="100" t="e">
        <f t="shared" si="7"/>
        <v>#REF!</v>
      </c>
      <c r="L89" s="100">
        <v>8000</v>
      </c>
      <c r="M89" s="100">
        <f t="shared" si="8"/>
        <v>4000</v>
      </c>
      <c r="N89" s="110"/>
      <c r="O89" s="46">
        <f>VLOOKUP(C89,[2]IP!$B$9:$I$116,8,0)</f>
        <v>0</v>
      </c>
      <c r="P89" s="46" t="e">
        <f t="shared" si="5"/>
        <v>#REF!</v>
      </c>
      <c r="Q89" s="46">
        <f>VLOOKUP(C89,[2]IP!$B$9:$N$116,13,0)</f>
        <v>0</v>
      </c>
      <c r="R89" s="46">
        <f>VLOOKUP(C89,[2]IP!$B$9:$O$116,14,0)</f>
        <v>0</v>
      </c>
      <c r="T89" s="46">
        <f>VLOOKUP(C89,[2]IP!$B$9:$P$116,15,0)</f>
        <v>0</v>
      </c>
      <c r="U89" s="46">
        <f>VLOOKUP(C89,[2]IP!$B$9:$Q$116,16,0)</f>
        <v>0</v>
      </c>
      <c r="V89" s="46">
        <f>VLOOKUP(C89,[2]IP!$B$9:$S$116,18,0)</f>
        <v>0</v>
      </c>
      <c r="W89" s="46">
        <f>VLOOKUP(C89,[2]IP!$B$9:$R$116,17,0)</f>
        <v>0</v>
      </c>
      <c r="X89" s="109"/>
      <c r="Y89" s="100" t="e">
        <f t="shared" si="9"/>
        <v>#REF!</v>
      </c>
      <c r="Z89" s="46" t="e">
        <f t="shared" si="10"/>
        <v>#REF!</v>
      </c>
      <c r="AA89" s="127"/>
      <c r="AB89" s="100" t="e">
        <f>VLOOKUP(C89,[1]SINDICATO!$C$7:$Q$141,15,0)</f>
        <v>#N/A</v>
      </c>
    </row>
    <row r="90" spans="1:28" s="46" customFormat="1" x14ac:dyDescent="0.2">
      <c r="A90" s="54" t="s">
        <v>655</v>
      </c>
      <c r="B90" s="54" t="s">
        <v>57</v>
      </c>
      <c r="C90" s="54" t="s">
        <v>388</v>
      </c>
      <c r="D90" s="99"/>
      <c r="E90" s="102">
        <f>VLOOKUP(C90,[2]IP!$B$9:$V$116,21,0)</f>
        <v>2237.8000000000002</v>
      </c>
      <c r="F90" s="123"/>
      <c r="G90" s="100" t="e">
        <f>VLOOKUP(C90,#REF!,4,0)</f>
        <v>#REF!</v>
      </c>
      <c r="H90" s="100" t="e">
        <f>VLOOKUP(C90,#REF!,5,0)</f>
        <v>#REF!</v>
      </c>
      <c r="I90" s="100" t="e">
        <f>VLOOKUP(C90,#REF!,6,0)</f>
        <v>#REF!</v>
      </c>
      <c r="J90" s="109"/>
      <c r="K90" s="100" t="e">
        <f t="shared" si="7"/>
        <v>#REF!</v>
      </c>
      <c r="L90" s="46">
        <v>9000</v>
      </c>
      <c r="M90" s="46">
        <f t="shared" si="8"/>
        <v>4500</v>
      </c>
      <c r="N90" s="110"/>
      <c r="O90" s="46">
        <f>VLOOKUP(C90,[2]IP!$B$9:$I$116,8,0)</f>
        <v>0</v>
      </c>
      <c r="P90" s="46" t="e">
        <f t="shared" si="5"/>
        <v>#REF!</v>
      </c>
      <c r="Q90" s="46">
        <f>VLOOKUP(C90,[2]IP!$B$9:$N$116,13,0)</f>
        <v>0</v>
      </c>
      <c r="R90" s="46">
        <f>VLOOKUP(C90,[2]IP!$B$9:$O$116,14,0)</f>
        <v>0</v>
      </c>
      <c r="T90" s="46">
        <f>VLOOKUP(C90,[2]IP!$B$9:$P$116,15,0)</f>
        <v>0</v>
      </c>
      <c r="U90" s="46">
        <f>VLOOKUP(C90,[2]IP!$B$9:$Q$116,16,0)</f>
        <v>0</v>
      </c>
      <c r="V90" s="46">
        <f>VLOOKUP(C90,[2]IP!$B$9:$S$116,18,0)</f>
        <v>0</v>
      </c>
      <c r="W90" s="46">
        <f>VLOOKUP(C90,[2]IP!$B$9:$R$116,17,0)</f>
        <v>0</v>
      </c>
      <c r="X90" s="109"/>
      <c r="Y90" s="100" t="e">
        <f t="shared" si="9"/>
        <v>#REF!</v>
      </c>
      <c r="Z90" s="46" t="e">
        <f t="shared" si="10"/>
        <v>#REF!</v>
      </c>
      <c r="AB90" s="100" t="e">
        <f>VLOOKUP(C90,[1]SINDICATO!$C$7:$Q$141,15,0)</f>
        <v>#N/A</v>
      </c>
    </row>
    <row r="91" spans="1:28" s="100" customFormat="1" x14ac:dyDescent="0.2">
      <c r="A91" s="61" t="s">
        <v>656</v>
      </c>
      <c r="B91" s="54" t="s">
        <v>57</v>
      </c>
      <c r="C91" s="61" t="s">
        <v>349</v>
      </c>
      <c r="D91" s="99"/>
      <c r="E91" s="102">
        <f>VLOOKUP(C91,[2]IP!$B$9:$V$116,21,0)</f>
        <v>1459.6</v>
      </c>
      <c r="F91" s="123"/>
      <c r="G91" s="100" t="e">
        <f>VLOOKUP(C91,#REF!,4,0)</f>
        <v>#REF!</v>
      </c>
      <c r="H91" s="100" t="e">
        <f>VLOOKUP(C91,#REF!,5,0)</f>
        <v>#REF!</v>
      </c>
      <c r="I91" s="100" t="e">
        <f>VLOOKUP(C91,#REF!,6,0)</f>
        <v>#REF!</v>
      </c>
      <c r="J91" s="109"/>
      <c r="K91" s="100" t="e">
        <f t="shared" si="7"/>
        <v>#REF!</v>
      </c>
      <c r="L91" s="100">
        <f>VLOOKUP(C91,[1]ABC!$A$3:$B$88,2,0)</f>
        <v>9000</v>
      </c>
      <c r="M91" s="100">
        <f t="shared" si="8"/>
        <v>4500</v>
      </c>
      <c r="N91" s="110"/>
      <c r="O91" s="46">
        <f>VLOOKUP(C91,[2]IP!$B$9:$I$116,8,0)</f>
        <v>0</v>
      </c>
      <c r="P91" s="46" t="e">
        <f t="shared" si="5"/>
        <v>#REF!</v>
      </c>
      <c r="Q91" s="46">
        <f>VLOOKUP(C91,[2]IP!$B$9:$N$116,13,0)</f>
        <v>0</v>
      </c>
      <c r="R91" s="46">
        <f>VLOOKUP(C91,[2]IP!$B$9:$O$116,14,0)</f>
        <v>763.03</v>
      </c>
      <c r="S91" s="46"/>
      <c r="T91" s="46">
        <f>VLOOKUP(C91,[2]IP!$B$9:$P$116,15,0)</f>
        <v>15</v>
      </c>
      <c r="U91" s="46">
        <f>VLOOKUP(C91,[2]IP!$B$9:$Q$116,16,0)</f>
        <v>0</v>
      </c>
      <c r="V91" s="46">
        <f>VLOOKUP(C91,[2]IP!$B$9:$S$116,18,0)</f>
        <v>0</v>
      </c>
      <c r="W91" s="46">
        <f>VLOOKUP(C91,[2]IP!$B$9:$R$116,17,0)</f>
        <v>0</v>
      </c>
      <c r="X91" s="109"/>
      <c r="Y91" s="100" t="e">
        <f t="shared" si="9"/>
        <v>#REF!</v>
      </c>
      <c r="Z91" s="46" t="e">
        <f t="shared" si="10"/>
        <v>#REF!</v>
      </c>
      <c r="AA91" s="132"/>
      <c r="AB91" s="100" t="e">
        <f>VLOOKUP(C91,[1]SINDICATO!$C$7:$Q$141,15,0)</f>
        <v>#N/A</v>
      </c>
    </row>
    <row r="92" spans="1:28" s="100" customFormat="1" x14ac:dyDescent="0.2">
      <c r="A92" s="61" t="s">
        <v>657</v>
      </c>
      <c r="B92" s="54" t="s">
        <v>57</v>
      </c>
      <c r="C92" s="52" t="s">
        <v>354</v>
      </c>
      <c r="D92" s="99"/>
      <c r="E92" s="102">
        <f>VLOOKUP(C92,[2]IP!$B$9:$V$116,21,0)</f>
        <v>1065.8</v>
      </c>
      <c r="F92" s="123"/>
      <c r="G92" s="100" t="e">
        <f>VLOOKUP(C92,#REF!,4,0)</f>
        <v>#REF!</v>
      </c>
      <c r="H92" s="100" t="e">
        <f>VLOOKUP(C92,#REF!,5,0)</f>
        <v>#REF!</v>
      </c>
      <c r="I92" s="100" t="e">
        <f>VLOOKUP(C92,#REF!,6,0)</f>
        <v>#REF!</v>
      </c>
      <c r="J92" s="109"/>
      <c r="K92" s="100" t="e">
        <f t="shared" si="7"/>
        <v>#REF!</v>
      </c>
      <c r="L92" s="100">
        <f>VLOOKUP(C92,[1]ABC!$A$3:$B$88,2,0)</f>
        <v>12000</v>
      </c>
      <c r="M92" s="100">
        <f t="shared" si="8"/>
        <v>6000</v>
      </c>
      <c r="N92" s="110"/>
      <c r="O92" s="46">
        <f>VLOOKUP(C92,[2]IP!$B$9:$I$116,8,0)</f>
        <v>0</v>
      </c>
      <c r="P92" s="46" t="e">
        <f t="shared" si="5"/>
        <v>#REF!</v>
      </c>
      <c r="Q92" s="46">
        <f>VLOOKUP(C92,[2]IP!$B$9:$N$116,13,0)</f>
        <v>2034.26</v>
      </c>
      <c r="R92" s="46">
        <f>VLOOKUP(C92,[2]IP!$B$9:$O$116,14,0)</f>
        <v>0</v>
      </c>
      <c r="S92" s="46"/>
      <c r="T92" s="46">
        <f>VLOOKUP(C92,[2]IP!$B$9:$P$116,15,0)</f>
        <v>15</v>
      </c>
      <c r="U92" s="46">
        <f>VLOOKUP(C92,[2]IP!$B$9:$Q$116,16,0)</f>
        <v>0</v>
      </c>
      <c r="V92" s="46">
        <f>VLOOKUP(C92,[2]IP!$B$9:$S$116,18,0)</f>
        <v>0</v>
      </c>
      <c r="W92" s="46">
        <f>VLOOKUP(C92,[2]IP!$B$9:$R$116,17,0)</f>
        <v>0</v>
      </c>
      <c r="X92" s="109"/>
      <c r="Y92" s="100" t="e">
        <f t="shared" si="9"/>
        <v>#REF!</v>
      </c>
      <c r="Z92" s="46" t="e">
        <f t="shared" si="10"/>
        <v>#REF!</v>
      </c>
      <c r="AA92" s="46"/>
      <c r="AB92" s="100" t="e">
        <f>VLOOKUP(C92,[1]SINDICATO!$C$7:$Q$141,15,0)</f>
        <v>#N/A</v>
      </c>
    </row>
    <row r="93" spans="1:28" s="100" customFormat="1" x14ac:dyDescent="0.2">
      <c r="A93" s="61" t="s">
        <v>658</v>
      </c>
      <c r="B93" s="54" t="s">
        <v>57</v>
      </c>
      <c r="C93" s="52" t="s">
        <v>355</v>
      </c>
      <c r="D93" s="99"/>
      <c r="E93" s="102">
        <f>VLOOKUP(C93,[2]IP!$B$9:$V$116,21,0)</f>
        <v>1314</v>
      </c>
      <c r="F93" s="123"/>
      <c r="G93" s="100" t="e">
        <f>VLOOKUP(C93,#REF!,4,0)</f>
        <v>#REF!</v>
      </c>
      <c r="H93" s="100" t="e">
        <f>VLOOKUP(C93,#REF!,5,0)</f>
        <v>#REF!</v>
      </c>
      <c r="I93" s="100" t="e">
        <f>VLOOKUP(C93,#REF!,6,0)</f>
        <v>#REF!</v>
      </c>
      <c r="J93" s="109"/>
      <c r="K93" s="100" t="e">
        <f t="shared" si="7"/>
        <v>#REF!</v>
      </c>
      <c r="L93" s="100">
        <f>VLOOKUP(C93,[1]ABC!$A$3:$B$88,2,0)</f>
        <v>9800</v>
      </c>
      <c r="M93" s="100">
        <f t="shared" si="8"/>
        <v>4900</v>
      </c>
      <c r="N93" s="110"/>
      <c r="O93" s="46">
        <f>VLOOKUP(C93,[2]IP!$B$9:$I$116,8,0)</f>
        <v>0</v>
      </c>
      <c r="P93" s="46" t="e">
        <f t="shared" si="5"/>
        <v>#REF!</v>
      </c>
      <c r="Q93" s="46">
        <f>VLOOKUP(C93,[2]IP!$B$9:$N$116,13,0)</f>
        <v>1366.67</v>
      </c>
      <c r="R93" s="46">
        <f>VLOOKUP(C93,[2]IP!$B$9:$O$116,14,0)</f>
        <v>0</v>
      </c>
      <c r="S93" s="46"/>
      <c r="T93" s="46">
        <f>VLOOKUP(C93,[2]IP!$B$9:$P$116,15,0)</f>
        <v>0</v>
      </c>
      <c r="U93" s="46">
        <f>VLOOKUP(C93,[2]IP!$B$9:$Q$116,16,0)</f>
        <v>0</v>
      </c>
      <c r="V93" s="46">
        <f>VLOOKUP(C93,[2]IP!$B$9:$S$116,18,0)</f>
        <v>0</v>
      </c>
      <c r="W93" s="46">
        <f>VLOOKUP(C93,[2]IP!$B$9:$R$116,17,0)</f>
        <v>0</v>
      </c>
      <c r="X93" s="109"/>
      <c r="Y93" s="100" t="e">
        <f t="shared" si="9"/>
        <v>#REF!</v>
      </c>
      <c r="Z93" s="46" t="e">
        <f t="shared" si="10"/>
        <v>#REF!</v>
      </c>
      <c r="AA93" s="46"/>
      <c r="AB93" s="100">
        <f>VLOOKUP(C93,[1]SINDICATO!$C$7:$Q$141,15,0)</f>
        <v>0</v>
      </c>
    </row>
    <row r="94" spans="1:28" s="100" customFormat="1" x14ac:dyDescent="0.2">
      <c r="A94" s="52" t="s">
        <v>659</v>
      </c>
      <c r="B94" s="54" t="s">
        <v>57</v>
      </c>
      <c r="C94" s="52" t="s">
        <v>391</v>
      </c>
      <c r="D94" s="99"/>
      <c r="E94" s="102">
        <f>VLOOKUP(C94,[2]IP!$B$9:$V$116,21,0)</f>
        <v>3278.8</v>
      </c>
      <c r="F94" s="123"/>
      <c r="G94" s="100" t="e">
        <f>VLOOKUP(C94,#REF!,4,0)</f>
        <v>#REF!</v>
      </c>
      <c r="H94" s="100" t="e">
        <f>VLOOKUP(C94,#REF!,5,0)</f>
        <v>#REF!</v>
      </c>
      <c r="I94" s="100" t="e">
        <f>VLOOKUP(C94,#REF!,6,0)</f>
        <v>#REF!</v>
      </c>
      <c r="J94" s="109"/>
      <c r="K94" s="100" t="e">
        <f t="shared" si="7"/>
        <v>#REF!</v>
      </c>
      <c r="L94" s="100">
        <v>14000</v>
      </c>
      <c r="M94" s="100">
        <f t="shared" si="8"/>
        <v>7000</v>
      </c>
      <c r="N94" s="110"/>
      <c r="O94" s="46">
        <f>VLOOKUP(C94,[2]IP!$B$9:$I$116,8,0)</f>
        <v>0</v>
      </c>
      <c r="P94" s="46" t="e">
        <f t="shared" si="5"/>
        <v>#REF!</v>
      </c>
      <c r="Q94" s="46">
        <f>VLOOKUP(C94,[2]IP!$B$9:$N$116,13,0)</f>
        <v>0</v>
      </c>
      <c r="R94" s="46">
        <f>VLOOKUP(C94,[2]IP!$B$9:$O$116,14,0)</f>
        <v>0</v>
      </c>
      <c r="S94" s="46"/>
      <c r="T94" s="46">
        <f>VLOOKUP(C94,[2]IP!$B$9:$P$116,15,0)</f>
        <v>0</v>
      </c>
      <c r="U94" s="46">
        <f>VLOOKUP(C94,[2]IP!$B$9:$Q$116,16,0)</f>
        <v>0</v>
      </c>
      <c r="V94" s="46">
        <f>VLOOKUP(C94,[2]IP!$B$9:$S$116,18,0)</f>
        <v>0</v>
      </c>
      <c r="W94" s="46">
        <f>VLOOKUP(C94,[2]IP!$B$9:$R$116,17,0)</f>
        <v>0</v>
      </c>
      <c r="X94" s="109"/>
      <c r="Y94" s="100" t="e">
        <f t="shared" si="9"/>
        <v>#REF!</v>
      </c>
      <c r="Z94" s="46" t="e">
        <f t="shared" si="10"/>
        <v>#REF!</v>
      </c>
      <c r="AA94" s="46"/>
      <c r="AB94" s="100" t="e">
        <f>VLOOKUP(C94,[1]SINDICATO!$C$7:$Q$141,15,0)</f>
        <v>#N/A</v>
      </c>
    </row>
    <row r="95" spans="1:28" s="100" customFormat="1" x14ac:dyDescent="0.2">
      <c r="A95" s="52" t="s">
        <v>660</v>
      </c>
      <c r="B95" s="54" t="s">
        <v>57</v>
      </c>
      <c r="C95" s="52" t="s">
        <v>392</v>
      </c>
      <c r="D95" s="99"/>
      <c r="E95" s="102">
        <f>VLOOKUP(C95,[2]IP!$B$9:$V$116,21,0)</f>
        <v>2727.8</v>
      </c>
      <c r="F95" s="123"/>
      <c r="G95" s="100" t="e">
        <f>VLOOKUP(C95,#REF!,4,0)</f>
        <v>#REF!</v>
      </c>
      <c r="H95" s="100" t="e">
        <f>VLOOKUP(C95,#REF!,5,0)</f>
        <v>#REF!</v>
      </c>
      <c r="I95" s="100" t="e">
        <f>VLOOKUP(C95,#REF!,6,0)</f>
        <v>#REF!</v>
      </c>
      <c r="J95" s="109"/>
      <c r="K95" s="100" t="e">
        <f t="shared" si="7"/>
        <v>#REF!</v>
      </c>
      <c r="L95" s="100">
        <v>14000</v>
      </c>
      <c r="M95" s="100">
        <f t="shared" si="8"/>
        <v>7000</v>
      </c>
      <c r="N95" s="110"/>
      <c r="O95" s="46">
        <f>VLOOKUP(C95,[2]IP!$B$9:$I$116,8,0)</f>
        <v>0</v>
      </c>
      <c r="P95" s="46" t="e">
        <f t="shared" si="5"/>
        <v>#REF!</v>
      </c>
      <c r="Q95" s="46">
        <f>VLOOKUP(C95,[2]IP!$B$9:$N$116,13,0)</f>
        <v>0</v>
      </c>
      <c r="R95" s="46">
        <f>VLOOKUP(C95,[2]IP!$B$9:$O$116,14,0)</f>
        <v>0</v>
      </c>
      <c r="S95" s="46"/>
      <c r="T95" s="46">
        <f>VLOOKUP(C95,[2]IP!$B$9:$P$116,15,0)</f>
        <v>0</v>
      </c>
      <c r="U95" s="46">
        <f>VLOOKUP(C95,[2]IP!$B$9:$Q$116,16,0)</f>
        <v>0</v>
      </c>
      <c r="V95" s="46">
        <f>VLOOKUP(C95,[2]IP!$B$9:$S$116,18,0)</f>
        <v>0</v>
      </c>
      <c r="W95" s="46">
        <f>VLOOKUP(C95,[2]IP!$B$9:$R$116,17,0)</f>
        <v>550.83000000000004</v>
      </c>
      <c r="X95" s="109"/>
      <c r="Y95" s="100" t="e">
        <f t="shared" si="9"/>
        <v>#REF!</v>
      </c>
      <c r="Z95" s="46" t="e">
        <f t="shared" si="10"/>
        <v>#REF!</v>
      </c>
      <c r="AA95" s="46"/>
      <c r="AB95" s="100" t="e">
        <f>VLOOKUP(C95,[1]SINDICATO!$C$7:$Q$141,15,0)</f>
        <v>#N/A</v>
      </c>
    </row>
    <row r="96" spans="1:28" s="100" customFormat="1" x14ac:dyDescent="0.2">
      <c r="A96" s="52" t="s">
        <v>661</v>
      </c>
      <c r="B96" s="54" t="s">
        <v>57</v>
      </c>
      <c r="C96" s="52" t="s">
        <v>423</v>
      </c>
      <c r="D96" s="99"/>
      <c r="E96" s="102">
        <f>VLOOKUP(C96,[2]IP!$B$9:$V$116,21,0)</f>
        <v>1962.8</v>
      </c>
      <c r="F96" s="123"/>
      <c r="G96" s="100" t="e">
        <f>VLOOKUP(C96,#REF!,4,0)</f>
        <v>#REF!</v>
      </c>
      <c r="H96" s="100" t="e">
        <f>VLOOKUP(C96,#REF!,5,0)</f>
        <v>#REF!</v>
      </c>
      <c r="I96" s="100" t="e">
        <f>VLOOKUP(C96,#REF!,6,0)</f>
        <v>#REF!</v>
      </c>
      <c r="J96" s="109"/>
      <c r="K96" s="100" t="e">
        <f t="shared" si="7"/>
        <v>#REF!</v>
      </c>
      <c r="L96" s="100">
        <v>15000</v>
      </c>
      <c r="M96" s="100">
        <f t="shared" si="8"/>
        <v>7500</v>
      </c>
      <c r="N96" s="110"/>
      <c r="O96" s="46">
        <f>VLOOKUP(C96,[2]IP!$B$9:$I$116,8,0)</f>
        <v>0</v>
      </c>
      <c r="P96" s="46" t="e">
        <f t="shared" ref="P96:P138" si="11">+H96+I96</f>
        <v>#REF!</v>
      </c>
      <c r="Q96" s="46">
        <f>VLOOKUP(C96,[2]IP!$B$9:$N$116,13,0)</f>
        <v>1881.2</v>
      </c>
      <c r="R96" s="46">
        <f>VLOOKUP(C96,[2]IP!$B$9:$O$116,14,0)</f>
        <v>0</v>
      </c>
      <c r="S96" s="46"/>
      <c r="T96" s="46">
        <f>VLOOKUP(C96,[2]IP!$B$9:$P$116,15,0)</f>
        <v>15</v>
      </c>
      <c r="U96" s="46">
        <f>VLOOKUP(C96,[2]IP!$B$9:$Q$116,16,0)</f>
        <v>0</v>
      </c>
      <c r="V96" s="46">
        <f>VLOOKUP(C96,[2]IP!$B$9:$S$116,18,0)</f>
        <v>0</v>
      </c>
      <c r="W96" s="46">
        <f>VLOOKUP(C96,[2]IP!$B$9:$R$116,17,0)</f>
        <v>301.5</v>
      </c>
      <c r="X96" s="109"/>
      <c r="Y96" s="100" t="e">
        <f t="shared" si="9"/>
        <v>#REF!</v>
      </c>
      <c r="Z96" s="46" t="e">
        <f t="shared" si="10"/>
        <v>#REF!</v>
      </c>
      <c r="AA96" s="46"/>
      <c r="AB96" s="100" t="e">
        <f>VLOOKUP(C96,[1]SINDICATO!$C$7:$Q$141,15,0)</f>
        <v>#N/A</v>
      </c>
    </row>
    <row r="97" spans="1:28" s="100" customFormat="1" x14ac:dyDescent="0.2">
      <c r="A97" s="52" t="s">
        <v>387</v>
      </c>
      <c r="B97" s="54" t="s">
        <v>57</v>
      </c>
      <c r="C97" s="52" t="s">
        <v>424</v>
      </c>
      <c r="D97" s="99"/>
      <c r="E97" s="102">
        <f>VLOOKUP(C97,[2]IP!$B$9:$V$116,21,0)</f>
        <v>1572.4</v>
      </c>
      <c r="F97" s="123"/>
      <c r="G97" s="100" t="e">
        <f>VLOOKUP(C97,#REF!,4,0)</f>
        <v>#REF!</v>
      </c>
      <c r="H97" s="100" t="e">
        <f>VLOOKUP(C97,#REF!,5,0)</f>
        <v>#REF!</v>
      </c>
      <c r="I97" s="100" t="e">
        <f>VLOOKUP(C97,#REF!,6,0)</f>
        <v>#REF!</v>
      </c>
      <c r="J97" s="109"/>
      <c r="K97" s="100" t="e">
        <f t="shared" si="7"/>
        <v>#REF!</v>
      </c>
      <c r="L97" s="100">
        <v>17000</v>
      </c>
      <c r="M97" s="100">
        <f t="shared" si="8"/>
        <v>8500</v>
      </c>
      <c r="N97" s="110"/>
      <c r="O97" s="46">
        <f>VLOOKUP(C97,[2]IP!$B$9:$I$116,8,0)</f>
        <v>0</v>
      </c>
      <c r="P97" s="46" t="e">
        <f t="shared" si="11"/>
        <v>#REF!</v>
      </c>
      <c r="Q97" s="46">
        <f>VLOOKUP(C97,[2]IP!$B$9:$N$116,13,0)</f>
        <v>2177.34</v>
      </c>
      <c r="R97" s="46">
        <f>VLOOKUP(C97,[2]IP!$B$9:$O$116,14,0)</f>
        <v>0</v>
      </c>
      <c r="S97" s="46"/>
      <c r="T97" s="46">
        <f>VLOOKUP(C97,[2]IP!$B$9:$P$116,15,0)</f>
        <v>15</v>
      </c>
      <c r="U97" s="46">
        <f>VLOOKUP(C97,[2]IP!$B$9:$Q$116,16,0)</f>
        <v>0</v>
      </c>
      <c r="V97" s="46">
        <f>VLOOKUP(C97,[2]IP!$B$9:$S$116,18,0)</f>
        <v>0</v>
      </c>
      <c r="W97" s="46">
        <f>VLOOKUP(C97,[2]IP!$B$9:$R$116,17,0)</f>
        <v>395.82</v>
      </c>
      <c r="X97" s="109"/>
      <c r="Y97" s="100" t="e">
        <f t="shared" si="9"/>
        <v>#REF!</v>
      </c>
      <c r="Z97" s="46" t="e">
        <f t="shared" si="10"/>
        <v>#REF!</v>
      </c>
      <c r="AA97" s="46"/>
      <c r="AB97" s="100" t="e">
        <f>VLOOKUP(C97,[1]SINDICATO!$C$7:$Q$141,15,0)</f>
        <v>#N/A</v>
      </c>
    </row>
    <row r="98" spans="1:28" s="100" customFormat="1" x14ac:dyDescent="0.2">
      <c r="A98" s="52" t="s">
        <v>394</v>
      </c>
      <c r="B98" s="54" t="s">
        <v>57</v>
      </c>
      <c r="C98" s="52" t="s">
        <v>425</v>
      </c>
      <c r="D98" s="99"/>
      <c r="E98" s="102">
        <f>VLOOKUP(C98,[2]IP!$B$9:$V$116,21,0)</f>
        <v>3079.2</v>
      </c>
      <c r="F98" s="123"/>
      <c r="G98" s="100" t="e">
        <f>VLOOKUP(C98,#REF!,4,0)</f>
        <v>#REF!</v>
      </c>
      <c r="H98" s="100" t="e">
        <f>VLOOKUP(C98,#REF!,5,0)</f>
        <v>#REF!</v>
      </c>
      <c r="I98" s="100" t="e">
        <f>VLOOKUP(C98,#REF!,6,0)</f>
        <v>#REF!</v>
      </c>
      <c r="J98" s="109"/>
      <c r="K98" s="100" t="e">
        <f t="shared" si="7"/>
        <v>#REF!</v>
      </c>
      <c r="L98" s="79">
        <v>10500</v>
      </c>
      <c r="M98" s="100">
        <f t="shared" si="8"/>
        <v>5250</v>
      </c>
      <c r="N98" s="110"/>
      <c r="O98" s="46">
        <f>VLOOKUP(C98,[2]IP!$B$9:$I$116,8,0)</f>
        <v>0</v>
      </c>
      <c r="P98" s="46" t="e">
        <f t="shared" si="11"/>
        <v>#REF!</v>
      </c>
      <c r="Q98" s="46">
        <f>VLOOKUP(C98,[2]IP!$B$9:$N$116,13,0)</f>
        <v>0</v>
      </c>
      <c r="R98" s="46">
        <f>VLOOKUP(C98,[2]IP!$B$9:$O$116,14,0)</f>
        <v>0</v>
      </c>
      <c r="S98" s="46"/>
      <c r="T98" s="46">
        <f>VLOOKUP(C98,[2]IP!$B$9:$P$116,15,0)</f>
        <v>0</v>
      </c>
      <c r="U98" s="46">
        <f>VLOOKUP(C98,[2]IP!$B$9:$Q$116,16,0)</f>
        <v>0</v>
      </c>
      <c r="V98" s="46">
        <f>VLOOKUP(C98,[2]IP!$B$9:$S$116,18,0)</f>
        <v>0</v>
      </c>
      <c r="W98" s="46">
        <f>VLOOKUP(C98,[2]IP!$B$9:$R$116,17,0)</f>
        <v>253.5</v>
      </c>
      <c r="X98" s="109"/>
      <c r="Y98" s="100" t="e">
        <f t="shared" si="9"/>
        <v>#REF!</v>
      </c>
      <c r="Z98" s="46" t="e">
        <f t="shared" si="10"/>
        <v>#REF!</v>
      </c>
      <c r="AA98" s="46"/>
      <c r="AB98" s="100" t="e">
        <f>VLOOKUP(C98,[1]SINDICATO!$C$7:$Q$141,15,0)</f>
        <v>#N/A</v>
      </c>
    </row>
    <row r="99" spans="1:28" s="100" customFormat="1" x14ac:dyDescent="0.2">
      <c r="A99" s="52" t="s">
        <v>399</v>
      </c>
      <c r="B99" s="54" t="s">
        <v>57</v>
      </c>
      <c r="C99" s="52" t="s">
        <v>427</v>
      </c>
      <c r="D99" s="99"/>
      <c r="E99" s="102">
        <f>VLOOKUP(C99,[2]IP!$B$9:$V$116,21,0)</f>
        <v>1805.2</v>
      </c>
      <c r="F99" s="123"/>
      <c r="G99" s="100" t="e">
        <f>VLOOKUP(C99,#REF!,4,0)</f>
        <v>#REF!</v>
      </c>
      <c r="H99" s="100" t="e">
        <f>VLOOKUP(C99,#REF!,5,0)</f>
        <v>#REF!</v>
      </c>
      <c r="I99" s="100" t="e">
        <f>VLOOKUP(C99,#REF!,6,0)</f>
        <v>#REF!</v>
      </c>
      <c r="J99" s="109"/>
      <c r="K99" s="100" t="e">
        <f t="shared" si="7"/>
        <v>#REF!</v>
      </c>
      <c r="L99" s="100">
        <v>12000</v>
      </c>
      <c r="M99" s="100">
        <f t="shared" si="8"/>
        <v>6000</v>
      </c>
      <c r="N99" s="110"/>
      <c r="O99" s="46">
        <f>VLOOKUP(C99,[2]IP!$B$9:$I$116,8,0)</f>
        <v>0</v>
      </c>
      <c r="P99" s="46" t="e">
        <f t="shared" si="11"/>
        <v>#REF!</v>
      </c>
      <c r="Q99" s="46">
        <f>VLOOKUP(C99,[2]IP!$B$9:$N$116,13,0)</f>
        <v>1202.43</v>
      </c>
      <c r="R99" s="46">
        <f>VLOOKUP(C99,[2]IP!$B$9:$O$116,14,0)</f>
        <v>0</v>
      </c>
      <c r="S99" s="46"/>
      <c r="T99" s="46">
        <f>VLOOKUP(C99,[2]IP!$B$9:$P$116,15,0)</f>
        <v>15</v>
      </c>
      <c r="U99" s="46">
        <f>VLOOKUP(C99,[2]IP!$B$9:$Q$116,16,0)</f>
        <v>0</v>
      </c>
      <c r="V99" s="46">
        <f>VLOOKUP(C99,[2]IP!$B$9:$S$116,18,0)</f>
        <v>0</v>
      </c>
      <c r="W99" s="46">
        <f>VLOOKUP(C99,[2]IP!$B$9:$R$116,17,0)</f>
        <v>310</v>
      </c>
      <c r="X99" s="109"/>
      <c r="Y99" s="100" t="e">
        <f t="shared" si="9"/>
        <v>#REF!</v>
      </c>
      <c r="Z99" s="46" t="e">
        <f t="shared" si="10"/>
        <v>#REF!</v>
      </c>
      <c r="AA99" s="46"/>
      <c r="AB99" s="100" t="e">
        <f>VLOOKUP(C99,[1]SINDICATO!$C$7:$Q$141,15,0)</f>
        <v>#N/A</v>
      </c>
    </row>
    <row r="100" spans="1:28" s="100" customFormat="1" x14ac:dyDescent="0.2">
      <c r="A100" s="52" t="s">
        <v>41</v>
      </c>
      <c r="B100" s="54" t="s">
        <v>57</v>
      </c>
      <c r="C100" s="52" t="s">
        <v>428</v>
      </c>
      <c r="D100" s="99"/>
      <c r="E100" s="102">
        <f>VLOOKUP(C100,[2]IP!$B$9:$V$116,21,0)</f>
        <v>2195</v>
      </c>
      <c r="F100" s="123"/>
      <c r="G100" s="100" t="e">
        <f>VLOOKUP(C100,#REF!,4,0)</f>
        <v>#REF!</v>
      </c>
      <c r="H100" s="100" t="e">
        <f>VLOOKUP(C100,#REF!,5,0)</f>
        <v>#REF!</v>
      </c>
      <c r="I100" s="100" t="e">
        <f>VLOOKUP(C100,#REF!,6,0)</f>
        <v>#REF!</v>
      </c>
      <c r="J100" s="109"/>
      <c r="K100" s="100" t="e">
        <f t="shared" si="7"/>
        <v>#REF!</v>
      </c>
      <c r="L100" s="100">
        <v>10000</v>
      </c>
      <c r="M100" s="100">
        <f t="shared" si="8"/>
        <v>5000</v>
      </c>
      <c r="N100" s="110"/>
      <c r="O100" s="46">
        <f>VLOOKUP(C100,[2]IP!$B$9:$I$116,8,0)</f>
        <v>0</v>
      </c>
      <c r="P100" s="46" t="e">
        <f t="shared" si="11"/>
        <v>#REF!</v>
      </c>
      <c r="Q100" s="46">
        <f>VLOOKUP(C100,[2]IP!$B$9:$N$116,13,0)</f>
        <v>0</v>
      </c>
      <c r="R100" s="46">
        <f>VLOOKUP(C100,[2]IP!$B$9:$O$116,14,0)</f>
        <v>1122.6300000000001</v>
      </c>
      <c r="S100" s="46"/>
      <c r="T100" s="46">
        <f>VLOOKUP(C100,[2]IP!$B$9:$P$116,15,0)</f>
        <v>15</v>
      </c>
      <c r="U100" s="46">
        <f>VLOOKUP(C100,[2]IP!$B$9:$Q$116,16,0)</f>
        <v>0</v>
      </c>
      <c r="V100" s="46">
        <f>VLOOKUP(C100,[2]IP!$B$9:$S$116,18,0)</f>
        <v>0</v>
      </c>
      <c r="W100" s="46">
        <f>VLOOKUP(C100,[2]IP!$B$9:$R$116,17,0)</f>
        <v>0</v>
      </c>
      <c r="X100" s="109"/>
      <c r="Y100" s="100" t="e">
        <f t="shared" si="9"/>
        <v>#REF!</v>
      </c>
      <c r="Z100" s="46" t="e">
        <f t="shared" si="10"/>
        <v>#REF!</v>
      </c>
      <c r="AA100" s="46"/>
      <c r="AB100" s="100" t="e">
        <f>VLOOKUP(C100,[1]SINDICATO!$C$7:$Q$141,15,0)</f>
        <v>#N/A</v>
      </c>
    </row>
    <row r="101" spans="1:28" s="100" customFormat="1" x14ac:dyDescent="0.2">
      <c r="A101" s="52" t="s">
        <v>662</v>
      </c>
      <c r="B101" s="54" t="s">
        <v>57</v>
      </c>
      <c r="C101" s="52" t="s">
        <v>429</v>
      </c>
      <c r="D101" s="99"/>
      <c r="E101" s="102">
        <f>VLOOKUP(C101,[2]IP!$B$9:$V$116,21,0)</f>
        <v>3332.6</v>
      </c>
      <c r="F101" s="123"/>
      <c r="G101" s="100" t="e">
        <f>VLOOKUP(C101,#REF!,4,0)</f>
        <v>#REF!</v>
      </c>
      <c r="H101" s="100" t="e">
        <f>VLOOKUP(C101,#REF!,5,0)</f>
        <v>#REF!</v>
      </c>
      <c r="I101" s="100" t="e">
        <f>VLOOKUP(C101,#REF!,6,0)</f>
        <v>#REF!</v>
      </c>
      <c r="J101" s="109"/>
      <c r="K101" s="100" t="e">
        <f t="shared" si="7"/>
        <v>#REF!</v>
      </c>
      <c r="L101" s="100">
        <v>12000</v>
      </c>
      <c r="M101" s="100">
        <f t="shared" si="8"/>
        <v>6000</v>
      </c>
      <c r="N101" s="110"/>
      <c r="O101" s="46">
        <f>VLOOKUP(C101,[2]IP!$B$9:$I$116,8,0)</f>
        <v>0</v>
      </c>
      <c r="P101" s="46" t="e">
        <f t="shared" si="11"/>
        <v>#REF!</v>
      </c>
      <c r="Q101" s="46">
        <f>VLOOKUP(C101,[2]IP!$B$9:$N$116,13,0)</f>
        <v>0</v>
      </c>
      <c r="R101" s="46">
        <f>VLOOKUP(C101,[2]IP!$B$9:$O$116,14,0)</f>
        <v>0</v>
      </c>
      <c r="S101" s="46"/>
      <c r="T101" s="46">
        <f>VLOOKUP(C101,[2]IP!$B$9:$P$116,15,0)</f>
        <v>0</v>
      </c>
      <c r="U101" s="46">
        <f>VLOOKUP(C101,[2]IP!$B$9:$Q$116,16,0)</f>
        <v>0</v>
      </c>
      <c r="V101" s="46">
        <f>VLOOKUP(C101,[2]IP!$B$9:$S$116,18,0)</f>
        <v>0</v>
      </c>
      <c r="W101" s="46">
        <f>VLOOKUP(C101,[2]IP!$B$9:$R$116,17,0)</f>
        <v>0</v>
      </c>
      <c r="X101" s="109"/>
      <c r="Y101" s="100" t="e">
        <f t="shared" si="9"/>
        <v>#REF!</v>
      </c>
      <c r="Z101" s="46" t="e">
        <f t="shared" si="10"/>
        <v>#REF!</v>
      </c>
      <c r="AA101" s="133"/>
      <c r="AB101" s="100" t="e">
        <f>VLOOKUP(C101,[1]SINDICATO!$C$7:$Q$141,15,0)</f>
        <v>#N/A</v>
      </c>
    </row>
    <row r="102" spans="1:28" s="100" customFormat="1" x14ac:dyDescent="0.2">
      <c r="A102" s="52" t="s">
        <v>414</v>
      </c>
      <c r="B102" s="54" t="s">
        <v>57</v>
      </c>
      <c r="C102" s="52" t="s">
        <v>431</v>
      </c>
      <c r="D102" s="99"/>
      <c r="E102" s="102">
        <f>VLOOKUP(C102,[2]IP!$B$9:$V$116,21,0)</f>
        <v>2624.6</v>
      </c>
      <c r="F102" s="123"/>
      <c r="G102" s="100" t="e">
        <f>VLOOKUP(C102,#REF!,4,0)</f>
        <v>#REF!</v>
      </c>
      <c r="H102" s="100" t="e">
        <f>VLOOKUP(C102,#REF!,5,0)</f>
        <v>#REF!</v>
      </c>
      <c r="I102" s="100" t="e">
        <f>VLOOKUP(C102,#REF!,6,0)</f>
        <v>#REF!</v>
      </c>
      <c r="J102" s="109"/>
      <c r="K102" s="100" t="e">
        <f t="shared" si="7"/>
        <v>#REF!</v>
      </c>
      <c r="L102" s="100">
        <v>10000</v>
      </c>
      <c r="M102" s="100">
        <f t="shared" si="8"/>
        <v>5000</v>
      </c>
      <c r="N102" s="110"/>
      <c r="O102" s="46">
        <f>VLOOKUP(C102,[2]IP!$B$9:$I$116,8,0)</f>
        <v>0</v>
      </c>
      <c r="P102" s="46" t="e">
        <f t="shared" si="11"/>
        <v>#REF!</v>
      </c>
      <c r="Q102" s="46">
        <f>VLOOKUP(C102,[2]IP!$B$9:$N$116,13,0)</f>
        <v>692.93</v>
      </c>
      <c r="R102" s="46">
        <f>VLOOKUP(C102,[2]IP!$B$9:$O$116,14,0)</f>
        <v>0</v>
      </c>
      <c r="S102" s="46"/>
      <c r="T102" s="46">
        <f>VLOOKUP(C102,[2]IP!$B$9:$P$116,15,0)</f>
        <v>15</v>
      </c>
      <c r="U102" s="46">
        <f>VLOOKUP(C102,[2]IP!$B$9:$Q$116,16,0)</f>
        <v>0</v>
      </c>
      <c r="V102" s="46">
        <f>VLOOKUP(C102,[2]IP!$B$9:$S$116,18,0)</f>
        <v>0</v>
      </c>
      <c r="W102" s="46">
        <f>VLOOKUP(C102,[2]IP!$B$9:$R$116,17,0)</f>
        <v>0</v>
      </c>
      <c r="X102" s="109"/>
      <c r="Y102" s="100" t="e">
        <f t="shared" si="9"/>
        <v>#REF!</v>
      </c>
      <c r="Z102" s="46" t="e">
        <f t="shared" si="10"/>
        <v>#REF!</v>
      </c>
      <c r="AA102" s="46"/>
      <c r="AB102" s="100" t="e">
        <f>VLOOKUP(C102,[1]SINDICATO!$C$7:$Q$141,15,0)</f>
        <v>#N/A</v>
      </c>
    </row>
    <row r="103" spans="1:28" s="100" customFormat="1" x14ac:dyDescent="0.2">
      <c r="A103" s="52" t="s">
        <v>663</v>
      </c>
      <c r="B103" s="54" t="s">
        <v>57</v>
      </c>
      <c r="C103" s="52" t="s">
        <v>433</v>
      </c>
      <c r="D103" s="99"/>
      <c r="E103" s="102">
        <f>VLOOKUP(C103,[2]IP!$B$9:$V$116,21,0)</f>
        <v>2447.6</v>
      </c>
      <c r="F103" s="123"/>
      <c r="G103" s="100" t="e">
        <f>VLOOKUP(C103,#REF!,4,0)</f>
        <v>#REF!</v>
      </c>
      <c r="H103" s="100" t="e">
        <f>VLOOKUP(C103,#REF!,5,0)</f>
        <v>#REF!</v>
      </c>
      <c r="I103" s="100" t="e">
        <f>VLOOKUP(C103,#REF!,6,0)</f>
        <v>#REF!</v>
      </c>
      <c r="J103" s="109"/>
      <c r="K103" s="100" t="e">
        <f t="shared" si="7"/>
        <v>#REF!</v>
      </c>
      <c r="L103" s="100">
        <v>10000</v>
      </c>
      <c r="M103" s="100">
        <f t="shared" si="8"/>
        <v>5000</v>
      </c>
      <c r="N103" s="110"/>
      <c r="O103" s="46">
        <f>VLOOKUP(C103,[2]IP!$B$9:$I$116,8,0)</f>
        <v>0</v>
      </c>
      <c r="P103" s="46" t="e">
        <f t="shared" si="11"/>
        <v>#REF!</v>
      </c>
      <c r="Q103" s="46">
        <f>VLOOKUP(C103,[2]IP!$B$9:$N$116,13,0)</f>
        <v>0</v>
      </c>
      <c r="R103" s="46">
        <f>VLOOKUP(C103,[2]IP!$B$9:$O$116,14,0)</f>
        <v>0</v>
      </c>
      <c r="S103" s="46"/>
      <c r="T103" s="46">
        <f>VLOOKUP(C103,[2]IP!$B$9:$P$116,15,0)</f>
        <v>0</v>
      </c>
      <c r="U103" s="46">
        <f>VLOOKUP(C103,[2]IP!$B$9:$Q$116,16,0)</f>
        <v>0</v>
      </c>
      <c r="V103" s="46">
        <f>VLOOKUP(C103,[2]IP!$B$9:$S$116,18,0)</f>
        <v>0</v>
      </c>
      <c r="W103" s="46">
        <f>VLOOKUP(C103,[2]IP!$B$9:$R$116,17,0)</f>
        <v>0</v>
      </c>
      <c r="X103" s="109"/>
      <c r="Y103" s="100" t="e">
        <f t="shared" si="9"/>
        <v>#REF!</v>
      </c>
      <c r="Z103" s="46" t="e">
        <f t="shared" si="10"/>
        <v>#REF!</v>
      </c>
      <c r="AA103" s="46"/>
      <c r="AB103" s="100" t="e">
        <f>VLOOKUP(C103,[1]SINDICATO!$C$7:$Q$141,15,0)</f>
        <v>#N/A</v>
      </c>
    </row>
    <row r="104" spans="1:28" s="100" customFormat="1" x14ac:dyDescent="0.2">
      <c r="A104" s="52" t="s">
        <v>403</v>
      </c>
      <c r="B104" s="54" t="s">
        <v>57</v>
      </c>
      <c r="C104" s="52" t="s">
        <v>434</v>
      </c>
      <c r="D104" s="99"/>
      <c r="E104" s="102">
        <f>VLOOKUP(C104,[2]IP!$B$9:$V$116,21,0)</f>
        <v>1892.4</v>
      </c>
      <c r="F104" s="123"/>
      <c r="G104" s="100" t="e">
        <f>VLOOKUP(C104,#REF!,4,0)</f>
        <v>#REF!</v>
      </c>
      <c r="H104" s="100" t="e">
        <f>VLOOKUP(C104,#REF!,5,0)</f>
        <v>#REF!</v>
      </c>
      <c r="I104" s="100" t="e">
        <f>VLOOKUP(C104,#REF!,6,0)</f>
        <v>#REF!</v>
      </c>
      <c r="J104" s="109"/>
      <c r="K104" s="100" t="e">
        <f t="shared" si="7"/>
        <v>#REF!</v>
      </c>
      <c r="L104" s="100">
        <v>9000</v>
      </c>
      <c r="M104" s="100">
        <f t="shared" si="8"/>
        <v>4500</v>
      </c>
      <c r="N104" s="110"/>
      <c r="O104" s="46">
        <f>VLOOKUP(C104,[2]IP!$B$9:$I$116,8,0)</f>
        <v>0</v>
      </c>
      <c r="P104" s="46" t="e">
        <f t="shared" si="11"/>
        <v>#REF!</v>
      </c>
      <c r="Q104" s="46">
        <f>VLOOKUP(C104,[2]IP!$B$9:$N$116,13,0)</f>
        <v>898.5</v>
      </c>
      <c r="R104" s="46">
        <f>VLOOKUP(C104,[2]IP!$B$9:$O$116,14,0)</f>
        <v>0</v>
      </c>
      <c r="S104" s="46"/>
      <c r="T104" s="46">
        <f>VLOOKUP(C104,[2]IP!$B$9:$P$116,15,0)</f>
        <v>15</v>
      </c>
      <c r="U104" s="46">
        <f>VLOOKUP(C104,[2]IP!$B$9:$Q$116,16,0)</f>
        <v>0</v>
      </c>
      <c r="V104" s="46">
        <f>VLOOKUP(C104,[2]IP!$B$9:$S$116,18,0)</f>
        <v>0</v>
      </c>
      <c r="W104" s="46">
        <f>VLOOKUP(C104,[2]IP!$B$9:$R$116,17,0)</f>
        <v>0</v>
      </c>
      <c r="X104" s="109"/>
      <c r="Y104" s="100" t="e">
        <f t="shared" si="9"/>
        <v>#REF!</v>
      </c>
      <c r="Z104" s="46" t="e">
        <f t="shared" si="10"/>
        <v>#REF!</v>
      </c>
      <c r="AA104" s="46"/>
      <c r="AB104" s="100" t="e">
        <f>VLOOKUP(C104,[1]SINDICATO!$C$7:$Q$141,15,0)</f>
        <v>#N/A</v>
      </c>
    </row>
    <row r="105" spans="1:28" s="100" customFormat="1" x14ac:dyDescent="0.2">
      <c r="A105" s="52" t="s">
        <v>664</v>
      </c>
      <c r="B105" s="54" t="s">
        <v>57</v>
      </c>
      <c r="C105" s="52" t="s">
        <v>435</v>
      </c>
      <c r="D105" s="99"/>
      <c r="E105" s="102">
        <f>VLOOKUP(C105,[2]IP!$B$9:$V$116,21,0)</f>
        <v>1881.6</v>
      </c>
      <c r="F105" s="123"/>
      <c r="G105" s="100" t="e">
        <f>VLOOKUP(C105,#REF!,4,0)</f>
        <v>#REF!</v>
      </c>
      <c r="H105" s="100" t="e">
        <f>VLOOKUP(C105,#REF!,5,0)</f>
        <v>#REF!</v>
      </c>
      <c r="I105" s="100" t="e">
        <f>VLOOKUP(C105,#REF!,6,0)</f>
        <v>#REF!</v>
      </c>
      <c r="J105" s="109"/>
      <c r="K105" s="100" t="e">
        <f t="shared" si="7"/>
        <v>#REF!</v>
      </c>
      <c r="L105" s="100">
        <v>10000</v>
      </c>
      <c r="M105" s="100">
        <f t="shared" si="8"/>
        <v>5000</v>
      </c>
      <c r="N105" s="110"/>
      <c r="O105" s="46">
        <f>VLOOKUP(C105,[2]IP!$B$9:$I$116,8,0)</f>
        <v>0</v>
      </c>
      <c r="P105" s="46" t="e">
        <f t="shared" si="11"/>
        <v>#REF!</v>
      </c>
      <c r="Q105" s="46">
        <f>VLOOKUP(C105,[2]IP!$B$9:$N$116,13,0)</f>
        <v>909.21</v>
      </c>
      <c r="R105" s="46">
        <f>VLOOKUP(C105,[2]IP!$B$9:$O$116,14,0)</f>
        <v>0</v>
      </c>
      <c r="S105" s="46"/>
      <c r="T105" s="46">
        <f>VLOOKUP(C105,[2]IP!$B$9:$P$116,15,0)</f>
        <v>15</v>
      </c>
      <c r="U105" s="46">
        <f>VLOOKUP(C105,[2]IP!$B$9:$Q$116,16,0)</f>
        <v>0</v>
      </c>
      <c r="V105" s="46">
        <f>VLOOKUP(C105,[2]IP!$B$9:$S$116,18,0)</f>
        <v>0</v>
      </c>
      <c r="W105" s="46">
        <f>VLOOKUP(C105,[2]IP!$B$9:$R$116,17,0)</f>
        <v>0</v>
      </c>
      <c r="X105" s="109"/>
      <c r="Y105" s="100" t="e">
        <f t="shared" si="9"/>
        <v>#REF!</v>
      </c>
      <c r="Z105" s="46" t="e">
        <f t="shared" si="10"/>
        <v>#REF!</v>
      </c>
      <c r="AA105" s="46"/>
      <c r="AB105" s="100" t="e">
        <f>VLOOKUP(C105,[1]SINDICATO!$C$7:$Q$141,15,0)</f>
        <v>#N/A</v>
      </c>
    </row>
    <row r="106" spans="1:28" s="100" customFormat="1" x14ac:dyDescent="0.2">
      <c r="A106" s="52" t="s">
        <v>410</v>
      </c>
      <c r="B106" s="54" t="s">
        <v>57</v>
      </c>
      <c r="C106" s="52" t="s">
        <v>472</v>
      </c>
      <c r="D106" s="99"/>
      <c r="E106" s="102">
        <f>VLOOKUP(C106,[2]IP!$B$9:$V$116,21,0)</f>
        <v>2446.6</v>
      </c>
      <c r="F106" s="123"/>
      <c r="G106" s="100" t="e">
        <f>VLOOKUP(C106,#REF!,4,0)</f>
        <v>#REF!</v>
      </c>
      <c r="H106" s="100" t="e">
        <f>VLOOKUP(C106,#REF!,5,0)</f>
        <v>#REF!</v>
      </c>
      <c r="I106" s="100" t="e">
        <f>VLOOKUP(C106,#REF!,6,0)</f>
        <v>#REF!</v>
      </c>
      <c r="J106" s="109"/>
      <c r="K106" s="100" t="e">
        <f t="shared" si="7"/>
        <v>#REF!</v>
      </c>
      <c r="L106" s="100">
        <v>10000</v>
      </c>
      <c r="M106" s="100">
        <f t="shared" si="8"/>
        <v>5000</v>
      </c>
      <c r="N106" s="110"/>
      <c r="O106" s="46">
        <f>VLOOKUP(C106,[2]IP!$B$9:$I$116,8,0)</f>
        <v>0</v>
      </c>
      <c r="P106" s="46" t="e">
        <f t="shared" si="11"/>
        <v>#REF!</v>
      </c>
      <c r="Q106" s="46">
        <f>VLOOKUP(C106,[2]IP!$B$9:$N$116,13,0)</f>
        <v>0</v>
      </c>
      <c r="R106" s="46">
        <f>VLOOKUP(C106,[2]IP!$B$9:$O$116,14,0)</f>
        <v>0</v>
      </c>
      <c r="S106" s="46"/>
      <c r="T106" s="46">
        <f>VLOOKUP(C106,[2]IP!$B$9:$P$116,15,0)</f>
        <v>0</v>
      </c>
      <c r="U106" s="46">
        <f>VLOOKUP(C106,[2]IP!$B$9:$Q$116,16,0)</f>
        <v>0</v>
      </c>
      <c r="V106" s="46">
        <f>VLOOKUP(C106,[2]IP!$B$9:$S$116,18,0)</f>
        <v>0</v>
      </c>
      <c r="W106" s="46">
        <f>VLOOKUP(C106,[2]IP!$B$9:$R$116,17,0)</f>
        <v>0</v>
      </c>
      <c r="X106" s="109"/>
      <c r="Y106" s="100" t="e">
        <f t="shared" si="9"/>
        <v>#REF!</v>
      </c>
      <c r="Z106" s="46" t="e">
        <f t="shared" si="10"/>
        <v>#REF!</v>
      </c>
      <c r="AA106" s="46"/>
      <c r="AB106" s="100" t="e">
        <f>VLOOKUP(C106,[1]SINDICATO!$C$7:$Q$141,15,0)</f>
        <v>#N/A</v>
      </c>
    </row>
    <row r="107" spans="1:28" s="100" customFormat="1" x14ac:dyDescent="0.2">
      <c r="A107" s="52" t="s">
        <v>525</v>
      </c>
      <c r="B107" s="54" t="s">
        <v>57</v>
      </c>
      <c r="C107" s="52" t="s">
        <v>524</v>
      </c>
      <c r="D107" s="99"/>
      <c r="E107" s="102">
        <f>VLOOKUP(C107,[2]IP!$B$9:$V$116,21,0)</f>
        <v>2865.8</v>
      </c>
      <c r="F107" s="123"/>
      <c r="G107" s="100" t="e">
        <f>VLOOKUP(C107,#REF!,4,0)</f>
        <v>#REF!</v>
      </c>
      <c r="H107" s="100" t="e">
        <f>VLOOKUP(C107,#REF!,5,0)</f>
        <v>#REF!</v>
      </c>
      <c r="I107" s="100" t="e">
        <f>VLOOKUP(C107,#REF!,6,0)</f>
        <v>#REF!</v>
      </c>
      <c r="J107" s="109"/>
      <c r="K107" s="100" t="e">
        <f t="shared" si="7"/>
        <v>#REF!</v>
      </c>
      <c r="L107" s="46">
        <v>6300</v>
      </c>
      <c r="M107" s="100">
        <f t="shared" si="8"/>
        <v>3150</v>
      </c>
      <c r="N107" s="110"/>
      <c r="O107" s="46">
        <f>VLOOKUP(C107,[2]IP!$B$9:$I$116,8,0)</f>
        <v>0</v>
      </c>
      <c r="P107" s="46" t="e">
        <f t="shared" si="11"/>
        <v>#REF!</v>
      </c>
      <c r="Q107" s="46">
        <f>VLOOKUP(C107,[2]IP!$B$9:$N$116,13,0)</f>
        <v>0</v>
      </c>
      <c r="R107" s="46">
        <f>VLOOKUP(C107,[2]IP!$B$9:$O$116,14,0)</f>
        <v>0</v>
      </c>
      <c r="S107" s="46"/>
      <c r="T107" s="46">
        <f>VLOOKUP(C107,[2]IP!$B$9:$P$116,15,0)</f>
        <v>0</v>
      </c>
      <c r="U107" s="46">
        <f>VLOOKUP(C107,[2]IP!$B$9:$Q$116,16,0)</f>
        <v>0</v>
      </c>
      <c r="V107" s="46">
        <f>VLOOKUP(C107,[2]IP!$B$9:$S$116,18,0)</f>
        <v>0</v>
      </c>
      <c r="W107" s="46">
        <f>VLOOKUP(C107,[2]IP!$B$9:$R$116,17,0)</f>
        <v>0</v>
      </c>
      <c r="X107" s="109"/>
      <c r="Y107" s="100" t="e">
        <f t="shared" si="9"/>
        <v>#REF!</v>
      </c>
      <c r="Z107" s="46" t="e">
        <f t="shared" si="10"/>
        <v>#REF!</v>
      </c>
      <c r="AA107" s="46"/>
      <c r="AB107" s="100" t="e">
        <f>VLOOKUP(C107,[1]SINDICATO!$C$7:$Q$141,15,0)</f>
        <v>#N/A</v>
      </c>
    </row>
    <row r="108" spans="1:28" s="100" customFormat="1" x14ac:dyDescent="0.2">
      <c r="A108" s="52" t="s">
        <v>43</v>
      </c>
      <c r="B108" s="54" t="s">
        <v>57</v>
      </c>
      <c r="C108" s="52" t="s">
        <v>467</v>
      </c>
      <c r="D108" s="99"/>
      <c r="E108" s="102">
        <f>VLOOKUP(C108,[2]IP!$B$9:$V$116,21,0)</f>
        <v>2446.6</v>
      </c>
      <c r="F108" s="123"/>
      <c r="G108" s="100" t="e">
        <f>VLOOKUP(C108,#REF!,4,0)</f>
        <v>#REF!</v>
      </c>
      <c r="H108" s="100" t="e">
        <f>VLOOKUP(C108,#REF!,5,0)</f>
        <v>#REF!</v>
      </c>
      <c r="I108" s="100" t="e">
        <f>VLOOKUP(C108,#REF!,6,0)</f>
        <v>#REF!</v>
      </c>
      <c r="J108" s="109"/>
      <c r="K108" s="100" t="e">
        <f t="shared" si="7"/>
        <v>#REF!</v>
      </c>
      <c r="L108" s="100">
        <v>12000</v>
      </c>
      <c r="M108" s="100">
        <f t="shared" si="8"/>
        <v>6000</v>
      </c>
      <c r="N108" s="110"/>
      <c r="O108" s="46">
        <f>VLOOKUP(C108,[2]IP!$B$9:$I$116,8,0)</f>
        <v>0</v>
      </c>
      <c r="P108" s="46" t="e">
        <f t="shared" si="11"/>
        <v>#REF!</v>
      </c>
      <c r="Q108" s="46">
        <f>VLOOKUP(C108,[2]IP!$B$9:$N$116,13,0)</f>
        <v>0</v>
      </c>
      <c r="R108" s="46">
        <f>VLOOKUP(C108,[2]IP!$B$9:$O$116,14,0)</f>
        <v>0</v>
      </c>
      <c r="S108" s="46"/>
      <c r="T108" s="46">
        <f>VLOOKUP(C108,[2]IP!$B$9:$P$116,15,0)</f>
        <v>0</v>
      </c>
      <c r="U108" s="46">
        <f>VLOOKUP(C108,[2]IP!$B$9:$Q$116,16,0)</f>
        <v>0</v>
      </c>
      <c r="V108" s="46">
        <f>VLOOKUP(C108,[2]IP!$B$9:$S$116,18,0)</f>
        <v>0</v>
      </c>
      <c r="W108" s="46">
        <f>VLOOKUP(C108,[2]IP!$B$9:$R$116,17,0)</f>
        <v>0</v>
      </c>
      <c r="X108" s="109"/>
      <c r="Y108" s="100" t="e">
        <f t="shared" si="9"/>
        <v>#REF!</v>
      </c>
      <c r="Z108" s="46" t="e">
        <f t="shared" si="10"/>
        <v>#REF!</v>
      </c>
      <c r="AA108" s="46"/>
      <c r="AB108" s="100" t="e">
        <f>VLOOKUP(C108,[1]SINDICATO!$C$7:$Q$141,15,0)</f>
        <v>#N/A</v>
      </c>
    </row>
    <row r="109" spans="1:28" s="100" customFormat="1" x14ac:dyDescent="0.2">
      <c r="A109" s="52" t="s">
        <v>529</v>
      </c>
      <c r="B109" s="54" t="s">
        <v>57</v>
      </c>
      <c r="C109" s="52" t="s">
        <v>530</v>
      </c>
      <c r="D109" s="99"/>
      <c r="E109" s="102">
        <f>VLOOKUP(C109,[2]IP!$B$9:$V$116,21,0)</f>
        <v>2447.1999999999998</v>
      </c>
      <c r="F109" s="123"/>
      <c r="G109" s="100" t="e">
        <f>VLOOKUP(C109,#REF!,4,0)</f>
        <v>#REF!</v>
      </c>
      <c r="H109" s="100" t="e">
        <f>VLOOKUP(C109,#REF!,5,0)</f>
        <v>#REF!</v>
      </c>
      <c r="I109" s="100" t="e">
        <f>VLOOKUP(C109,#REF!,6,0)</f>
        <v>#REF!</v>
      </c>
      <c r="J109" s="109"/>
      <c r="K109" s="100" t="e">
        <f t="shared" si="7"/>
        <v>#REF!</v>
      </c>
      <c r="L109" s="100">
        <v>5000</v>
      </c>
      <c r="M109" s="100">
        <f t="shared" si="8"/>
        <v>2500</v>
      </c>
      <c r="N109" s="110"/>
      <c r="O109" s="46">
        <f>VLOOKUP(C109,[2]IP!$B$9:$I$116,8,0)</f>
        <v>0</v>
      </c>
      <c r="P109" s="46" t="e">
        <f t="shared" si="11"/>
        <v>#REF!</v>
      </c>
      <c r="Q109" s="46">
        <f>VLOOKUP(C109,[2]IP!$B$9:$N$116,13,0)</f>
        <v>0</v>
      </c>
      <c r="R109" s="46">
        <f>VLOOKUP(C109,[2]IP!$B$9:$O$116,14,0)</f>
        <v>0</v>
      </c>
      <c r="S109" s="46"/>
      <c r="T109" s="46">
        <f>VLOOKUP(C109,[2]IP!$B$9:$P$116,15,0)</f>
        <v>0</v>
      </c>
      <c r="U109" s="46">
        <f>VLOOKUP(C109,[2]IP!$B$9:$Q$116,16,0)</f>
        <v>0</v>
      </c>
      <c r="V109" s="46">
        <f>VLOOKUP(C109,[2]IP!$B$9:$S$116,18,0)</f>
        <v>0</v>
      </c>
      <c r="W109" s="46">
        <f>VLOOKUP(C109,[2]IP!$B$9:$R$116,17,0)</f>
        <v>0</v>
      </c>
      <c r="X109" s="109"/>
      <c r="Y109" s="100" t="e">
        <f t="shared" si="9"/>
        <v>#REF!</v>
      </c>
      <c r="Z109" s="46" t="e">
        <f t="shared" si="10"/>
        <v>#REF!</v>
      </c>
      <c r="AA109" s="46"/>
      <c r="AB109" s="100" t="e">
        <f>VLOOKUP(C109,[1]SINDICATO!$C$7:$Q$141,15,0)</f>
        <v>#N/A</v>
      </c>
    </row>
    <row r="110" spans="1:28" s="100" customFormat="1" x14ac:dyDescent="0.2">
      <c r="A110" s="52" t="s">
        <v>552</v>
      </c>
      <c r="B110" s="54" t="s">
        <v>57</v>
      </c>
      <c r="C110" s="52" t="s">
        <v>553</v>
      </c>
      <c r="D110" s="99"/>
      <c r="E110" s="102">
        <f>VLOOKUP(C110,[2]IP!$B$9:$V$116,21,0)</f>
        <v>4406.2</v>
      </c>
      <c r="F110" s="123"/>
      <c r="G110" s="100" t="e">
        <f>VLOOKUP(C110,#REF!,4,0)</f>
        <v>#REF!</v>
      </c>
      <c r="H110" s="100" t="e">
        <f>VLOOKUP(C110,#REF!,5,0)</f>
        <v>#REF!</v>
      </c>
      <c r="I110" s="100" t="e">
        <f>VLOOKUP(C110,#REF!,6,0)</f>
        <v>#REF!</v>
      </c>
      <c r="J110" s="109"/>
      <c r="K110" s="100" t="e">
        <f t="shared" si="7"/>
        <v>#REF!</v>
      </c>
      <c r="L110" s="100">
        <v>20000</v>
      </c>
      <c r="M110" s="100">
        <f t="shared" si="8"/>
        <v>10000</v>
      </c>
      <c r="N110" s="110"/>
      <c r="O110" s="46">
        <f>VLOOKUP(C110,[2]IP!$B$9:$I$116,8,0)</f>
        <v>0</v>
      </c>
      <c r="P110" s="46" t="e">
        <f t="shared" si="11"/>
        <v>#REF!</v>
      </c>
      <c r="Q110" s="46">
        <f>VLOOKUP(C110,[2]IP!$B$9:$N$116,13,0)</f>
        <v>0</v>
      </c>
      <c r="R110" s="46">
        <f>VLOOKUP(C110,[2]IP!$B$9:$O$116,14,0)</f>
        <v>0</v>
      </c>
      <c r="S110" s="46"/>
      <c r="T110" s="46">
        <f>VLOOKUP(C110,[2]IP!$B$9:$P$116,15,0)</f>
        <v>0</v>
      </c>
      <c r="U110" s="46">
        <f>VLOOKUP(C110,[2]IP!$B$9:$Q$116,16,0)</f>
        <v>0</v>
      </c>
      <c r="V110" s="46">
        <f>VLOOKUP(C110,[2]IP!$B$9:$S$116,18,0)</f>
        <v>0</v>
      </c>
      <c r="W110" s="46">
        <f>VLOOKUP(C110,[2]IP!$B$9:$R$116,17,0)</f>
        <v>0</v>
      </c>
      <c r="X110" s="109"/>
      <c r="Y110" s="100" t="e">
        <f t="shared" si="9"/>
        <v>#REF!</v>
      </c>
      <c r="Z110" s="46" t="e">
        <f t="shared" si="10"/>
        <v>#REF!</v>
      </c>
      <c r="AA110" s="46"/>
      <c r="AB110" s="100">
        <f>VLOOKUP(C110,[1]SINDICATO!$C$7:$Q$141,15,0)</f>
        <v>0</v>
      </c>
    </row>
    <row r="111" spans="1:28" s="100" customFormat="1" x14ac:dyDescent="0.2">
      <c r="A111" s="52" t="s">
        <v>554</v>
      </c>
      <c r="B111" s="54" t="s">
        <v>57</v>
      </c>
      <c r="C111" s="52" t="s">
        <v>555</v>
      </c>
      <c r="D111" s="99"/>
      <c r="E111" s="102">
        <f>VLOOKUP(C111,[2]IP!$B$9:$V$116,21,0)</f>
        <v>2014.8</v>
      </c>
      <c r="F111" s="123"/>
      <c r="G111" s="100" t="e">
        <f>VLOOKUP(C111,#REF!,4,0)</f>
        <v>#REF!</v>
      </c>
      <c r="H111" s="100" t="e">
        <f>VLOOKUP(C111,#REF!,5,0)</f>
        <v>#REF!</v>
      </c>
      <c r="I111" s="100" t="e">
        <f>VLOOKUP(C111,#REF!,6,0)</f>
        <v>#REF!</v>
      </c>
      <c r="J111" s="109"/>
      <c r="K111" s="100" t="e">
        <f t="shared" si="7"/>
        <v>#REF!</v>
      </c>
      <c r="L111" s="124">
        <v>5000</v>
      </c>
      <c r="M111" s="100">
        <f t="shared" si="8"/>
        <v>2500</v>
      </c>
      <c r="N111" s="110"/>
      <c r="O111" s="46">
        <f>VLOOKUP(C111,[2]IP!$B$9:$I$116,8,0)</f>
        <v>0</v>
      </c>
      <c r="P111" s="46" t="e">
        <f t="shared" si="11"/>
        <v>#REF!</v>
      </c>
      <c r="Q111" s="46">
        <f>VLOOKUP(C111,[2]IP!$B$9:$N$116,13,0)</f>
        <v>417.76</v>
      </c>
      <c r="R111" s="46">
        <f>VLOOKUP(C111,[2]IP!$B$9:$O$116,14,0)</f>
        <v>0</v>
      </c>
      <c r="S111" s="46"/>
      <c r="T111" s="46">
        <f>VLOOKUP(C111,[2]IP!$B$9:$P$116,15,0)</f>
        <v>15</v>
      </c>
      <c r="U111" s="46">
        <f>VLOOKUP(C111,[2]IP!$B$9:$Q$116,16,0)</f>
        <v>0</v>
      </c>
      <c r="V111" s="46">
        <f>VLOOKUP(C111,[2]IP!$B$9:$S$116,18,0)</f>
        <v>0</v>
      </c>
      <c r="W111" s="46">
        <f>VLOOKUP(C111,[2]IP!$B$9:$R$116,17,0)</f>
        <v>0</v>
      </c>
      <c r="X111" s="109"/>
      <c r="Y111" s="100" t="e">
        <f t="shared" si="9"/>
        <v>#REF!</v>
      </c>
      <c r="Z111" s="46" t="e">
        <f t="shared" si="10"/>
        <v>#REF!</v>
      </c>
      <c r="AA111" s="46"/>
      <c r="AB111" s="100" t="e">
        <f>VLOOKUP(C111,[1]SINDICATO!$C$7:$Q$141,15,0)</f>
        <v>#N/A</v>
      </c>
    </row>
    <row r="112" spans="1:28" s="100" customFormat="1" x14ac:dyDescent="0.2">
      <c r="A112" s="52" t="s">
        <v>556</v>
      </c>
      <c r="B112" s="54" t="s">
        <v>57</v>
      </c>
      <c r="C112" s="52" t="s">
        <v>557</v>
      </c>
      <c r="D112" s="99"/>
      <c r="E112" s="102">
        <f>VLOOKUP(C112,[2]IP!$B$9:$V$116,21,0)</f>
        <v>2865.8</v>
      </c>
      <c r="F112" s="123"/>
      <c r="G112" s="100" t="e">
        <f>VLOOKUP(C112,#REF!,4,0)</f>
        <v>#REF!</v>
      </c>
      <c r="H112" s="100" t="e">
        <f>VLOOKUP(C112,#REF!,5,0)</f>
        <v>#REF!</v>
      </c>
      <c r="I112" s="100" t="e">
        <f>VLOOKUP(C112,#REF!,6,0)</f>
        <v>#REF!</v>
      </c>
      <c r="J112" s="109"/>
      <c r="K112" s="100" t="e">
        <f t="shared" si="7"/>
        <v>#REF!</v>
      </c>
      <c r="M112" s="100">
        <f t="shared" si="8"/>
        <v>0</v>
      </c>
      <c r="N112" s="110"/>
      <c r="O112" s="46">
        <f>VLOOKUP(C112,[2]IP!$B$9:$I$116,8,0)</f>
        <v>0</v>
      </c>
      <c r="P112" s="46" t="e">
        <f t="shared" si="11"/>
        <v>#REF!</v>
      </c>
      <c r="Q112" s="46">
        <f>VLOOKUP(C112,[2]IP!$B$9:$N$116,13,0)</f>
        <v>0</v>
      </c>
      <c r="R112" s="46">
        <f>VLOOKUP(C112,[2]IP!$B$9:$O$116,14,0)</f>
        <v>0</v>
      </c>
      <c r="S112" s="46"/>
      <c r="T112" s="46">
        <f>VLOOKUP(C112,[2]IP!$B$9:$P$116,15,0)</f>
        <v>0</v>
      </c>
      <c r="U112" s="46">
        <f>VLOOKUP(C112,[2]IP!$B$9:$Q$116,16,0)</f>
        <v>0</v>
      </c>
      <c r="V112" s="46">
        <f>VLOOKUP(C112,[2]IP!$B$9:$S$116,18,0)</f>
        <v>0</v>
      </c>
      <c r="W112" s="46">
        <f>VLOOKUP(C112,[2]IP!$B$9:$R$116,17,0)</f>
        <v>0</v>
      </c>
      <c r="X112" s="109"/>
      <c r="Y112" s="100" t="e">
        <f t="shared" si="9"/>
        <v>#REF!</v>
      </c>
      <c r="Z112" s="46">
        <v>0</v>
      </c>
      <c r="AA112" s="46"/>
      <c r="AB112" s="100">
        <f>VLOOKUP(C112,[1]SINDICATO!$C$7:$Q$141,15,0)</f>
        <v>0</v>
      </c>
    </row>
    <row r="113" spans="1:28" s="100" customFormat="1" x14ac:dyDescent="0.2">
      <c r="A113" s="52" t="s">
        <v>558</v>
      </c>
      <c r="B113" s="54" t="s">
        <v>57</v>
      </c>
      <c r="C113" s="52" t="s">
        <v>559</v>
      </c>
      <c r="D113" s="99"/>
      <c r="E113" s="102">
        <f>VLOOKUP(C113,[2]IP!$B$9:$V$116,21,0)</f>
        <v>2283</v>
      </c>
      <c r="F113" s="123"/>
      <c r="G113" s="100" t="e">
        <f>VLOOKUP(C113,#REF!,4,0)</f>
        <v>#REF!</v>
      </c>
      <c r="H113" s="100" t="e">
        <f>VLOOKUP(C113,#REF!,5,0)</f>
        <v>#REF!</v>
      </c>
      <c r="I113" s="100" t="e">
        <f>VLOOKUP(C113,#REF!,6,0)</f>
        <v>#REF!</v>
      </c>
      <c r="J113" s="109"/>
      <c r="K113" s="100" t="e">
        <f t="shared" si="7"/>
        <v>#REF!</v>
      </c>
      <c r="L113" s="100">
        <v>6000</v>
      </c>
      <c r="M113" s="100">
        <f t="shared" si="8"/>
        <v>3000</v>
      </c>
      <c r="N113" s="110"/>
      <c r="O113" s="46">
        <f>VLOOKUP(C113,[2]IP!$B$9:$I$116,8,0)</f>
        <v>0</v>
      </c>
      <c r="P113" s="46" t="e">
        <f t="shared" si="11"/>
        <v>#REF!</v>
      </c>
      <c r="Q113" s="46">
        <f>VLOOKUP(C113,[2]IP!$B$9:$N$116,13,0)</f>
        <v>0</v>
      </c>
      <c r="R113" s="46">
        <f>VLOOKUP(C113,[2]IP!$B$9:$O$116,14,0)</f>
        <v>0</v>
      </c>
      <c r="S113" s="46"/>
      <c r="T113" s="46">
        <f>VLOOKUP(C113,[2]IP!$B$9:$P$116,15,0)</f>
        <v>0</v>
      </c>
      <c r="U113" s="46">
        <f>VLOOKUP(C113,[2]IP!$B$9:$Q$116,16,0)</f>
        <v>581.73</v>
      </c>
      <c r="V113" s="46">
        <f>VLOOKUP(C113,[2]IP!$B$9:$S$116,18,0)</f>
        <v>0</v>
      </c>
      <c r="W113" s="46">
        <f>VLOOKUP(C113,[2]IP!$B$9:$R$116,17,0)</f>
        <v>0</v>
      </c>
      <c r="X113" s="109"/>
      <c r="Y113" s="100" t="e">
        <f t="shared" si="9"/>
        <v>#REF!</v>
      </c>
      <c r="Z113" s="46" t="e">
        <f t="shared" ref="Z113:Z138" si="12">+M113-Y113</f>
        <v>#REF!</v>
      </c>
      <c r="AA113" s="46"/>
      <c r="AB113" s="100" t="e">
        <f>VLOOKUP(C113,[1]SINDICATO!$C$7:$Q$141,15,0)</f>
        <v>#N/A</v>
      </c>
    </row>
    <row r="114" spans="1:28" s="100" customFormat="1" x14ac:dyDescent="0.2">
      <c r="A114" s="52" t="s">
        <v>99</v>
      </c>
      <c r="B114" s="54" t="s">
        <v>57</v>
      </c>
      <c r="C114" s="61" t="s">
        <v>560</v>
      </c>
      <c r="D114" s="99"/>
      <c r="E114" s="102">
        <f>VLOOKUP(C114,[2]IP!$B$9:$V$116,21,0)</f>
        <v>2864.8</v>
      </c>
      <c r="F114" s="123"/>
      <c r="G114" s="100" t="e">
        <f>VLOOKUP(C114,#REF!,4,0)</f>
        <v>#REF!</v>
      </c>
      <c r="H114" s="100" t="e">
        <f>VLOOKUP(C114,#REF!,5,0)</f>
        <v>#REF!</v>
      </c>
      <c r="I114" s="100" t="e">
        <f>VLOOKUP(C114,#REF!,6,0)</f>
        <v>#REF!</v>
      </c>
      <c r="J114" s="109"/>
      <c r="K114" s="100" t="e">
        <f t="shared" si="7"/>
        <v>#REF!</v>
      </c>
      <c r="L114" s="100">
        <v>6900</v>
      </c>
      <c r="M114" s="100">
        <f t="shared" si="8"/>
        <v>3450</v>
      </c>
      <c r="N114" s="110">
        <v>0</v>
      </c>
      <c r="O114" s="46">
        <f>VLOOKUP(C114,[2]IP!$B$9:$I$116,8,0)</f>
        <v>0</v>
      </c>
      <c r="P114" s="46" t="e">
        <f t="shared" si="11"/>
        <v>#REF!</v>
      </c>
      <c r="Q114" s="46">
        <f>VLOOKUP(C114,[2]IP!$B$9:$N$116,13,0)</f>
        <v>0</v>
      </c>
      <c r="R114" s="46">
        <f>VLOOKUP(C114,[2]IP!$B$9:$O$116,14,0)</f>
        <v>0</v>
      </c>
      <c r="S114" s="46"/>
      <c r="T114" s="46">
        <f>VLOOKUP(C114,[2]IP!$B$9:$P$116,15,0)</f>
        <v>0</v>
      </c>
      <c r="U114" s="46">
        <f>VLOOKUP(C114,[2]IP!$B$9:$Q$116,16,0)</f>
        <v>0</v>
      </c>
      <c r="V114" s="46">
        <f>VLOOKUP(C114,[2]IP!$B$9:$S$116,18,0)</f>
        <v>0</v>
      </c>
      <c r="W114" s="46">
        <f>VLOOKUP(C114,[2]IP!$B$9:$R$116,17,0)</f>
        <v>0</v>
      </c>
      <c r="X114" s="109"/>
      <c r="Y114" s="100" t="e">
        <f t="shared" si="9"/>
        <v>#REF!</v>
      </c>
      <c r="Z114" s="46" t="e">
        <f t="shared" si="12"/>
        <v>#REF!</v>
      </c>
      <c r="AA114" s="46"/>
      <c r="AB114" s="100" t="e">
        <f>VLOOKUP(C114,[1]SINDICATO!$C$7:$Q$141,15,0)</f>
        <v>#N/A</v>
      </c>
    </row>
    <row r="115" spans="1:28" s="100" customFormat="1" x14ac:dyDescent="0.2">
      <c r="A115" s="52" t="s">
        <v>562</v>
      </c>
      <c r="B115" s="54" t="s">
        <v>57</v>
      </c>
      <c r="C115" s="52" t="s">
        <v>563</v>
      </c>
      <c r="D115" s="99"/>
      <c r="E115" s="102">
        <f>VLOOKUP(C115,[2]IP!$B$9:$V$116,21,0)</f>
        <v>2515</v>
      </c>
      <c r="F115" s="123"/>
      <c r="G115" s="100" t="e">
        <f>VLOOKUP(C115,#REF!,4,0)</f>
        <v>#REF!</v>
      </c>
      <c r="H115" s="100" t="e">
        <f>VLOOKUP(C115,#REF!,5,0)</f>
        <v>#REF!</v>
      </c>
      <c r="I115" s="100" t="e">
        <f>VLOOKUP(C115,#REF!,6,0)</f>
        <v>#REF!</v>
      </c>
      <c r="J115" s="109"/>
      <c r="K115" s="100" t="e">
        <f t="shared" si="7"/>
        <v>#REF!</v>
      </c>
      <c r="L115" s="79">
        <v>19950</v>
      </c>
      <c r="M115" s="100">
        <f t="shared" si="8"/>
        <v>9975</v>
      </c>
      <c r="N115" s="110"/>
      <c r="O115" s="46">
        <f>VLOOKUP(C115,[2]IP!$B$9:$I$116,8,0)</f>
        <v>0</v>
      </c>
      <c r="P115" s="46" t="e">
        <f t="shared" si="11"/>
        <v>#REF!</v>
      </c>
      <c r="Q115" s="46">
        <f>VLOOKUP(C115,[2]IP!$B$9:$N$116,13,0)</f>
        <v>0</v>
      </c>
      <c r="R115" s="46">
        <f>VLOOKUP(C115,[2]IP!$B$9:$O$116,14,0)</f>
        <v>0</v>
      </c>
      <c r="S115" s="46"/>
      <c r="T115" s="46">
        <f>VLOOKUP(C115,[2]IP!$B$9:$P$116,15,0)</f>
        <v>0</v>
      </c>
      <c r="U115" s="46">
        <f>VLOOKUP(C115,[2]IP!$B$9:$Q$116,16,0)</f>
        <v>0</v>
      </c>
      <c r="V115" s="46">
        <f>VLOOKUP(C115,[2]IP!$B$9:$S$116,18,0)</f>
        <v>0</v>
      </c>
      <c r="W115" s="46">
        <f>VLOOKUP(C115,[2]IP!$B$9:$R$116,17,0)</f>
        <v>616.65</v>
      </c>
      <c r="X115" s="109"/>
      <c r="Y115" s="100" t="e">
        <f t="shared" si="9"/>
        <v>#REF!</v>
      </c>
      <c r="Z115" s="46" t="e">
        <f t="shared" si="12"/>
        <v>#REF!</v>
      </c>
      <c r="AA115" s="46"/>
      <c r="AB115" s="100" t="e">
        <f>VLOOKUP(C115,[1]SINDICATO!$C$7:$Q$141,15,0)</f>
        <v>#N/A</v>
      </c>
    </row>
    <row r="116" spans="1:28" s="100" customFormat="1" x14ac:dyDescent="0.2">
      <c r="A116" s="47" t="s">
        <v>564</v>
      </c>
      <c r="B116" s="54" t="s">
        <v>57</v>
      </c>
      <c r="C116" s="47" t="s">
        <v>565</v>
      </c>
      <c r="D116" s="99"/>
      <c r="E116" s="102">
        <f>VLOOKUP(C116,[2]IP!$B$9:$V$116,21,0)</f>
        <v>3278.6</v>
      </c>
      <c r="F116" s="123"/>
      <c r="G116" s="100" t="e">
        <f>VLOOKUP(C116,#REF!,4,0)</f>
        <v>#REF!</v>
      </c>
      <c r="H116" s="100" t="e">
        <f>VLOOKUP(C116,#REF!,5,0)</f>
        <v>#REF!</v>
      </c>
      <c r="I116" s="100" t="e">
        <f>VLOOKUP(C116,#REF!,6,0)</f>
        <v>#REF!</v>
      </c>
      <c r="J116" s="109"/>
      <c r="K116" s="100" t="e">
        <f t="shared" si="7"/>
        <v>#REF!</v>
      </c>
      <c r="L116" s="79">
        <v>12000</v>
      </c>
      <c r="M116" s="100">
        <f t="shared" si="8"/>
        <v>6000</v>
      </c>
      <c r="N116" s="110"/>
      <c r="O116" s="46">
        <f>VLOOKUP(C116,[2]IP!$B$9:$I$116,8,0)</f>
        <v>0</v>
      </c>
      <c r="P116" s="46" t="e">
        <f t="shared" si="11"/>
        <v>#REF!</v>
      </c>
      <c r="Q116" s="46">
        <f>VLOOKUP(C116,[2]IP!$B$9:$N$116,13,0)</f>
        <v>0</v>
      </c>
      <c r="R116" s="46">
        <f>VLOOKUP(C116,[2]IP!$B$9:$O$116,14,0)</f>
        <v>0</v>
      </c>
      <c r="S116" s="46"/>
      <c r="T116" s="46">
        <f>VLOOKUP(C116,[2]IP!$B$9:$P$116,15,0)</f>
        <v>0</v>
      </c>
      <c r="U116" s="46">
        <f>VLOOKUP(C116,[2]IP!$B$9:$Q$116,16,0)</f>
        <v>0</v>
      </c>
      <c r="V116" s="46">
        <f>VLOOKUP(C116,[2]IP!$B$9:$S$116,18,0)</f>
        <v>0</v>
      </c>
      <c r="W116" s="46">
        <f>VLOOKUP(C116,[2]IP!$B$9:$R$116,17,0)</f>
        <v>0</v>
      </c>
      <c r="X116" s="109"/>
      <c r="Y116" s="100" t="e">
        <f t="shared" si="9"/>
        <v>#REF!</v>
      </c>
      <c r="Z116" s="46" t="e">
        <f t="shared" si="12"/>
        <v>#REF!</v>
      </c>
      <c r="AA116" s="134"/>
      <c r="AB116" s="100">
        <f>VLOOKUP(C116,[1]SINDICATO!$C$7:$Q$141,15,0)</f>
        <v>0</v>
      </c>
    </row>
    <row r="117" spans="1:28" s="100" customFormat="1" x14ac:dyDescent="0.2">
      <c r="A117" s="47" t="s">
        <v>566</v>
      </c>
      <c r="B117" s="54" t="s">
        <v>57</v>
      </c>
      <c r="C117" s="47" t="s">
        <v>567</v>
      </c>
      <c r="D117" s="99"/>
      <c r="E117" s="102">
        <f>VLOOKUP(C117,[2]IP!$B$9:$V$116,21,0)</f>
        <v>2447.6</v>
      </c>
      <c r="F117" s="123"/>
      <c r="G117" s="100" t="e">
        <f>VLOOKUP(C117,#REF!,4,0)</f>
        <v>#REF!</v>
      </c>
      <c r="H117" s="100" t="e">
        <f>VLOOKUP(C117,#REF!,5,0)</f>
        <v>#REF!</v>
      </c>
      <c r="I117" s="100" t="e">
        <f>VLOOKUP(C117,#REF!,6,0)</f>
        <v>#REF!</v>
      </c>
      <c r="J117" s="109"/>
      <c r="K117" s="100" t="e">
        <f t="shared" si="7"/>
        <v>#REF!</v>
      </c>
      <c r="L117" s="100">
        <v>5000</v>
      </c>
      <c r="M117" s="100">
        <f t="shared" si="8"/>
        <v>2500</v>
      </c>
      <c r="N117" s="110"/>
      <c r="O117" s="46">
        <f>VLOOKUP(C117,[2]IP!$B$9:$I$116,8,0)</f>
        <v>0</v>
      </c>
      <c r="P117" s="46" t="e">
        <f t="shared" si="11"/>
        <v>#REF!</v>
      </c>
      <c r="Q117" s="46">
        <f>VLOOKUP(C117,[2]IP!$B$9:$N$116,13,0)</f>
        <v>0</v>
      </c>
      <c r="R117" s="46">
        <f>VLOOKUP(C117,[2]IP!$B$9:$O$116,14,0)</f>
        <v>0</v>
      </c>
      <c r="S117" s="46"/>
      <c r="T117" s="46">
        <f>VLOOKUP(C117,[2]IP!$B$9:$P$116,15,0)</f>
        <v>0</v>
      </c>
      <c r="U117" s="46">
        <f>VLOOKUP(C117,[2]IP!$B$9:$Q$116,16,0)</f>
        <v>0</v>
      </c>
      <c r="V117" s="46">
        <f>VLOOKUP(C117,[2]IP!$B$9:$S$116,18,0)</f>
        <v>0</v>
      </c>
      <c r="W117" s="46">
        <f>VLOOKUP(C117,[2]IP!$B$9:$R$116,17,0)</f>
        <v>0</v>
      </c>
      <c r="X117" s="109"/>
      <c r="Y117" s="100" t="e">
        <f t="shared" si="9"/>
        <v>#REF!</v>
      </c>
      <c r="Z117" s="46" t="e">
        <f t="shared" si="12"/>
        <v>#REF!</v>
      </c>
      <c r="AA117" s="46"/>
      <c r="AB117" s="100" t="e">
        <f>VLOOKUP(C117,[1]SINDICATO!$C$7:$Q$141,15,0)</f>
        <v>#N/A</v>
      </c>
    </row>
    <row r="118" spans="1:28" s="100" customFormat="1" x14ac:dyDescent="0.2">
      <c r="A118" s="47" t="s">
        <v>571</v>
      </c>
      <c r="B118" s="54" t="s">
        <v>57</v>
      </c>
      <c r="C118" s="47" t="s">
        <v>572</v>
      </c>
      <c r="D118" s="99"/>
      <c r="E118" s="102">
        <f>VLOOKUP(C118,[2]IP!$B$9:$V$116,21,0)</f>
        <v>3278.8</v>
      </c>
      <c r="F118" s="123"/>
      <c r="G118" s="100" t="e">
        <f>VLOOKUP(C118,#REF!,4,0)</f>
        <v>#REF!</v>
      </c>
      <c r="H118" s="100" t="e">
        <f>VLOOKUP(C118,#REF!,5,0)</f>
        <v>#REF!</v>
      </c>
      <c r="I118" s="100" t="e">
        <f>VLOOKUP(C118,#REF!,6,0)</f>
        <v>#REF!</v>
      </c>
      <c r="J118" s="109"/>
      <c r="K118" s="100" t="e">
        <f t="shared" si="7"/>
        <v>#REF!</v>
      </c>
      <c r="L118" s="100">
        <v>7000</v>
      </c>
      <c r="M118" s="100">
        <f t="shared" si="8"/>
        <v>3500</v>
      </c>
      <c r="N118" s="110"/>
      <c r="O118" s="46">
        <f>VLOOKUP(C118,[2]IP!$B$9:$I$116,8,0)</f>
        <v>0</v>
      </c>
      <c r="P118" s="46" t="e">
        <f t="shared" si="11"/>
        <v>#REF!</v>
      </c>
      <c r="Q118" s="46">
        <f>VLOOKUP(C118,[2]IP!$B$9:$N$116,13,0)</f>
        <v>0</v>
      </c>
      <c r="R118" s="46">
        <f>VLOOKUP(C118,[2]IP!$B$9:$O$116,14,0)</f>
        <v>0</v>
      </c>
      <c r="S118" s="46"/>
      <c r="T118" s="46">
        <f>VLOOKUP(C118,[2]IP!$B$9:$P$116,15,0)</f>
        <v>0</v>
      </c>
      <c r="U118" s="46">
        <f>VLOOKUP(C118,[2]IP!$B$9:$Q$116,16,0)</f>
        <v>0</v>
      </c>
      <c r="V118" s="46">
        <f>VLOOKUP(C118,[2]IP!$B$9:$S$116,18,0)</f>
        <v>0</v>
      </c>
      <c r="W118" s="46">
        <f>VLOOKUP(C118,[2]IP!$B$9:$R$116,17,0)</f>
        <v>0</v>
      </c>
      <c r="X118" s="109"/>
      <c r="Y118" s="100" t="e">
        <f t="shared" si="9"/>
        <v>#REF!</v>
      </c>
      <c r="Z118" s="46" t="e">
        <f t="shared" si="12"/>
        <v>#REF!</v>
      </c>
      <c r="AA118" s="46"/>
      <c r="AB118" s="100" t="e">
        <f>VLOOKUP(C118,[1]SINDICATO!$C$7:$Q$141,15,0)</f>
        <v>#N/A</v>
      </c>
    </row>
    <row r="119" spans="1:28" s="100" customFormat="1" x14ac:dyDescent="0.2">
      <c r="A119" s="47" t="s">
        <v>573</v>
      </c>
      <c r="B119" s="54" t="s">
        <v>57</v>
      </c>
      <c r="C119" s="47" t="s">
        <v>574</v>
      </c>
      <c r="D119" s="99"/>
      <c r="E119" s="102">
        <f>VLOOKUP(C119,[2]IP!$B$9:$V$116,21,0)</f>
        <v>3234.2</v>
      </c>
      <c r="F119" s="123"/>
      <c r="G119" s="100" t="e">
        <f>VLOOKUP(C119,#REF!,4,0)</f>
        <v>#REF!</v>
      </c>
      <c r="H119" s="100" t="e">
        <f>VLOOKUP(C119,#REF!,5,0)</f>
        <v>#REF!</v>
      </c>
      <c r="I119" s="100" t="e">
        <f>VLOOKUP(C119,#REF!,6,0)</f>
        <v>#REF!</v>
      </c>
      <c r="J119" s="109"/>
      <c r="K119" s="100" t="e">
        <f t="shared" si="7"/>
        <v>#REF!</v>
      </c>
      <c r="L119" s="100">
        <v>6900</v>
      </c>
      <c r="M119" s="100">
        <f t="shared" si="8"/>
        <v>3450</v>
      </c>
      <c r="N119" s="110"/>
      <c r="O119" s="46">
        <f>VLOOKUP(C119,[2]IP!$B$9:$I$116,8,0)</f>
        <v>0</v>
      </c>
      <c r="P119" s="46" t="e">
        <f t="shared" si="11"/>
        <v>#REF!</v>
      </c>
      <c r="Q119" s="46">
        <f>VLOOKUP(C119,[2]IP!$B$9:$N$116,13,0)</f>
        <v>0</v>
      </c>
      <c r="R119" s="46">
        <f>VLOOKUP(C119,[2]IP!$B$9:$O$116,14,0)</f>
        <v>0</v>
      </c>
      <c r="S119" s="46"/>
      <c r="T119" s="46">
        <f>VLOOKUP(C119,[2]IP!$B$9:$P$116,15,0)</f>
        <v>0</v>
      </c>
      <c r="U119" s="46">
        <f>VLOOKUP(C119,[2]IP!$B$9:$Q$116,16,0)</f>
        <v>0</v>
      </c>
      <c r="V119" s="46">
        <f>VLOOKUP(C119,[2]IP!$B$9:$S$116,18,0)</f>
        <v>0</v>
      </c>
      <c r="W119" s="46">
        <f>VLOOKUP(C119,[2]IP!$B$9:$R$116,17,0)</f>
        <v>0</v>
      </c>
      <c r="X119" s="109"/>
      <c r="Y119" s="100" t="e">
        <f t="shared" si="9"/>
        <v>#REF!</v>
      </c>
      <c r="Z119" s="46" t="e">
        <f t="shared" si="12"/>
        <v>#REF!</v>
      </c>
      <c r="AA119" s="46"/>
      <c r="AB119" s="100" t="e">
        <f>VLOOKUP(C119,[1]SINDICATO!$C$7:$Q$141,15,0)</f>
        <v>#N/A</v>
      </c>
    </row>
    <row r="120" spans="1:28" s="100" customFormat="1" x14ac:dyDescent="0.2">
      <c r="A120" s="47" t="s">
        <v>575</v>
      </c>
      <c r="B120" s="54" t="s">
        <v>57</v>
      </c>
      <c r="C120" s="47" t="s">
        <v>576</v>
      </c>
      <c r="D120" s="99"/>
      <c r="E120" s="102">
        <f>VLOOKUP(C120,[2]IP!$B$9:$V$116,21,0)</f>
        <v>1799.4</v>
      </c>
      <c r="F120" s="123"/>
      <c r="G120" s="100" t="e">
        <f>VLOOKUP(C120,#REF!,4,0)</f>
        <v>#REF!</v>
      </c>
      <c r="H120" s="100" t="e">
        <f>VLOOKUP(C120,#REF!,5,0)</f>
        <v>#REF!</v>
      </c>
      <c r="I120" s="100" t="e">
        <f>VLOOKUP(C120,#REF!,6,0)</f>
        <v>#REF!</v>
      </c>
      <c r="J120" s="109"/>
      <c r="K120" s="100" t="e">
        <f t="shared" si="7"/>
        <v>#REF!</v>
      </c>
      <c r="L120" s="100">
        <v>7000</v>
      </c>
      <c r="M120" s="100">
        <f t="shared" si="8"/>
        <v>3500</v>
      </c>
      <c r="N120" s="110"/>
      <c r="O120" s="46">
        <f>VLOOKUP(C120,[2]IP!$B$9:$I$116,8,0)</f>
        <v>0</v>
      </c>
      <c r="P120" s="46" t="e">
        <f t="shared" si="11"/>
        <v>#REF!</v>
      </c>
      <c r="Q120" s="46">
        <f>VLOOKUP(C120,[2]IP!$B$9:$N$116,13,0)</f>
        <v>1463.13</v>
      </c>
      <c r="R120" s="46">
        <f>VLOOKUP(C120,[2]IP!$B$9:$O$116,14,0)</f>
        <v>0</v>
      </c>
      <c r="S120" s="46"/>
      <c r="T120" s="46">
        <f>VLOOKUP(C120,[2]IP!$B$9:$P$116,15,0)</f>
        <v>15</v>
      </c>
      <c r="U120" s="46">
        <f>VLOOKUP(C120,[2]IP!$B$9:$Q$116,16,0)</f>
        <v>0</v>
      </c>
      <c r="V120" s="46">
        <f>VLOOKUP(C120,[2]IP!$B$9:$S$116,18,0)</f>
        <v>0</v>
      </c>
      <c r="W120" s="46">
        <f>VLOOKUP(C120,[2]IP!$B$9:$R$116,17,0)</f>
        <v>0</v>
      </c>
      <c r="X120" s="109"/>
      <c r="Y120" s="100" t="e">
        <f t="shared" si="9"/>
        <v>#REF!</v>
      </c>
      <c r="Z120" s="46" t="e">
        <f t="shared" si="12"/>
        <v>#REF!</v>
      </c>
      <c r="AA120" s="46"/>
      <c r="AB120" s="100" t="e">
        <f>VLOOKUP(C120,[1]SINDICATO!$C$7:$Q$141,15,0)</f>
        <v>#N/A</v>
      </c>
    </row>
    <row r="121" spans="1:28" s="100" customFormat="1" x14ac:dyDescent="0.2">
      <c r="A121" s="47" t="s">
        <v>577</v>
      </c>
      <c r="B121" s="54" t="s">
        <v>57</v>
      </c>
      <c r="C121" s="47" t="s">
        <v>578</v>
      </c>
      <c r="D121" s="99"/>
      <c r="E121" s="102">
        <f>VLOOKUP(C121,[2]IP!$B$9:$V$116,21,0)</f>
        <v>2974.2</v>
      </c>
      <c r="F121" s="123"/>
      <c r="G121" s="100" t="e">
        <f>VLOOKUP(C121,#REF!,4,0)</f>
        <v>#REF!</v>
      </c>
      <c r="H121" s="100" t="e">
        <f>VLOOKUP(C121,#REF!,5,0)</f>
        <v>#REF!</v>
      </c>
      <c r="I121" s="100" t="e">
        <f>VLOOKUP(C121,#REF!,6,0)</f>
        <v>#REF!</v>
      </c>
      <c r="J121" s="109"/>
      <c r="K121" s="100" t="e">
        <f t="shared" si="7"/>
        <v>#REF!</v>
      </c>
      <c r="L121" s="100">
        <v>6300</v>
      </c>
      <c r="M121" s="100">
        <f t="shared" si="8"/>
        <v>3150</v>
      </c>
      <c r="N121" s="110"/>
      <c r="O121" s="46">
        <f>VLOOKUP(C121,[2]IP!$B$9:$I$116,8,0)</f>
        <v>0</v>
      </c>
      <c r="P121" s="46" t="e">
        <f t="shared" si="11"/>
        <v>#REF!</v>
      </c>
      <c r="Q121" s="46">
        <f>VLOOKUP(C121,[2]IP!$B$9:$N$116,13,0)</f>
        <v>0</v>
      </c>
      <c r="R121" s="46">
        <f>VLOOKUP(C121,[2]IP!$B$9:$O$116,14,0)</f>
        <v>0</v>
      </c>
      <c r="S121" s="46"/>
      <c r="T121" s="46">
        <f>VLOOKUP(C121,[2]IP!$B$9:$P$116,15,0)</f>
        <v>0</v>
      </c>
      <c r="U121" s="46">
        <f>VLOOKUP(C121,[2]IP!$B$9:$Q$116,16,0)</f>
        <v>0</v>
      </c>
      <c r="V121" s="46">
        <f>VLOOKUP(C121,[2]IP!$B$9:$S$116,18,0)</f>
        <v>0</v>
      </c>
      <c r="W121" s="46">
        <f>VLOOKUP(C121,[2]IP!$B$9:$R$116,17,0)</f>
        <v>0</v>
      </c>
      <c r="X121" s="109"/>
      <c r="Y121" s="100" t="e">
        <f t="shared" si="9"/>
        <v>#REF!</v>
      </c>
      <c r="Z121" s="46" t="e">
        <f t="shared" si="12"/>
        <v>#REF!</v>
      </c>
      <c r="AA121" s="46"/>
      <c r="AB121" s="100" t="e">
        <f>VLOOKUP(C121,[1]SINDICATO!$C$7:$Q$141,15,0)</f>
        <v>#N/A</v>
      </c>
    </row>
    <row r="122" spans="1:28" s="100" customFormat="1" x14ac:dyDescent="0.2">
      <c r="A122" s="47" t="s">
        <v>579</v>
      </c>
      <c r="B122" s="54" t="s">
        <v>57</v>
      </c>
      <c r="C122" s="47" t="s">
        <v>580</v>
      </c>
      <c r="D122" s="99"/>
      <c r="E122" s="102">
        <f>VLOOKUP(C122,[2]IP!$B$9:$V$116,21,0)</f>
        <v>2647</v>
      </c>
      <c r="F122" s="123"/>
      <c r="G122" s="100" t="e">
        <f>VLOOKUP(C122,#REF!,4,0)</f>
        <v>#REF!</v>
      </c>
      <c r="H122" s="100" t="e">
        <f>VLOOKUP(C122,#REF!,5,0)</f>
        <v>#REF!</v>
      </c>
      <c r="I122" s="100" t="e">
        <f>VLOOKUP(C122,#REF!,6,0)</f>
        <v>#REF!</v>
      </c>
      <c r="J122" s="109"/>
      <c r="K122" s="100" t="e">
        <f t="shared" si="7"/>
        <v>#REF!</v>
      </c>
      <c r="L122" s="100">
        <v>6300</v>
      </c>
      <c r="M122" s="100">
        <f t="shared" si="8"/>
        <v>3150</v>
      </c>
      <c r="N122" s="110"/>
      <c r="O122" s="46">
        <f>VLOOKUP(C122,[2]IP!$B$9:$I$116,8,0)</f>
        <v>0</v>
      </c>
      <c r="P122" s="46" t="e">
        <f t="shared" si="11"/>
        <v>#REF!</v>
      </c>
      <c r="Q122" s="46">
        <f>VLOOKUP(C122,[2]IP!$B$9:$N$116,13,0)</f>
        <v>0</v>
      </c>
      <c r="R122" s="46">
        <f>VLOOKUP(C122,[2]IP!$B$9:$O$116,14,0)</f>
        <v>312.35000000000002</v>
      </c>
      <c r="S122" s="46"/>
      <c r="T122" s="46">
        <f>VLOOKUP(C122,[2]IP!$B$9:$P$116,15,0)</f>
        <v>15</v>
      </c>
      <c r="U122" s="46">
        <f>VLOOKUP(C122,[2]IP!$B$9:$Q$116,16,0)</f>
        <v>0</v>
      </c>
      <c r="V122" s="46">
        <f>VLOOKUP(C122,[2]IP!$B$9:$S$116,18,0)</f>
        <v>0</v>
      </c>
      <c r="W122" s="46">
        <f>VLOOKUP(C122,[2]IP!$B$9:$R$116,17,0)</f>
        <v>0</v>
      </c>
      <c r="X122" s="109"/>
      <c r="Y122" s="100" t="e">
        <f t="shared" si="9"/>
        <v>#REF!</v>
      </c>
      <c r="Z122" s="46" t="e">
        <f t="shared" si="12"/>
        <v>#REF!</v>
      </c>
      <c r="AA122" s="46"/>
      <c r="AB122" s="100" t="e">
        <f>VLOOKUP(C122,[1]SINDICATO!$C$7:$Q$141,15,0)</f>
        <v>#N/A</v>
      </c>
    </row>
    <row r="123" spans="1:28" s="100" customFormat="1" x14ac:dyDescent="0.2">
      <c r="A123" s="52" t="s">
        <v>581</v>
      </c>
      <c r="B123" s="54" t="s">
        <v>57</v>
      </c>
      <c r="C123" s="52" t="s">
        <v>582</v>
      </c>
      <c r="D123" s="99"/>
      <c r="E123" s="102">
        <f>VLOOKUP(C123,[2]IP!$B$9:$V$116,21,0)</f>
        <v>2974.2</v>
      </c>
      <c r="F123" s="123"/>
      <c r="G123" s="100" t="e">
        <f>VLOOKUP(C123,#REF!,4,0)</f>
        <v>#REF!</v>
      </c>
      <c r="H123" s="100" t="e">
        <f>VLOOKUP(C123,#REF!,5,0)</f>
        <v>#REF!</v>
      </c>
      <c r="I123" s="100" t="e">
        <f>VLOOKUP(C123,#REF!,6,0)</f>
        <v>#REF!</v>
      </c>
      <c r="J123" s="109"/>
      <c r="K123" s="100" t="e">
        <f t="shared" si="7"/>
        <v>#REF!</v>
      </c>
      <c r="L123" s="100">
        <v>6300</v>
      </c>
      <c r="M123" s="100">
        <f t="shared" si="8"/>
        <v>3150</v>
      </c>
      <c r="N123" s="110"/>
      <c r="O123" s="46">
        <f>VLOOKUP(C123,[2]IP!$B$9:$I$116,8,0)</f>
        <v>0</v>
      </c>
      <c r="P123" s="46" t="e">
        <f t="shared" si="11"/>
        <v>#REF!</v>
      </c>
      <c r="Q123" s="46">
        <f>VLOOKUP(C123,[2]IP!$B$9:$N$116,13,0)</f>
        <v>0</v>
      </c>
      <c r="R123" s="46">
        <f>VLOOKUP(C123,[2]IP!$B$9:$O$116,14,0)</f>
        <v>0</v>
      </c>
      <c r="S123" s="46"/>
      <c r="T123" s="46">
        <f>VLOOKUP(C123,[2]IP!$B$9:$P$116,15,0)</f>
        <v>0</v>
      </c>
      <c r="U123" s="46">
        <f>VLOOKUP(C123,[2]IP!$B$9:$Q$116,16,0)</f>
        <v>0</v>
      </c>
      <c r="V123" s="46">
        <f>VLOOKUP(C123,[2]IP!$B$9:$S$116,18,0)</f>
        <v>0</v>
      </c>
      <c r="W123" s="46">
        <f>VLOOKUP(C123,[2]IP!$B$9:$R$116,17,0)</f>
        <v>0</v>
      </c>
      <c r="X123" s="109"/>
      <c r="Y123" s="100" t="e">
        <f t="shared" si="9"/>
        <v>#REF!</v>
      </c>
      <c r="Z123" s="46" t="e">
        <f t="shared" si="12"/>
        <v>#REF!</v>
      </c>
      <c r="AA123" s="127"/>
      <c r="AB123" s="100" t="e">
        <f>VLOOKUP(C123,[1]SINDICATO!$C$7:$Q$141,15,0)</f>
        <v>#N/A</v>
      </c>
    </row>
    <row r="124" spans="1:28" s="100" customFormat="1" x14ac:dyDescent="0.2">
      <c r="A124" s="52" t="s">
        <v>583</v>
      </c>
      <c r="B124" s="54" t="s">
        <v>57</v>
      </c>
      <c r="C124" s="52" t="s">
        <v>584</v>
      </c>
      <c r="D124" s="99"/>
      <c r="E124" s="102">
        <f>VLOOKUP(C124,[2]IP!$B$9:$V$116,21,0)</f>
        <v>1997.6</v>
      </c>
      <c r="F124" s="123"/>
      <c r="G124" s="100" t="e">
        <f>VLOOKUP(C124,#REF!,4,0)</f>
        <v>#REF!</v>
      </c>
      <c r="H124" s="100" t="e">
        <f>VLOOKUP(C124,#REF!,5,0)</f>
        <v>#REF!</v>
      </c>
      <c r="I124" s="100" t="e">
        <f>VLOOKUP(C124,#REF!,6,0)</f>
        <v>#REF!</v>
      </c>
      <c r="J124" s="109"/>
      <c r="K124" s="100" t="e">
        <f t="shared" si="7"/>
        <v>#REF!</v>
      </c>
      <c r="L124" s="100">
        <v>6300</v>
      </c>
      <c r="M124" s="100">
        <f t="shared" si="8"/>
        <v>3150</v>
      </c>
      <c r="N124" s="110"/>
      <c r="O124" s="46">
        <f>VLOOKUP(C124,[2]IP!$B$9:$I$116,8,0)</f>
        <v>0</v>
      </c>
      <c r="P124" s="46" t="e">
        <f t="shared" si="11"/>
        <v>#REF!</v>
      </c>
      <c r="Q124" s="46">
        <f>VLOOKUP(C124,[2]IP!$B$9:$N$116,13,0)</f>
        <v>0</v>
      </c>
      <c r="R124" s="46">
        <f>VLOOKUP(C124,[2]IP!$B$9:$O$116,14,0)</f>
        <v>961.79</v>
      </c>
      <c r="S124" s="46"/>
      <c r="T124" s="46">
        <f>VLOOKUP(C124,[2]IP!$B$9:$P$116,15,0)</f>
        <v>15</v>
      </c>
      <c r="U124" s="46">
        <f>VLOOKUP(C124,[2]IP!$B$9:$Q$116,16,0)</f>
        <v>0</v>
      </c>
      <c r="V124" s="46">
        <f>VLOOKUP(C124,[2]IP!$B$9:$S$116,18,0)</f>
        <v>0</v>
      </c>
      <c r="W124" s="46">
        <f>VLOOKUP(C124,[2]IP!$B$9:$R$116,17,0)</f>
        <v>0</v>
      </c>
      <c r="X124" s="109"/>
      <c r="Y124" s="100" t="e">
        <f t="shared" si="9"/>
        <v>#REF!</v>
      </c>
      <c r="Z124" s="46" t="e">
        <f t="shared" si="12"/>
        <v>#REF!</v>
      </c>
      <c r="AA124" s="127"/>
      <c r="AB124" s="100" t="e">
        <f>VLOOKUP(C124,[1]SINDICATO!$C$7:$Q$141,15,0)</f>
        <v>#N/A</v>
      </c>
    </row>
    <row r="125" spans="1:28" s="100" customFormat="1" x14ac:dyDescent="0.2">
      <c r="A125" s="52" t="s">
        <v>587</v>
      </c>
      <c r="B125" s="54" t="s">
        <v>57</v>
      </c>
      <c r="C125" s="52" t="s">
        <v>588</v>
      </c>
      <c r="D125" s="99"/>
      <c r="E125" s="102">
        <f>VLOOKUP(C125,[2]IP!$B$9:$V$116,21,0)</f>
        <v>1245.2</v>
      </c>
      <c r="F125" s="123"/>
      <c r="G125" s="100" t="e">
        <f>VLOOKUP(C125,#REF!,4,0)</f>
        <v>#REF!</v>
      </c>
      <c r="H125" s="100" t="e">
        <f>VLOOKUP(C125,#REF!,5,0)</f>
        <v>#REF!</v>
      </c>
      <c r="I125" s="100" t="e">
        <f>VLOOKUP(C125,#REF!,6,0)</f>
        <v>#REF!</v>
      </c>
      <c r="J125" s="109"/>
      <c r="K125" s="100" t="e">
        <f t="shared" si="7"/>
        <v>#REF!</v>
      </c>
      <c r="L125" s="100">
        <v>6000</v>
      </c>
      <c r="M125" s="100">
        <f t="shared" si="8"/>
        <v>3000</v>
      </c>
      <c r="N125" s="110"/>
      <c r="O125" s="46">
        <f>VLOOKUP(C125,[2]IP!$B$9:$I$116,8,0)</f>
        <v>0</v>
      </c>
      <c r="P125" s="46" t="e">
        <f t="shared" si="11"/>
        <v>#REF!</v>
      </c>
      <c r="Q125" s="46">
        <f>VLOOKUP(C125,[2]IP!$B$9:$N$116,13,0)</f>
        <v>0</v>
      </c>
      <c r="R125" s="46">
        <f>VLOOKUP(C125,[2]IP!$B$9:$O$116,14,0)</f>
        <v>1605.6</v>
      </c>
      <c r="S125" s="46"/>
      <c r="T125" s="46">
        <f>VLOOKUP(C125,[2]IP!$B$9:$P$116,15,0)</f>
        <v>15</v>
      </c>
      <c r="U125" s="46">
        <f>VLOOKUP(C125,[2]IP!$B$9:$Q$116,16,0)</f>
        <v>0</v>
      </c>
      <c r="V125" s="46">
        <f>VLOOKUP(C125,[2]IP!$B$9:$S$116,18,0)</f>
        <v>0</v>
      </c>
      <c r="W125" s="46">
        <f>VLOOKUP(C125,[2]IP!$B$9:$R$116,17,0)</f>
        <v>0</v>
      </c>
      <c r="X125" s="109"/>
      <c r="Y125" s="100" t="e">
        <f t="shared" si="9"/>
        <v>#REF!</v>
      </c>
      <c r="Z125" s="46" t="e">
        <f t="shared" si="12"/>
        <v>#REF!</v>
      </c>
      <c r="AA125" s="127"/>
      <c r="AB125" s="100" t="e">
        <f>VLOOKUP(C125,[1]SINDICATO!$C$7:$Q$141,15,0)</f>
        <v>#N/A</v>
      </c>
    </row>
    <row r="126" spans="1:28" s="100" customFormat="1" x14ac:dyDescent="0.2">
      <c r="A126" s="52" t="s">
        <v>589</v>
      </c>
      <c r="B126" s="54" t="s">
        <v>57</v>
      </c>
      <c r="C126" s="52" t="s">
        <v>590</v>
      </c>
      <c r="D126" s="99"/>
      <c r="E126" s="102">
        <f>VLOOKUP(C126,[2]IP!$B$9:$V$116,21,0)</f>
        <v>2866</v>
      </c>
      <c r="F126" s="123"/>
      <c r="G126" s="100" t="e">
        <f>VLOOKUP(C126,#REF!,4,0)</f>
        <v>#REF!</v>
      </c>
      <c r="H126" s="100" t="e">
        <f>VLOOKUP(C126,#REF!,5,0)</f>
        <v>#REF!</v>
      </c>
      <c r="I126" s="100" t="e">
        <f>VLOOKUP(C126,#REF!,6,0)</f>
        <v>#REF!</v>
      </c>
      <c r="J126" s="109"/>
      <c r="K126" s="100" t="e">
        <f t="shared" si="7"/>
        <v>#REF!</v>
      </c>
      <c r="L126" s="100">
        <v>6000</v>
      </c>
      <c r="M126" s="100">
        <f t="shared" si="8"/>
        <v>3000</v>
      </c>
      <c r="N126" s="110"/>
      <c r="O126" s="46">
        <f>VLOOKUP(C126,[2]IP!$B$9:$I$116,8,0)</f>
        <v>0</v>
      </c>
      <c r="P126" s="46" t="e">
        <f t="shared" si="11"/>
        <v>#REF!</v>
      </c>
      <c r="Q126" s="46">
        <f>VLOOKUP(C126,[2]IP!$B$9:$N$116,13,0)</f>
        <v>0</v>
      </c>
      <c r="R126" s="46">
        <f>VLOOKUP(C126,[2]IP!$B$9:$O$116,14,0)</f>
        <v>0</v>
      </c>
      <c r="S126" s="46"/>
      <c r="T126" s="46">
        <f>VLOOKUP(C126,[2]IP!$B$9:$P$116,15,0)</f>
        <v>0</v>
      </c>
      <c r="U126" s="46">
        <f>VLOOKUP(C126,[2]IP!$B$9:$Q$116,16,0)</f>
        <v>0</v>
      </c>
      <c r="V126" s="46">
        <f>VLOOKUP(C126,[2]IP!$B$9:$S$116,18,0)</f>
        <v>0</v>
      </c>
      <c r="W126" s="46">
        <f>VLOOKUP(C126,[2]IP!$B$9:$R$116,17,0)</f>
        <v>0</v>
      </c>
      <c r="X126" s="109"/>
      <c r="Y126" s="100" t="e">
        <f t="shared" si="9"/>
        <v>#REF!</v>
      </c>
      <c r="Z126" s="46" t="e">
        <f t="shared" si="12"/>
        <v>#REF!</v>
      </c>
      <c r="AA126" s="127"/>
      <c r="AB126" s="100" t="e">
        <f>VLOOKUP(C126,[1]SINDICATO!$C$7:$Q$141,15,0)</f>
        <v>#N/A</v>
      </c>
    </row>
    <row r="127" spans="1:28" s="100" customFormat="1" x14ac:dyDescent="0.2">
      <c r="A127" s="52" t="s">
        <v>591</v>
      </c>
      <c r="B127" s="54" t="s">
        <v>57</v>
      </c>
      <c r="C127" s="52" t="s">
        <v>592</v>
      </c>
      <c r="D127" s="99"/>
      <c r="E127" s="102">
        <f>VLOOKUP(C127,[2]IP!$B$9:$V$116,21,0)</f>
        <v>2865.8</v>
      </c>
      <c r="F127" s="123"/>
      <c r="G127" s="100" t="e">
        <f>VLOOKUP(C127,#REF!,4,0)</f>
        <v>#REF!</v>
      </c>
      <c r="H127" s="100" t="e">
        <f>VLOOKUP(C127,#REF!,5,0)</f>
        <v>#REF!</v>
      </c>
      <c r="I127" s="100" t="e">
        <f>VLOOKUP(C127,#REF!,6,0)</f>
        <v>#REF!</v>
      </c>
      <c r="J127" s="109"/>
      <c r="K127" s="100" t="e">
        <f t="shared" si="7"/>
        <v>#REF!</v>
      </c>
      <c r="L127" s="100">
        <v>6000</v>
      </c>
      <c r="M127" s="100">
        <f t="shared" si="8"/>
        <v>3000</v>
      </c>
      <c r="N127" s="110"/>
      <c r="O127" s="46">
        <f>VLOOKUP(C127,[2]IP!$B$9:$I$116,8,0)</f>
        <v>0</v>
      </c>
      <c r="P127" s="46" t="e">
        <f t="shared" si="11"/>
        <v>#REF!</v>
      </c>
      <c r="Q127" s="46">
        <f>VLOOKUP(C127,[2]IP!$B$9:$N$116,13,0)</f>
        <v>0</v>
      </c>
      <c r="R127" s="46">
        <f>VLOOKUP(C127,[2]IP!$B$9:$O$116,14,0)</f>
        <v>0</v>
      </c>
      <c r="S127" s="46"/>
      <c r="T127" s="46">
        <f>VLOOKUP(C127,[2]IP!$B$9:$P$116,15,0)</f>
        <v>0</v>
      </c>
      <c r="U127" s="46">
        <f>VLOOKUP(C127,[2]IP!$B$9:$Q$116,16,0)</f>
        <v>0</v>
      </c>
      <c r="V127" s="46">
        <f>VLOOKUP(C127,[2]IP!$B$9:$S$116,18,0)</f>
        <v>0</v>
      </c>
      <c r="W127" s="46">
        <f>VLOOKUP(C127,[2]IP!$B$9:$R$116,17,0)</f>
        <v>0</v>
      </c>
      <c r="X127" s="109"/>
      <c r="Y127" s="100" t="e">
        <f t="shared" si="9"/>
        <v>#REF!</v>
      </c>
      <c r="Z127" s="46" t="e">
        <f t="shared" si="12"/>
        <v>#REF!</v>
      </c>
      <c r="AA127" s="127"/>
      <c r="AB127" s="100" t="e">
        <f>VLOOKUP(C127,[1]SINDICATO!$C$7:$Q$141,15,0)</f>
        <v>#N/A</v>
      </c>
    </row>
    <row r="128" spans="1:28" s="100" customFormat="1" x14ac:dyDescent="0.2">
      <c r="A128" s="52" t="s">
        <v>515</v>
      </c>
      <c r="B128" s="54" t="s">
        <v>57</v>
      </c>
      <c r="C128" s="52" t="s">
        <v>430</v>
      </c>
      <c r="D128" s="99"/>
      <c r="E128" s="102">
        <f>VLOOKUP(C128,[2]IP!$B$9:$V$116,21,0)</f>
        <v>2864.8</v>
      </c>
      <c r="F128" s="123"/>
      <c r="G128" s="100" t="e">
        <f>VLOOKUP(C128,#REF!,4,0)</f>
        <v>#REF!</v>
      </c>
      <c r="H128" s="100" t="e">
        <f>VLOOKUP(C128,#REF!,5,0)</f>
        <v>#REF!</v>
      </c>
      <c r="I128" s="100" t="e">
        <f>VLOOKUP(C128,#REF!,6,0)</f>
        <v>#REF!</v>
      </c>
      <c r="J128" s="109"/>
      <c r="K128" s="100" t="e">
        <f t="shared" si="7"/>
        <v>#REF!</v>
      </c>
      <c r="L128" s="100">
        <v>12000</v>
      </c>
      <c r="M128" s="100">
        <f t="shared" si="8"/>
        <v>6000</v>
      </c>
      <c r="N128" s="110"/>
      <c r="O128" s="46">
        <f>VLOOKUP(C128,[2]IP!$B$9:$I$116,8,0)</f>
        <v>0</v>
      </c>
      <c r="P128" s="46" t="e">
        <f t="shared" si="11"/>
        <v>#REF!</v>
      </c>
      <c r="Q128" s="46">
        <f>VLOOKUP(C128,[2]IP!$B$9:$N$116,13,0)</f>
        <v>0</v>
      </c>
      <c r="R128" s="46">
        <f>VLOOKUP(C128,[2]IP!$B$9:$O$116,14,0)</f>
        <v>0</v>
      </c>
      <c r="S128" s="46"/>
      <c r="T128" s="46">
        <f>VLOOKUP(C128,[2]IP!$B$9:$P$116,15,0)</f>
        <v>0</v>
      </c>
      <c r="U128" s="46">
        <f>VLOOKUP(C128,[2]IP!$B$9:$Q$116,16,0)</f>
        <v>0</v>
      </c>
      <c r="V128" s="46">
        <f>VLOOKUP(C128,[2]IP!$B$9:$S$116,18,0)</f>
        <v>0</v>
      </c>
      <c r="W128" s="46">
        <f>VLOOKUP(C128,[2]IP!$B$9:$R$116,17,0)</f>
        <v>0</v>
      </c>
      <c r="X128" s="109"/>
      <c r="Y128" s="100" t="e">
        <f t="shared" si="9"/>
        <v>#REF!</v>
      </c>
      <c r="Z128" s="46" t="e">
        <f t="shared" si="12"/>
        <v>#REF!</v>
      </c>
      <c r="AA128" s="127"/>
      <c r="AB128" s="100" t="e">
        <f>VLOOKUP(C128,[1]SINDICATO!$C$7:$Q$141,15,0)</f>
        <v>#N/A</v>
      </c>
    </row>
    <row r="129" spans="1:249" s="100" customFormat="1" x14ac:dyDescent="0.2">
      <c r="A129" s="52" t="s">
        <v>594</v>
      </c>
      <c r="B129" s="54" t="s">
        <v>57</v>
      </c>
      <c r="C129" s="52" t="s">
        <v>595</v>
      </c>
      <c r="D129" s="99"/>
      <c r="E129" s="102">
        <f>VLOOKUP(C129,[2]IP!$B$9:$V$116,21,0)</f>
        <v>2372</v>
      </c>
      <c r="F129" s="123"/>
      <c r="G129" s="100" t="e">
        <f>VLOOKUP(C129,#REF!,4,0)</f>
        <v>#REF!</v>
      </c>
      <c r="H129" s="100" t="e">
        <f>VLOOKUP(C129,#REF!,5,0)</f>
        <v>#REF!</v>
      </c>
      <c r="I129" s="100" t="e">
        <f>VLOOKUP(C129,#REF!,6,0)</f>
        <v>#REF!</v>
      </c>
      <c r="J129" s="109"/>
      <c r="K129" s="100" t="e">
        <f t="shared" si="7"/>
        <v>#REF!</v>
      </c>
      <c r="L129" s="100">
        <v>12000</v>
      </c>
      <c r="M129" s="100">
        <f t="shared" si="8"/>
        <v>6000</v>
      </c>
      <c r="N129" s="110"/>
      <c r="O129" s="46">
        <f>VLOOKUP(C129,[2]IP!$B$9:$I$116,8,0)</f>
        <v>0</v>
      </c>
      <c r="P129" s="46" t="e">
        <f t="shared" si="11"/>
        <v>#REF!</v>
      </c>
      <c r="Q129" s="46">
        <f>VLOOKUP(C129,[2]IP!$B$9:$N$116,13,0)</f>
        <v>0</v>
      </c>
      <c r="R129" s="46">
        <f>VLOOKUP(C129,[2]IP!$B$9:$O$116,14,0)</f>
        <v>477.81</v>
      </c>
      <c r="S129" s="46"/>
      <c r="T129" s="46">
        <f>VLOOKUP(C129,[2]IP!$B$9:$P$116,15,0)</f>
        <v>15</v>
      </c>
      <c r="U129" s="46">
        <f>VLOOKUP(C129,[2]IP!$B$9:$Q$116,16,0)</f>
        <v>0</v>
      </c>
      <c r="V129" s="46">
        <f>VLOOKUP(C129,[2]IP!$B$9:$S$116,18,0)</f>
        <v>0</v>
      </c>
      <c r="W129" s="46">
        <f>VLOOKUP(C129,[2]IP!$B$9:$R$116,17,0)</f>
        <v>0</v>
      </c>
      <c r="X129" s="109"/>
      <c r="Y129" s="100" t="e">
        <f t="shared" si="9"/>
        <v>#REF!</v>
      </c>
      <c r="Z129" s="46" t="e">
        <f t="shared" si="12"/>
        <v>#REF!</v>
      </c>
      <c r="AA129" s="127"/>
      <c r="AB129" s="100" t="e">
        <f>VLOOKUP(C129,[1]SINDICATO!$C$7:$Q$141,15,0)</f>
        <v>#N/A</v>
      </c>
    </row>
    <row r="130" spans="1:249" s="100" customFormat="1" x14ac:dyDescent="0.2">
      <c r="A130" s="52" t="s">
        <v>600</v>
      </c>
      <c r="B130" s="54" t="s">
        <v>57</v>
      </c>
      <c r="C130" s="52" t="s">
        <v>601</v>
      </c>
      <c r="D130" s="99"/>
      <c r="E130" s="102">
        <f>VLOOKUP(C130,[2]IP!$B$9:$V$116,21,0)</f>
        <v>925.6</v>
      </c>
      <c r="F130" s="123"/>
      <c r="G130" s="100" t="e">
        <f>VLOOKUP(C130,#REF!,4,0)</f>
        <v>#REF!</v>
      </c>
      <c r="H130" s="100" t="e">
        <f>VLOOKUP(C130,#REF!,5,0)</f>
        <v>#REF!</v>
      </c>
      <c r="I130" s="100" t="e">
        <f>VLOOKUP(C130,#REF!,6,0)</f>
        <v>#REF!</v>
      </c>
      <c r="J130" s="109"/>
      <c r="K130" s="100" t="e">
        <f t="shared" si="7"/>
        <v>#REF!</v>
      </c>
      <c r="L130" s="100">
        <v>7000</v>
      </c>
      <c r="M130" s="100">
        <f t="shared" si="8"/>
        <v>3500</v>
      </c>
      <c r="N130" s="110"/>
      <c r="O130" s="46">
        <f>VLOOKUP(C130,[2]IP!$B$9:$I$116,8,0)</f>
        <v>0</v>
      </c>
      <c r="P130" s="46" t="e">
        <f t="shared" si="11"/>
        <v>#REF!</v>
      </c>
      <c r="Q130" s="46">
        <f>VLOOKUP(C130,[2]IP!$B$9:$N$116,13,0)</f>
        <v>0</v>
      </c>
      <c r="R130" s="46">
        <f>VLOOKUP(C130,[2]IP!$B$9:$O$116,14,0)</f>
        <v>854.85</v>
      </c>
      <c r="S130" s="46"/>
      <c r="T130" s="46">
        <f>VLOOKUP(C130,[2]IP!$B$9:$P$116,15,0)</f>
        <v>15</v>
      </c>
      <c r="U130" s="46">
        <f>VLOOKUP(C130,[2]IP!$B$9:$Q$116,16,0)</f>
        <v>0</v>
      </c>
      <c r="V130" s="46">
        <f>VLOOKUP(C130,[2]IP!$B$9:$S$116,18,0)</f>
        <v>0</v>
      </c>
      <c r="W130" s="46">
        <f>VLOOKUP(C130,[2]IP!$B$9:$R$116,17,0)</f>
        <v>0</v>
      </c>
      <c r="X130" s="109"/>
      <c r="Y130" s="100" t="e">
        <f t="shared" si="9"/>
        <v>#REF!</v>
      </c>
      <c r="Z130" s="46" t="e">
        <f t="shared" si="12"/>
        <v>#REF!</v>
      </c>
      <c r="AA130" s="127"/>
      <c r="AB130" s="100" t="e">
        <f>VLOOKUP(C130,[1]SINDICATO!$C$7:$Q$141,15,0)</f>
        <v>#N/A</v>
      </c>
    </row>
    <row r="131" spans="1:249" s="100" customFormat="1" x14ac:dyDescent="0.2">
      <c r="A131" s="52" t="s">
        <v>602</v>
      </c>
      <c r="B131" s="54" t="s">
        <v>57</v>
      </c>
      <c r="C131" s="52" t="s">
        <v>603</v>
      </c>
      <c r="D131" s="99"/>
      <c r="E131" s="102">
        <f>VLOOKUP(C131,[2]IP!$B$9:$V$116,21,0)</f>
        <v>979.4</v>
      </c>
      <c r="F131" s="123"/>
      <c r="G131" s="100" t="e">
        <f>VLOOKUP(C131,#REF!,4,0)</f>
        <v>#REF!</v>
      </c>
      <c r="H131" s="100" t="e">
        <f>VLOOKUP(C131,#REF!,5,0)</f>
        <v>#REF!</v>
      </c>
      <c r="I131" s="100" t="e">
        <f>VLOOKUP(C131,#REF!,6,0)</f>
        <v>#REF!</v>
      </c>
      <c r="J131" s="109"/>
      <c r="K131" s="100" t="e">
        <f t="shared" si="7"/>
        <v>#REF!</v>
      </c>
      <c r="L131" s="100">
        <v>7000</v>
      </c>
      <c r="M131" s="100">
        <f t="shared" si="8"/>
        <v>3500</v>
      </c>
      <c r="N131" s="110"/>
      <c r="O131" s="46">
        <f>VLOOKUP(C131,[2]IP!$B$9:$I$116,8,0)</f>
        <v>0</v>
      </c>
      <c r="P131" s="46" t="e">
        <f t="shared" si="11"/>
        <v>#REF!</v>
      </c>
      <c r="Q131" s="46">
        <f>VLOOKUP(C131,[2]IP!$B$9:$N$116,13,0)</f>
        <v>801.02</v>
      </c>
      <c r="R131" s="46">
        <f>VLOOKUP(C131,[2]IP!$B$9:$O$116,14,0)</f>
        <v>0</v>
      </c>
      <c r="S131" s="46"/>
      <c r="T131" s="46">
        <f>VLOOKUP(C131,[2]IP!$B$9:$P$116,15,0)</f>
        <v>15</v>
      </c>
      <c r="U131" s="46">
        <f>VLOOKUP(C131,[2]IP!$B$9:$Q$116,16,0)</f>
        <v>0</v>
      </c>
      <c r="V131" s="46">
        <f>VLOOKUP(C131,[2]IP!$B$9:$S$116,18,0)</f>
        <v>0</v>
      </c>
      <c r="W131" s="46">
        <f>VLOOKUP(C131,[2]IP!$B$9:$R$116,17,0)</f>
        <v>0</v>
      </c>
      <c r="X131" s="109"/>
      <c r="Y131" s="100" t="e">
        <f t="shared" si="9"/>
        <v>#REF!</v>
      </c>
      <c r="Z131" s="46" t="e">
        <f t="shared" si="12"/>
        <v>#REF!</v>
      </c>
      <c r="AA131" s="127"/>
      <c r="AB131" s="100" t="e">
        <f>VLOOKUP(C131,[1]SINDICATO!$C$7:$Q$141,15,0)</f>
        <v>#N/A</v>
      </c>
    </row>
    <row r="132" spans="1:249" s="100" customFormat="1" x14ac:dyDescent="0.2">
      <c r="A132" s="52" t="s">
        <v>605</v>
      </c>
      <c r="B132" s="54" t="s">
        <v>57</v>
      </c>
      <c r="C132" s="52" t="s">
        <v>606</v>
      </c>
      <c r="D132" s="99"/>
      <c r="E132" s="102">
        <f>VLOOKUP(C132,[2]IP!$B$9:$V$116,21,0)</f>
        <v>2974.4</v>
      </c>
      <c r="F132" s="123"/>
      <c r="G132" s="100" t="e">
        <f>VLOOKUP(C132,#REF!,4,0)</f>
        <v>#REF!</v>
      </c>
      <c r="H132" s="100" t="e">
        <f>VLOOKUP(C132,#REF!,5,0)</f>
        <v>#REF!</v>
      </c>
      <c r="I132" s="100" t="e">
        <f>VLOOKUP(C132,#REF!,6,0)</f>
        <v>#REF!</v>
      </c>
      <c r="J132" s="109"/>
      <c r="K132" s="100" t="e">
        <f t="shared" ref="K132:K138" si="13">+D132+E132+G132+H132+I132</f>
        <v>#REF!</v>
      </c>
      <c r="L132" s="100">
        <v>6300</v>
      </c>
      <c r="M132" s="100">
        <f t="shared" ref="M132:M138" si="14">+L132/2</f>
        <v>3150</v>
      </c>
      <c r="N132" s="110"/>
      <c r="O132" s="46">
        <f>VLOOKUP(C132,[2]IP!$B$9:$I$116,8,0)</f>
        <v>0</v>
      </c>
      <c r="P132" s="46" t="e">
        <f t="shared" si="11"/>
        <v>#REF!</v>
      </c>
      <c r="Q132" s="46">
        <f>VLOOKUP(C132,[2]IP!$B$9:$N$116,13,0)</f>
        <v>0</v>
      </c>
      <c r="R132" s="46">
        <f>VLOOKUP(C132,[2]IP!$B$9:$O$116,14,0)</f>
        <v>0</v>
      </c>
      <c r="S132" s="46"/>
      <c r="T132" s="46">
        <f>VLOOKUP(C132,[2]IP!$B$9:$P$116,15,0)</f>
        <v>0</v>
      </c>
      <c r="U132" s="46">
        <f>VLOOKUP(C132,[2]IP!$B$9:$Q$116,16,0)</f>
        <v>0</v>
      </c>
      <c r="V132" s="46">
        <f>VLOOKUP(C132,[2]IP!$B$9:$S$116,18,0)</f>
        <v>0</v>
      </c>
      <c r="W132" s="46">
        <f>VLOOKUP(C132,[2]IP!$B$9:$R$116,17,0)</f>
        <v>0</v>
      </c>
      <c r="X132" s="109"/>
      <c r="Y132" s="100" t="e">
        <f t="shared" ref="Y132:Y138" si="15">+K132-O132-P132+Q132+R132+S132+T132+U132+V132+W132</f>
        <v>#REF!</v>
      </c>
      <c r="Z132" s="46" t="e">
        <f t="shared" si="12"/>
        <v>#REF!</v>
      </c>
      <c r="AA132" s="127"/>
      <c r="AB132" s="100" t="e">
        <f>VLOOKUP(C132,[1]SINDICATO!$C$7:$Q$141,15,0)</f>
        <v>#N/A</v>
      </c>
    </row>
    <row r="133" spans="1:249" s="100" customFormat="1" x14ac:dyDescent="0.2">
      <c r="A133" s="52" t="s">
        <v>77</v>
      </c>
      <c r="B133" s="54" t="s">
        <v>57</v>
      </c>
      <c r="C133" s="52" t="s">
        <v>607</v>
      </c>
      <c r="D133" s="99"/>
      <c r="E133" s="102">
        <f>VLOOKUP(C133,[2]IP!$B$9:$V$116,21,0)</f>
        <v>2865.8</v>
      </c>
      <c r="F133" s="123"/>
      <c r="G133" s="100" t="e">
        <f>VLOOKUP(C133,#REF!,4,0)</f>
        <v>#REF!</v>
      </c>
      <c r="H133" s="100" t="e">
        <f>VLOOKUP(C133,#REF!,5,0)</f>
        <v>#REF!</v>
      </c>
      <c r="I133" s="100" t="e">
        <f>VLOOKUP(C133,#REF!,6,0)</f>
        <v>#REF!</v>
      </c>
      <c r="J133" s="109"/>
      <c r="K133" s="100" t="e">
        <f t="shared" si="13"/>
        <v>#REF!</v>
      </c>
      <c r="L133" s="100">
        <v>6000</v>
      </c>
      <c r="M133" s="100">
        <f t="shared" si="14"/>
        <v>3000</v>
      </c>
      <c r="N133" s="110"/>
      <c r="O133" s="46">
        <f>VLOOKUP(C133,[2]IP!$B$9:$I$116,8,0)</f>
        <v>0</v>
      </c>
      <c r="P133" s="46" t="e">
        <f t="shared" si="11"/>
        <v>#REF!</v>
      </c>
      <c r="Q133" s="46">
        <f>VLOOKUP(C133,[2]IP!$B$9:$N$116,13,0)</f>
        <v>0</v>
      </c>
      <c r="R133" s="46">
        <f>VLOOKUP(C133,[2]IP!$B$9:$O$116,14,0)</f>
        <v>0</v>
      </c>
      <c r="S133" s="46"/>
      <c r="T133" s="46">
        <f>VLOOKUP(C133,[2]IP!$B$9:$P$116,15,0)</f>
        <v>0</v>
      </c>
      <c r="U133" s="46">
        <f>VLOOKUP(C133,[2]IP!$B$9:$Q$116,16,0)</f>
        <v>0</v>
      </c>
      <c r="V133" s="46">
        <f>VLOOKUP(C133,[2]IP!$B$9:$S$116,18,0)</f>
        <v>0</v>
      </c>
      <c r="W133" s="46">
        <f>VLOOKUP(C133,[2]IP!$B$9:$R$116,17,0)</f>
        <v>0</v>
      </c>
      <c r="X133" s="109"/>
      <c r="Y133" s="100" t="e">
        <f t="shared" si="15"/>
        <v>#REF!</v>
      </c>
      <c r="Z133" s="46" t="e">
        <f t="shared" si="12"/>
        <v>#REF!</v>
      </c>
      <c r="AA133" s="127"/>
      <c r="AB133" s="100" t="e">
        <f>VLOOKUP(C133,[1]SINDICATO!$C$7:$Q$141,15,0)</f>
        <v>#N/A</v>
      </c>
    </row>
    <row r="134" spans="1:249" s="100" customFormat="1" x14ac:dyDescent="0.2">
      <c r="A134" s="52" t="s">
        <v>609</v>
      </c>
      <c r="B134" s="54" t="s">
        <v>57</v>
      </c>
      <c r="C134" s="52" t="s">
        <v>610</v>
      </c>
      <c r="D134" s="99"/>
      <c r="E134" s="102">
        <f>VLOOKUP(C134,[2]IP!$B$9:$V$116,21,0)</f>
        <v>2446.6</v>
      </c>
      <c r="F134" s="123"/>
      <c r="G134" s="100" t="e">
        <f>VLOOKUP(C134,#REF!,4,0)</f>
        <v>#REF!</v>
      </c>
      <c r="H134" s="100" t="e">
        <f>VLOOKUP(C134,#REF!,5,0)</f>
        <v>#REF!</v>
      </c>
      <c r="I134" s="100" t="e">
        <f>VLOOKUP(C134,#REF!,6,0)</f>
        <v>#REF!</v>
      </c>
      <c r="J134" s="109"/>
      <c r="K134" s="100" t="e">
        <f t="shared" si="13"/>
        <v>#REF!</v>
      </c>
      <c r="L134" s="100">
        <v>5000</v>
      </c>
      <c r="M134" s="100">
        <f t="shared" si="14"/>
        <v>2500</v>
      </c>
      <c r="N134" s="110"/>
      <c r="O134" s="46">
        <f>VLOOKUP(C134,[2]IP!$B$9:$I$116,8,0)</f>
        <v>0</v>
      </c>
      <c r="P134" s="46" t="e">
        <f t="shared" si="11"/>
        <v>#REF!</v>
      </c>
      <c r="Q134" s="46">
        <f>VLOOKUP(C134,[2]IP!$B$9:$N$116,13,0)</f>
        <v>0</v>
      </c>
      <c r="R134" s="46">
        <f>VLOOKUP(C134,[2]IP!$B$9:$O$116,14,0)</f>
        <v>0</v>
      </c>
      <c r="S134" s="46"/>
      <c r="T134" s="46">
        <f>VLOOKUP(C134,[2]IP!$B$9:$P$116,15,0)</f>
        <v>0</v>
      </c>
      <c r="U134" s="46">
        <f>VLOOKUP(C134,[2]IP!$B$9:$Q$116,16,0)</f>
        <v>0</v>
      </c>
      <c r="V134" s="46">
        <f>VLOOKUP(C134,[2]IP!$B$9:$S$116,18,0)</f>
        <v>0</v>
      </c>
      <c r="W134" s="46">
        <f>VLOOKUP(C134,[2]IP!$B$9:$R$116,17,0)</f>
        <v>0</v>
      </c>
      <c r="X134" s="109"/>
      <c r="Y134" s="100" t="e">
        <f t="shared" si="15"/>
        <v>#REF!</v>
      </c>
      <c r="Z134" s="46" t="e">
        <f t="shared" si="12"/>
        <v>#REF!</v>
      </c>
      <c r="AA134" s="127"/>
      <c r="AB134" s="100" t="e">
        <f>VLOOKUP(C134,[1]SINDICATO!$C$7:$Q$141,15,0)</f>
        <v>#N/A</v>
      </c>
      <c r="AC134" s="46"/>
    </row>
    <row r="135" spans="1:249" s="100" customFormat="1" x14ac:dyDescent="0.2">
      <c r="A135" s="52" t="s">
        <v>611</v>
      </c>
      <c r="B135" s="54" t="s">
        <v>57</v>
      </c>
      <c r="C135" s="52" t="s">
        <v>612</v>
      </c>
      <c r="D135" s="99"/>
      <c r="E135" s="102">
        <f>VLOOKUP(C135,[2]IP!$B$9:$V$116,21,0)</f>
        <v>2974.2</v>
      </c>
      <c r="F135" s="123"/>
      <c r="G135" s="100" t="e">
        <f>VLOOKUP(C135,#REF!,4,0)</f>
        <v>#REF!</v>
      </c>
      <c r="H135" s="100" t="e">
        <f>VLOOKUP(C135,#REF!,5,0)</f>
        <v>#REF!</v>
      </c>
      <c r="I135" s="100" t="e">
        <f>VLOOKUP(C135,#REF!,6,0)</f>
        <v>#REF!</v>
      </c>
      <c r="J135" s="109"/>
      <c r="K135" s="100" t="e">
        <f t="shared" si="13"/>
        <v>#REF!</v>
      </c>
      <c r="L135" s="100">
        <v>6300</v>
      </c>
      <c r="M135" s="100">
        <f t="shared" si="14"/>
        <v>3150</v>
      </c>
      <c r="N135" s="110"/>
      <c r="O135" s="46">
        <f>VLOOKUP(C135,[2]IP!$B$9:$I$116,8,0)</f>
        <v>0</v>
      </c>
      <c r="P135" s="46" t="e">
        <f t="shared" si="11"/>
        <v>#REF!</v>
      </c>
      <c r="Q135" s="46">
        <f>VLOOKUP(C135,[2]IP!$B$9:$N$116,13,0)</f>
        <v>0</v>
      </c>
      <c r="R135" s="46">
        <f>VLOOKUP(C135,[2]IP!$B$9:$O$116,14,0)</f>
        <v>0</v>
      </c>
      <c r="S135" s="46"/>
      <c r="T135" s="46">
        <f>VLOOKUP(C135,[2]IP!$B$9:$P$116,15,0)</f>
        <v>0</v>
      </c>
      <c r="U135" s="46">
        <f>VLOOKUP(C135,[2]IP!$B$9:$Q$116,16,0)</f>
        <v>0</v>
      </c>
      <c r="V135" s="46">
        <f>VLOOKUP(C135,[2]IP!$B$9:$S$116,18,0)</f>
        <v>0</v>
      </c>
      <c r="W135" s="46">
        <f>VLOOKUP(C135,[2]IP!$B$9:$R$116,17,0)</f>
        <v>0</v>
      </c>
      <c r="X135" s="109"/>
      <c r="Y135" s="100" t="e">
        <f t="shared" si="15"/>
        <v>#REF!</v>
      </c>
      <c r="Z135" s="46" t="e">
        <f t="shared" si="12"/>
        <v>#REF!</v>
      </c>
      <c r="AA135" s="127"/>
      <c r="AB135" s="100" t="e">
        <f>VLOOKUP(C135,[1]SINDICATO!$C$7:$Q$141,15,0)</f>
        <v>#N/A</v>
      </c>
      <c r="AC135" s="46"/>
    </row>
    <row r="136" spans="1:249" s="100" customFormat="1" x14ac:dyDescent="0.2">
      <c r="A136" s="52" t="s">
        <v>613</v>
      </c>
      <c r="B136" s="54" t="s">
        <v>57</v>
      </c>
      <c r="C136" s="52" t="s">
        <v>614</v>
      </c>
      <c r="D136" s="99"/>
      <c r="E136" s="102">
        <f>VLOOKUP(C136,[2]IP!$B$9:$V$116,21,0)</f>
        <v>3277.6</v>
      </c>
      <c r="F136" s="123"/>
      <c r="G136" s="100" t="e">
        <f>VLOOKUP(C136,#REF!,4,0)</f>
        <v>#REF!</v>
      </c>
      <c r="H136" s="100" t="e">
        <f>VLOOKUP(C136,#REF!,5,0)</f>
        <v>#REF!</v>
      </c>
      <c r="I136" s="100" t="e">
        <f>VLOOKUP(C136,#REF!,6,0)</f>
        <v>#REF!</v>
      </c>
      <c r="J136" s="109"/>
      <c r="K136" s="100" t="e">
        <f t="shared" si="13"/>
        <v>#REF!</v>
      </c>
      <c r="L136" s="100">
        <v>7000</v>
      </c>
      <c r="M136" s="100">
        <f t="shared" si="14"/>
        <v>3500</v>
      </c>
      <c r="N136" s="110"/>
      <c r="O136" s="46">
        <f>VLOOKUP(C136,[2]IP!$B$9:$I$116,8,0)</f>
        <v>0</v>
      </c>
      <c r="P136" s="46" t="e">
        <f t="shared" si="11"/>
        <v>#REF!</v>
      </c>
      <c r="Q136" s="46">
        <f>VLOOKUP(C136,[2]IP!$B$9:$N$116,13,0)</f>
        <v>0</v>
      </c>
      <c r="R136" s="46">
        <f>VLOOKUP(C136,[2]IP!$B$9:$O$116,14,0)</f>
        <v>0</v>
      </c>
      <c r="S136" s="46"/>
      <c r="T136" s="46">
        <f>VLOOKUP(C136,[2]IP!$B$9:$P$116,15,0)</f>
        <v>0</v>
      </c>
      <c r="U136" s="46">
        <f>VLOOKUP(C136,[2]IP!$B$9:$Q$116,16,0)</f>
        <v>0</v>
      </c>
      <c r="V136" s="46">
        <f>VLOOKUP(C136,[2]IP!$B$9:$S$116,18,0)</f>
        <v>0</v>
      </c>
      <c r="W136" s="46">
        <f>VLOOKUP(C136,[2]IP!$B$9:$R$116,17,0)</f>
        <v>0</v>
      </c>
      <c r="X136" s="109"/>
      <c r="Y136" s="100" t="e">
        <f t="shared" si="15"/>
        <v>#REF!</v>
      </c>
      <c r="Z136" s="46" t="e">
        <f t="shared" si="12"/>
        <v>#REF!</v>
      </c>
      <c r="AA136" s="127"/>
      <c r="AB136" s="100" t="e">
        <f>VLOOKUP(C136,[1]SINDICATO!$C$7:$Q$141,15,0)</f>
        <v>#N/A</v>
      </c>
      <c r="AC136" s="46"/>
    </row>
    <row r="137" spans="1:249" s="100" customFormat="1" x14ac:dyDescent="0.2">
      <c r="A137" s="52" t="s">
        <v>615</v>
      </c>
      <c r="B137" s="54" t="s">
        <v>57</v>
      </c>
      <c r="C137" s="52" t="s">
        <v>616</v>
      </c>
      <c r="D137" s="99"/>
      <c r="E137" s="102">
        <f>VLOOKUP(C137,[2]IP!$B$9:$V$116,21,0)</f>
        <v>2865.8</v>
      </c>
      <c r="F137" s="123"/>
      <c r="G137" s="100" t="e">
        <f>VLOOKUP(C137,#REF!,4,0)</f>
        <v>#REF!</v>
      </c>
      <c r="H137" s="100" t="e">
        <f>VLOOKUP(C137,#REF!,5,0)</f>
        <v>#REF!</v>
      </c>
      <c r="I137" s="100" t="e">
        <f>VLOOKUP(C137,#REF!,6,0)</f>
        <v>#REF!</v>
      </c>
      <c r="J137" s="109"/>
      <c r="K137" s="100" t="e">
        <f t="shared" si="13"/>
        <v>#REF!</v>
      </c>
      <c r="L137" s="100">
        <v>6000</v>
      </c>
      <c r="M137" s="100">
        <f t="shared" si="14"/>
        <v>3000</v>
      </c>
      <c r="N137" s="110"/>
      <c r="O137" s="46">
        <f>VLOOKUP(C137,[2]IP!$B$9:$I$116,8,0)</f>
        <v>0</v>
      </c>
      <c r="P137" s="46" t="e">
        <f t="shared" si="11"/>
        <v>#REF!</v>
      </c>
      <c r="Q137" s="46">
        <f>VLOOKUP(C137,[2]IP!$B$9:$N$116,13,0)</f>
        <v>0</v>
      </c>
      <c r="R137" s="46">
        <f>VLOOKUP(C137,[2]IP!$B$9:$O$116,14,0)</f>
        <v>0</v>
      </c>
      <c r="S137" s="46"/>
      <c r="T137" s="46">
        <f>VLOOKUP(C137,[2]IP!$B$9:$P$116,15,0)</f>
        <v>0</v>
      </c>
      <c r="U137" s="46">
        <f>VLOOKUP(C137,[2]IP!$B$9:$Q$116,16,0)</f>
        <v>0</v>
      </c>
      <c r="V137" s="46">
        <f>VLOOKUP(C137,[2]IP!$B$9:$S$116,18,0)</f>
        <v>0</v>
      </c>
      <c r="W137" s="46">
        <f>VLOOKUP(C137,[2]IP!$B$9:$R$116,17,0)</f>
        <v>0</v>
      </c>
      <c r="X137" s="109"/>
      <c r="Y137" s="100" t="e">
        <f t="shared" si="15"/>
        <v>#REF!</v>
      </c>
      <c r="Z137" s="46" t="e">
        <f t="shared" si="12"/>
        <v>#REF!</v>
      </c>
      <c r="AA137" s="127"/>
      <c r="AB137" s="100" t="e">
        <f>VLOOKUP(C137,[1]SINDICATO!$C$7:$Q$141,15,0)</f>
        <v>#N/A</v>
      </c>
      <c r="AC137" s="46"/>
    </row>
    <row r="138" spans="1:249" s="100" customFormat="1" x14ac:dyDescent="0.2">
      <c r="A138" s="52" t="s">
        <v>619</v>
      </c>
      <c r="B138" s="54" t="s">
        <v>57</v>
      </c>
      <c r="C138" s="52" t="s">
        <v>620</v>
      </c>
      <c r="D138" s="99"/>
      <c r="E138" s="102">
        <f>VLOOKUP(C138,[2]IP!$B$9:$V$116,21,0)</f>
        <v>1864.8</v>
      </c>
      <c r="F138" s="123"/>
      <c r="G138" s="100" t="e">
        <f>VLOOKUP(C138,#REF!,4,0)</f>
        <v>#REF!</v>
      </c>
      <c r="H138" s="100" t="e">
        <f>VLOOKUP(C138,#REF!,5,0)</f>
        <v>#REF!</v>
      </c>
      <c r="I138" s="100" t="e">
        <f>VLOOKUP(C138,#REF!,6,0)</f>
        <v>#REF!</v>
      </c>
      <c r="J138" s="109"/>
      <c r="K138" s="100" t="e">
        <f t="shared" si="13"/>
        <v>#REF!</v>
      </c>
      <c r="L138" s="100">
        <v>6300</v>
      </c>
      <c r="M138" s="100">
        <f t="shared" si="14"/>
        <v>3150</v>
      </c>
      <c r="N138" s="110"/>
      <c r="O138" s="46">
        <f>VLOOKUP(C138,[2]IP!$B$9:$I$116,8,0)</f>
        <v>0</v>
      </c>
      <c r="P138" s="46" t="e">
        <f t="shared" si="11"/>
        <v>#REF!</v>
      </c>
      <c r="Q138" s="46">
        <f>VLOOKUP(C138,[2]IP!$B$9:$N$116,13,0)</f>
        <v>600</v>
      </c>
      <c r="R138" s="46">
        <f>VLOOKUP(C138,[2]IP!$B$9:$O$116,14,0)</f>
        <v>0</v>
      </c>
      <c r="S138" s="46"/>
      <c r="T138" s="46">
        <f>VLOOKUP(C138,[2]IP!$B$9:$P$116,15,0)</f>
        <v>0</v>
      </c>
      <c r="U138" s="46">
        <f>VLOOKUP(C138,[2]IP!$B$9:$Q$116,16,0)</f>
        <v>0</v>
      </c>
      <c r="V138" s="46">
        <f>VLOOKUP(C138,[2]IP!$B$9:$S$116,18,0)</f>
        <v>0</v>
      </c>
      <c r="W138" s="46">
        <f>VLOOKUP(C138,[2]IP!$B$9:$R$116,17,0)</f>
        <v>0</v>
      </c>
      <c r="X138" s="109"/>
      <c r="Y138" s="100" t="e">
        <f t="shared" si="15"/>
        <v>#REF!</v>
      </c>
      <c r="Z138" s="135" t="e">
        <f t="shared" si="12"/>
        <v>#REF!</v>
      </c>
      <c r="AA138" s="136"/>
      <c r="AB138" s="100" t="e">
        <f>VLOOKUP(C138,[1]SINDICATO!$C$7:$Q$141,15,0)</f>
        <v>#N/A</v>
      </c>
      <c r="AC138" s="135"/>
    </row>
    <row r="139" spans="1:249" s="137" customFormat="1" ht="24.75" customHeight="1" x14ac:dyDescent="0.25">
      <c r="C139" s="137" t="s">
        <v>665</v>
      </c>
      <c r="D139" s="137">
        <f>SUM(D4:D138)</f>
        <v>106768.59999999999</v>
      </c>
      <c r="E139" s="137">
        <f>SUM(E31:E138)</f>
        <v>317739.99999999988</v>
      </c>
      <c r="F139" s="137">
        <f t="shared" ref="F139:J139" si="16">SUM(F31:F137)</f>
        <v>0</v>
      </c>
      <c r="G139" s="137" t="e">
        <f>SUM(G4:G138)</f>
        <v>#REF!</v>
      </c>
      <c r="H139" s="137" t="e">
        <f>SUM(H4:H138)</f>
        <v>#REF!</v>
      </c>
      <c r="I139" s="137" t="e">
        <f>SUM(I4:I138)</f>
        <v>#REF!</v>
      </c>
      <c r="J139" s="137">
        <f t="shared" si="16"/>
        <v>0</v>
      </c>
      <c r="K139" s="137" t="e">
        <f>SUM(K31:K138)</f>
        <v>#REF!</v>
      </c>
      <c r="L139" s="137">
        <f>SUM(L31:L138)</f>
        <v>951726.02</v>
      </c>
      <c r="M139" s="137">
        <f>SUM(M31:M138)</f>
        <v>475863.01</v>
      </c>
      <c r="N139" s="137">
        <f t="shared" ref="N139:V139" si="17">SUM(N31:N137)</f>
        <v>0</v>
      </c>
      <c r="O139" s="137">
        <f>SUM(O4:O138)</f>
        <v>1902.2</v>
      </c>
      <c r="P139" s="137" t="e">
        <f>SUM(P4:P138)</f>
        <v>#REF!</v>
      </c>
      <c r="Q139" s="137">
        <f>SUM(Q31:Q138)</f>
        <v>27750.960000000003</v>
      </c>
      <c r="R139" s="137">
        <f t="shared" si="17"/>
        <v>10375.14</v>
      </c>
      <c r="S139" s="137">
        <f t="shared" si="17"/>
        <v>0</v>
      </c>
      <c r="T139" s="137">
        <f t="shared" si="17"/>
        <v>495</v>
      </c>
      <c r="U139" s="137">
        <f t="shared" si="17"/>
        <v>1781.73</v>
      </c>
      <c r="V139" s="137">
        <f t="shared" si="17"/>
        <v>500</v>
      </c>
      <c r="W139" s="137">
        <f>SUM(W31:W133)</f>
        <v>6700.4</v>
      </c>
      <c r="X139" s="137">
        <f>SUM(X31:X133)</f>
        <v>0</v>
      </c>
      <c r="Y139" s="137" t="e">
        <f>SUM(Y31:Y133)</f>
        <v>#REF!</v>
      </c>
      <c r="Z139" s="137" t="e">
        <f>SUM(Z31:Z133)</f>
        <v>#REF!</v>
      </c>
      <c r="AA139" s="137">
        <f>SUM(AA31:AA133)</f>
        <v>0</v>
      </c>
      <c r="AB139" s="137" t="e">
        <f t="shared" ref="AB139:AE139" si="18">SUM(AB31:AB131)</f>
        <v>#N/A</v>
      </c>
      <c r="AC139" s="137">
        <f t="shared" si="18"/>
        <v>0</v>
      </c>
      <c r="AD139" s="137">
        <f t="shared" si="18"/>
        <v>0</v>
      </c>
      <c r="AE139" s="137">
        <f t="shared" si="18"/>
        <v>0</v>
      </c>
      <c r="AF139" s="137">
        <f>SUM(AF31:AF126)</f>
        <v>0</v>
      </c>
      <c r="AG139" s="137">
        <f>SUM(AG31:AG126)</f>
        <v>0</v>
      </c>
      <c r="AH139" s="137">
        <f>SUM(AH4:AH95)</f>
        <v>0</v>
      </c>
      <c r="AI139" s="137">
        <f>SUM(AI4:AI95)</f>
        <v>0</v>
      </c>
      <c r="AJ139" s="137">
        <f>SUM(AJ4:AJ95)</f>
        <v>0</v>
      </c>
      <c r="AK139" s="137">
        <f>SUM(AK4:AK95)</f>
        <v>0</v>
      </c>
    </row>
    <row r="140" spans="1:249" s="68" customFormat="1" x14ac:dyDescent="0.2">
      <c r="C140" s="87"/>
      <c r="D140" s="68">
        <f>+D139-'RESUMEN PITS'!D107</f>
        <v>106768.59999999999</v>
      </c>
      <c r="E140" s="68">
        <f>+E139-'RESUMEN PITS'!E107</f>
        <v>317739.99999999988</v>
      </c>
      <c r="F140" s="123"/>
      <c r="J140" s="109"/>
      <c r="N140" s="138"/>
      <c r="X140" s="123"/>
      <c r="Z140" s="133"/>
      <c r="AA140" s="133"/>
      <c r="AB140" s="133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  <c r="BK140" s="124"/>
      <c r="BL140" s="124"/>
      <c r="BM140" s="124"/>
      <c r="BN140" s="124"/>
      <c r="BO140" s="124"/>
      <c r="BP140" s="124"/>
      <c r="BQ140" s="124"/>
      <c r="BR140" s="124"/>
      <c r="BS140" s="124"/>
      <c r="BT140" s="124"/>
      <c r="BU140" s="124"/>
      <c r="BV140" s="124"/>
      <c r="BW140" s="124"/>
      <c r="BX140" s="124"/>
      <c r="BY140" s="124"/>
      <c r="BZ140" s="124"/>
      <c r="CA140" s="124"/>
      <c r="CB140" s="124"/>
      <c r="CC140" s="124"/>
      <c r="CD140" s="124"/>
      <c r="CE140" s="124"/>
      <c r="CF140" s="124"/>
      <c r="CG140" s="124"/>
      <c r="CH140" s="124"/>
      <c r="CI140" s="124"/>
      <c r="CJ140" s="124"/>
      <c r="CK140" s="124"/>
      <c r="CL140" s="124"/>
      <c r="CM140" s="124"/>
      <c r="CN140" s="124"/>
      <c r="CO140" s="124"/>
      <c r="CP140" s="124"/>
      <c r="CQ140" s="124"/>
      <c r="CR140" s="124"/>
      <c r="CS140" s="124"/>
      <c r="CT140" s="124"/>
      <c r="CU140" s="124"/>
      <c r="CV140" s="124"/>
      <c r="CW140" s="124"/>
      <c r="CX140" s="124"/>
      <c r="CY140" s="124"/>
      <c r="CZ140" s="124"/>
      <c r="DA140" s="124"/>
      <c r="DB140" s="124"/>
      <c r="DC140" s="124"/>
      <c r="DD140" s="124"/>
      <c r="DE140" s="124"/>
      <c r="DF140" s="124"/>
      <c r="DG140" s="124"/>
      <c r="DH140" s="124"/>
      <c r="DI140" s="124"/>
      <c r="DJ140" s="124"/>
      <c r="DK140" s="124"/>
      <c r="DL140" s="124"/>
      <c r="DM140" s="124"/>
      <c r="DN140" s="124"/>
      <c r="DO140" s="124"/>
      <c r="DP140" s="124"/>
      <c r="DQ140" s="124"/>
      <c r="DR140" s="124"/>
      <c r="DS140" s="124"/>
      <c r="DT140" s="124"/>
      <c r="DU140" s="124"/>
      <c r="DV140" s="124"/>
      <c r="DW140" s="124"/>
      <c r="DX140" s="124"/>
      <c r="DY140" s="124"/>
      <c r="DZ140" s="124"/>
      <c r="EA140" s="124"/>
      <c r="EB140" s="124"/>
      <c r="EC140" s="124"/>
      <c r="ED140" s="124"/>
      <c r="EE140" s="124"/>
      <c r="EF140" s="124"/>
      <c r="EG140" s="124"/>
      <c r="EH140" s="124"/>
      <c r="EI140" s="124"/>
      <c r="EJ140" s="124"/>
      <c r="EK140" s="124"/>
      <c r="EL140" s="124"/>
      <c r="EM140" s="124"/>
      <c r="EN140" s="124"/>
      <c r="EO140" s="124"/>
      <c r="EP140" s="124"/>
      <c r="EQ140" s="124"/>
      <c r="ER140" s="124"/>
      <c r="ES140" s="124"/>
      <c r="ET140" s="124"/>
      <c r="EU140" s="124"/>
      <c r="EV140" s="124"/>
      <c r="EW140" s="124"/>
      <c r="EX140" s="124"/>
      <c r="EY140" s="124"/>
      <c r="EZ140" s="124"/>
      <c r="FA140" s="124"/>
      <c r="FB140" s="124"/>
      <c r="FC140" s="124"/>
      <c r="FD140" s="124"/>
      <c r="FE140" s="124"/>
      <c r="FF140" s="124"/>
      <c r="FG140" s="124"/>
      <c r="FH140" s="124"/>
      <c r="FI140" s="124"/>
      <c r="FJ140" s="124"/>
      <c r="FK140" s="124"/>
      <c r="FL140" s="124"/>
      <c r="FM140" s="124"/>
      <c r="FN140" s="124"/>
      <c r="FO140" s="124"/>
      <c r="FP140" s="124"/>
      <c r="FQ140" s="124"/>
      <c r="FR140" s="124"/>
      <c r="FS140" s="124"/>
      <c r="FT140" s="124"/>
      <c r="FU140" s="124"/>
      <c r="FV140" s="124"/>
      <c r="FW140" s="124"/>
      <c r="FX140" s="124"/>
      <c r="FY140" s="124"/>
      <c r="FZ140" s="124"/>
      <c r="GA140" s="124"/>
      <c r="GB140" s="124"/>
      <c r="GC140" s="124"/>
      <c r="GD140" s="124"/>
      <c r="GE140" s="124"/>
      <c r="GF140" s="124"/>
      <c r="GG140" s="124"/>
      <c r="GH140" s="124"/>
      <c r="GI140" s="124"/>
      <c r="GJ140" s="124"/>
      <c r="GK140" s="124"/>
      <c r="GL140" s="124"/>
      <c r="GM140" s="124"/>
      <c r="GN140" s="124"/>
      <c r="GO140" s="124"/>
      <c r="GP140" s="124"/>
      <c r="GQ140" s="124"/>
      <c r="GR140" s="124"/>
      <c r="GS140" s="124"/>
      <c r="GT140" s="124"/>
      <c r="GU140" s="124"/>
      <c r="GV140" s="124"/>
      <c r="GW140" s="124"/>
      <c r="GX140" s="124"/>
      <c r="GY140" s="124"/>
      <c r="GZ140" s="124"/>
      <c r="HA140" s="124"/>
      <c r="HB140" s="124"/>
      <c r="HC140" s="124"/>
      <c r="HD140" s="124"/>
      <c r="HE140" s="124"/>
      <c r="HF140" s="124"/>
      <c r="HG140" s="124"/>
      <c r="HH140" s="124"/>
      <c r="HI140" s="124"/>
      <c r="HJ140" s="124"/>
      <c r="HK140" s="124"/>
      <c r="HL140" s="124"/>
      <c r="HM140" s="124"/>
      <c r="HN140" s="124"/>
      <c r="HO140" s="124"/>
      <c r="HP140" s="124"/>
      <c r="HQ140" s="124"/>
      <c r="HR140" s="124"/>
      <c r="HS140" s="124"/>
      <c r="HT140" s="124"/>
      <c r="HU140" s="124"/>
      <c r="HV140" s="124"/>
      <c r="HW140" s="124"/>
      <c r="HX140" s="124"/>
      <c r="HY140" s="124"/>
      <c r="HZ140" s="124"/>
      <c r="IA140" s="124"/>
      <c r="IB140" s="124"/>
      <c r="IC140" s="124"/>
      <c r="ID140" s="124"/>
      <c r="IE140" s="124"/>
      <c r="IF140" s="124"/>
      <c r="IG140" s="124"/>
      <c r="IH140" s="124"/>
      <c r="II140" s="124"/>
      <c r="IJ140" s="124"/>
      <c r="IK140" s="124"/>
      <c r="IL140" s="124"/>
      <c r="IM140" s="124"/>
      <c r="IN140" s="124"/>
      <c r="IO140" s="124"/>
    </row>
    <row r="141" spans="1:249" s="68" customFormat="1" x14ac:dyDescent="0.2">
      <c r="C141" s="87"/>
      <c r="F141" s="123"/>
      <c r="J141" s="123"/>
      <c r="N141" s="138"/>
      <c r="X141" s="123"/>
      <c r="Z141" s="133"/>
      <c r="AA141" s="133"/>
      <c r="AB141" s="133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4"/>
      <c r="BK141" s="124"/>
      <c r="BL141" s="124"/>
      <c r="BM141" s="124"/>
      <c r="BN141" s="124"/>
      <c r="BO141" s="124"/>
      <c r="BP141" s="124"/>
      <c r="BQ141" s="124"/>
      <c r="BR141" s="124"/>
      <c r="BS141" s="124"/>
      <c r="BT141" s="124"/>
      <c r="BU141" s="124"/>
      <c r="BV141" s="124"/>
      <c r="BW141" s="124"/>
      <c r="BX141" s="124"/>
      <c r="BY141" s="124"/>
      <c r="BZ141" s="124"/>
      <c r="CA141" s="124"/>
      <c r="CB141" s="124"/>
      <c r="CC141" s="124"/>
      <c r="CD141" s="124"/>
      <c r="CE141" s="124"/>
      <c r="CF141" s="124"/>
      <c r="CG141" s="124"/>
      <c r="CH141" s="124"/>
      <c r="CI141" s="124"/>
      <c r="CJ141" s="124"/>
      <c r="CK141" s="124"/>
      <c r="CL141" s="124"/>
      <c r="CM141" s="124"/>
      <c r="CN141" s="124"/>
      <c r="CO141" s="124"/>
      <c r="CP141" s="124"/>
      <c r="CQ141" s="124"/>
      <c r="CR141" s="124"/>
      <c r="CS141" s="124"/>
      <c r="CT141" s="124"/>
      <c r="CU141" s="124"/>
      <c r="CV141" s="124"/>
      <c r="CW141" s="124"/>
      <c r="CX141" s="124"/>
      <c r="CY141" s="124"/>
      <c r="CZ141" s="124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4"/>
      <c r="DL141" s="124"/>
      <c r="DM141" s="124"/>
      <c r="DN141" s="124"/>
      <c r="DO141" s="124"/>
      <c r="DP141" s="124"/>
      <c r="DQ141" s="124"/>
      <c r="DR141" s="124"/>
      <c r="DS141" s="124"/>
      <c r="DT141" s="124"/>
      <c r="DU141" s="124"/>
      <c r="DV141" s="124"/>
      <c r="DW141" s="124"/>
      <c r="DX141" s="124"/>
      <c r="DY141" s="124"/>
      <c r="DZ141" s="124"/>
      <c r="EA141" s="124"/>
      <c r="EB141" s="124"/>
      <c r="EC141" s="124"/>
      <c r="ED141" s="124"/>
      <c r="EE141" s="124"/>
      <c r="EF141" s="124"/>
      <c r="EG141" s="124"/>
      <c r="EH141" s="124"/>
      <c r="EI141" s="124"/>
      <c r="EJ141" s="124"/>
      <c r="EK141" s="124"/>
      <c r="EL141" s="124"/>
      <c r="EM141" s="124"/>
      <c r="EN141" s="124"/>
      <c r="EO141" s="124"/>
      <c r="EP141" s="124"/>
      <c r="EQ141" s="124"/>
      <c r="ER141" s="124"/>
      <c r="ES141" s="124"/>
      <c r="ET141" s="124"/>
      <c r="EU141" s="124"/>
      <c r="EV141" s="124"/>
      <c r="EW141" s="124"/>
      <c r="EX141" s="124"/>
      <c r="EY141" s="124"/>
      <c r="EZ141" s="124"/>
      <c r="FA141" s="124"/>
      <c r="FB141" s="124"/>
      <c r="FC141" s="124"/>
      <c r="FD141" s="124"/>
      <c r="FE141" s="124"/>
      <c r="FF141" s="124"/>
      <c r="FG141" s="124"/>
      <c r="FH141" s="124"/>
      <c r="FI141" s="124"/>
      <c r="FJ141" s="124"/>
      <c r="FK141" s="124"/>
      <c r="FL141" s="124"/>
      <c r="FM141" s="124"/>
      <c r="FN141" s="124"/>
      <c r="FO141" s="124"/>
      <c r="FP141" s="124"/>
      <c r="FQ141" s="124"/>
      <c r="FR141" s="124"/>
      <c r="FS141" s="124"/>
      <c r="FT141" s="124"/>
      <c r="FU141" s="124"/>
      <c r="FV141" s="124"/>
      <c r="FW141" s="124"/>
      <c r="FX141" s="124"/>
      <c r="FY141" s="124"/>
      <c r="FZ141" s="124"/>
      <c r="GA141" s="124"/>
      <c r="GB141" s="124"/>
      <c r="GC141" s="124"/>
      <c r="GD141" s="124"/>
      <c r="GE141" s="124"/>
      <c r="GF141" s="124"/>
      <c r="GG141" s="124"/>
      <c r="GH141" s="124"/>
      <c r="GI141" s="124"/>
      <c r="GJ141" s="124"/>
      <c r="GK141" s="124"/>
      <c r="GL141" s="124"/>
      <c r="GM141" s="124"/>
      <c r="GN141" s="124"/>
      <c r="GO141" s="124"/>
      <c r="GP141" s="124"/>
      <c r="GQ141" s="124"/>
      <c r="GR141" s="124"/>
      <c r="GS141" s="124"/>
      <c r="GT141" s="124"/>
      <c r="GU141" s="124"/>
      <c r="GV141" s="124"/>
      <c r="GW141" s="124"/>
      <c r="GX141" s="124"/>
      <c r="GY141" s="124"/>
      <c r="GZ141" s="124"/>
      <c r="HA141" s="124"/>
      <c r="HB141" s="124"/>
      <c r="HC141" s="124"/>
      <c r="HD141" s="124"/>
      <c r="HE141" s="124"/>
      <c r="HF141" s="124"/>
      <c r="HG141" s="124"/>
      <c r="HH141" s="124"/>
      <c r="HI141" s="124"/>
      <c r="HJ141" s="124"/>
      <c r="HK141" s="124"/>
      <c r="HL141" s="124"/>
      <c r="HM141" s="124"/>
      <c r="HN141" s="124"/>
      <c r="HO141" s="124"/>
      <c r="HP141" s="124"/>
      <c r="HQ141" s="124"/>
      <c r="HR141" s="124"/>
      <c r="HS141" s="124"/>
      <c r="HT141" s="124"/>
      <c r="HU141" s="124"/>
      <c r="HV141" s="124"/>
      <c r="HW141" s="124"/>
      <c r="HX141" s="124"/>
      <c r="HY141" s="124"/>
      <c r="HZ141" s="124"/>
      <c r="IA141" s="124"/>
      <c r="IB141" s="124"/>
      <c r="IC141" s="124"/>
      <c r="ID141" s="124"/>
      <c r="IE141" s="124"/>
      <c r="IF141" s="124"/>
      <c r="IG141" s="124"/>
      <c r="IH141" s="124"/>
      <c r="II141" s="124"/>
      <c r="IJ141" s="124"/>
      <c r="IK141" s="124"/>
      <c r="IL141" s="124"/>
      <c r="IM141" s="124"/>
      <c r="IN141" s="124"/>
      <c r="IO141" s="124"/>
    </row>
  </sheetData>
  <autoFilter ref="A3:AA141" xr:uid="{00000000-0009-0000-0000-000004000000}"/>
  <mergeCells count="4">
    <mergeCell ref="A2:E2"/>
    <mergeCell ref="G2:I2"/>
    <mergeCell ref="K2:M2"/>
    <mergeCell ref="O2:W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O107"/>
  <sheetViews>
    <sheetView showGridLines="0" zoomScale="80" zoomScaleNormal="80" workbookViewId="0">
      <pane xSplit="3" ySplit="3" topLeftCell="D79" activePane="bottomRight" state="frozen"/>
      <selection pane="topRight" activeCell="D1" sqref="D1"/>
      <selection pane="bottomLeft" activeCell="A4" sqref="A4"/>
      <selection pane="bottomRight" activeCell="Y92" sqref="Y92"/>
    </sheetView>
  </sheetViews>
  <sheetFormatPr baseColWidth="10" defaultColWidth="11.42578125" defaultRowHeight="12.75" x14ac:dyDescent="0.2"/>
  <cols>
    <col min="1" max="1" width="11.42578125" style="47"/>
    <col min="2" max="2" width="26.42578125" style="47" bestFit="1" customWidth="1"/>
    <col min="3" max="3" width="46.28515625" style="90" customWidth="1"/>
    <col min="4" max="5" width="17.7109375" style="47" customWidth="1"/>
    <col min="6" max="6" width="4" style="109" customWidth="1"/>
    <col min="7" max="9" width="19.140625" style="47" customWidth="1"/>
    <col min="10" max="10" width="3.5703125" style="109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110" customWidth="1"/>
    <col min="15" max="23" width="13.28515625" style="47" customWidth="1"/>
    <col min="24" max="24" width="3.140625" style="109" customWidth="1"/>
    <col min="25" max="25" width="16.7109375" style="47" customWidth="1"/>
    <col min="26" max="26" width="13.85546875" style="46" customWidth="1"/>
    <col min="27" max="27" width="13.85546875" style="111" customWidth="1"/>
    <col min="28" max="28" width="11.42578125" style="46" customWidth="1"/>
    <col min="29" max="41" width="11.42578125" style="100" customWidth="1"/>
    <col min="42" max="249" width="11.42578125" style="100"/>
    <col min="250" max="16384" width="11.42578125" style="47"/>
  </cols>
  <sheetData>
    <row r="1" spans="1:249" s="107" customFormat="1" x14ac:dyDescent="0.2">
      <c r="C1" s="108"/>
      <c r="F1" s="109"/>
      <c r="J1" s="109"/>
      <c r="N1" s="110"/>
      <c r="X1" s="109"/>
      <c r="Z1" s="46"/>
      <c r="AA1" s="111"/>
      <c r="AB1" s="46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100"/>
      <c r="EL1" s="100"/>
      <c r="EM1" s="100"/>
      <c r="EN1" s="100"/>
      <c r="EO1" s="100"/>
      <c r="EP1" s="100"/>
      <c r="EQ1" s="100"/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100"/>
      <c r="FC1" s="100"/>
      <c r="FD1" s="100"/>
      <c r="FE1" s="100"/>
      <c r="FF1" s="100"/>
      <c r="FG1" s="100"/>
      <c r="FH1" s="100"/>
      <c r="FI1" s="100"/>
      <c r="FJ1" s="100"/>
      <c r="FK1" s="100"/>
      <c r="FL1" s="100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  <c r="GB1" s="100"/>
      <c r="GC1" s="100"/>
      <c r="GD1" s="100"/>
      <c r="GE1" s="100"/>
      <c r="GF1" s="100"/>
      <c r="GG1" s="100"/>
      <c r="GH1" s="100"/>
      <c r="GI1" s="100"/>
      <c r="GJ1" s="100"/>
      <c r="GK1" s="100"/>
      <c r="GL1" s="100"/>
      <c r="GM1" s="100"/>
      <c r="GN1" s="100"/>
      <c r="GO1" s="100"/>
      <c r="GP1" s="100"/>
      <c r="GQ1" s="100"/>
      <c r="GR1" s="100"/>
      <c r="GS1" s="100"/>
      <c r="GT1" s="100"/>
      <c r="GU1" s="100"/>
      <c r="GV1" s="100"/>
      <c r="GW1" s="100"/>
      <c r="GX1" s="100"/>
      <c r="GY1" s="100"/>
      <c r="GZ1" s="100"/>
      <c r="HA1" s="100"/>
      <c r="HB1" s="100"/>
      <c r="HC1" s="100"/>
      <c r="HD1" s="100"/>
      <c r="HE1" s="100"/>
      <c r="HF1" s="100"/>
      <c r="HG1" s="100"/>
      <c r="HH1" s="100"/>
      <c r="HI1" s="100"/>
      <c r="HJ1" s="100"/>
      <c r="HK1" s="100"/>
      <c r="HL1" s="100"/>
      <c r="HM1" s="100"/>
      <c r="HN1" s="100"/>
      <c r="HO1" s="100"/>
      <c r="HP1" s="100"/>
      <c r="HQ1" s="100"/>
      <c r="HR1" s="100"/>
      <c r="HS1" s="100"/>
      <c r="HT1" s="100"/>
      <c r="HU1" s="100"/>
      <c r="HV1" s="100"/>
      <c r="HW1" s="100"/>
      <c r="HX1" s="100"/>
      <c r="HY1" s="100"/>
      <c r="HZ1" s="100"/>
      <c r="IA1" s="100"/>
      <c r="IB1" s="100"/>
      <c r="IC1" s="100"/>
      <c r="ID1" s="100"/>
      <c r="IE1" s="100"/>
      <c r="IF1" s="100"/>
      <c r="IG1" s="100"/>
      <c r="IH1" s="100"/>
      <c r="II1" s="100"/>
      <c r="IJ1" s="100"/>
      <c r="IK1" s="100"/>
      <c r="IL1" s="100"/>
      <c r="IM1" s="100"/>
      <c r="IN1" s="100"/>
      <c r="IO1" s="100"/>
    </row>
    <row r="2" spans="1:249" s="107" customFormat="1" x14ac:dyDescent="0.2">
      <c r="A2" s="166" t="s">
        <v>629</v>
      </c>
      <c r="B2" s="166"/>
      <c r="C2" s="166"/>
      <c r="D2" s="166"/>
      <c r="E2" s="166"/>
      <c r="F2" s="109"/>
      <c r="G2" s="166" t="s">
        <v>630</v>
      </c>
      <c r="H2" s="166"/>
      <c r="I2" s="166"/>
      <c r="J2" s="109"/>
      <c r="K2" s="166" t="s">
        <v>631</v>
      </c>
      <c r="L2" s="166"/>
      <c r="M2" s="166"/>
      <c r="N2" s="110"/>
      <c r="O2" s="166" t="s">
        <v>632</v>
      </c>
      <c r="P2" s="166"/>
      <c r="Q2" s="166"/>
      <c r="R2" s="166"/>
      <c r="S2" s="166"/>
      <c r="T2" s="166"/>
      <c r="U2" s="166"/>
      <c r="V2" s="166"/>
      <c r="W2" s="166"/>
      <c r="X2" s="109"/>
      <c r="Z2" s="46"/>
      <c r="AA2" s="111"/>
      <c r="AB2" s="46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0"/>
      <c r="ES2" s="100"/>
      <c r="ET2" s="100"/>
      <c r="EU2" s="100"/>
      <c r="EV2" s="100"/>
      <c r="EW2" s="100"/>
      <c r="EX2" s="100"/>
      <c r="EY2" s="100"/>
      <c r="EZ2" s="100"/>
      <c r="FA2" s="100"/>
      <c r="FB2" s="100"/>
      <c r="FC2" s="100"/>
      <c r="FD2" s="100"/>
      <c r="FE2" s="100"/>
      <c r="FF2" s="100"/>
      <c r="FG2" s="100"/>
      <c r="FH2" s="100"/>
      <c r="FI2" s="100"/>
      <c r="FJ2" s="100"/>
      <c r="FK2" s="100"/>
      <c r="FL2" s="100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  <c r="GB2" s="100"/>
      <c r="GC2" s="100"/>
      <c r="GD2" s="100"/>
      <c r="GE2" s="100"/>
      <c r="GF2" s="100"/>
      <c r="GG2" s="100"/>
      <c r="GH2" s="100"/>
      <c r="GI2" s="100"/>
      <c r="GJ2" s="100"/>
      <c r="GK2" s="100"/>
      <c r="GL2" s="100"/>
      <c r="GM2" s="100"/>
      <c r="GN2" s="100"/>
      <c r="GO2" s="100"/>
      <c r="GP2" s="100"/>
      <c r="GQ2" s="100"/>
      <c r="GR2" s="100"/>
      <c r="GS2" s="100"/>
      <c r="GT2" s="100"/>
      <c r="GU2" s="100"/>
      <c r="GV2" s="100"/>
      <c r="GW2" s="100"/>
      <c r="GX2" s="100"/>
      <c r="GY2" s="100"/>
      <c r="GZ2" s="100"/>
      <c r="HA2" s="100"/>
      <c r="HB2" s="100"/>
      <c r="HC2" s="100"/>
      <c r="HD2" s="100"/>
      <c r="HE2" s="100"/>
      <c r="HF2" s="100"/>
      <c r="HG2" s="100"/>
      <c r="HH2" s="100"/>
      <c r="HI2" s="100"/>
      <c r="HJ2" s="100"/>
      <c r="HK2" s="100"/>
      <c r="HL2" s="100"/>
      <c r="HM2" s="100"/>
      <c r="HN2" s="100"/>
      <c r="HO2" s="100"/>
      <c r="HP2" s="100"/>
      <c r="HQ2" s="100"/>
      <c r="HR2" s="100"/>
      <c r="HS2" s="100"/>
      <c r="HT2" s="100"/>
      <c r="HU2" s="100"/>
      <c r="HV2" s="100"/>
      <c r="HW2" s="100"/>
      <c r="HX2" s="100"/>
      <c r="HY2" s="100"/>
      <c r="HZ2" s="100"/>
      <c r="IA2" s="100"/>
      <c r="IB2" s="100"/>
      <c r="IC2" s="100"/>
      <c r="ID2" s="100"/>
      <c r="IE2" s="100"/>
      <c r="IF2" s="100"/>
      <c r="IG2" s="100"/>
      <c r="IH2" s="100"/>
      <c r="II2" s="100"/>
      <c r="IJ2" s="100"/>
      <c r="IK2" s="100"/>
      <c r="IL2" s="100"/>
      <c r="IM2" s="100"/>
      <c r="IN2" s="100"/>
      <c r="IO2" s="100"/>
    </row>
    <row r="3" spans="1:249" ht="39" thickBot="1" x14ac:dyDescent="0.25">
      <c r="A3" s="112" t="s">
        <v>622</v>
      </c>
      <c r="B3" s="112" t="s">
        <v>623</v>
      </c>
      <c r="C3" s="112" t="s">
        <v>3</v>
      </c>
      <c r="D3" s="112" t="s">
        <v>633</v>
      </c>
      <c r="E3" s="113" t="s">
        <v>634</v>
      </c>
      <c r="F3" s="114" t="s">
        <v>635</v>
      </c>
      <c r="G3" s="115" t="s">
        <v>636</v>
      </c>
      <c r="H3" s="115" t="s">
        <v>637</v>
      </c>
      <c r="I3" s="115" t="s">
        <v>638</v>
      </c>
      <c r="J3" s="114" t="s">
        <v>639</v>
      </c>
      <c r="K3" s="116" t="s">
        <v>121</v>
      </c>
      <c r="L3" s="112" t="s">
        <v>640</v>
      </c>
      <c r="M3" s="117" t="s">
        <v>641</v>
      </c>
      <c r="N3" s="118" t="s">
        <v>642</v>
      </c>
      <c r="O3" s="112" t="s">
        <v>643</v>
      </c>
      <c r="P3" s="112" t="s">
        <v>644</v>
      </c>
      <c r="Q3" s="112" t="s">
        <v>645</v>
      </c>
      <c r="R3" s="112" t="s">
        <v>645</v>
      </c>
      <c r="S3" s="112" t="s">
        <v>645</v>
      </c>
      <c r="T3" s="112" t="s">
        <v>645</v>
      </c>
      <c r="U3" s="112" t="s">
        <v>646</v>
      </c>
      <c r="V3" s="112" t="s">
        <v>647</v>
      </c>
      <c r="W3" s="112" t="s">
        <v>648</v>
      </c>
      <c r="X3" s="114" t="s">
        <v>649</v>
      </c>
      <c r="Y3" s="119" t="s">
        <v>650</v>
      </c>
      <c r="Z3" s="119" t="s">
        <v>651</v>
      </c>
      <c r="AA3" s="141" t="s">
        <v>652</v>
      </c>
      <c r="AB3" s="119" t="s">
        <v>533</v>
      </c>
    </row>
    <row r="4" spans="1:249" s="100" customFormat="1" ht="13.5" thickTop="1" x14ac:dyDescent="0.2">
      <c r="A4" s="99" t="s">
        <v>9</v>
      </c>
      <c r="B4" s="99" t="s">
        <v>5</v>
      </c>
      <c r="C4" s="98" t="s">
        <v>314</v>
      </c>
      <c r="D4" s="99">
        <f>VLOOKUP(C4,'CPD PITS'!$B$9:$Y$27,24,0)</f>
        <v>2774.6</v>
      </c>
      <c r="E4" s="99"/>
      <c r="F4" s="122"/>
      <c r="G4" s="100">
        <f>VLOOKUP(C4,'SIND PITS'!$C$7:$D$106,2,0)</f>
        <v>1475.4</v>
      </c>
      <c r="H4" s="100">
        <f>VLOOKUP(C4,'SIND PITS'!$C$7:$E$106,3,0)</f>
        <v>0</v>
      </c>
      <c r="I4" s="100">
        <f>VLOOKUP(C4,'SIND PITS'!$C$7:$F$105,4,0)</f>
        <v>0</v>
      </c>
      <c r="J4" s="109"/>
      <c r="K4" s="100">
        <f>+D4+E4+G4+H4+I4</f>
        <v>4250</v>
      </c>
      <c r="L4" s="100">
        <v>8500</v>
      </c>
      <c r="M4" s="100">
        <v>4250</v>
      </c>
      <c r="N4" s="110"/>
      <c r="O4" s="100">
        <f>VLOOKUP(C4,'CPD PITS'!$B$9:$I$27,8,0)</f>
        <v>0</v>
      </c>
      <c r="P4" s="100">
        <f>+H4+I4</f>
        <v>0</v>
      </c>
      <c r="Q4" s="100">
        <f>VLOOKUP(C4,'CPD PITS'!$B$9:$R$27,17,0)</f>
        <v>0</v>
      </c>
      <c r="R4" s="100">
        <f>VLOOKUP(C4,'CPD PITS'!$B$9:$Q$27,16,0)</f>
        <v>0</v>
      </c>
      <c r="S4" s="100">
        <v>0</v>
      </c>
      <c r="T4" s="100">
        <f>VLOOKUP(C4,'CPD PITS'!$B$9:$T$27,19,0)</f>
        <v>0</v>
      </c>
      <c r="W4" s="100">
        <f>VLOOKUP(C4,'CPD PITS'!$B$9:$V$27,21,0)</f>
        <v>0</v>
      </c>
      <c r="X4" s="109"/>
      <c r="Y4" s="100">
        <f>+K4-O4-P4+Q4+R4+S4+T4+U4+V4+W4</f>
        <v>4250</v>
      </c>
      <c r="Z4" s="46">
        <f>+M4-Y4</f>
        <v>0</v>
      </c>
      <c r="AA4" s="46"/>
      <c r="AB4" s="100" t="s">
        <v>669</v>
      </c>
    </row>
    <row r="5" spans="1:249" s="100" customFormat="1" x14ac:dyDescent="0.2">
      <c r="A5" s="99" t="s">
        <v>11</v>
      </c>
      <c r="B5" s="99" t="s">
        <v>5</v>
      </c>
      <c r="C5" s="98" t="s">
        <v>315</v>
      </c>
      <c r="D5" s="99">
        <f>VLOOKUP(C5,'CPD PITS'!$B$9:$Y$27,24,0)</f>
        <v>2911.8</v>
      </c>
      <c r="E5" s="99"/>
      <c r="F5" s="122"/>
      <c r="G5" s="100">
        <f>VLOOKUP(C5,'SIND PITS'!$C$7:$D$106,2,0)</f>
        <v>1588.1999999999994</v>
      </c>
      <c r="H5" s="100">
        <f>VLOOKUP(C5,'SIND PITS'!$C$7:$E$106,3,0)</f>
        <v>375</v>
      </c>
      <c r="I5" s="100">
        <f>VLOOKUP(C5,'SIND PITS'!$C$7:$F$105,4,0)</f>
        <v>0</v>
      </c>
      <c r="J5" s="109"/>
      <c r="K5" s="100">
        <f t="shared" ref="K5:K68" si="0">+D5+E5+G5+H5+I5</f>
        <v>4875</v>
      </c>
      <c r="L5" s="100">
        <v>9000</v>
      </c>
      <c r="M5" s="100">
        <v>4500</v>
      </c>
      <c r="N5" s="110"/>
      <c r="O5" s="100">
        <f>VLOOKUP(C5,'CPD PITS'!$B$9:$I$27,8,0)</f>
        <v>0</v>
      </c>
      <c r="P5" s="100">
        <f t="shared" ref="P5:P68" si="1">+H5+I5</f>
        <v>375</v>
      </c>
      <c r="Q5" s="100">
        <f>VLOOKUP(C5,'CPD PITS'!$B$9:$R$27,17,0)</f>
        <v>0</v>
      </c>
      <c r="R5" s="100">
        <f>VLOOKUP(C5,'CPD PITS'!$B$9:$Q$27,16,0)</f>
        <v>0</v>
      </c>
      <c r="S5" s="100">
        <v>0</v>
      </c>
      <c r="T5" s="100">
        <f>VLOOKUP(C5,'CPD PITS'!$B$9:$T$27,19,0)</f>
        <v>0</v>
      </c>
      <c r="W5" s="100">
        <f>VLOOKUP(C5,'CPD PITS'!$B$9:$V$27,21,0)</f>
        <v>0</v>
      </c>
      <c r="X5" s="109"/>
      <c r="Y5" s="100">
        <f t="shared" ref="Y5:Y68" si="2">+K5-O5-P5+Q5+R5+S5+T5+U5+V5+W5</f>
        <v>4500</v>
      </c>
      <c r="Z5" s="46">
        <f t="shared" ref="Z5:Z68" si="3">+M5-Y5</f>
        <v>0</v>
      </c>
      <c r="AA5" s="46"/>
      <c r="AB5" s="100" t="s">
        <v>669</v>
      </c>
    </row>
    <row r="6" spans="1:249" s="100" customFormat="1" x14ac:dyDescent="0.2">
      <c r="A6" s="99" t="s">
        <v>211</v>
      </c>
      <c r="B6" s="99" t="s">
        <v>5</v>
      </c>
      <c r="C6" s="98" t="s">
        <v>318</v>
      </c>
      <c r="D6" s="99">
        <f>VLOOKUP(C6,'CPD PITS'!$B$9:$Y$27,24,0)</f>
        <v>4036</v>
      </c>
      <c r="E6" s="99"/>
      <c r="F6" s="122"/>
      <c r="G6" s="100">
        <f>VLOOKUP(C6,'SIND PITS'!$C$7:$D$106,2,0)</f>
        <v>2464</v>
      </c>
      <c r="H6" s="100">
        <f>VLOOKUP(C6,'SIND PITS'!$C$7:$E$106,3,0)</f>
        <v>1000</v>
      </c>
      <c r="I6" s="100">
        <f>VLOOKUP(C6,'SIND PITS'!$C$7:$F$105,4,0)</f>
        <v>0</v>
      </c>
      <c r="J6" s="109"/>
      <c r="K6" s="100">
        <f t="shared" si="0"/>
        <v>7500</v>
      </c>
      <c r="L6" s="100">
        <v>13000</v>
      </c>
      <c r="M6" s="100">
        <v>6500</v>
      </c>
      <c r="N6" s="110"/>
      <c r="O6" s="100">
        <f>VLOOKUP(C6,'CPD PITS'!$B$9:$I$27,8,0)</f>
        <v>0</v>
      </c>
      <c r="P6" s="100">
        <f t="shared" si="1"/>
        <v>1000</v>
      </c>
      <c r="Q6" s="100">
        <f>VLOOKUP(C6,'CPD PITS'!$B$9:$R$27,17,0)</f>
        <v>0</v>
      </c>
      <c r="R6" s="100">
        <f>VLOOKUP(C6,'CPD PITS'!$B$9:$Q$27,16,0)</f>
        <v>0</v>
      </c>
      <c r="S6" s="100">
        <v>0</v>
      </c>
      <c r="T6" s="100">
        <f>VLOOKUP(C6,'CPD PITS'!$B$9:$T$27,19,0)</f>
        <v>0</v>
      </c>
      <c r="W6" s="100">
        <f>VLOOKUP(C6,'CPD PITS'!$B$9:$V$27,21,0)</f>
        <v>0</v>
      </c>
      <c r="X6" s="109"/>
      <c r="Y6" s="100">
        <f t="shared" si="2"/>
        <v>6500</v>
      </c>
      <c r="Z6" s="46">
        <f t="shared" si="3"/>
        <v>0</v>
      </c>
      <c r="AA6" s="46"/>
      <c r="AB6" s="100" t="s">
        <v>669</v>
      </c>
    </row>
    <row r="7" spans="1:249" s="100" customFormat="1" x14ac:dyDescent="0.2">
      <c r="A7" s="99" t="s">
        <v>212</v>
      </c>
      <c r="B7" s="99" t="s">
        <v>5</v>
      </c>
      <c r="C7" s="98" t="s">
        <v>319</v>
      </c>
      <c r="D7" s="99">
        <f>VLOOKUP(C7,'CPD PITS'!$B$9:$Y$27,24,0)</f>
        <v>5074</v>
      </c>
      <c r="E7" s="99"/>
      <c r="F7" s="122"/>
      <c r="G7" s="100">
        <f>VLOOKUP(C7,'SIND PITS'!$C$7:$D$106,2,0)</f>
        <v>4176.0000000000009</v>
      </c>
      <c r="H7" s="100">
        <f>VLOOKUP(C7,'SIND PITS'!$C$7:$E$106,3,0)</f>
        <v>750</v>
      </c>
      <c r="I7" s="100">
        <f>VLOOKUP(C7,'SIND PITS'!$C$7:$F$105,4,0)</f>
        <v>0</v>
      </c>
      <c r="J7" s="109"/>
      <c r="K7" s="100">
        <f t="shared" si="0"/>
        <v>10000</v>
      </c>
      <c r="L7" s="100">
        <v>18500</v>
      </c>
      <c r="M7" s="100">
        <v>9250</v>
      </c>
      <c r="N7" s="110"/>
      <c r="O7" s="100">
        <f>VLOOKUP(C7,'CPD PITS'!$B$9:$I$27,8,0)</f>
        <v>0</v>
      </c>
      <c r="P7" s="100">
        <f t="shared" si="1"/>
        <v>750</v>
      </c>
      <c r="Q7" s="100">
        <f>VLOOKUP(C7,'CPD PITS'!$B$9:$R$27,17,0)</f>
        <v>0</v>
      </c>
      <c r="R7" s="100">
        <f>VLOOKUP(C7,'CPD PITS'!$B$9:$Q$27,16,0)</f>
        <v>0</v>
      </c>
      <c r="S7" s="100">
        <v>0</v>
      </c>
      <c r="T7" s="100">
        <f>VLOOKUP(C7,'CPD PITS'!$B$9:$T$27,19,0)</f>
        <v>0</v>
      </c>
      <c r="W7" s="100">
        <f>VLOOKUP(C7,'CPD PITS'!$B$9:$V$27,21,0)</f>
        <v>0</v>
      </c>
      <c r="X7" s="109"/>
      <c r="Y7" s="100">
        <f t="shared" si="2"/>
        <v>9250</v>
      </c>
      <c r="Z7" s="46">
        <f t="shared" si="3"/>
        <v>0</v>
      </c>
      <c r="AA7" s="46"/>
      <c r="AB7" s="100" t="s">
        <v>669</v>
      </c>
    </row>
    <row r="8" spans="1:249" s="100" customFormat="1" x14ac:dyDescent="0.2">
      <c r="A8" s="99" t="s">
        <v>15</v>
      </c>
      <c r="B8" s="99" t="s">
        <v>5</v>
      </c>
      <c r="C8" s="98" t="s">
        <v>320</v>
      </c>
      <c r="D8" s="99">
        <f>VLOOKUP(C8,'CPD PITS'!$B$9:$Y$27,24,0)</f>
        <v>4899.6000000000004</v>
      </c>
      <c r="E8" s="99"/>
      <c r="F8" s="122"/>
      <c r="G8" s="100">
        <f>VLOOKUP(C8,'SIND PITS'!$C$7:$D$106,2,0)</f>
        <v>2600.3999999999996</v>
      </c>
      <c r="H8" s="100">
        <f>VLOOKUP(C8,'SIND PITS'!$C$7:$E$106,3,0)</f>
        <v>1121.5</v>
      </c>
      <c r="I8" s="100">
        <f>VLOOKUP(C8,'SIND PITS'!$C$7:$F$105,4,0)</f>
        <v>0</v>
      </c>
      <c r="J8" s="109"/>
      <c r="K8" s="100">
        <f t="shared" si="0"/>
        <v>8621.5</v>
      </c>
      <c r="L8" s="100">
        <v>15000</v>
      </c>
      <c r="M8" s="100">
        <v>7500</v>
      </c>
      <c r="N8" s="110"/>
      <c r="O8" s="100">
        <f>VLOOKUP(C8,'CPD PITS'!$B$9:$I$27,8,0)</f>
        <v>0</v>
      </c>
      <c r="P8" s="100">
        <f t="shared" si="1"/>
        <v>1121.5</v>
      </c>
      <c r="Q8" s="100">
        <f>VLOOKUP(C8,'CPD PITS'!$B$9:$R$27,17,0)</f>
        <v>0</v>
      </c>
      <c r="R8" s="100">
        <f>VLOOKUP(C8,'CPD PITS'!$B$9:$Q$27,16,0)</f>
        <v>0</v>
      </c>
      <c r="S8" s="100">
        <v>0</v>
      </c>
      <c r="T8" s="100">
        <f>VLOOKUP(C8,'CPD PITS'!$B$9:$T$27,19,0)</f>
        <v>0</v>
      </c>
      <c r="W8" s="100">
        <f>VLOOKUP(C8,'CPD PITS'!$B$9:$V$27,21,0)</f>
        <v>0</v>
      </c>
      <c r="X8" s="109"/>
      <c r="Y8" s="100">
        <f t="shared" si="2"/>
        <v>7500</v>
      </c>
      <c r="Z8" s="46">
        <f t="shared" si="3"/>
        <v>0</v>
      </c>
      <c r="AA8" s="46"/>
      <c r="AB8" s="100" t="s">
        <v>669</v>
      </c>
    </row>
    <row r="9" spans="1:249" s="100" customFormat="1" x14ac:dyDescent="0.2">
      <c r="A9" s="99" t="s">
        <v>17</v>
      </c>
      <c r="B9" s="99" t="s">
        <v>5</v>
      </c>
      <c r="C9" s="98" t="s">
        <v>321</v>
      </c>
      <c r="D9" s="99">
        <f>VLOOKUP(C9,'CPD PITS'!$B$9:$Y$27,24,0)</f>
        <v>1927.6</v>
      </c>
      <c r="E9" s="99"/>
      <c r="F9" s="122"/>
      <c r="G9" s="100">
        <f>VLOOKUP(C9,'SIND PITS'!$C$7:$D$106,2,0)</f>
        <v>1558.1100000000006</v>
      </c>
      <c r="H9" s="100">
        <f>VLOOKUP(C9,'SIND PITS'!$C$7:$E$106,3,0)</f>
        <v>501</v>
      </c>
      <c r="I9" s="100">
        <f>VLOOKUP(C9,'SIND PITS'!$C$7:$F$105,4,0)</f>
        <v>0</v>
      </c>
      <c r="J9" s="109"/>
      <c r="K9" s="100">
        <f t="shared" si="0"/>
        <v>3986.7100000000005</v>
      </c>
      <c r="L9" s="100">
        <v>10150</v>
      </c>
      <c r="M9" s="100">
        <v>5075</v>
      </c>
      <c r="N9" s="110"/>
      <c r="O9" s="100">
        <f>VLOOKUP(C9,'CPD PITS'!$B$9:$I$27,8,0)</f>
        <v>0</v>
      </c>
      <c r="P9" s="100">
        <f t="shared" si="1"/>
        <v>501</v>
      </c>
      <c r="Q9" s="100">
        <f>VLOOKUP(C9,'CPD PITS'!$B$9:$R$27,17,0)</f>
        <v>1574.29</v>
      </c>
      <c r="R9" s="100">
        <f>VLOOKUP(C9,'CPD PITS'!$B$9:$Q$27,16,0)</f>
        <v>0</v>
      </c>
      <c r="S9" s="100">
        <v>0</v>
      </c>
      <c r="T9" s="100">
        <f>VLOOKUP(C9,'CPD PITS'!$B$9:$T$27,19,0)</f>
        <v>15</v>
      </c>
      <c r="W9" s="100">
        <f>VLOOKUP(C9,'CPD PITS'!$B$9:$V$27,21,0)</f>
        <v>0</v>
      </c>
      <c r="X9" s="109"/>
      <c r="Y9" s="100">
        <f t="shared" si="2"/>
        <v>5075</v>
      </c>
      <c r="Z9" s="46">
        <f t="shared" si="3"/>
        <v>0</v>
      </c>
      <c r="AA9" s="46"/>
      <c r="AB9" s="100" t="s">
        <v>669</v>
      </c>
    </row>
    <row r="10" spans="1:249" s="100" customFormat="1" x14ac:dyDescent="0.2">
      <c r="A10" s="99" t="s">
        <v>19</v>
      </c>
      <c r="B10" s="99" t="s">
        <v>5</v>
      </c>
      <c r="C10" s="98" t="s">
        <v>322</v>
      </c>
      <c r="D10" s="99">
        <f>VLOOKUP(C10,'CPD PITS'!$B$9:$Y$27,24,0)</f>
        <v>4899.8</v>
      </c>
      <c r="E10" s="99"/>
      <c r="F10" s="122"/>
      <c r="G10" s="100">
        <f>VLOOKUP(C10,'SIND PITS'!$C$7:$D$106,2,0)</f>
        <v>2600.2000000000003</v>
      </c>
      <c r="H10" s="100">
        <f>VLOOKUP(C10,'SIND PITS'!$C$7:$E$106,3,0)</f>
        <v>216.5</v>
      </c>
      <c r="I10" s="100">
        <f>VLOOKUP(C10,'SIND PITS'!$C$7:$F$105,4,0)</f>
        <v>0</v>
      </c>
      <c r="J10" s="109"/>
      <c r="K10" s="100">
        <f t="shared" si="0"/>
        <v>7716.5</v>
      </c>
      <c r="L10" s="100">
        <v>15000</v>
      </c>
      <c r="M10" s="100">
        <v>7500</v>
      </c>
      <c r="N10" s="110"/>
      <c r="O10" s="100">
        <f>VLOOKUP(C10,'CPD PITS'!$B$9:$I$27,8,0)</f>
        <v>0</v>
      </c>
      <c r="P10" s="100">
        <f t="shared" si="1"/>
        <v>216.5</v>
      </c>
      <c r="Q10" s="100">
        <f>VLOOKUP(C10,'CPD PITS'!$B$9:$R$27,17,0)</f>
        <v>0</v>
      </c>
      <c r="R10" s="100">
        <f>VLOOKUP(C10,'CPD PITS'!$B$9:$Q$27,16,0)</f>
        <v>0</v>
      </c>
      <c r="S10" s="100">
        <v>0</v>
      </c>
      <c r="T10" s="100">
        <f>VLOOKUP(C10,'CPD PITS'!$B$9:$T$27,19,0)</f>
        <v>0</v>
      </c>
      <c r="W10" s="100">
        <f>VLOOKUP(C10,'CPD PITS'!$B$9:$V$27,21,0)</f>
        <v>0</v>
      </c>
      <c r="X10" s="109"/>
      <c r="Y10" s="100">
        <f t="shared" si="2"/>
        <v>7500</v>
      </c>
      <c r="Z10" s="46">
        <f t="shared" si="3"/>
        <v>0</v>
      </c>
      <c r="AA10" s="46"/>
      <c r="AB10" s="100" t="s">
        <v>669</v>
      </c>
    </row>
    <row r="11" spans="1:249" s="100" customFormat="1" x14ac:dyDescent="0.2">
      <c r="A11" s="99" t="s">
        <v>21</v>
      </c>
      <c r="B11" s="99" t="s">
        <v>5</v>
      </c>
      <c r="C11" s="98" t="s">
        <v>323</v>
      </c>
      <c r="D11" s="99">
        <f>VLOOKUP(C11,'CPD PITS'!$B$9:$Y$27,24,0)</f>
        <v>1675.4</v>
      </c>
      <c r="E11" s="99"/>
      <c r="F11" s="122"/>
      <c r="G11" s="100">
        <f>VLOOKUP(C11,'SIND PITS'!$C$7:$D$106,2,0)</f>
        <v>1558.0899999999992</v>
      </c>
      <c r="H11" s="100">
        <f>VLOOKUP(C11,'SIND PITS'!$C$7:$E$106,3,0)</f>
        <v>1066</v>
      </c>
      <c r="I11" s="100">
        <f>VLOOKUP(C11,'SIND PITS'!$C$7:$F$105,4,0)</f>
        <v>0</v>
      </c>
      <c r="J11" s="109"/>
      <c r="K11" s="100">
        <f t="shared" si="0"/>
        <v>4299.49</v>
      </c>
      <c r="L11" s="100">
        <v>10150</v>
      </c>
      <c r="M11" s="100">
        <v>5075</v>
      </c>
      <c r="N11" s="110"/>
      <c r="O11" s="100">
        <f>VLOOKUP(C11,'CPD PITS'!$B$9:$I$27,8,0)</f>
        <v>0</v>
      </c>
      <c r="P11" s="100">
        <f t="shared" si="1"/>
        <v>1066</v>
      </c>
      <c r="Q11" s="100">
        <f>VLOOKUP(C11,'CPD PITS'!$B$9:$R$27,17,0)</f>
        <v>1826.51</v>
      </c>
      <c r="R11" s="100">
        <f>VLOOKUP(C11,'CPD PITS'!$B$9:$Q$27,16,0)</f>
        <v>0</v>
      </c>
      <c r="S11" s="100">
        <v>0</v>
      </c>
      <c r="T11" s="100">
        <f>VLOOKUP(C11,'CPD PITS'!$B$9:$T$27,19,0)</f>
        <v>15</v>
      </c>
      <c r="W11" s="100">
        <f>VLOOKUP(C11,'CPD PITS'!$B$9:$V$27,21,0)</f>
        <v>0</v>
      </c>
      <c r="X11" s="109"/>
      <c r="Y11" s="100">
        <f t="shared" si="2"/>
        <v>5075</v>
      </c>
      <c r="Z11" s="46">
        <f t="shared" si="3"/>
        <v>0</v>
      </c>
      <c r="AA11" s="46"/>
      <c r="AB11" s="100" t="s">
        <v>669</v>
      </c>
    </row>
    <row r="12" spans="1:249" s="100" customFormat="1" x14ac:dyDescent="0.2">
      <c r="A12" s="99" t="s">
        <v>23</v>
      </c>
      <c r="B12" s="99" t="s">
        <v>5</v>
      </c>
      <c r="C12" s="98" t="s">
        <v>324</v>
      </c>
      <c r="D12" s="99">
        <f>VLOOKUP(C12,'CPD PITS'!$B$9:$Y$27,24,0)</f>
        <v>3336.6</v>
      </c>
      <c r="E12" s="99"/>
      <c r="F12" s="122"/>
      <c r="G12" s="100">
        <f>VLOOKUP(C12,'SIND PITS'!$C$7:$D$106,2,0)</f>
        <v>1891.0800000000008</v>
      </c>
      <c r="H12" s="100">
        <f>VLOOKUP(C12,'SIND PITS'!$C$7:$E$106,3,0)</f>
        <v>0</v>
      </c>
      <c r="I12" s="100">
        <f>VLOOKUP(C12,'SIND PITS'!$C$7:$F$105,4,0)</f>
        <v>0</v>
      </c>
      <c r="J12" s="109"/>
      <c r="K12" s="100">
        <f t="shared" si="0"/>
        <v>5227.68</v>
      </c>
      <c r="L12" s="100">
        <v>12000</v>
      </c>
      <c r="M12" s="100">
        <v>6000</v>
      </c>
      <c r="N12" s="110"/>
      <c r="O12" s="100">
        <f>VLOOKUP(C12,'CPD PITS'!$B$9:$I$27,8,0)</f>
        <v>0</v>
      </c>
      <c r="P12" s="100">
        <f t="shared" si="1"/>
        <v>0</v>
      </c>
      <c r="Q12" s="100">
        <f>VLOOKUP(C12,'CPD PITS'!$B$9:$R$27,17,0)</f>
        <v>757.32</v>
      </c>
      <c r="R12" s="100">
        <f>VLOOKUP(C12,'CPD PITS'!$B$9:$Q$27,16,0)</f>
        <v>0</v>
      </c>
      <c r="S12" s="100">
        <v>0</v>
      </c>
      <c r="T12" s="100">
        <f>VLOOKUP(C12,'CPD PITS'!$B$9:$T$27,19,0)</f>
        <v>15</v>
      </c>
      <c r="W12" s="100">
        <f>VLOOKUP(C12,'CPD PITS'!$B$9:$V$27,21,0)</f>
        <v>0</v>
      </c>
      <c r="X12" s="109"/>
      <c r="Y12" s="100">
        <f t="shared" si="2"/>
        <v>6000</v>
      </c>
      <c r="Z12" s="46">
        <f t="shared" si="3"/>
        <v>0</v>
      </c>
      <c r="AA12" s="46"/>
      <c r="AB12" s="100" t="s">
        <v>669</v>
      </c>
    </row>
    <row r="13" spans="1:249" s="100" customFormat="1" x14ac:dyDescent="0.2">
      <c r="A13" s="102" t="s">
        <v>25</v>
      </c>
      <c r="B13" s="102" t="s">
        <v>5</v>
      </c>
      <c r="C13" s="101" t="s">
        <v>325</v>
      </c>
      <c r="D13" s="99">
        <f>VLOOKUP(C13,'CPD PITS'!$B$9:$Y$27,24,0)</f>
        <v>3060</v>
      </c>
      <c r="E13" s="102"/>
      <c r="F13" s="122"/>
      <c r="G13" s="100">
        <f>VLOOKUP(C13,'SIND PITS'!$C$7:$D$106,2,0)</f>
        <v>2751</v>
      </c>
      <c r="H13" s="100">
        <f>VLOOKUP(C13,'SIND PITS'!$C$7:$E$106,3,0)</f>
        <v>250</v>
      </c>
      <c r="I13" s="100">
        <f>VLOOKUP(C13,'SIND PITS'!$C$7:$F$105,4,0)</f>
        <v>0</v>
      </c>
      <c r="J13" s="109"/>
      <c r="K13" s="100">
        <f t="shared" si="0"/>
        <v>6061</v>
      </c>
      <c r="L13" s="46">
        <v>15000</v>
      </c>
      <c r="M13" s="46">
        <v>7500</v>
      </c>
      <c r="N13" s="110"/>
      <c r="O13" s="100">
        <f>VLOOKUP(C13,'CPD PITS'!$B$9:$I$27,8,0)</f>
        <v>0</v>
      </c>
      <c r="P13" s="100">
        <f t="shared" si="1"/>
        <v>250</v>
      </c>
      <c r="Q13" s="100">
        <f>VLOOKUP(C13,'CPD PITS'!$B$9:$R$27,17,0)</f>
        <v>1674</v>
      </c>
      <c r="R13" s="100">
        <f>VLOOKUP(C13,'CPD PITS'!$B$9:$Q$27,16,0)</f>
        <v>0</v>
      </c>
      <c r="S13" s="100">
        <v>0</v>
      </c>
      <c r="T13" s="100">
        <f>VLOOKUP(C13,'CPD PITS'!$B$9:$T$27,19,0)</f>
        <v>15</v>
      </c>
      <c r="W13" s="100">
        <f>VLOOKUP(C13,'CPD PITS'!$B$9:$V$27,21,0)</f>
        <v>0</v>
      </c>
      <c r="X13" s="109"/>
      <c r="Y13" s="100">
        <f t="shared" si="2"/>
        <v>7500</v>
      </c>
      <c r="Z13" s="46">
        <f t="shared" si="3"/>
        <v>0</v>
      </c>
      <c r="AA13" s="46"/>
      <c r="AB13" s="100" t="s">
        <v>669</v>
      </c>
    </row>
    <row r="14" spans="1:249" s="46" customFormat="1" x14ac:dyDescent="0.2">
      <c r="A14" s="99" t="s">
        <v>27</v>
      </c>
      <c r="B14" s="99" t="s">
        <v>5</v>
      </c>
      <c r="C14" s="98" t="s">
        <v>326</v>
      </c>
      <c r="D14" s="99">
        <f>VLOOKUP(C14,'CPD PITS'!$B$9:$Y$27,24,0)</f>
        <v>2967.4</v>
      </c>
      <c r="E14" s="99"/>
      <c r="F14" s="122"/>
      <c r="G14" s="100">
        <f>VLOOKUP(C14,'SIND PITS'!$C$7:$D$106,2,0)</f>
        <v>2102.8399999999992</v>
      </c>
      <c r="H14" s="100">
        <f>VLOOKUP(C14,'SIND PITS'!$C$7:$E$106,3,0)</f>
        <v>0</v>
      </c>
      <c r="I14" s="100">
        <f>VLOOKUP(C14,'SIND PITS'!$C$7:$F$105,4,0)</f>
        <v>234.01</v>
      </c>
      <c r="J14" s="109"/>
      <c r="K14" s="100">
        <f t="shared" si="0"/>
        <v>5304.25</v>
      </c>
      <c r="L14" s="100">
        <v>13000</v>
      </c>
      <c r="M14" s="100">
        <v>6500</v>
      </c>
      <c r="N14" s="110"/>
      <c r="O14" s="100">
        <f>VLOOKUP(C14,'CPD PITS'!$B$9:$I$27,8,0)</f>
        <v>285.99</v>
      </c>
      <c r="P14" s="100">
        <f t="shared" si="1"/>
        <v>234.01</v>
      </c>
      <c r="Q14" s="100">
        <f>VLOOKUP(C14,'CPD PITS'!$B$9:$R$27,17,0)</f>
        <v>1432.4</v>
      </c>
      <c r="R14" s="100">
        <f>VLOOKUP(C14,'CPD PITS'!$B$9:$Q$27,16,0)</f>
        <v>0</v>
      </c>
      <c r="S14" s="100">
        <v>0</v>
      </c>
      <c r="T14" s="100">
        <f>VLOOKUP(C14,'CPD PITS'!$B$9:$T$27,19,0)</f>
        <v>15</v>
      </c>
      <c r="U14" s="100"/>
      <c r="V14" s="100"/>
      <c r="W14" s="100">
        <f>VLOOKUP(C14,'CPD PITS'!$B$9:$V$27,21,0)</f>
        <v>268.35000000000002</v>
      </c>
      <c r="X14" s="109"/>
      <c r="Y14" s="100">
        <f t="shared" si="2"/>
        <v>6500</v>
      </c>
      <c r="Z14" s="46">
        <f t="shared" si="3"/>
        <v>0</v>
      </c>
      <c r="AB14" s="100" t="s">
        <v>669</v>
      </c>
    </row>
    <row r="15" spans="1:249" s="100" customFormat="1" x14ac:dyDescent="0.2">
      <c r="A15" s="99" t="s">
        <v>31</v>
      </c>
      <c r="B15" s="99" t="s">
        <v>5</v>
      </c>
      <c r="C15" s="101" t="s">
        <v>132</v>
      </c>
      <c r="D15" s="99">
        <f>VLOOKUP(C15,'CPD PITS'!$B$9:$Y$27,24,0)</f>
        <v>4899.8</v>
      </c>
      <c r="E15" s="99"/>
      <c r="F15" s="123"/>
      <c r="G15" s="100">
        <f>VLOOKUP(C15,'SIND PITS'!$C$7:$D$106,2,0)</f>
        <v>2600.1999999999998</v>
      </c>
      <c r="H15" s="100">
        <f>VLOOKUP(C15,'SIND PITS'!$C$7:$E$106,3,0)</f>
        <v>2068</v>
      </c>
      <c r="I15" s="100">
        <f>VLOOKUP(C15,'SIND PITS'!$C$7:$F$105,4,0)</f>
        <v>0</v>
      </c>
      <c r="J15" s="109"/>
      <c r="K15" s="100">
        <f t="shared" si="0"/>
        <v>9568</v>
      </c>
      <c r="L15" s="100">
        <v>15000</v>
      </c>
      <c r="M15" s="100">
        <v>7500</v>
      </c>
      <c r="N15" s="110"/>
      <c r="O15" s="100">
        <f>VLOOKUP(C15,'CPD PITS'!$B$9:$I$27,8,0)</f>
        <v>0</v>
      </c>
      <c r="P15" s="100">
        <f t="shared" si="1"/>
        <v>2068</v>
      </c>
      <c r="Q15" s="100">
        <f>VLOOKUP(C15,'CPD PITS'!$B$9:$R$27,17,0)</f>
        <v>0</v>
      </c>
      <c r="R15" s="100">
        <f>VLOOKUP(C15,'CPD PITS'!$B$9:$Q$27,16,0)</f>
        <v>0</v>
      </c>
      <c r="S15" s="100">
        <v>0</v>
      </c>
      <c r="T15" s="100">
        <f>VLOOKUP(C15,'CPD PITS'!$B$9:$T$27,19,0)</f>
        <v>0</v>
      </c>
      <c r="W15" s="100">
        <f>VLOOKUP(C15,'CPD PITS'!$B$9:$V$27,21,0)</f>
        <v>0</v>
      </c>
      <c r="X15" s="109"/>
      <c r="Y15" s="100">
        <f t="shared" si="2"/>
        <v>7500</v>
      </c>
      <c r="Z15" s="46">
        <f t="shared" si="3"/>
        <v>0</v>
      </c>
      <c r="AA15" s="46"/>
      <c r="AB15" s="100" t="s">
        <v>669</v>
      </c>
    </row>
    <row r="16" spans="1:249" s="100" customFormat="1" x14ac:dyDescent="0.2">
      <c r="A16" s="99" t="s">
        <v>35</v>
      </c>
      <c r="B16" s="99" t="s">
        <v>5</v>
      </c>
      <c r="C16" s="98" t="s">
        <v>330</v>
      </c>
      <c r="D16" s="99">
        <f>VLOOKUP(C16,'CPD PITS'!$B$9:$Y$27,24,0)</f>
        <v>1332.2</v>
      </c>
      <c r="E16" s="99"/>
      <c r="F16" s="123"/>
      <c r="G16" s="100">
        <f>VLOOKUP(C16,'SIND PITS'!$C$7:$D$106,2,0)</f>
        <v>1483.13</v>
      </c>
      <c r="H16" s="100">
        <f>VLOOKUP(C16,'SIND PITS'!$C$7:$E$106,3,0)</f>
        <v>83</v>
      </c>
      <c r="I16" s="100">
        <f>VLOOKUP(C16,'SIND PITS'!$C$7:$F$105,4,0)</f>
        <v>0</v>
      </c>
      <c r="J16" s="109"/>
      <c r="K16" s="100">
        <f t="shared" si="0"/>
        <v>2898.33</v>
      </c>
      <c r="L16" s="100">
        <v>10000</v>
      </c>
      <c r="M16" s="100">
        <v>5000</v>
      </c>
      <c r="N16" s="110"/>
      <c r="O16" s="100">
        <f>VLOOKUP(C16,'CPD PITS'!$B$9:$I$27,8,0)</f>
        <v>0</v>
      </c>
      <c r="P16" s="100">
        <f t="shared" si="1"/>
        <v>83</v>
      </c>
      <c r="Q16" s="100">
        <f>VLOOKUP(C16,'CPD PITS'!$B$9:$R$27,17,0)</f>
        <v>2169.67</v>
      </c>
      <c r="R16" s="100">
        <f>VLOOKUP(C16,'CPD PITS'!$B$9:$Q$27,16,0)</f>
        <v>0</v>
      </c>
      <c r="S16" s="100">
        <v>0</v>
      </c>
      <c r="T16" s="100">
        <f>VLOOKUP(C16,'CPD PITS'!$B$9:$T$27,19,0)</f>
        <v>15</v>
      </c>
      <c r="W16" s="100">
        <f>VLOOKUP(C16,'CPD PITS'!$B$9:$V$27,21,0)</f>
        <v>0</v>
      </c>
      <c r="X16" s="109"/>
      <c r="Y16" s="100">
        <f t="shared" si="2"/>
        <v>5000</v>
      </c>
      <c r="Z16" s="46">
        <f t="shared" si="3"/>
        <v>0</v>
      </c>
      <c r="AA16" s="46"/>
      <c r="AB16" s="100" t="s">
        <v>669</v>
      </c>
    </row>
    <row r="17" spans="1:28" s="100" customFormat="1" x14ac:dyDescent="0.2">
      <c r="A17" s="99" t="s">
        <v>223</v>
      </c>
      <c r="B17" s="99" t="s">
        <v>5</v>
      </c>
      <c r="C17" s="98" t="s">
        <v>331</v>
      </c>
      <c r="D17" s="99">
        <f>VLOOKUP(C17,'CPD PITS'!$B$9:$Y$27,24,0)</f>
        <v>16969.2</v>
      </c>
      <c r="E17" s="99"/>
      <c r="F17" s="123"/>
      <c r="G17" s="100">
        <f>VLOOKUP(C17,'SIND PITS'!$C$7:$D$106,2,0)</f>
        <v>12613.2</v>
      </c>
      <c r="H17" s="100">
        <f>VLOOKUP(C17,'SIND PITS'!$C$7:$E$106,3,0)</f>
        <v>0</v>
      </c>
      <c r="I17" s="100">
        <f>VLOOKUP(C17,'SIND PITS'!$C$7:$F$105,4,0)</f>
        <v>0</v>
      </c>
      <c r="J17" s="109"/>
      <c r="K17" s="100">
        <f t="shared" si="0"/>
        <v>29582.400000000001</v>
      </c>
      <c r="L17" s="100">
        <v>60000</v>
      </c>
      <c r="M17" s="100">
        <v>30000</v>
      </c>
      <c r="N17" s="110"/>
      <c r="O17" s="100">
        <f>VLOOKUP(C17,'CPD PITS'!$B$9:$I$27,8,0)</f>
        <v>0</v>
      </c>
      <c r="P17" s="100">
        <f t="shared" si="1"/>
        <v>0</v>
      </c>
      <c r="Q17" s="100">
        <f>VLOOKUP(C17,'CPD PITS'!$B$9:$R$27,17,0)</f>
        <v>0</v>
      </c>
      <c r="R17" s="100">
        <f>VLOOKUP(C17,'CPD PITS'!$B$9:$Q$27,16,0)</f>
        <v>0</v>
      </c>
      <c r="S17" s="100">
        <v>0</v>
      </c>
      <c r="T17" s="100">
        <f>VLOOKUP(C17,'CPD PITS'!$B$9:$T$27,19,0)</f>
        <v>0</v>
      </c>
      <c r="U17" s="124"/>
      <c r="W17" s="100">
        <f>VLOOKUP(C17,'CPD PITS'!$B$9:$V$27,21,0)</f>
        <v>417.6</v>
      </c>
      <c r="X17" s="109"/>
      <c r="Y17" s="100">
        <f t="shared" si="2"/>
        <v>30000</v>
      </c>
      <c r="Z17" s="46">
        <f t="shared" si="3"/>
        <v>0</v>
      </c>
      <c r="AA17" s="46"/>
      <c r="AB17" s="100" t="s">
        <v>669</v>
      </c>
    </row>
    <row r="18" spans="1:28" s="100" customFormat="1" x14ac:dyDescent="0.2">
      <c r="A18" s="99" t="s">
        <v>39</v>
      </c>
      <c r="B18" s="99" t="s">
        <v>5</v>
      </c>
      <c r="C18" s="98" t="s">
        <v>333</v>
      </c>
      <c r="D18" s="99">
        <f>VLOOKUP(C18,'CPD PITS'!$B$9:$Y$27,24,0)</f>
        <v>3203.8</v>
      </c>
      <c r="E18" s="99"/>
      <c r="F18" s="123"/>
      <c r="G18" s="100">
        <f>VLOOKUP(C18,'SIND PITS'!$C$7:$D$106,2,0)</f>
        <v>1557.9999999999995</v>
      </c>
      <c r="H18" s="100">
        <f>VLOOKUP(C18,'SIND PITS'!$C$7:$E$106,3,0)</f>
        <v>683.5</v>
      </c>
      <c r="I18" s="100">
        <f>VLOOKUP(C18,'SIND PITS'!$C$7:$F$105,4,0)</f>
        <v>0</v>
      </c>
      <c r="J18" s="109"/>
      <c r="K18" s="100">
        <f t="shared" si="0"/>
        <v>5445.2999999999993</v>
      </c>
      <c r="L18" s="100">
        <v>10150</v>
      </c>
      <c r="M18" s="100">
        <v>5075</v>
      </c>
      <c r="N18" s="110"/>
      <c r="O18" s="100">
        <f>VLOOKUP(C18,'CPD PITS'!$B$9:$I$27,8,0)</f>
        <v>0</v>
      </c>
      <c r="P18" s="100">
        <f t="shared" si="1"/>
        <v>683.5</v>
      </c>
      <c r="Q18" s="100">
        <f>VLOOKUP(C18,'CPD PITS'!$B$9:$R$27,17,0)</f>
        <v>0</v>
      </c>
      <c r="R18" s="100">
        <f>VLOOKUP(C18,'CPD PITS'!$B$9:$Q$27,16,0)</f>
        <v>0</v>
      </c>
      <c r="S18" s="100">
        <v>0</v>
      </c>
      <c r="T18" s="100">
        <f>VLOOKUP(C18,'CPD PITS'!$B$9:$T$27,19,0)</f>
        <v>0</v>
      </c>
      <c r="W18" s="100">
        <f>VLOOKUP(C18,'CPD PITS'!$B$9:$V$27,21,0)</f>
        <v>313.2</v>
      </c>
      <c r="X18" s="109"/>
      <c r="Y18" s="100">
        <f t="shared" si="2"/>
        <v>5074.9999999999991</v>
      </c>
      <c r="Z18" s="46">
        <f t="shared" si="3"/>
        <v>0</v>
      </c>
      <c r="AA18" s="46"/>
      <c r="AB18" s="100" t="s">
        <v>669</v>
      </c>
    </row>
    <row r="19" spans="1:28" s="100" customFormat="1" x14ac:dyDescent="0.2">
      <c r="A19" s="99" t="s">
        <v>41</v>
      </c>
      <c r="B19" s="99" t="s">
        <v>5</v>
      </c>
      <c r="C19" s="98" t="s">
        <v>133</v>
      </c>
      <c r="D19" s="99">
        <f>VLOOKUP(C19,'CPD PITS'!$B$9:$Y$27,24,0)</f>
        <v>1995.4</v>
      </c>
      <c r="E19" s="99"/>
      <c r="F19" s="123"/>
      <c r="G19" s="100">
        <f>VLOOKUP(C19,'SIND PITS'!$C$7:$D$106,2,0)</f>
        <v>1608.1</v>
      </c>
      <c r="H19" s="100">
        <f>VLOOKUP(C19,'SIND PITS'!$C$7:$E$106,3,0)</f>
        <v>3437</v>
      </c>
      <c r="I19" s="100">
        <f>VLOOKUP(C19,'SIND PITS'!$C$7:$F$105,4,0)</f>
        <v>0</v>
      </c>
      <c r="J19" s="109"/>
      <c r="K19" s="100">
        <f t="shared" si="0"/>
        <v>7040.5</v>
      </c>
      <c r="L19" s="100">
        <v>10250</v>
      </c>
      <c r="M19" s="100">
        <v>5125</v>
      </c>
      <c r="N19" s="110"/>
      <c r="O19" s="100">
        <f>VLOOKUP(C19,'CPD PITS'!$B$9:$I$27,8,0)</f>
        <v>0</v>
      </c>
      <c r="P19" s="100">
        <f t="shared" si="1"/>
        <v>3437</v>
      </c>
      <c r="Q19" s="100">
        <f>VLOOKUP(C19,'CPD PITS'!$B$9:$R$27,17,0)</f>
        <v>1506.5</v>
      </c>
      <c r="R19" s="100">
        <f>VLOOKUP(C19,'CPD PITS'!$B$9:$Q$27,16,0)</f>
        <v>0</v>
      </c>
      <c r="S19" s="100">
        <v>0</v>
      </c>
      <c r="T19" s="100">
        <f>VLOOKUP(C19,'CPD PITS'!$B$9:$T$27,19,0)</f>
        <v>15</v>
      </c>
      <c r="W19" s="100">
        <f>VLOOKUP(C19,'CPD PITS'!$B$9:$V$27,21,0)</f>
        <v>0</v>
      </c>
      <c r="X19" s="109"/>
      <c r="Y19" s="100">
        <f t="shared" si="2"/>
        <v>5125</v>
      </c>
      <c r="Z19" s="46">
        <f t="shared" si="3"/>
        <v>0</v>
      </c>
      <c r="AA19" s="46"/>
      <c r="AB19" s="100" t="s">
        <v>669</v>
      </c>
    </row>
    <row r="20" spans="1:28" s="100" customFormat="1" x14ac:dyDescent="0.2">
      <c r="A20" s="54" t="s">
        <v>410</v>
      </c>
      <c r="B20" s="102" t="s">
        <v>5</v>
      </c>
      <c r="C20" s="54" t="s">
        <v>368</v>
      </c>
      <c r="D20" s="99">
        <f>VLOOKUP(C20,'CPD PITS'!$B$9:$Y$27,24,0)</f>
        <v>3196.8</v>
      </c>
      <c r="E20" s="102"/>
      <c r="F20" s="123"/>
      <c r="G20" s="100">
        <f>VLOOKUP(C20,'SIND PITS'!$C$7:$D$106,2,0)</f>
        <v>16803.2</v>
      </c>
      <c r="H20" s="100">
        <f>VLOOKUP(C20,'SIND PITS'!$C$7:$E$106,3,0)</f>
        <v>0</v>
      </c>
      <c r="I20" s="100">
        <f>VLOOKUP(C20,'SIND PITS'!$C$7:$F$105,4,0)</f>
        <v>0</v>
      </c>
      <c r="J20" s="109"/>
      <c r="K20" s="100">
        <f t="shared" si="0"/>
        <v>20000</v>
      </c>
      <c r="L20" s="46">
        <v>40000</v>
      </c>
      <c r="M20" s="46">
        <v>20000</v>
      </c>
      <c r="N20" s="110"/>
      <c r="O20" s="100">
        <f>VLOOKUP(C20,'CPD PITS'!$B$9:$I$27,8,0)</f>
        <v>0</v>
      </c>
      <c r="P20" s="100">
        <f t="shared" si="1"/>
        <v>0</v>
      </c>
      <c r="Q20" s="100">
        <f>VLOOKUP(C20,'CPD PITS'!$B$9:$R$27,17,0)</f>
        <v>0</v>
      </c>
      <c r="R20" s="100">
        <f>VLOOKUP(C20,'CPD PITS'!$B$9:$Q$27,16,0)</f>
        <v>0</v>
      </c>
      <c r="S20" s="100">
        <v>0</v>
      </c>
      <c r="T20" s="100">
        <f>VLOOKUP(C20,'CPD PITS'!$B$9:$T$27,19,0)</f>
        <v>0</v>
      </c>
      <c r="W20" s="100">
        <f>VLOOKUP(C20,'CPD PITS'!$B$9:$V$27,21,0)</f>
        <v>0</v>
      </c>
      <c r="X20" s="109"/>
      <c r="Y20" s="100">
        <f t="shared" si="2"/>
        <v>20000</v>
      </c>
      <c r="Z20" s="46">
        <f t="shared" si="3"/>
        <v>0</v>
      </c>
      <c r="AA20" s="46"/>
      <c r="AB20" s="100" t="s">
        <v>669</v>
      </c>
    </row>
    <row r="21" spans="1:28" s="100" customFormat="1" x14ac:dyDescent="0.2">
      <c r="A21" s="52" t="s">
        <v>413</v>
      </c>
      <c r="B21" s="52" t="s">
        <v>5</v>
      </c>
      <c r="C21" s="52" t="s">
        <v>570</v>
      </c>
      <c r="D21" s="99">
        <f>VLOOKUP(C21,'CPD PITS'!$B$9:$Y$27,24,0)</f>
        <v>4036</v>
      </c>
      <c r="E21" s="99"/>
      <c r="F21" s="123"/>
      <c r="G21" s="100">
        <f>VLOOKUP(C21,'SIND PITS'!$C$7:$D$106,2,0)</f>
        <v>2464</v>
      </c>
      <c r="H21" s="100">
        <f>VLOOKUP(C21,'SIND PITS'!$C$7:$E$106,3,0)</f>
        <v>1000</v>
      </c>
      <c r="I21" s="100">
        <f>VLOOKUP(C21,'SIND PITS'!$C$7:$F$105,4,0)</f>
        <v>0</v>
      </c>
      <c r="J21" s="109"/>
      <c r="K21" s="100">
        <f t="shared" si="0"/>
        <v>7500</v>
      </c>
      <c r="L21" s="100">
        <v>13000</v>
      </c>
      <c r="M21" s="100">
        <v>6500</v>
      </c>
      <c r="N21" s="110"/>
      <c r="O21" s="100">
        <f>VLOOKUP(C21,'CPD PITS'!$B$9:$I$27,8,0)</f>
        <v>0</v>
      </c>
      <c r="P21" s="100">
        <f t="shared" si="1"/>
        <v>1000</v>
      </c>
      <c r="Q21" s="100">
        <f>VLOOKUP(C21,'CPD PITS'!$B$9:$R$27,17,0)</f>
        <v>0</v>
      </c>
      <c r="R21" s="100">
        <f>VLOOKUP(C21,'CPD PITS'!$B$9:$Q$27,16,0)</f>
        <v>0</v>
      </c>
      <c r="S21" s="100">
        <v>0</v>
      </c>
      <c r="T21" s="100">
        <f>VLOOKUP(C21,'CPD PITS'!$B$9:$T$27,19,0)</f>
        <v>0</v>
      </c>
      <c r="W21" s="100">
        <f>VLOOKUP(C21,'CPD PITS'!$B$9:$V$27,21,0)</f>
        <v>0</v>
      </c>
      <c r="X21" s="109"/>
      <c r="Y21" s="100">
        <f t="shared" si="2"/>
        <v>6500</v>
      </c>
      <c r="Z21" s="46">
        <f t="shared" si="3"/>
        <v>0</v>
      </c>
      <c r="AA21" s="127"/>
      <c r="AB21" s="100" t="s">
        <v>669</v>
      </c>
    </row>
    <row r="22" spans="1:28" s="100" customFormat="1" x14ac:dyDescent="0.2">
      <c r="A22" s="52" t="s">
        <v>585</v>
      </c>
      <c r="B22" s="52" t="s">
        <v>5</v>
      </c>
      <c r="C22" s="52" t="s">
        <v>586</v>
      </c>
      <c r="D22" s="99">
        <f>VLOOKUP(C22,'CPD PITS'!$B$9:$Y$27,24,0)</f>
        <v>4609.3999999999996</v>
      </c>
      <c r="E22" s="99"/>
      <c r="F22" s="123"/>
      <c r="G22" s="100">
        <f>VLOOKUP(C22,'SIND PITS'!$C$7:$D$106,2,0)</f>
        <v>3090.6000000000008</v>
      </c>
      <c r="H22" s="100">
        <f>VLOOKUP(C22,'SIND PITS'!$C$7:$E$106,3,0)</f>
        <v>250</v>
      </c>
      <c r="I22" s="100">
        <f>VLOOKUP(C22,'SIND PITS'!$C$7:$F$105,4,0)</f>
        <v>0</v>
      </c>
      <c r="J22" s="109"/>
      <c r="K22" s="100">
        <f t="shared" si="0"/>
        <v>7950</v>
      </c>
      <c r="L22" s="100">
        <v>15400</v>
      </c>
      <c r="M22" s="100">
        <v>7700</v>
      </c>
      <c r="N22" s="110"/>
      <c r="O22" s="100">
        <f>VLOOKUP(C22,'CPD PITS'!$B$9:$I$27,8,0)</f>
        <v>0</v>
      </c>
      <c r="P22" s="100">
        <f t="shared" si="1"/>
        <v>250</v>
      </c>
      <c r="Q22" s="100">
        <f>VLOOKUP(C22,'CPD PITS'!$B$9:$R$27,17,0)</f>
        <v>0</v>
      </c>
      <c r="R22" s="100">
        <f>VLOOKUP(C22,'CPD PITS'!$B$9:$Q$27,16,0)</f>
        <v>0</v>
      </c>
      <c r="S22" s="100">
        <v>0</v>
      </c>
      <c r="T22" s="100">
        <f>VLOOKUP(C22,'CPD PITS'!$B$9:$T$27,19,0)</f>
        <v>0</v>
      </c>
      <c r="W22" s="100">
        <f>VLOOKUP(C22,'CPD PITS'!$B$9:$V$27,21,0)</f>
        <v>0</v>
      </c>
      <c r="X22" s="109"/>
      <c r="Y22" s="100">
        <f t="shared" si="2"/>
        <v>7700</v>
      </c>
      <c r="Z22" s="46">
        <f t="shared" si="3"/>
        <v>0</v>
      </c>
      <c r="AA22" s="127"/>
      <c r="AB22" s="100" t="s">
        <v>669</v>
      </c>
    </row>
    <row r="23" spans="1:28" s="46" customFormat="1" x14ac:dyDescent="0.2">
      <c r="A23" s="54" t="s">
        <v>67</v>
      </c>
      <c r="B23" s="102" t="s">
        <v>57</v>
      </c>
      <c r="C23" s="54" t="s">
        <v>337</v>
      </c>
      <c r="D23" s="102"/>
      <c r="E23" s="102">
        <f>VLOOKUP(C23,'IP PITS'!$B$9:$V$90,21,0)</f>
        <v>3585.4</v>
      </c>
      <c r="F23" s="128"/>
      <c r="G23" s="100">
        <f>VLOOKUP(C23,'SIND PITS'!$C$7:$D$106,2,0)</f>
        <v>414.59999999999945</v>
      </c>
      <c r="H23" s="100">
        <f>VLOOKUP(C23,'SIND PITS'!$C$7:$E$106,3,0)</f>
        <v>258.5</v>
      </c>
      <c r="I23" s="100">
        <f>VLOOKUP(C23,'SIND PITS'!$C$7:$F$105,4,0)</f>
        <v>0</v>
      </c>
      <c r="J23" s="129"/>
      <c r="K23" s="100">
        <f t="shared" si="0"/>
        <v>4258.5</v>
      </c>
      <c r="L23" s="46">
        <v>8000</v>
      </c>
      <c r="M23" s="46">
        <v>4000</v>
      </c>
      <c r="N23" s="129"/>
      <c r="O23" s="46">
        <f>VLOOKUP(C23,'IP PITS'!$B$9:$I$90,8,0)</f>
        <v>0</v>
      </c>
      <c r="P23" s="100">
        <f t="shared" si="1"/>
        <v>258.5</v>
      </c>
      <c r="Q23" s="100">
        <f>VLOOKUP(C23,'IP PITS'!$B$9:$N$90,13,0)</f>
        <v>0</v>
      </c>
      <c r="R23" s="100">
        <f>VLOOKUP(C23,'IP PITS'!$B$9:$O$90,14,0)</f>
        <v>0</v>
      </c>
      <c r="T23" s="100">
        <f>VLOOKUP(C23,'IP PITS'!$B$9:$P$90,15,0)</f>
        <v>0</v>
      </c>
      <c r="U23" s="46">
        <f>VLOOKUP(C23,'IP PITS'!$B$9:$Q$90,16,0)</f>
        <v>0</v>
      </c>
      <c r="V23" s="46">
        <v>0</v>
      </c>
      <c r="W23" s="100">
        <f>VLOOKUP(C23,'IP PITS'!$B$9:$R$90,17,0)</f>
        <v>0</v>
      </c>
      <c r="X23" s="129"/>
      <c r="Y23" s="100">
        <f t="shared" si="2"/>
        <v>4000</v>
      </c>
      <c r="Z23" s="46">
        <f t="shared" si="3"/>
        <v>0</v>
      </c>
      <c r="AB23" s="100" t="s">
        <v>669</v>
      </c>
    </row>
    <row r="24" spans="1:28" s="100" customFormat="1" x14ac:dyDescent="0.2">
      <c r="A24" s="52" t="s">
        <v>370</v>
      </c>
      <c r="B24" s="99" t="s">
        <v>57</v>
      </c>
      <c r="C24" s="61" t="s">
        <v>548</v>
      </c>
      <c r="D24" s="99"/>
      <c r="E24" s="102">
        <f>VLOOKUP(C24,'IP PITS'!$B$9:$V$90,21,0)</f>
        <v>3585.2</v>
      </c>
      <c r="F24" s="123"/>
      <c r="G24" s="100">
        <f>VLOOKUP(C24,'SIND PITS'!$C$7:$D$106,2,0)</f>
        <v>414.80000000000018</v>
      </c>
      <c r="H24" s="100">
        <f>VLOOKUP(C24,'SIND PITS'!$C$7:$E$106,3,0)</f>
        <v>121.5</v>
      </c>
      <c r="I24" s="100">
        <f>VLOOKUP(C24,'SIND PITS'!$C$7:$F$105,4,0)</f>
        <v>0</v>
      </c>
      <c r="J24" s="109"/>
      <c r="K24" s="100">
        <f t="shared" si="0"/>
        <v>4121.5</v>
      </c>
      <c r="L24" s="100">
        <v>8000</v>
      </c>
      <c r="M24" s="100">
        <v>4000</v>
      </c>
      <c r="N24" s="110"/>
      <c r="O24" s="46">
        <f>VLOOKUP(C24,'IP PITS'!$B$9:$I$90,8,0)</f>
        <v>0</v>
      </c>
      <c r="P24" s="100">
        <f t="shared" si="1"/>
        <v>121.5</v>
      </c>
      <c r="Q24" s="100">
        <f>VLOOKUP(C24,'IP PITS'!$B$9:$N$90,13,0)</f>
        <v>0</v>
      </c>
      <c r="R24" s="100">
        <f>VLOOKUP(C24,'IP PITS'!$B$9:$O$90,14,0)</f>
        <v>0</v>
      </c>
      <c r="S24" s="46"/>
      <c r="T24" s="100">
        <f>VLOOKUP(C24,'IP PITS'!$B$9:$P$90,15,0)</f>
        <v>0</v>
      </c>
      <c r="U24" s="46">
        <f>VLOOKUP(C24,'IP PITS'!$B$9:$Q$90,16,0)</f>
        <v>0</v>
      </c>
      <c r="V24" s="46">
        <v>0</v>
      </c>
      <c r="W24" s="100">
        <f>VLOOKUP(C24,'IP PITS'!$B$9:$R$90,17,0)</f>
        <v>0</v>
      </c>
      <c r="X24" s="109"/>
      <c r="Y24" s="100">
        <f t="shared" si="2"/>
        <v>4000</v>
      </c>
      <c r="Z24" s="46">
        <f t="shared" si="3"/>
        <v>0</v>
      </c>
      <c r="AA24" s="46"/>
      <c r="AB24" s="100" t="s">
        <v>669</v>
      </c>
    </row>
    <row r="25" spans="1:28" s="46" customFormat="1" x14ac:dyDescent="0.2">
      <c r="A25" s="61" t="s">
        <v>81</v>
      </c>
      <c r="B25" s="99" t="s">
        <v>57</v>
      </c>
      <c r="C25" s="61" t="s">
        <v>340</v>
      </c>
      <c r="D25" s="99"/>
      <c r="E25" s="102">
        <f>VLOOKUP(C25,'IP PITS'!$B$9:$V$90,21,0)</f>
        <v>2692.8</v>
      </c>
      <c r="F25" s="123"/>
      <c r="G25" s="100">
        <f>VLOOKUP(C25,'SIND PITS'!$C$7:$D$106,2,0)</f>
        <v>414.60999999999967</v>
      </c>
      <c r="H25" s="100">
        <f>VLOOKUP(C25,'SIND PITS'!$C$7:$E$106,3,0)</f>
        <v>358.5</v>
      </c>
      <c r="I25" s="100">
        <f>VLOOKUP(C25,'SIND PITS'!$C$7:$F$105,4,0)</f>
        <v>0</v>
      </c>
      <c r="J25" s="109"/>
      <c r="K25" s="100">
        <f>+D25+E25+G25+H25+I25</f>
        <v>3465.91</v>
      </c>
      <c r="L25" s="100">
        <v>8000</v>
      </c>
      <c r="M25" s="100">
        <v>4000</v>
      </c>
      <c r="N25" s="110"/>
      <c r="O25" s="46">
        <f>VLOOKUP(C25,'IP PITS'!$B$9:$I$90,8,0)</f>
        <v>0</v>
      </c>
      <c r="P25" s="100">
        <f t="shared" si="1"/>
        <v>358.5</v>
      </c>
      <c r="Q25" s="100">
        <f>VLOOKUP(C25,'IP PITS'!$B$9:$N$90,13,0)</f>
        <v>877.59</v>
      </c>
      <c r="R25" s="100">
        <f>VLOOKUP(C25,'IP PITS'!$B$9:$O$90,14,0)</f>
        <v>0</v>
      </c>
      <c r="T25" s="100">
        <f>VLOOKUP(C25,'IP PITS'!$B$9:$P$90,15,0)</f>
        <v>15</v>
      </c>
      <c r="U25" s="46">
        <f>VLOOKUP(C25,'IP PITS'!$B$9:$Q$90,16,0)</f>
        <v>0</v>
      </c>
      <c r="V25" s="46">
        <v>0</v>
      </c>
      <c r="W25" s="100">
        <f>VLOOKUP(C25,'IP PITS'!$B$9:$R$90,17,0)</f>
        <v>0</v>
      </c>
      <c r="X25" s="109"/>
      <c r="Y25" s="100">
        <f t="shared" si="2"/>
        <v>4000</v>
      </c>
      <c r="Z25" s="46">
        <f t="shared" si="3"/>
        <v>0</v>
      </c>
      <c r="AB25" s="100" t="s">
        <v>669</v>
      </c>
    </row>
    <row r="26" spans="1:28" s="100" customFormat="1" x14ac:dyDescent="0.2">
      <c r="A26" s="61" t="s">
        <v>85</v>
      </c>
      <c r="B26" s="99" t="s">
        <v>57</v>
      </c>
      <c r="C26" s="61" t="s">
        <v>342</v>
      </c>
      <c r="D26" s="99"/>
      <c r="E26" s="102">
        <f>VLOOKUP(C26,'IP PITS'!$B$9:$V$90,21,0)</f>
        <v>5195.2</v>
      </c>
      <c r="F26" s="123"/>
      <c r="G26" s="100">
        <f>VLOOKUP(C26,'SIND PITS'!$C$7:$D$106,2,0)</f>
        <v>804.80000000000018</v>
      </c>
      <c r="H26" s="100">
        <f>VLOOKUP(C26,'SIND PITS'!$C$7:$E$106,3,0)</f>
        <v>2417.5</v>
      </c>
      <c r="I26" s="100">
        <f>VLOOKUP(C26,'SIND PITS'!$C$7:$F$105,4,0)</f>
        <v>0</v>
      </c>
      <c r="J26" s="109"/>
      <c r="K26" s="100">
        <f t="shared" si="0"/>
        <v>8417.5</v>
      </c>
      <c r="L26" s="100">
        <v>12000</v>
      </c>
      <c r="M26" s="100">
        <v>6000</v>
      </c>
      <c r="N26" s="110"/>
      <c r="O26" s="46">
        <f>VLOOKUP(C26,'IP PITS'!$B$9:$I$90,8,0)</f>
        <v>0</v>
      </c>
      <c r="P26" s="100">
        <f t="shared" si="1"/>
        <v>2417.5</v>
      </c>
      <c r="Q26" s="100">
        <f>VLOOKUP(C26,'IP PITS'!$B$9:$N$90,13,0)</f>
        <v>0</v>
      </c>
      <c r="R26" s="100">
        <f>VLOOKUP(C26,'IP PITS'!$B$9:$O$90,14,0)</f>
        <v>0</v>
      </c>
      <c r="S26" s="46"/>
      <c r="T26" s="100">
        <f>VLOOKUP(C26,'IP PITS'!$B$9:$P$90,15,0)</f>
        <v>0</v>
      </c>
      <c r="U26" s="46">
        <f>VLOOKUP(C26,'IP PITS'!$B$9:$Q$90,16,0)</f>
        <v>0</v>
      </c>
      <c r="V26" s="46">
        <v>0</v>
      </c>
      <c r="W26" s="100">
        <f>VLOOKUP(C26,'IP PITS'!$B$9:$R$90,17,0)</f>
        <v>0</v>
      </c>
      <c r="X26" s="109"/>
      <c r="Y26" s="100">
        <f t="shared" si="2"/>
        <v>6000</v>
      </c>
      <c r="Z26" s="46">
        <f t="shared" si="3"/>
        <v>0</v>
      </c>
      <c r="AA26" s="46"/>
      <c r="AB26" s="100" t="s">
        <v>669</v>
      </c>
    </row>
    <row r="27" spans="1:28" s="100" customFormat="1" x14ac:dyDescent="0.2">
      <c r="A27" s="61" t="s">
        <v>87</v>
      </c>
      <c r="B27" s="99" t="s">
        <v>57</v>
      </c>
      <c r="C27" s="61" t="s">
        <v>549</v>
      </c>
      <c r="D27" s="99"/>
      <c r="E27" s="102">
        <f>VLOOKUP(C27,'IP PITS'!$B$9:$V$90,21,0)</f>
        <v>3585.4</v>
      </c>
      <c r="F27" s="123"/>
      <c r="G27" s="100">
        <f>VLOOKUP(C27,'SIND PITS'!$C$7:$D$106,2,0)</f>
        <v>414.59999999999991</v>
      </c>
      <c r="H27" s="100">
        <f>VLOOKUP(C27,'SIND PITS'!$C$7:$E$106,3,0)</f>
        <v>168.5</v>
      </c>
      <c r="I27" s="100">
        <f>VLOOKUP(C27,'SIND PITS'!$C$7:$F$105,4,0)</f>
        <v>0</v>
      </c>
      <c r="J27" s="109"/>
      <c r="K27" s="100">
        <f t="shared" si="0"/>
        <v>4168.5</v>
      </c>
      <c r="L27" s="100">
        <v>8000</v>
      </c>
      <c r="M27" s="100">
        <v>4000</v>
      </c>
      <c r="N27" s="110"/>
      <c r="O27" s="46">
        <f>VLOOKUP(C27,'IP PITS'!$B$9:$I$90,8,0)</f>
        <v>0</v>
      </c>
      <c r="P27" s="100">
        <f t="shared" si="1"/>
        <v>168.5</v>
      </c>
      <c r="Q27" s="100">
        <f>VLOOKUP(C27,'IP PITS'!$B$9:$N$90,13,0)</f>
        <v>0</v>
      </c>
      <c r="R27" s="100">
        <f>VLOOKUP(C27,'IP PITS'!$B$9:$O$90,14,0)</f>
        <v>0</v>
      </c>
      <c r="S27" s="46"/>
      <c r="T27" s="100">
        <f>VLOOKUP(C27,'IP PITS'!$B$9:$P$90,15,0)</f>
        <v>0</v>
      </c>
      <c r="U27" s="46">
        <f>VLOOKUP(C27,'IP PITS'!$B$9:$Q$90,16,0)</f>
        <v>0</v>
      </c>
      <c r="V27" s="46">
        <v>0</v>
      </c>
      <c r="W27" s="100">
        <f>VLOOKUP(C27,'IP PITS'!$B$9:$R$90,17,0)</f>
        <v>0</v>
      </c>
      <c r="X27" s="109"/>
      <c r="Y27" s="100">
        <f t="shared" si="2"/>
        <v>4000</v>
      </c>
      <c r="Z27" s="46">
        <f t="shared" si="3"/>
        <v>0</v>
      </c>
      <c r="AA27" s="46"/>
      <c r="AB27" s="100" t="s">
        <v>669</v>
      </c>
    </row>
    <row r="28" spans="1:28" s="100" customFormat="1" x14ac:dyDescent="0.2">
      <c r="A28" s="54" t="s">
        <v>89</v>
      </c>
      <c r="B28" s="102" t="s">
        <v>57</v>
      </c>
      <c r="C28" s="54" t="s">
        <v>343</v>
      </c>
      <c r="D28" s="99"/>
      <c r="E28" s="102">
        <f>VLOOKUP(C28,'IP PITS'!$B$9:$V$90,21,0)</f>
        <v>1490.6</v>
      </c>
      <c r="F28" s="123"/>
      <c r="G28" s="100">
        <f>VLOOKUP(C28,'SIND PITS'!$C$7:$D$106,2,0)</f>
        <v>1135.17</v>
      </c>
      <c r="H28" s="100">
        <f>VLOOKUP(C28,'SIND PITS'!$C$7:$E$106,3,0)</f>
        <v>0</v>
      </c>
      <c r="I28" s="100">
        <v>0</v>
      </c>
      <c r="J28" s="109"/>
      <c r="K28" s="100">
        <f t="shared" si="0"/>
        <v>2625.77</v>
      </c>
      <c r="L28" s="46">
        <v>8000</v>
      </c>
      <c r="M28" s="46">
        <v>4000</v>
      </c>
      <c r="N28" s="110"/>
      <c r="O28" s="46">
        <f>VLOOKUP(C28,'IP PITS'!$B$9:$I$90,8,0)</f>
        <v>0</v>
      </c>
      <c r="P28" s="100">
        <f t="shared" si="1"/>
        <v>0</v>
      </c>
      <c r="Q28" s="100">
        <f>VLOOKUP(C28,'IP PITS'!$B$9:$N$90,13,0)</f>
        <v>1359.23</v>
      </c>
      <c r="R28" s="100">
        <f>VLOOKUP(C28,'IP PITS'!$B$9:$O$90,14,0)</f>
        <v>0</v>
      </c>
      <c r="S28" s="46"/>
      <c r="T28" s="100">
        <f>VLOOKUP(C28,'IP PITS'!$B$9:$P$90,15,0)</f>
        <v>15</v>
      </c>
      <c r="U28" s="46">
        <f>VLOOKUP(C28,'IP PITS'!$B$9:$Q$90,16,0)</f>
        <v>0</v>
      </c>
      <c r="V28" s="46">
        <v>0</v>
      </c>
      <c r="W28" s="100">
        <f>VLOOKUP(C28,'IP PITS'!$B$9:$R$90,17,0)</f>
        <v>0</v>
      </c>
      <c r="X28" s="109"/>
      <c r="Y28" s="100">
        <f t="shared" si="2"/>
        <v>4000</v>
      </c>
      <c r="Z28" s="46">
        <f t="shared" si="3"/>
        <v>0</v>
      </c>
      <c r="AA28" s="46"/>
      <c r="AB28" s="100" t="s">
        <v>669</v>
      </c>
    </row>
    <row r="29" spans="1:28" s="100" customFormat="1" x14ac:dyDescent="0.2">
      <c r="A29" s="61" t="s">
        <v>91</v>
      </c>
      <c r="B29" s="99" t="s">
        <v>57</v>
      </c>
      <c r="C29" s="61" t="s">
        <v>344</v>
      </c>
      <c r="D29" s="99"/>
      <c r="E29" s="102">
        <f>VLOOKUP(C29,'IP PITS'!$B$9:$V$90,21,0)</f>
        <v>4406.3999999999996</v>
      </c>
      <c r="F29" s="123"/>
      <c r="G29" s="100">
        <f>VLOOKUP(C29,'SIND PITS'!$C$7:$D$106,2,0)</f>
        <v>593.60000000000036</v>
      </c>
      <c r="H29" s="100">
        <f>VLOOKUP(C29,'SIND PITS'!$C$7:$E$106,3,0)</f>
        <v>121.5</v>
      </c>
      <c r="I29" s="100">
        <f>VLOOKUP(C29,'SIND PITS'!$C$7:$F$105,4,0)</f>
        <v>0</v>
      </c>
      <c r="J29" s="109"/>
      <c r="K29" s="100">
        <f t="shared" si="0"/>
        <v>5121.5</v>
      </c>
      <c r="L29" s="100">
        <v>10000</v>
      </c>
      <c r="M29" s="100">
        <v>5000</v>
      </c>
      <c r="N29" s="110"/>
      <c r="O29" s="46">
        <f>VLOOKUP(C29,'IP PITS'!$B$9:$I$90,8,0)</f>
        <v>0</v>
      </c>
      <c r="P29" s="100">
        <f t="shared" si="1"/>
        <v>121.5</v>
      </c>
      <c r="Q29" s="100">
        <f>VLOOKUP(C29,'IP PITS'!$B$9:$N$90,13,0)</f>
        <v>0</v>
      </c>
      <c r="R29" s="100">
        <f>VLOOKUP(C29,'IP PITS'!$B$9:$O$90,14,0)</f>
        <v>0</v>
      </c>
      <c r="S29" s="46"/>
      <c r="T29" s="100">
        <f>VLOOKUP(C29,'IP PITS'!$B$9:$P$90,15,0)</f>
        <v>0</v>
      </c>
      <c r="U29" s="46">
        <f>VLOOKUP(C29,'IP PITS'!$B$9:$Q$90,16,0)</f>
        <v>0</v>
      </c>
      <c r="V29" s="46">
        <v>0</v>
      </c>
      <c r="W29" s="100">
        <f>VLOOKUP(C29,'IP PITS'!$B$9:$R$90,17,0)</f>
        <v>0</v>
      </c>
      <c r="X29" s="109"/>
      <c r="Y29" s="100">
        <f t="shared" si="2"/>
        <v>5000</v>
      </c>
      <c r="Z29" s="46">
        <f t="shared" si="3"/>
        <v>0</v>
      </c>
      <c r="AA29" s="46"/>
      <c r="AB29" s="100" t="s">
        <v>669</v>
      </c>
    </row>
    <row r="30" spans="1:28" s="100" customFormat="1" x14ac:dyDescent="0.2">
      <c r="A30" s="61" t="s">
        <v>93</v>
      </c>
      <c r="B30" s="99" t="s">
        <v>57</v>
      </c>
      <c r="C30" s="61" t="s">
        <v>345</v>
      </c>
      <c r="D30" s="99"/>
      <c r="E30" s="102">
        <f>VLOOKUP(C30,'IP PITS'!$B$9:$V$90,21,0)</f>
        <v>3277.4</v>
      </c>
      <c r="F30" s="123"/>
      <c r="G30" s="100">
        <f>VLOOKUP(C30,'SIND PITS'!$C$7:$D$106,2,0)</f>
        <v>222.59999999999991</v>
      </c>
      <c r="H30" s="100">
        <f>VLOOKUP(C30,'SIND PITS'!$C$7:$E$106,3,0)</f>
        <v>253.25</v>
      </c>
      <c r="I30" s="100">
        <f>VLOOKUP(C30,'SIND PITS'!$C$7:$F$105,4,0)</f>
        <v>0</v>
      </c>
      <c r="J30" s="109"/>
      <c r="K30" s="100">
        <f t="shared" si="0"/>
        <v>3753.25</v>
      </c>
      <c r="L30" s="100">
        <v>7000</v>
      </c>
      <c r="M30" s="100">
        <v>3500</v>
      </c>
      <c r="N30" s="110"/>
      <c r="O30" s="46">
        <f>VLOOKUP(C30,'IP PITS'!$B$9:$I$90,8,0)</f>
        <v>0</v>
      </c>
      <c r="P30" s="100">
        <f t="shared" si="1"/>
        <v>253.25</v>
      </c>
      <c r="Q30" s="100">
        <f>VLOOKUP(C30,'IP PITS'!$B$9:$N$90,13,0)</f>
        <v>0</v>
      </c>
      <c r="R30" s="100">
        <f>VLOOKUP(C30,'IP PITS'!$B$9:$O$90,14,0)</f>
        <v>0</v>
      </c>
      <c r="S30" s="46"/>
      <c r="T30" s="100">
        <f>VLOOKUP(C30,'IP PITS'!$B$9:$P$90,15,0)</f>
        <v>0</v>
      </c>
      <c r="U30" s="46">
        <f>VLOOKUP(C30,'IP PITS'!$B$9:$Q$90,16,0)</f>
        <v>0</v>
      </c>
      <c r="V30" s="46">
        <v>0</v>
      </c>
      <c r="W30" s="100">
        <f>VLOOKUP(C30,'IP PITS'!$B$9:$R$90,17,0)</f>
        <v>0</v>
      </c>
      <c r="X30" s="109"/>
      <c r="Y30" s="100">
        <f t="shared" si="2"/>
        <v>3500</v>
      </c>
      <c r="Z30" s="46">
        <f t="shared" si="3"/>
        <v>0</v>
      </c>
      <c r="AA30" s="46"/>
      <c r="AB30" s="100" t="s">
        <v>669</v>
      </c>
    </row>
    <row r="31" spans="1:28" s="46" customFormat="1" x14ac:dyDescent="0.2">
      <c r="A31" s="54" t="s">
        <v>101</v>
      </c>
      <c r="B31" s="102" t="s">
        <v>57</v>
      </c>
      <c r="C31" s="54" t="s">
        <v>346</v>
      </c>
      <c r="D31" s="102"/>
      <c r="E31" s="102">
        <f>VLOOKUP(C31,'IP PITS'!$B$9:$V$90,21,0)</f>
        <v>2090.1999999999998</v>
      </c>
      <c r="F31" s="128"/>
      <c r="G31" s="100">
        <f>VLOOKUP(C31,'SIND PITS'!$C$7:$D$106,2,0)</f>
        <v>109.8</v>
      </c>
      <c r="H31" s="100">
        <f>VLOOKUP(C31,'SIND PITS'!$C$7:$E$106,3,0)</f>
        <v>487.5</v>
      </c>
      <c r="I31" s="100">
        <f>VLOOKUP(C31,'SIND PITS'!$C$7:$F$105,4,0)</f>
        <v>0</v>
      </c>
      <c r="J31" s="129"/>
      <c r="K31" s="100">
        <f t="shared" si="0"/>
        <v>2687.5</v>
      </c>
      <c r="L31" s="46">
        <v>6000</v>
      </c>
      <c r="M31" s="46">
        <v>3000</v>
      </c>
      <c r="N31" s="129"/>
      <c r="O31" s="46">
        <f>VLOOKUP(C31,'IP PITS'!$B$9:$I$90,8,0)</f>
        <v>0</v>
      </c>
      <c r="P31" s="100">
        <f t="shared" si="1"/>
        <v>487.5</v>
      </c>
      <c r="Q31" s="100">
        <f>VLOOKUP(C31,'IP PITS'!$B$9:$N$90,13,0)</f>
        <v>0</v>
      </c>
      <c r="R31" s="100">
        <f>VLOOKUP(C31,'IP PITS'!$B$9:$O$90,14,0)</f>
        <v>0</v>
      </c>
      <c r="T31" s="100">
        <f>VLOOKUP(C31,'IP PITS'!$B$9:$P$90,15,0)</f>
        <v>0</v>
      </c>
      <c r="U31" s="46">
        <f>VLOOKUP(C31,'IP PITS'!$B$9:$Q$90,16,0)</f>
        <v>600</v>
      </c>
      <c r="V31" s="46">
        <v>0</v>
      </c>
      <c r="W31" s="100">
        <f>VLOOKUP(C31,'IP PITS'!$B$9:$R$90,17,0)</f>
        <v>0</v>
      </c>
      <c r="X31" s="129"/>
      <c r="Y31" s="100">
        <f t="shared" si="2"/>
        <v>2800</v>
      </c>
      <c r="Z31" s="46">
        <f t="shared" si="3"/>
        <v>200</v>
      </c>
      <c r="AA31" s="111" t="s">
        <v>667</v>
      </c>
      <c r="AB31" s="100" t="s">
        <v>669</v>
      </c>
    </row>
    <row r="32" spans="1:28" s="100" customFormat="1" x14ac:dyDescent="0.2">
      <c r="A32" s="61" t="s">
        <v>227</v>
      </c>
      <c r="B32" s="99" t="s">
        <v>57</v>
      </c>
      <c r="C32" s="61" t="s">
        <v>364</v>
      </c>
      <c r="D32" s="99"/>
      <c r="E32" s="102">
        <f>VLOOKUP(C32,'IP PITS'!$B$9:$V$90,21,0)</f>
        <v>1917</v>
      </c>
      <c r="F32" s="123"/>
      <c r="G32" s="100">
        <f>VLOOKUP(C32,'SIND PITS'!$C$7:$D$106,2,0)</f>
        <v>1416.33</v>
      </c>
      <c r="H32" s="100">
        <f>VLOOKUP(C32,'SIND PITS'!$C$7:$E$106,3,0)</f>
        <v>1250</v>
      </c>
      <c r="I32" s="100">
        <f>VLOOKUP(C32,'SIND PITS'!$C$7:$F$105,4,0)</f>
        <v>0</v>
      </c>
      <c r="J32" s="109"/>
      <c r="K32" s="100">
        <f t="shared" si="0"/>
        <v>4583.33</v>
      </c>
      <c r="L32" s="100">
        <v>10000</v>
      </c>
      <c r="M32" s="100">
        <v>5000</v>
      </c>
      <c r="N32" s="110"/>
      <c r="O32" s="46">
        <f>VLOOKUP(C32,'IP PITS'!$B$9:$I$90,8,0)</f>
        <v>0</v>
      </c>
      <c r="P32" s="100">
        <f t="shared" si="1"/>
        <v>1250</v>
      </c>
      <c r="Q32" s="100">
        <f>VLOOKUP(C32,'IP PITS'!$B$9:$N$90,13,0)</f>
        <v>0</v>
      </c>
      <c r="R32" s="100">
        <f>VLOOKUP(C32,'IP PITS'!$B$9:$O$90,14,0)</f>
        <v>0</v>
      </c>
      <c r="S32" s="46"/>
      <c r="T32" s="100">
        <f>VLOOKUP(C32,'IP PITS'!$B$9:$P$90,15,0)</f>
        <v>0</v>
      </c>
      <c r="U32" s="46">
        <f>VLOOKUP(C32,'IP PITS'!$B$9:$Q$90,16,0)</f>
        <v>0</v>
      </c>
      <c r="V32" s="46">
        <v>0</v>
      </c>
      <c r="W32" s="100">
        <f>VLOOKUP(C32,'IP PITS'!$B$9:$R$90,17,0)</f>
        <v>1666.67</v>
      </c>
      <c r="X32" s="109"/>
      <c r="Y32" s="100">
        <f t="shared" si="2"/>
        <v>5000</v>
      </c>
      <c r="Z32" s="46">
        <f t="shared" si="3"/>
        <v>0</v>
      </c>
      <c r="AA32" s="46"/>
      <c r="AB32" s="100" t="s">
        <v>669</v>
      </c>
    </row>
    <row r="33" spans="1:28" s="100" customFormat="1" x14ac:dyDescent="0.2">
      <c r="A33" s="52" t="s">
        <v>377</v>
      </c>
      <c r="B33" s="99" t="s">
        <v>57</v>
      </c>
      <c r="C33" s="52" t="s">
        <v>378</v>
      </c>
      <c r="D33" s="99"/>
      <c r="E33" s="102">
        <f>VLOOKUP(C33,'IP PITS'!$B$9:$V$90,21,0)</f>
        <v>2447.6</v>
      </c>
      <c r="F33" s="123"/>
      <c r="G33" s="100">
        <f>VLOOKUP(C33,'SIND PITS'!$C$7:$D$106,2,0)</f>
        <v>52.399999999999636</v>
      </c>
      <c r="H33" s="100">
        <f>VLOOKUP(C33,'SIND PITS'!$C$7:$E$106,3,0)</f>
        <v>3825.5</v>
      </c>
      <c r="I33" s="100">
        <f>VLOOKUP(C33,'SIND PITS'!$C$7:$F$105,4,0)</f>
        <v>0</v>
      </c>
      <c r="J33" s="109"/>
      <c r="K33" s="100">
        <f t="shared" si="0"/>
        <v>6325.5</v>
      </c>
      <c r="L33" s="100">
        <v>5000</v>
      </c>
      <c r="M33" s="100">
        <v>2500</v>
      </c>
      <c r="N33" s="110"/>
      <c r="O33" s="46">
        <f>VLOOKUP(C33,'IP PITS'!$B$9:$I$90,8,0)</f>
        <v>0</v>
      </c>
      <c r="P33" s="100">
        <f t="shared" si="1"/>
        <v>3825.5</v>
      </c>
      <c r="Q33" s="100">
        <f>VLOOKUP(C33,'IP PITS'!$B$9:$N$90,13,0)</f>
        <v>0</v>
      </c>
      <c r="R33" s="100">
        <f>VLOOKUP(C33,'IP PITS'!$B$9:$O$90,14,0)</f>
        <v>0</v>
      </c>
      <c r="S33" s="46"/>
      <c r="T33" s="100">
        <f>VLOOKUP(C33,'IP PITS'!$B$9:$P$90,15,0)</f>
        <v>0</v>
      </c>
      <c r="U33" s="46">
        <f>VLOOKUP(C33,'IP PITS'!$B$9:$Q$90,16,0)</f>
        <v>0</v>
      </c>
      <c r="V33" s="46">
        <v>0</v>
      </c>
      <c r="W33" s="100">
        <f>VLOOKUP(C33,'IP PITS'!$B$9:$R$90,17,0)</f>
        <v>0</v>
      </c>
      <c r="X33" s="109"/>
      <c r="Y33" s="100">
        <f t="shared" si="2"/>
        <v>2500</v>
      </c>
      <c r="Z33" s="46">
        <f t="shared" si="3"/>
        <v>0</v>
      </c>
      <c r="AA33" s="46"/>
      <c r="AB33" s="100" t="s">
        <v>669</v>
      </c>
    </row>
    <row r="34" spans="1:28" s="100" customFormat="1" x14ac:dyDescent="0.2">
      <c r="A34" s="52" t="s">
        <v>399</v>
      </c>
      <c r="B34" s="52" t="s">
        <v>57</v>
      </c>
      <c r="C34" s="52" t="s">
        <v>400</v>
      </c>
      <c r="D34" s="99"/>
      <c r="E34" s="102">
        <f>VLOOKUP(C34,'IP PITS'!$B$9:$V$90,21,0)</f>
        <v>3583.6</v>
      </c>
      <c r="F34" s="123"/>
      <c r="G34" s="100">
        <f>VLOOKUP(C34,'SIND PITS'!$C$7:$D$106,2,0)</f>
        <v>416.39999999999958</v>
      </c>
      <c r="H34" s="100">
        <f>VLOOKUP(C34,'SIND PITS'!$C$7:$E$106,3,0)</f>
        <v>1681</v>
      </c>
      <c r="I34" s="100">
        <f>VLOOKUP(C34,'SIND PITS'!$C$7:$F$105,4,0)</f>
        <v>0</v>
      </c>
      <c r="J34" s="109"/>
      <c r="K34" s="100">
        <f t="shared" si="0"/>
        <v>5681</v>
      </c>
      <c r="L34" s="100">
        <v>8000</v>
      </c>
      <c r="M34" s="100">
        <v>4000</v>
      </c>
      <c r="N34" s="110"/>
      <c r="O34" s="46">
        <f>VLOOKUP(C34,'IP PITS'!$B$9:$I$90,8,0)</f>
        <v>0</v>
      </c>
      <c r="P34" s="100">
        <f t="shared" si="1"/>
        <v>1681</v>
      </c>
      <c r="Q34" s="100">
        <f>VLOOKUP(C34,'IP PITS'!$B$9:$N$90,13,0)</f>
        <v>0</v>
      </c>
      <c r="R34" s="100">
        <f>VLOOKUP(C34,'IP PITS'!$B$9:$O$90,14,0)</f>
        <v>0</v>
      </c>
      <c r="S34" s="46"/>
      <c r="T34" s="100">
        <f>VLOOKUP(C34,'IP PITS'!$B$9:$P$90,15,0)</f>
        <v>0</v>
      </c>
      <c r="U34" s="46">
        <f>VLOOKUP(C34,'IP PITS'!$B$9:$Q$90,16,0)</f>
        <v>0</v>
      </c>
      <c r="V34" s="46">
        <v>0</v>
      </c>
      <c r="W34" s="100">
        <f>VLOOKUP(C34,'IP PITS'!$B$9:$R$90,17,0)</f>
        <v>0</v>
      </c>
      <c r="X34" s="109"/>
      <c r="Y34" s="100">
        <f t="shared" si="2"/>
        <v>4000</v>
      </c>
      <c r="Z34" s="46">
        <f t="shared" si="3"/>
        <v>0</v>
      </c>
      <c r="AA34" s="46"/>
      <c r="AB34" s="100" t="s">
        <v>669</v>
      </c>
    </row>
    <row r="35" spans="1:28" s="100" customFormat="1" x14ac:dyDescent="0.2">
      <c r="A35" s="52" t="s">
        <v>414</v>
      </c>
      <c r="B35" s="52" t="s">
        <v>57</v>
      </c>
      <c r="C35" s="52" t="s">
        <v>415</v>
      </c>
      <c r="D35" s="99"/>
      <c r="E35" s="102">
        <f>VLOOKUP(C35,'IP PITS'!$B$9:$V$90,21,0)</f>
        <v>3583.8</v>
      </c>
      <c r="F35" s="123"/>
      <c r="G35" s="100">
        <f>VLOOKUP(C35,'SIND PITS'!$C$7:$D$106,2,0)</f>
        <v>416.19999999999982</v>
      </c>
      <c r="H35" s="100">
        <f>VLOOKUP(C35,'SIND PITS'!$C$7:$E$106,3,0)</f>
        <v>280</v>
      </c>
      <c r="I35" s="100">
        <f>VLOOKUP(C35,'SIND PITS'!$C$7:$F$105,4,0)</f>
        <v>0</v>
      </c>
      <c r="J35" s="109"/>
      <c r="K35" s="100">
        <f t="shared" si="0"/>
        <v>4280</v>
      </c>
      <c r="L35" s="100">
        <v>8000</v>
      </c>
      <c r="M35" s="100">
        <v>4000</v>
      </c>
      <c r="N35" s="110"/>
      <c r="O35" s="46">
        <f>VLOOKUP(C35,'IP PITS'!$B$9:$I$90,8,0)</f>
        <v>0</v>
      </c>
      <c r="P35" s="100">
        <f t="shared" si="1"/>
        <v>280</v>
      </c>
      <c r="Q35" s="100">
        <f>VLOOKUP(C35,'IP PITS'!$B$9:$N$90,13,0)</f>
        <v>0</v>
      </c>
      <c r="R35" s="100">
        <f>VLOOKUP(C35,'IP PITS'!$B$9:$O$90,14,0)</f>
        <v>0</v>
      </c>
      <c r="S35" s="46"/>
      <c r="T35" s="100">
        <f>VLOOKUP(C35,'IP PITS'!$B$9:$P$90,15,0)</f>
        <v>0</v>
      </c>
      <c r="U35" s="46">
        <f>VLOOKUP(C35,'IP PITS'!$B$9:$Q$90,16,0)</f>
        <v>0</v>
      </c>
      <c r="V35" s="46">
        <v>0</v>
      </c>
      <c r="W35" s="100">
        <f>VLOOKUP(C35,'IP PITS'!$B$9:$R$90,17,0)</f>
        <v>0</v>
      </c>
      <c r="X35" s="109"/>
      <c r="Y35" s="100">
        <f t="shared" si="2"/>
        <v>4000</v>
      </c>
      <c r="Z35" s="46">
        <f t="shared" si="3"/>
        <v>0</v>
      </c>
      <c r="AA35" s="46"/>
      <c r="AB35" s="100" t="s">
        <v>669</v>
      </c>
    </row>
    <row r="36" spans="1:28" s="100" customFormat="1" x14ac:dyDescent="0.2">
      <c r="A36" s="52" t="s">
        <v>403</v>
      </c>
      <c r="B36" s="52" t="s">
        <v>57</v>
      </c>
      <c r="C36" s="52" t="s">
        <v>404</v>
      </c>
      <c r="D36" s="99"/>
      <c r="E36" s="102">
        <f>VLOOKUP(C36,'IP PITS'!$B$9:$V$90,21,0)</f>
        <v>1129.4000000000001</v>
      </c>
      <c r="F36" s="123"/>
      <c r="G36" s="100">
        <f>VLOOKUP(C36,'SIND PITS'!$C$7:$D$106,2,0)</f>
        <v>135.19999999999993</v>
      </c>
      <c r="H36" s="100">
        <f>VLOOKUP(C36,'SIND PITS'!$C$7:$E$106,3,0)</f>
        <v>292.5</v>
      </c>
      <c r="I36" s="100">
        <f>VLOOKUP(C36,'SIND PITS'!$C$7:$F$105,4,0)</f>
        <v>0</v>
      </c>
      <c r="J36" s="109"/>
      <c r="K36" s="100">
        <f t="shared" si="0"/>
        <v>1557.1</v>
      </c>
      <c r="L36" s="100">
        <v>6000</v>
      </c>
      <c r="M36" s="100">
        <v>3000</v>
      </c>
      <c r="N36" s="110"/>
      <c r="O36" s="46">
        <f>VLOOKUP(C36,'IP PITS'!$B$9:$I$90,8,0)</f>
        <v>0</v>
      </c>
      <c r="P36" s="100">
        <f t="shared" si="1"/>
        <v>292.5</v>
      </c>
      <c r="Q36" s="100">
        <f>VLOOKUP(C36,'IP PITS'!$B$9:$N$90,13,0)</f>
        <v>0</v>
      </c>
      <c r="R36" s="100">
        <f>VLOOKUP(C36,'IP PITS'!$B$9:$O$90,14,0)</f>
        <v>1120.4000000000001</v>
      </c>
      <c r="S36" s="46"/>
      <c r="T36" s="100">
        <f>VLOOKUP(C36,'IP PITS'!$B$9:$P$90,15,0)</f>
        <v>15</v>
      </c>
      <c r="U36" s="46">
        <f>VLOOKUP(C36,'IP PITS'!$B$9:$Q$90,16,0)</f>
        <v>600</v>
      </c>
      <c r="V36" s="46">
        <v>0</v>
      </c>
      <c r="W36" s="100">
        <f>VLOOKUP(C36,'IP PITS'!$B$9:$R$90,17,0)</f>
        <v>0</v>
      </c>
      <c r="X36" s="109"/>
      <c r="Y36" s="100">
        <f t="shared" si="2"/>
        <v>3000</v>
      </c>
      <c r="Z36" s="46">
        <f t="shared" si="3"/>
        <v>0</v>
      </c>
      <c r="AA36" s="111"/>
      <c r="AB36" s="100" t="s">
        <v>669</v>
      </c>
    </row>
    <row r="37" spans="1:28" s="46" customFormat="1" x14ac:dyDescent="0.2">
      <c r="A37" s="52" t="s">
        <v>411</v>
      </c>
      <c r="B37" s="52" t="s">
        <v>57</v>
      </c>
      <c r="C37" s="52" t="s">
        <v>407</v>
      </c>
      <c r="D37" s="99"/>
      <c r="E37" s="102">
        <f>VLOOKUP(C37,'IP PITS'!$B$9:$V$90,21,0)</f>
        <v>5952.2</v>
      </c>
      <c r="F37" s="123"/>
      <c r="G37" s="100">
        <f>VLOOKUP(C37,'SIND PITS'!$C$7:$D$106,2,0)</f>
        <v>1047.8000000000002</v>
      </c>
      <c r="H37" s="100">
        <f>VLOOKUP(C37,'SIND PITS'!$C$7:$E$106,3,0)</f>
        <v>3068</v>
      </c>
      <c r="I37" s="100">
        <f>VLOOKUP(C37,'SIND PITS'!$C$7:$F$105,4,0)</f>
        <v>0</v>
      </c>
      <c r="J37" s="109"/>
      <c r="K37" s="100">
        <f t="shared" si="0"/>
        <v>10068</v>
      </c>
      <c r="L37" s="100">
        <v>14000</v>
      </c>
      <c r="M37" s="100">
        <v>7000</v>
      </c>
      <c r="N37" s="110"/>
      <c r="O37" s="46">
        <f>VLOOKUP(C37,'IP PITS'!$B$9:$I$90,8,0)</f>
        <v>0</v>
      </c>
      <c r="P37" s="100">
        <f t="shared" si="1"/>
        <v>3068</v>
      </c>
      <c r="Q37" s="100">
        <f>VLOOKUP(C37,'IP PITS'!$B$9:$N$90,13,0)</f>
        <v>0</v>
      </c>
      <c r="R37" s="100">
        <f>VLOOKUP(C37,'IP PITS'!$B$9:$O$90,14,0)</f>
        <v>0</v>
      </c>
      <c r="T37" s="100">
        <f>VLOOKUP(C37,'IP PITS'!$B$9:$P$90,15,0)</f>
        <v>0</v>
      </c>
      <c r="U37" s="46">
        <f>VLOOKUP(C37,'IP PITS'!$B$9:$Q$90,16,0)</f>
        <v>0</v>
      </c>
      <c r="V37" s="46">
        <v>0</v>
      </c>
      <c r="W37" s="100">
        <f>VLOOKUP(C37,'IP PITS'!$B$9:$R$90,17,0)</f>
        <v>0</v>
      </c>
      <c r="X37" s="109"/>
      <c r="Y37" s="100">
        <f t="shared" si="2"/>
        <v>7000</v>
      </c>
      <c r="Z37" s="46">
        <f t="shared" si="3"/>
        <v>0</v>
      </c>
      <c r="AB37" s="100" t="s">
        <v>669</v>
      </c>
    </row>
    <row r="38" spans="1:28" s="100" customFormat="1" x14ac:dyDescent="0.2">
      <c r="A38" s="54" t="s">
        <v>413</v>
      </c>
      <c r="B38" s="54" t="s">
        <v>57</v>
      </c>
      <c r="C38" s="54" t="s">
        <v>409</v>
      </c>
      <c r="D38" s="99"/>
      <c r="E38" s="102">
        <f>VLOOKUP(C38,'IP PITS'!$B$9:$V$90,21,0)</f>
        <v>5952.2</v>
      </c>
      <c r="F38" s="123"/>
      <c r="G38" s="100">
        <f>VLOOKUP(C38,'SIND PITS'!$C$7:$D$106,2,0)</f>
        <v>1047.8000000000004</v>
      </c>
      <c r="H38" s="100">
        <f>VLOOKUP(C38,'SIND PITS'!$C$7:$E$106,3,0)</f>
        <v>1095</v>
      </c>
      <c r="I38" s="100">
        <f>VLOOKUP(C38,'SIND PITS'!$C$7:$F$105,4,0)</f>
        <v>0</v>
      </c>
      <c r="J38" s="109"/>
      <c r="K38" s="100">
        <f t="shared" si="0"/>
        <v>8095</v>
      </c>
      <c r="L38" s="46">
        <v>14000</v>
      </c>
      <c r="M38" s="46">
        <v>7000</v>
      </c>
      <c r="N38" s="110"/>
      <c r="O38" s="46">
        <f>VLOOKUP(C38,'IP PITS'!$B$9:$I$90,8,0)</f>
        <v>0</v>
      </c>
      <c r="P38" s="100">
        <f t="shared" si="1"/>
        <v>1095</v>
      </c>
      <c r="Q38" s="100">
        <f>VLOOKUP(C38,'IP PITS'!$B$9:$N$90,13,0)</f>
        <v>0</v>
      </c>
      <c r="R38" s="100">
        <f>VLOOKUP(C38,'IP PITS'!$B$9:$O$90,14,0)</f>
        <v>0</v>
      </c>
      <c r="S38" s="46"/>
      <c r="T38" s="100">
        <f>VLOOKUP(C38,'IP PITS'!$B$9:$P$90,15,0)</f>
        <v>0</v>
      </c>
      <c r="U38" s="46">
        <f>VLOOKUP(C38,'IP PITS'!$B$9:$Q$90,16,0)</f>
        <v>0</v>
      </c>
      <c r="V38" s="46">
        <v>0</v>
      </c>
      <c r="W38" s="100">
        <f>VLOOKUP(C38,'IP PITS'!$B$9:$R$90,17,0)</f>
        <v>0</v>
      </c>
      <c r="X38" s="109"/>
      <c r="Y38" s="100">
        <f t="shared" si="2"/>
        <v>7000</v>
      </c>
      <c r="Z38" s="46">
        <f t="shared" si="3"/>
        <v>0</v>
      </c>
      <c r="AA38" s="46"/>
      <c r="AB38" s="100" t="s">
        <v>669</v>
      </c>
    </row>
    <row r="39" spans="1:28" s="100" customFormat="1" x14ac:dyDescent="0.2">
      <c r="A39" s="54" t="s">
        <v>416</v>
      </c>
      <c r="B39" s="54" t="s">
        <v>57</v>
      </c>
      <c r="C39" s="54" t="s">
        <v>417</v>
      </c>
      <c r="D39" s="99"/>
      <c r="E39" s="102">
        <f>VLOOKUP(C39,'IP PITS'!$B$9:$V$90,21,0)</f>
        <v>2864.8</v>
      </c>
      <c r="F39" s="123"/>
      <c r="G39" s="100">
        <f>VLOOKUP(C39,'SIND PITS'!$C$7:$D$106,2,0)</f>
        <v>135.19999999999982</v>
      </c>
      <c r="H39" s="100">
        <f>VLOOKUP(C39,'SIND PITS'!$C$7:$E$106,3,0)</f>
        <v>1500</v>
      </c>
      <c r="I39" s="100">
        <f>VLOOKUP(C39,'SIND PITS'!$C$7:$F$105,4,0)</f>
        <v>0</v>
      </c>
      <c r="J39" s="109"/>
      <c r="K39" s="100">
        <f t="shared" si="0"/>
        <v>4500</v>
      </c>
      <c r="L39" s="46">
        <v>6000</v>
      </c>
      <c r="M39" s="46">
        <v>3000</v>
      </c>
      <c r="N39" s="110"/>
      <c r="O39" s="46">
        <f>VLOOKUP(C39,'IP PITS'!$B$9:$I$90,8,0)</f>
        <v>0</v>
      </c>
      <c r="P39" s="100">
        <f t="shared" si="1"/>
        <v>1500</v>
      </c>
      <c r="Q39" s="100">
        <f>VLOOKUP(C39,'IP PITS'!$B$9:$N$90,13,0)</f>
        <v>0</v>
      </c>
      <c r="R39" s="100">
        <f>VLOOKUP(C39,'IP PITS'!$B$9:$O$90,14,0)</f>
        <v>0</v>
      </c>
      <c r="S39" s="46"/>
      <c r="T39" s="100">
        <f>VLOOKUP(C39,'IP PITS'!$B$9:$P$90,15,0)</f>
        <v>0</v>
      </c>
      <c r="U39" s="46">
        <f>VLOOKUP(C39,'IP PITS'!$B$9:$Q$90,16,0)</f>
        <v>0</v>
      </c>
      <c r="V39" s="46">
        <v>0</v>
      </c>
      <c r="W39" s="100">
        <f>VLOOKUP(C39,'IP PITS'!$B$9:$R$90,17,0)</f>
        <v>0</v>
      </c>
      <c r="X39" s="109"/>
      <c r="Y39" s="100">
        <f t="shared" si="2"/>
        <v>3000</v>
      </c>
      <c r="Z39" s="46">
        <f t="shared" si="3"/>
        <v>0</v>
      </c>
      <c r="AA39" s="46"/>
      <c r="AB39" s="100" t="s">
        <v>669</v>
      </c>
    </row>
    <row r="40" spans="1:28" s="100" customFormat="1" x14ac:dyDescent="0.2">
      <c r="A40" s="54" t="s">
        <v>418</v>
      </c>
      <c r="B40" s="54" t="s">
        <v>57</v>
      </c>
      <c r="C40" s="54" t="s">
        <v>419</v>
      </c>
      <c r="D40" s="99"/>
      <c r="E40" s="102">
        <f>VLOOKUP(C40,'IP PITS'!$B$9:$V$90,21,0)</f>
        <v>3583.6</v>
      </c>
      <c r="F40" s="123"/>
      <c r="G40" s="100">
        <f>VLOOKUP(C40,'SIND PITS'!$C$7:$D$106,2,0)</f>
        <v>416.40000000000009</v>
      </c>
      <c r="H40" s="100">
        <f>VLOOKUP(C40,'SIND PITS'!$C$7:$E$106,3,0)</f>
        <v>826</v>
      </c>
      <c r="I40" s="100">
        <f>VLOOKUP(C40,'SIND PITS'!$C$7:$F$105,4,0)</f>
        <v>0</v>
      </c>
      <c r="J40" s="109"/>
      <c r="K40" s="100">
        <f t="shared" si="0"/>
        <v>4826</v>
      </c>
      <c r="L40" s="46">
        <v>8000</v>
      </c>
      <c r="M40" s="46">
        <v>4000</v>
      </c>
      <c r="N40" s="110"/>
      <c r="O40" s="46">
        <f>VLOOKUP(C40,'IP PITS'!$B$9:$I$90,8,0)</f>
        <v>0</v>
      </c>
      <c r="P40" s="100">
        <f t="shared" si="1"/>
        <v>826</v>
      </c>
      <c r="Q40" s="100">
        <f>VLOOKUP(C40,'IP PITS'!$B$9:$N$90,13,0)</f>
        <v>0</v>
      </c>
      <c r="R40" s="100">
        <f>VLOOKUP(C40,'IP PITS'!$B$9:$O$90,14,0)</f>
        <v>0</v>
      </c>
      <c r="S40" s="46"/>
      <c r="T40" s="100">
        <f>VLOOKUP(C40,'IP PITS'!$B$9:$P$90,15,0)</f>
        <v>0</v>
      </c>
      <c r="U40" s="46">
        <f>VLOOKUP(C40,'IP PITS'!$B$9:$Q$90,16,0)</f>
        <v>0</v>
      </c>
      <c r="V40" s="46">
        <v>0</v>
      </c>
      <c r="W40" s="100">
        <f>VLOOKUP(C40,'IP PITS'!$B$9:$R$90,17,0)</f>
        <v>0</v>
      </c>
      <c r="X40" s="109"/>
      <c r="Y40" s="100">
        <f t="shared" si="2"/>
        <v>4000</v>
      </c>
      <c r="Z40" s="46">
        <f t="shared" si="3"/>
        <v>0</v>
      </c>
      <c r="AA40" s="46"/>
      <c r="AB40" s="100" t="s">
        <v>669</v>
      </c>
    </row>
    <row r="41" spans="1:28" s="100" customFormat="1" x14ac:dyDescent="0.2">
      <c r="A41" s="52" t="s">
        <v>436</v>
      </c>
      <c r="B41" s="54" t="s">
        <v>57</v>
      </c>
      <c r="C41" s="52" t="s">
        <v>437</v>
      </c>
      <c r="D41" s="99"/>
      <c r="E41" s="102">
        <f>VLOOKUP(C41,'IP PITS'!$B$9:$V$90,21,0)</f>
        <v>3583.6</v>
      </c>
      <c r="F41" s="123"/>
      <c r="G41" s="100">
        <f>VLOOKUP(C41,'SIND PITS'!$C$7:$D$106,2,0)</f>
        <v>416.39999999999964</v>
      </c>
      <c r="H41" s="100">
        <f>VLOOKUP(C41,'SIND PITS'!$C$7:$E$106,3,0)</f>
        <v>287</v>
      </c>
      <c r="I41" s="100">
        <f>VLOOKUP(C41,'SIND PITS'!$C$7:$F$105,4,0)</f>
        <v>0</v>
      </c>
      <c r="J41" s="109"/>
      <c r="K41" s="100">
        <f t="shared" si="0"/>
        <v>4287</v>
      </c>
      <c r="L41" s="100">
        <v>8000</v>
      </c>
      <c r="M41" s="100">
        <v>4000</v>
      </c>
      <c r="N41" s="110"/>
      <c r="O41" s="46">
        <f>VLOOKUP(C41,'IP PITS'!$B$9:$I$90,8,0)</f>
        <v>0</v>
      </c>
      <c r="P41" s="100">
        <f t="shared" si="1"/>
        <v>287</v>
      </c>
      <c r="Q41" s="100">
        <f>VLOOKUP(C41,'IP PITS'!$B$9:$N$90,13,0)</f>
        <v>0</v>
      </c>
      <c r="R41" s="100">
        <f>VLOOKUP(C41,'IP PITS'!$B$9:$O$90,14,0)</f>
        <v>0</v>
      </c>
      <c r="S41" s="46"/>
      <c r="T41" s="100">
        <f>VLOOKUP(C41,'IP PITS'!$B$9:$P$90,15,0)</f>
        <v>0</v>
      </c>
      <c r="U41" s="46">
        <f>VLOOKUP(C41,'IP PITS'!$B$9:$Q$90,16,0)</f>
        <v>0</v>
      </c>
      <c r="V41" s="46">
        <v>0</v>
      </c>
      <c r="W41" s="100">
        <f>VLOOKUP(C41,'IP PITS'!$B$9:$R$90,17,0)</f>
        <v>0</v>
      </c>
      <c r="X41" s="109"/>
      <c r="Y41" s="100">
        <f t="shared" si="2"/>
        <v>4000</v>
      </c>
      <c r="Z41" s="46">
        <f t="shared" si="3"/>
        <v>0</v>
      </c>
      <c r="AA41" s="46"/>
      <c r="AB41" s="100" t="s">
        <v>669</v>
      </c>
    </row>
    <row r="42" spans="1:28" s="100" customFormat="1" x14ac:dyDescent="0.2">
      <c r="A42" s="52" t="s">
        <v>446</v>
      </c>
      <c r="B42" s="54" t="s">
        <v>57</v>
      </c>
      <c r="C42" s="52" t="s">
        <v>447</v>
      </c>
      <c r="D42" s="99"/>
      <c r="E42" s="102">
        <f>VLOOKUP(C42,'IP PITS'!$B$9:$V$90,21,0)</f>
        <v>3583.6</v>
      </c>
      <c r="F42" s="123"/>
      <c r="G42" s="100">
        <f>VLOOKUP(C42,'SIND PITS'!$C$7:$D$106,2,0)</f>
        <v>416.40000000000009</v>
      </c>
      <c r="H42" s="100">
        <f>VLOOKUP(C42,'SIND PITS'!$C$7:$E$106,3,0)</f>
        <v>740</v>
      </c>
      <c r="I42" s="100">
        <f>VLOOKUP(C42,'SIND PITS'!$C$7:$F$105,4,0)</f>
        <v>0</v>
      </c>
      <c r="J42" s="109"/>
      <c r="K42" s="100">
        <f t="shared" si="0"/>
        <v>4740</v>
      </c>
      <c r="L42" s="100">
        <v>8000</v>
      </c>
      <c r="M42" s="100">
        <v>4000</v>
      </c>
      <c r="N42" s="110"/>
      <c r="O42" s="46">
        <f>VLOOKUP(C42,'IP PITS'!$B$9:$I$90,8,0)</f>
        <v>0</v>
      </c>
      <c r="P42" s="100">
        <f t="shared" si="1"/>
        <v>740</v>
      </c>
      <c r="Q42" s="100">
        <f>VLOOKUP(C42,'IP PITS'!$B$9:$N$90,13,0)</f>
        <v>0</v>
      </c>
      <c r="R42" s="100">
        <f>VLOOKUP(C42,'IP PITS'!$B$9:$O$90,14,0)</f>
        <v>0</v>
      </c>
      <c r="S42" s="46"/>
      <c r="T42" s="100">
        <f>VLOOKUP(C42,'IP PITS'!$B$9:$P$90,15,0)</f>
        <v>0</v>
      </c>
      <c r="U42" s="46">
        <f>VLOOKUP(C42,'IP PITS'!$B$9:$Q$90,16,0)</f>
        <v>0</v>
      </c>
      <c r="V42" s="46">
        <v>0</v>
      </c>
      <c r="W42" s="100">
        <f>VLOOKUP(C42,'IP PITS'!$B$9:$R$90,17,0)</f>
        <v>0</v>
      </c>
      <c r="X42" s="109"/>
      <c r="Y42" s="100">
        <f t="shared" si="2"/>
        <v>4000</v>
      </c>
      <c r="Z42" s="46">
        <f t="shared" si="3"/>
        <v>0</v>
      </c>
      <c r="AA42" s="46"/>
      <c r="AB42" s="100" t="s">
        <v>669</v>
      </c>
    </row>
    <row r="43" spans="1:28" s="46" customFormat="1" x14ac:dyDescent="0.2">
      <c r="A43" s="52" t="s">
        <v>448</v>
      </c>
      <c r="B43" s="54" t="s">
        <v>57</v>
      </c>
      <c r="C43" s="52" t="s">
        <v>449</v>
      </c>
      <c r="D43" s="99"/>
      <c r="E43" s="102">
        <f>VLOOKUP(C43,'IP PITS'!$B$9:$V$90,21,0)</f>
        <v>4406.3999999999996</v>
      </c>
      <c r="F43" s="123"/>
      <c r="G43" s="100">
        <f>VLOOKUP(C43,'SIND PITS'!$C$7:$D$106,2,0)</f>
        <v>593.60000000000025</v>
      </c>
      <c r="H43" s="100">
        <f>VLOOKUP(C43,'SIND PITS'!$C$7:$E$106,3,0)</f>
        <v>121.5</v>
      </c>
      <c r="I43" s="100">
        <f>VLOOKUP(C43,'SIND PITS'!$C$7:$F$105,4,0)</f>
        <v>0</v>
      </c>
      <c r="J43" s="109"/>
      <c r="K43" s="100">
        <f t="shared" si="0"/>
        <v>5121.5</v>
      </c>
      <c r="L43" s="100">
        <v>10000</v>
      </c>
      <c r="M43" s="100">
        <v>5000</v>
      </c>
      <c r="N43" s="110"/>
      <c r="O43" s="46">
        <f>VLOOKUP(C43,'IP PITS'!$B$9:$I$90,8,0)</f>
        <v>0</v>
      </c>
      <c r="P43" s="100">
        <f t="shared" si="1"/>
        <v>121.5</v>
      </c>
      <c r="Q43" s="100">
        <f>VLOOKUP(C43,'IP PITS'!$B$9:$N$90,13,0)</f>
        <v>0</v>
      </c>
      <c r="R43" s="100">
        <f>VLOOKUP(C43,'IP PITS'!$B$9:$O$90,14,0)</f>
        <v>0</v>
      </c>
      <c r="T43" s="100">
        <f>VLOOKUP(C43,'IP PITS'!$B$9:$P$90,15,0)</f>
        <v>0</v>
      </c>
      <c r="U43" s="46">
        <f>VLOOKUP(C43,'IP PITS'!$B$9:$Q$90,16,0)</f>
        <v>0</v>
      </c>
      <c r="V43" s="46">
        <v>0</v>
      </c>
      <c r="W43" s="100">
        <f>VLOOKUP(C43,'IP PITS'!$B$9:$R$90,17,0)</f>
        <v>0</v>
      </c>
      <c r="X43" s="109"/>
      <c r="Y43" s="100">
        <f t="shared" si="2"/>
        <v>5000</v>
      </c>
      <c r="Z43" s="46">
        <f t="shared" si="3"/>
        <v>0</v>
      </c>
      <c r="AB43" s="100" t="s">
        <v>669</v>
      </c>
    </row>
    <row r="44" spans="1:28" s="100" customFormat="1" x14ac:dyDescent="0.2">
      <c r="A44" s="52" t="s">
        <v>450</v>
      </c>
      <c r="B44" s="54" t="s">
        <v>57</v>
      </c>
      <c r="C44" s="52" t="s">
        <v>451</v>
      </c>
      <c r="D44" s="99"/>
      <c r="E44" s="102">
        <f>VLOOKUP(C44,'IP PITS'!$B$9:$V$90,21,0)</f>
        <v>3238.4</v>
      </c>
      <c r="F44" s="123"/>
      <c r="G44" s="100">
        <f>VLOOKUP(C44,'SIND PITS'!$C$7:$D$106,2,0)</f>
        <v>416.34999999999991</v>
      </c>
      <c r="H44" s="100">
        <f>VLOOKUP(C44,'SIND PITS'!$C$7:$E$106,3,0)</f>
        <v>1723.5</v>
      </c>
      <c r="I44" s="100">
        <f>VLOOKUP(C44,'SIND PITS'!$C$7:$F$105,4,0)</f>
        <v>0</v>
      </c>
      <c r="J44" s="109"/>
      <c r="K44" s="100">
        <f t="shared" si="0"/>
        <v>5378.25</v>
      </c>
      <c r="L44" s="100">
        <v>8000</v>
      </c>
      <c r="M44" s="100">
        <v>4000</v>
      </c>
      <c r="N44" s="110"/>
      <c r="O44" s="46">
        <f>VLOOKUP(C44,'IP PITS'!$B$9:$I$90,8,0)</f>
        <v>0</v>
      </c>
      <c r="P44" s="100">
        <f t="shared" si="1"/>
        <v>1723.5</v>
      </c>
      <c r="Q44" s="100">
        <f>VLOOKUP(C44,'IP PITS'!$B$9:$N$90,13,0)</f>
        <v>0</v>
      </c>
      <c r="R44" s="100">
        <f>VLOOKUP(C44,'IP PITS'!$B$9:$O$90,14,0)</f>
        <v>0</v>
      </c>
      <c r="S44" s="46"/>
      <c r="T44" s="100">
        <f>VLOOKUP(C44,'IP PITS'!$B$9:$P$90,15,0)</f>
        <v>0</v>
      </c>
      <c r="U44" s="46">
        <f>VLOOKUP(C44,'IP PITS'!$B$9:$Q$90,16,0)</f>
        <v>0</v>
      </c>
      <c r="V44" s="46">
        <v>0</v>
      </c>
      <c r="W44" s="100">
        <f>VLOOKUP(C44,'IP PITS'!$B$9:$R$90,17,0)</f>
        <v>345.25</v>
      </c>
      <c r="X44" s="109"/>
      <c r="Y44" s="100">
        <f t="shared" si="2"/>
        <v>4000</v>
      </c>
      <c r="Z44" s="46">
        <f t="shared" si="3"/>
        <v>0</v>
      </c>
      <c r="AA44" s="46"/>
      <c r="AB44" s="100" t="s">
        <v>669</v>
      </c>
    </row>
    <row r="45" spans="1:28" s="100" customFormat="1" x14ac:dyDescent="0.2">
      <c r="A45" s="52" t="s">
        <v>452</v>
      </c>
      <c r="B45" s="54" t="s">
        <v>57</v>
      </c>
      <c r="C45" s="52" t="s">
        <v>453</v>
      </c>
      <c r="D45" s="99"/>
      <c r="E45" s="102">
        <f>VLOOKUP(C45,'IP PITS'!$B$9:$V$90,21,0)</f>
        <v>2681.6</v>
      </c>
      <c r="F45" s="123"/>
      <c r="G45" s="100">
        <f>VLOOKUP(C45,'SIND PITS'!$C$7:$D$106,2,0)</f>
        <v>549.90500000000065</v>
      </c>
      <c r="H45" s="100">
        <f>VLOOKUP(C45,'SIND PITS'!$C$7:$E$106,3,0)</f>
        <v>858.5</v>
      </c>
      <c r="I45" s="100">
        <f>VLOOKUP(C45,'SIND PITS'!$C$7:$F$105,4,0)</f>
        <v>0</v>
      </c>
      <c r="J45" s="109"/>
      <c r="K45" s="100">
        <f t="shared" si="0"/>
        <v>4090.0050000000006</v>
      </c>
      <c r="L45" s="100">
        <v>9550.01</v>
      </c>
      <c r="M45" s="100">
        <v>4775.0050000000001</v>
      </c>
      <c r="N45" s="110"/>
      <c r="O45" s="46">
        <f>VLOOKUP(C45,'IP PITS'!$B$9:$I$90,8,0)</f>
        <v>0</v>
      </c>
      <c r="P45" s="100">
        <f t="shared" si="1"/>
        <v>858.5</v>
      </c>
      <c r="Q45" s="100">
        <f>VLOOKUP(C45,'IP PITS'!$B$9:$N$90,13,0)</f>
        <v>1528.5</v>
      </c>
      <c r="R45" s="100">
        <f>VLOOKUP(C45,'IP PITS'!$B$9:$O$90,14,0)</f>
        <v>0</v>
      </c>
      <c r="S45" s="46"/>
      <c r="T45" s="100">
        <f>VLOOKUP(C45,'IP PITS'!$B$9:$P$90,15,0)</f>
        <v>15</v>
      </c>
      <c r="U45" s="46">
        <f>VLOOKUP(C45,'IP PITS'!$B$9:$Q$90,16,0)</f>
        <v>0</v>
      </c>
      <c r="V45" s="46">
        <v>0</v>
      </c>
      <c r="W45" s="100">
        <f>VLOOKUP(C45,'IP PITS'!$B$9:$R$90,17,0)</f>
        <v>0</v>
      </c>
      <c r="X45" s="109"/>
      <c r="Y45" s="100">
        <f t="shared" si="2"/>
        <v>4775.005000000001</v>
      </c>
      <c r="Z45" s="46">
        <f t="shared" si="3"/>
        <v>0</v>
      </c>
      <c r="AA45" s="46"/>
      <c r="AB45" s="100" t="s">
        <v>669</v>
      </c>
    </row>
    <row r="46" spans="1:28" s="100" customFormat="1" x14ac:dyDescent="0.2">
      <c r="A46" s="52" t="s">
        <v>454</v>
      </c>
      <c r="B46" s="54" t="s">
        <v>57</v>
      </c>
      <c r="C46" s="52" t="s">
        <v>455</v>
      </c>
      <c r="D46" s="99"/>
      <c r="E46" s="102">
        <f>VLOOKUP(C46,'IP PITS'!$B$9:$V$90,21,0)</f>
        <v>1157.8</v>
      </c>
      <c r="F46" s="123"/>
      <c r="G46" s="100">
        <f>VLOOKUP(C46,'SIND PITS'!$C$7:$D$106,2,0)</f>
        <v>384.77500000000009</v>
      </c>
      <c r="H46" s="100">
        <f>VLOOKUP(C46,'SIND PITS'!$C$7:$E$106,3,0)</f>
        <v>150</v>
      </c>
      <c r="I46" s="100">
        <f>VLOOKUP(C46,'SIND PITS'!$C$7:$F$105,4,0)</f>
        <v>0</v>
      </c>
      <c r="J46" s="109"/>
      <c r="K46" s="100">
        <f t="shared" si="0"/>
        <v>1692.575</v>
      </c>
      <c r="L46" s="100">
        <v>7505.99</v>
      </c>
      <c r="M46" s="100">
        <v>3752.9949999999999</v>
      </c>
      <c r="N46" s="110"/>
      <c r="O46" s="46">
        <f>VLOOKUP(C46,'IP PITS'!$B$9:$I$90,8,0)</f>
        <v>0</v>
      </c>
      <c r="P46" s="100">
        <f t="shared" si="1"/>
        <v>150</v>
      </c>
      <c r="Q46" s="100">
        <f>VLOOKUP(C46,'IP PITS'!$B$9:$N$90,13,0)</f>
        <v>0</v>
      </c>
      <c r="R46" s="100">
        <f>VLOOKUP(C46,'IP PITS'!$B$9:$O$90,14,0)</f>
        <v>1346.54</v>
      </c>
      <c r="S46" s="46"/>
      <c r="T46" s="100">
        <f>VLOOKUP(C46,'IP PITS'!$B$9:$P$90,15,0)</f>
        <v>15</v>
      </c>
      <c r="U46" s="46">
        <f>VLOOKUP(C46,'IP PITS'!$B$9:$Q$90,16,0)</f>
        <v>0</v>
      </c>
      <c r="V46" s="46">
        <v>0</v>
      </c>
      <c r="W46" s="100">
        <f>VLOOKUP(C46,'IP PITS'!$B$9:$R$90,17,0)</f>
        <v>848.88</v>
      </c>
      <c r="X46" s="109"/>
      <c r="Y46" s="100">
        <f t="shared" si="2"/>
        <v>3752.9949999999999</v>
      </c>
      <c r="Z46" s="46">
        <f t="shared" si="3"/>
        <v>0</v>
      </c>
      <c r="AA46" s="46"/>
      <c r="AB46" s="100" t="s">
        <v>669</v>
      </c>
    </row>
    <row r="47" spans="1:28" s="100" customFormat="1" x14ac:dyDescent="0.2">
      <c r="A47" s="52" t="s">
        <v>456</v>
      </c>
      <c r="B47" s="54" t="s">
        <v>57</v>
      </c>
      <c r="C47" s="52" t="s">
        <v>457</v>
      </c>
      <c r="D47" s="99"/>
      <c r="E47" s="102">
        <f>VLOOKUP(C47,'IP PITS'!$B$9:$V$90,21,0)</f>
        <v>3799</v>
      </c>
      <c r="F47" s="123"/>
      <c r="G47" s="100">
        <f>VLOOKUP(C47,'SIND PITS'!$C$7:$D$106,2,0)</f>
        <v>451.00500000000056</v>
      </c>
      <c r="H47" s="100">
        <f>VLOOKUP(C47,'SIND PITS'!$C$7:$E$106,3,0)</f>
        <v>1200</v>
      </c>
      <c r="I47" s="100">
        <f>VLOOKUP(C47,'SIND PITS'!$C$7:$F$105,4,0)</f>
        <v>0</v>
      </c>
      <c r="J47" s="109"/>
      <c r="K47" s="100">
        <f t="shared" si="0"/>
        <v>5450.005000000001</v>
      </c>
      <c r="L47" s="100">
        <v>8500.01</v>
      </c>
      <c r="M47" s="100">
        <v>4250.0050000000001</v>
      </c>
      <c r="N47" s="110"/>
      <c r="O47" s="46">
        <f>VLOOKUP(C47,'IP PITS'!$B$9:$I$90,8,0)</f>
        <v>0</v>
      </c>
      <c r="P47" s="100">
        <f t="shared" si="1"/>
        <v>1200</v>
      </c>
      <c r="Q47" s="100">
        <f>VLOOKUP(C47,'IP PITS'!$B$9:$N$90,13,0)</f>
        <v>0</v>
      </c>
      <c r="R47" s="100">
        <f>VLOOKUP(C47,'IP PITS'!$B$9:$O$90,14,0)</f>
        <v>0</v>
      </c>
      <c r="S47" s="46"/>
      <c r="T47" s="100">
        <f>VLOOKUP(C47,'IP PITS'!$B$9:$P$90,15,0)</f>
        <v>0</v>
      </c>
      <c r="U47" s="46">
        <f>VLOOKUP(C47,'IP PITS'!$B$9:$Q$90,16,0)</f>
        <v>0</v>
      </c>
      <c r="V47" s="46">
        <v>0</v>
      </c>
      <c r="W47" s="100">
        <f>VLOOKUP(C47,'IP PITS'!$B$9:$R$90,17,0)</f>
        <v>0</v>
      </c>
      <c r="X47" s="109"/>
      <c r="Y47" s="100">
        <f t="shared" si="2"/>
        <v>4250.005000000001</v>
      </c>
      <c r="Z47" s="46">
        <f t="shared" si="3"/>
        <v>0</v>
      </c>
      <c r="AA47" s="46"/>
      <c r="AB47" s="100" t="s">
        <v>669</v>
      </c>
    </row>
    <row r="48" spans="1:28" s="46" customFormat="1" x14ac:dyDescent="0.2">
      <c r="A48" s="52" t="s">
        <v>531</v>
      </c>
      <c r="B48" s="54" t="s">
        <v>57</v>
      </c>
      <c r="C48" s="52" t="s">
        <v>532</v>
      </c>
      <c r="D48" s="99"/>
      <c r="E48" s="102">
        <f>VLOOKUP(C48,'IP PITS'!$B$9:$V$90,21,0)</f>
        <v>3585.4</v>
      </c>
      <c r="F48" s="123"/>
      <c r="G48" s="100">
        <f>VLOOKUP(C48,'SIND PITS'!$C$7:$D$106,2,0)</f>
        <v>414.59999999999991</v>
      </c>
      <c r="H48" s="100">
        <f>VLOOKUP(C48,'SIND PITS'!$C$7:$E$106,3,0)</f>
        <v>224.25</v>
      </c>
      <c r="I48" s="100">
        <f>VLOOKUP(C48,'SIND PITS'!$C$7:$F$105,4,0)</f>
        <v>0</v>
      </c>
      <c r="J48" s="109"/>
      <c r="K48" s="100">
        <f t="shared" si="0"/>
        <v>4224.25</v>
      </c>
      <c r="L48" s="100">
        <v>8000</v>
      </c>
      <c r="M48" s="100">
        <v>4000</v>
      </c>
      <c r="N48" s="110"/>
      <c r="O48" s="46">
        <f>VLOOKUP(C48,'IP PITS'!$B$9:$I$90,8,0)</f>
        <v>0</v>
      </c>
      <c r="P48" s="100">
        <f t="shared" si="1"/>
        <v>224.25</v>
      </c>
      <c r="Q48" s="100">
        <f>VLOOKUP(C48,'IP PITS'!$B$9:$N$90,13,0)</f>
        <v>0</v>
      </c>
      <c r="R48" s="100">
        <f>VLOOKUP(C48,'IP PITS'!$B$9:$O$90,14,0)</f>
        <v>0</v>
      </c>
      <c r="T48" s="100">
        <f>VLOOKUP(C48,'IP PITS'!$B$9:$P$90,15,0)</f>
        <v>0</v>
      </c>
      <c r="U48" s="46">
        <f>VLOOKUP(C48,'IP PITS'!$B$9:$Q$90,16,0)</f>
        <v>0</v>
      </c>
      <c r="V48" s="46">
        <v>0</v>
      </c>
      <c r="W48" s="100">
        <f>VLOOKUP(C48,'IP PITS'!$B$9:$R$90,17,0)</f>
        <v>0</v>
      </c>
      <c r="X48" s="109"/>
      <c r="Y48" s="100">
        <f t="shared" si="2"/>
        <v>4000</v>
      </c>
      <c r="Z48" s="46">
        <f t="shared" si="3"/>
        <v>0</v>
      </c>
      <c r="AB48" s="100" t="s">
        <v>669</v>
      </c>
    </row>
    <row r="49" spans="1:29" s="100" customFormat="1" x14ac:dyDescent="0.2">
      <c r="A49" s="52" t="s">
        <v>460</v>
      </c>
      <c r="B49" s="54" t="s">
        <v>57</v>
      </c>
      <c r="C49" s="52" t="s">
        <v>461</v>
      </c>
      <c r="D49" s="99"/>
      <c r="E49" s="102">
        <f>VLOOKUP(C49,'IP PITS'!$B$9:$V$90,21,0)</f>
        <v>2869</v>
      </c>
      <c r="F49" s="123"/>
      <c r="G49" s="100">
        <f>VLOOKUP(C49,'SIND PITS'!$C$7:$D$106,2,0)</f>
        <v>450.9650000000006</v>
      </c>
      <c r="H49" s="100">
        <f>VLOOKUP(C49,'SIND PITS'!$C$7:$E$106,3,0)</f>
        <v>826</v>
      </c>
      <c r="I49" s="100">
        <f>VLOOKUP(C49,'SIND PITS'!$C$7:$F$105,4,0)</f>
        <v>0</v>
      </c>
      <c r="J49" s="109"/>
      <c r="K49" s="100">
        <f t="shared" si="0"/>
        <v>4145.9650000000001</v>
      </c>
      <c r="L49" s="100">
        <v>8500.01</v>
      </c>
      <c r="M49" s="100">
        <v>4250.0050000000001</v>
      </c>
      <c r="N49" s="110"/>
      <c r="O49" s="46">
        <f>VLOOKUP(C49,'IP PITS'!$B$9:$I$90,8,0)</f>
        <v>0</v>
      </c>
      <c r="P49" s="100">
        <f t="shared" si="1"/>
        <v>826</v>
      </c>
      <c r="Q49" s="100">
        <f>VLOOKUP(C49,'IP PITS'!$B$9:$N$90,13,0)</f>
        <v>0</v>
      </c>
      <c r="R49" s="100">
        <f>VLOOKUP(C49,'IP PITS'!$B$9:$O$90,14,0)</f>
        <v>592.54</v>
      </c>
      <c r="S49" s="46"/>
      <c r="T49" s="100">
        <f>VLOOKUP(C49,'IP PITS'!$B$9:$P$90,15,0)</f>
        <v>15</v>
      </c>
      <c r="U49" s="46">
        <f>VLOOKUP(C49,'IP PITS'!$B$9:$Q$90,16,0)</f>
        <v>0</v>
      </c>
      <c r="V49" s="46">
        <v>0</v>
      </c>
      <c r="W49" s="100">
        <f>VLOOKUP(C49,'IP PITS'!$B$9:$R$90,17,0)</f>
        <v>322.5</v>
      </c>
      <c r="X49" s="109"/>
      <c r="Y49" s="100">
        <f t="shared" si="2"/>
        <v>4250.0050000000001</v>
      </c>
      <c r="Z49" s="46">
        <f t="shared" si="3"/>
        <v>0</v>
      </c>
      <c r="AA49" s="46"/>
      <c r="AB49" s="100" t="s">
        <v>669</v>
      </c>
    </row>
    <row r="50" spans="1:29" s="100" customFormat="1" x14ac:dyDescent="0.2">
      <c r="A50" s="52" t="s">
        <v>464</v>
      </c>
      <c r="B50" s="54" t="s">
        <v>57</v>
      </c>
      <c r="C50" s="52" t="s">
        <v>465</v>
      </c>
      <c r="D50" s="99"/>
      <c r="E50" s="102">
        <f>VLOOKUP(C50,'IP PITS'!$B$9:$V$90,21,0)</f>
        <v>3583.6</v>
      </c>
      <c r="F50" s="123"/>
      <c r="G50" s="100">
        <f>VLOOKUP(C50,'SIND PITS'!$C$7:$D$106,2,0)</f>
        <v>416.40000000000009</v>
      </c>
      <c r="H50" s="100">
        <f>VLOOKUP(C50,'SIND PITS'!$C$7:$E$106,3,0)</f>
        <v>262.5</v>
      </c>
      <c r="I50" s="100">
        <f>VLOOKUP(C50,'SIND PITS'!$C$7:$F$105,4,0)</f>
        <v>0</v>
      </c>
      <c r="J50" s="109"/>
      <c r="K50" s="100">
        <f t="shared" si="0"/>
        <v>4262.5</v>
      </c>
      <c r="L50" s="100">
        <v>8000</v>
      </c>
      <c r="M50" s="100">
        <v>4000</v>
      </c>
      <c r="N50" s="110"/>
      <c r="O50" s="46">
        <f>VLOOKUP(C50,'IP PITS'!$B$9:$I$90,8,0)</f>
        <v>0</v>
      </c>
      <c r="P50" s="100">
        <f t="shared" si="1"/>
        <v>262.5</v>
      </c>
      <c r="Q50" s="100">
        <f>VLOOKUP(C50,'IP PITS'!$B$9:$N$90,13,0)</f>
        <v>0</v>
      </c>
      <c r="R50" s="100">
        <f>VLOOKUP(C50,'IP PITS'!$B$9:$O$90,14,0)</f>
        <v>0</v>
      </c>
      <c r="S50" s="46"/>
      <c r="T50" s="100">
        <f>VLOOKUP(C50,'IP PITS'!$B$9:$P$90,15,0)</f>
        <v>0</v>
      </c>
      <c r="U50" s="46">
        <f>VLOOKUP(C50,'IP PITS'!$B$9:$Q$90,16,0)</f>
        <v>0</v>
      </c>
      <c r="V50" s="46">
        <v>0</v>
      </c>
      <c r="W50" s="100">
        <f>VLOOKUP(C50,'IP PITS'!$B$9:$R$90,17,0)</f>
        <v>0</v>
      </c>
      <c r="X50" s="109"/>
      <c r="Y50" s="100">
        <f t="shared" si="2"/>
        <v>4000</v>
      </c>
      <c r="Z50" s="46">
        <f t="shared" si="3"/>
        <v>0</v>
      </c>
      <c r="AA50" s="46"/>
      <c r="AB50" s="100" t="s">
        <v>669</v>
      </c>
    </row>
    <row r="51" spans="1:29" s="100" customFormat="1" x14ac:dyDescent="0.2">
      <c r="A51" s="52" t="s">
        <v>468</v>
      </c>
      <c r="B51" s="54" t="s">
        <v>57</v>
      </c>
      <c r="C51" s="52" t="s">
        <v>469</v>
      </c>
      <c r="D51" s="99"/>
      <c r="E51" s="102">
        <f>VLOOKUP(C51,'IP PITS'!$B$9:$V$90,21,0)</f>
        <v>1320.4</v>
      </c>
      <c r="F51" s="123"/>
      <c r="G51" s="100">
        <f>VLOOKUP(C51,'SIND PITS'!$C$7:$D$106,2,0)</f>
        <v>416.25</v>
      </c>
      <c r="H51" s="100">
        <f>VLOOKUP(C51,'SIND PITS'!$C$7:$E$106,3,0)</f>
        <v>471</v>
      </c>
      <c r="I51" s="100">
        <f>VLOOKUP(C51,'SIND PITS'!$C$7:$F$105,4,0)</f>
        <v>0</v>
      </c>
      <c r="J51" s="109"/>
      <c r="K51" s="100">
        <f t="shared" si="0"/>
        <v>2207.65</v>
      </c>
      <c r="L51" s="100">
        <v>8000</v>
      </c>
      <c r="M51" s="100">
        <v>4000</v>
      </c>
      <c r="N51" s="110"/>
      <c r="O51" s="46">
        <f>VLOOKUP(C51,'IP PITS'!$B$9:$I$90,8,0)</f>
        <v>0</v>
      </c>
      <c r="P51" s="100">
        <f t="shared" si="1"/>
        <v>471</v>
      </c>
      <c r="Q51" s="100">
        <f>VLOOKUP(C51,'IP PITS'!$B$9:$N$90,13,0)</f>
        <v>1848.35</v>
      </c>
      <c r="R51" s="100">
        <f>VLOOKUP(C51,'IP PITS'!$B$9:$O$90,14,0)</f>
        <v>0</v>
      </c>
      <c r="S51" s="46"/>
      <c r="T51" s="100">
        <f>VLOOKUP(C51,'IP PITS'!$B$9:$P$90,15,0)</f>
        <v>15</v>
      </c>
      <c r="U51" s="46">
        <f>VLOOKUP(C51,'IP PITS'!$B$9:$Q$90,16,0)</f>
        <v>0</v>
      </c>
      <c r="V51" s="46">
        <v>0</v>
      </c>
      <c r="W51" s="100">
        <f>VLOOKUP(C51,'IP PITS'!$B$9:$R$90,17,0)</f>
        <v>400</v>
      </c>
      <c r="X51" s="109"/>
      <c r="Y51" s="100">
        <f t="shared" si="2"/>
        <v>4000</v>
      </c>
      <c r="Z51" s="46">
        <f t="shared" si="3"/>
        <v>0</v>
      </c>
      <c r="AA51" s="46"/>
      <c r="AB51" s="100" t="s">
        <v>669</v>
      </c>
      <c r="AC51" s="124"/>
    </row>
    <row r="52" spans="1:29" s="46" customFormat="1" x14ac:dyDescent="0.2">
      <c r="A52" s="52" t="s">
        <v>473</v>
      </c>
      <c r="B52" s="54" t="s">
        <v>57</v>
      </c>
      <c r="C52" s="52" t="s">
        <v>474</v>
      </c>
      <c r="D52" s="99"/>
      <c r="E52" s="102">
        <f>VLOOKUP(C52,'IP PITS'!$B$9:$V$90,21,0)</f>
        <v>5952.2</v>
      </c>
      <c r="F52" s="123"/>
      <c r="G52" s="100">
        <f>VLOOKUP(C52,'SIND PITS'!$C$7:$D$106,2,0)</f>
        <v>1047.8000000000006</v>
      </c>
      <c r="H52" s="100">
        <f>VLOOKUP(C52,'SIND PITS'!$C$7:$E$106,3,0)</f>
        <v>303.5</v>
      </c>
      <c r="I52" s="100">
        <f>VLOOKUP(C52,'SIND PITS'!$C$7:$F$105,4,0)</f>
        <v>0</v>
      </c>
      <c r="J52" s="109"/>
      <c r="K52" s="100">
        <f t="shared" si="0"/>
        <v>7303.5</v>
      </c>
      <c r="L52" s="100">
        <v>14000</v>
      </c>
      <c r="M52" s="100">
        <v>7000</v>
      </c>
      <c r="N52" s="110"/>
      <c r="O52" s="46">
        <f>VLOOKUP(C52,'IP PITS'!$B$9:$I$90,8,0)</f>
        <v>0</v>
      </c>
      <c r="P52" s="100">
        <f t="shared" si="1"/>
        <v>303.5</v>
      </c>
      <c r="Q52" s="100">
        <f>VLOOKUP(C52,'IP PITS'!$B$9:$N$90,13,0)</f>
        <v>0</v>
      </c>
      <c r="R52" s="100">
        <f>VLOOKUP(C52,'IP PITS'!$B$9:$O$90,14,0)</f>
        <v>0</v>
      </c>
      <c r="T52" s="100">
        <f>VLOOKUP(C52,'IP PITS'!$B$9:$P$90,15,0)</f>
        <v>0</v>
      </c>
      <c r="U52" s="46">
        <f>VLOOKUP(C52,'IP PITS'!$B$9:$Q$90,16,0)</f>
        <v>0</v>
      </c>
      <c r="V52" s="46">
        <v>0</v>
      </c>
      <c r="W52" s="100">
        <f>VLOOKUP(C52,'IP PITS'!$B$9:$R$90,17,0)</f>
        <v>0</v>
      </c>
      <c r="X52" s="109"/>
      <c r="Y52" s="100">
        <f t="shared" si="2"/>
        <v>7000</v>
      </c>
      <c r="Z52" s="46">
        <f t="shared" si="3"/>
        <v>0</v>
      </c>
      <c r="AB52" s="100" t="s">
        <v>669</v>
      </c>
    </row>
    <row r="53" spans="1:29" s="100" customFormat="1" x14ac:dyDescent="0.2">
      <c r="A53" s="52" t="s">
        <v>475</v>
      </c>
      <c r="B53" s="54" t="s">
        <v>57</v>
      </c>
      <c r="C53" s="52" t="s">
        <v>551</v>
      </c>
      <c r="D53" s="99"/>
      <c r="E53" s="102">
        <f>VLOOKUP(C53,'IP PITS'!$B$9:$V$90,21,0)</f>
        <v>2895</v>
      </c>
      <c r="F53" s="123"/>
      <c r="G53" s="100">
        <f>VLOOKUP(C53,'SIND PITS'!$C$7:$D$106,2,0)</f>
        <v>416.20000000000027</v>
      </c>
      <c r="H53" s="100">
        <f>VLOOKUP(C53,'SIND PITS'!$C$7:$E$106,3,0)</f>
        <v>463</v>
      </c>
      <c r="I53" s="100">
        <f>VLOOKUP(C53,'SIND PITS'!$C$7:$F$105,4,0)</f>
        <v>0</v>
      </c>
      <c r="J53" s="109"/>
      <c r="K53" s="100">
        <f t="shared" si="0"/>
        <v>3774.2000000000003</v>
      </c>
      <c r="L53" s="100">
        <v>8000</v>
      </c>
      <c r="M53" s="100">
        <v>4000</v>
      </c>
      <c r="N53" s="110"/>
      <c r="O53" s="46">
        <f>VLOOKUP(C53,'IP PITS'!$B$9:$I$90,8,0)</f>
        <v>0</v>
      </c>
      <c r="P53" s="100">
        <f t="shared" si="1"/>
        <v>463</v>
      </c>
      <c r="Q53" s="100">
        <f>VLOOKUP(C53,'IP PITS'!$B$9:$N$90,13,0)</f>
        <v>0</v>
      </c>
      <c r="R53" s="100">
        <f>VLOOKUP(C53,'IP PITS'!$B$9:$O$90,14,0)</f>
        <v>0</v>
      </c>
      <c r="S53" s="46"/>
      <c r="T53" s="100">
        <f>VLOOKUP(C53,'IP PITS'!$B$9:$P$90,15,0)</f>
        <v>0</v>
      </c>
      <c r="U53" s="46">
        <f>VLOOKUP(C53,'IP PITS'!$B$9:$Q$90,16,0)</f>
        <v>0</v>
      </c>
      <c r="V53" s="46">
        <v>0</v>
      </c>
      <c r="W53" s="100">
        <f>VLOOKUP(C53,'IP PITS'!$B$9:$R$90,17,0)</f>
        <v>688.8</v>
      </c>
      <c r="X53" s="109"/>
      <c r="Y53" s="100">
        <f t="shared" si="2"/>
        <v>4000</v>
      </c>
      <c r="Z53" s="46">
        <f t="shared" si="3"/>
        <v>0</v>
      </c>
      <c r="AA53" s="46"/>
      <c r="AB53" s="100" t="s">
        <v>669</v>
      </c>
    </row>
    <row r="54" spans="1:29" s="100" customFormat="1" x14ac:dyDescent="0.2">
      <c r="A54" s="52" t="s">
        <v>478</v>
      </c>
      <c r="B54" s="54" t="s">
        <v>57</v>
      </c>
      <c r="C54" s="52" t="s">
        <v>479</v>
      </c>
      <c r="D54" s="99"/>
      <c r="E54" s="102">
        <f>VLOOKUP(C54,'IP PITS'!$B$9:$V$90,21,0)</f>
        <v>3583.6</v>
      </c>
      <c r="F54" s="123"/>
      <c r="G54" s="100">
        <f>VLOOKUP(C54,'SIND PITS'!$C$7:$D$106,2,0)</f>
        <v>416.40000000000032</v>
      </c>
      <c r="H54" s="100">
        <f>VLOOKUP(C54,'SIND PITS'!$C$7:$E$106,3,0)</f>
        <v>546</v>
      </c>
      <c r="I54" s="100">
        <f>VLOOKUP(C54,'SIND PITS'!$C$7:$F$105,4,0)</f>
        <v>0</v>
      </c>
      <c r="J54" s="109"/>
      <c r="K54" s="100">
        <f t="shared" si="0"/>
        <v>4546</v>
      </c>
      <c r="L54" s="100">
        <v>8000</v>
      </c>
      <c r="M54" s="100">
        <v>4000</v>
      </c>
      <c r="N54" s="110"/>
      <c r="O54" s="46">
        <f>VLOOKUP(C54,'IP PITS'!$B$9:$I$90,8,0)</f>
        <v>0</v>
      </c>
      <c r="P54" s="100">
        <f t="shared" si="1"/>
        <v>546</v>
      </c>
      <c r="Q54" s="100">
        <f>VLOOKUP(C54,'IP PITS'!$B$9:$N$90,13,0)</f>
        <v>0</v>
      </c>
      <c r="R54" s="100">
        <f>VLOOKUP(C54,'IP PITS'!$B$9:$O$90,14,0)</f>
        <v>0</v>
      </c>
      <c r="S54" s="46"/>
      <c r="T54" s="100">
        <f>VLOOKUP(C54,'IP PITS'!$B$9:$P$90,15,0)</f>
        <v>0</v>
      </c>
      <c r="U54" s="46">
        <f>VLOOKUP(C54,'IP PITS'!$B$9:$Q$90,16,0)</f>
        <v>0</v>
      </c>
      <c r="V54" s="46">
        <v>0</v>
      </c>
      <c r="W54" s="100">
        <f>VLOOKUP(C54,'IP PITS'!$B$9:$R$90,17,0)</f>
        <v>0</v>
      </c>
      <c r="X54" s="109"/>
      <c r="Y54" s="100">
        <f t="shared" si="2"/>
        <v>4000</v>
      </c>
      <c r="Z54" s="46">
        <f t="shared" si="3"/>
        <v>0</v>
      </c>
      <c r="AA54" s="46"/>
      <c r="AB54" s="100" t="s">
        <v>669</v>
      </c>
    </row>
    <row r="55" spans="1:29" s="100" customFormat="1" x14ac:dyDescent="0.2">
      <c r="A55" s="52" t="s">
        <v>480</v>
      </c>
      <c r="B55" s="54" t="s">
        <v>57</v>
      </c>
      <c r="C55" s="52" t="s">
        <v>481</v>
      </c>
      <c r="D55" s="99"/>
      <c r="E55" s="102">
        <f>VLOOKUP(C55,'IP PITS'!$B$9:$V$90,21,0)</f>
        <v>2864.8</v>
      </c>
      <c r="F55" s="123"/>
      <c r="G55" s="100">
        <f>VLOOKUP(C55,'SIND PITS'!$C$7:$D$106,2,0)</f>
        <v>135.22</v>
      </c>
      <c r="H55" s="100">
        <f>VLOOKUP(C55,'SIND PITS'!$C$7:$E$106,3,0)</f>
        <v>292.5</v>
      </c>
      <c r="I55" s="100">
        <f>VLOOKUP(C55,'SIND PITS'!$C$7:$F$105,4,0)</f>
        <v>0</v>
      </c>
      <c r="J55" s="109"/>
      <c r="K55" s="100">
        <f t="shared" si="0"/>
        <v>3292.52</v>
      </c>
      <c r="L55" s="100">
        <v>6000</v>
      </c>
      <c r="M55" s="100">
        <v>3000</v>
      </c>
      <c r="N55" s="110"/>
      <c r="O55" s="46">
        <f>VLOOKUP(C55,'IP PITS'!$B$9:$I$90,8,0)</f>
        <v>0</v>
      </c>
      <c r="P55" s="100">
        <f t="shared" si="1"/>
        <v>292.5</v>
      </c>
      <c r="Q55" s="100">
        <f>VLOOKUP(C55,'IP PITS'!$B$9:$N$90,13,0)</f>
        <v>0</v>
      </c>
      <c r="R55" s="100">
        <f>VLOOKUP(C55,'IP PITS'!$B$9:$O$90,14,0)</f>
        <v>0</v>
      </c>
      <c r="S55" s="46"/>
      <c r="T55" s="100">
        <f>VLOOKUP(C55,'IP PITS'!$B$9:$P$90,15,0)</f>
        <v>0</v>
      </c>
      <c r="U55" s="46">
        <f>VLOOKUP(C55,'IP PITS'!$B$9:$Q$90,16,0)</f>
        <v>0</v>
      </c>
      <c r="V55" s="46">
        <v>0</v>
      </c>
      <c r="W55" s="100">
        <f>VLOOKUP(C55,'IP PITS'!$B$9:$R$90,17,0)</f>
        <v>0</v>
      </c>
      <c r="X55" s="109"/>
      <c r="Y55" s="100">
        <f t="shared" si="2"/>
        <v>3000.02</v>
      </c>
      <c r="Z55" s="46">
        <f t="shared" si="3"/>
        <v>-1.999999999998181E-2</v>
      </c>
      <c r="AA55" s="46"/>
      <c r="AB55" s="100" t="s">
        <v>669</v>
      </c>
    </row>
    <row r="56" spans="1:29" s="100" customFormat="1" x14ac:dyDescent="0.2">
      <c r="A56" s="52" t="s">
        <v>482</v>
      </c>
      <c r="B56" s="54" t="s">
        <v>57</v>
      </c>
      <c r="C56" s="52" t="s">
        <v>483</v>
      </c>
      <c r="D56" s="99"/>
      <c r="E56" s="102">
        <f>VLOOKUP(C56,'IP PITS'!$B$9:$V$90,21,0)</f>
        <v>3583.8</v>
      </c>
      <c r="F56" s="123"/>
      <c r="G56" s="100">
        <f>VLOOKUP(C56,'SIND PITS'!$C$7:$D$106,2,0)</f>
        <v>416.19999999999982</v>
      </c>
      <c r="H56" s="100">
        <f>VLOOKUP(C56,'SIND PITS'!$C$7:$E$106,3,0)</f>
        <v>1250</v>
      </c>
      <c r="I56" s="100">
        <f>VLOOKUP(C56,'SIND PITS'!$C$7:$F$105,4,0)</f>
        <v>0</v>
      </c>
      <c r="J56" s="109"/>
      <c r="K56" s="100">
        <f t="shared" si="0"/>
        <v>5250</v>
      </c>
      <c r="L56" s="100">
        <v>8000</v>
      </c>
      <c r="M56" s="100">
        <v>4000</v>
      </c>
      <c r="N56" s="110"/>
      <c r="O56" s="46">
        <f>VLOOKUP(C56,'IP PITS'!$B$9:$I$90,8,0)</f>
        <v>0</v>
      </c>
      <c r="P56" s="100">
        <f t="shared" si="1"/>
        <v>1250</v>
      </c>
      <c r="Q56" s="100">
        <f>VLOOKUP(C56,'IP PITS'!$B$9:$N$90,13,0)</f>
        <v>0</v>
      </c>
      <c r="R56" s="100">
        <f>VLOOKUP(C56,'IP PITS'!$B$9:$O$90,14,0)</f>
        <v>0</v>
      </c>
      <c r="S56" s="46"/>
      <c r="T56" s="100">
        <f>VLOOKUP(C56,'IP PITS'!$B$9:$P$90,15,0)</f>
        <v>0</v>
      </c>
      <c r="U56" s="46">
        <f>VLOOKUP(C56,'IP PITS'!$B$9:$Q$90,16,0)</f>
        <v>0</v>
      </c>
      <c r="V56" s="46">
        <v>0</v>
      </c>
      <c r="W56" s="100">
        <f>VLOOKUP(C56,'IP PITS'!$B$9:$R$90,17,0)</f>
        <v>0</v>
      </c>
      <c r="X56" s="109"/>
      <c r="Y56" s="100">
        <f t="shared" si="2"/>
        <v>4000</v>
      </c>
      <c r="Z56" s="46">
        <f t="shared" si="3"/>
        <v>0</v>
      </c>
      <c r="AA56" s="46"/>
      <c r="AB56" s="100" t="s">
        <v>669</v>
      </c>
    </row>
    <row r="57" spans="1:29" s="100" customFormat="1" x14ac:dyDescent="0.2">
      <c r="A57" s="52" t="s">
        <v>484</v>
      </c>
      <c r="B57" s="54" t="s">
        <v>57</v>
      </c>
      <c r="C57" s="52" t="s">
        <v>485</v>
      </c>
      <c r="D57" s="99"/>
      <c r="E57" s="102">
        <f>VLOOKUP(C57,'IP PITS'!$B$9:$V$90,21,0)</f>
        <v>3585.4</v>
      </c>
      <c r="F57" s="123"/>
      <c r="G57" s="100">
        <f>VLOOKUP(C57,'SIND PITS'!$C$7:$D$106,2,0)</f>
        <v>414.59999999999945</v>
      </c>
      <c r="H57" s="100">
        <f>VLOOKUP(C57,'SIND PITS'!$C$7:$E$106,3,0)</f>
        <v>359</v>
      </c>
      <c r="I57" s="100">
        <f>VLOOKUP(C57,'SIND PITS'!$C$7:$F$105,4,0)</f>
        <v>0</v>
      </c>
      <c r="J57" s="109"/>
      <c r="K57" s="100">
        <f t="shared" si="0"/>
        <v>4359</v>
      </c>
      <c r="L57" s="100">
        <v>8000</v>
      </c>
      <c r="M57" s="100">
        <v>4000</v>
      </c>
      <c r="N57" s="110"/>
      <c r="O57" s="46">
        <f>VLOOKUP(C57,'IP PITS'!$B$9:$I$90,8,0)</f>
        <v>0</v>
      </c>
      <c r="P57" s="100">
        <f t="shared" si="1"/>
        <v>359</v>
      </c>
      <c r="Q57" s="100">
        <f>VLOOKUP(C57,'IP PITS'!$B$9:$N$90,13,0)</f>
        <v>0</v>
      </c>
      <c r="R57" s="100">
        <f>VLOOKUP(C57,'IP PITS'!$B$9:$O$90,14,0)</f>
        <v>0</v>
      </c>
      <c r="S57" s="46"/>
      <c r="T57" s="100">
        <f>VLOOKUP(C57,'IP PITS'!$B$9:$P$90,15,0)</f>
        <v>0</v>
      </c>
      <c r="U57" s="46">
        <f>VLOOKUP(C57,'IP PITS'!$B$9:$Q$90,16,0)</f>
        <v>0</v>
      </c>
      <c r="V57" s="46">
        <v>0</v>
      </c>
      <c r="W57" s="100">
        <f>VLOOKUP(C57,'IP PITS'!$B$9:$R$90,17,0)</f>
        <v>0</v>
      </c>
      <c r="X57" s="109"/>
      <c r="Y57" s="100">
        <f t="shared" si="2"/>
        <v>4000</v>
      </c>
      <c r="Z57" s="46">
        <f t="shared" si="3"/>
        <v>0</v>
      </c>
      <c r="AA57" s="127"/>
      <c r="AB57" s="100" t="s">
        <v>669</v>
      </c>
    </row>
    <row r="58" spans="1:29" s="100" customFormat="1" x14ac:dyDescent="0.2">
      <c r="A58" s="52" t="s">
        <v>486</v>
      </c>
      <c r="B58" s="54" t="s">
        <v>57</v>
      </c>
      <c r="C58" s="52" t="s">
        <v>487</v>
      </c>
      <c r="D58" s="99"/>
      <c r="E58" s="102">
        <f>VLOOKUP(C58,'IP PITS'!$B$9:$V$90,21,0)</f>
        <v>3585.4</v>
      </c>
      <c r="F58" s="123"/>
      <c r="G58" s="100">
        <f>VLOOKUP(C58,'SIND PITS'!$C$7:$D$106,2,0)</f>
        <v>414.59999999999945</v>
      </c>
      <c r="H58" s="100">
        <f>VLOOKUP(C58,'SIND PITS'!$C$7:$E$106,3,0)</f>
        <v>450</v>
      </c>
      <c r="I58" s="100">
        <f>VLOOKUP(C58,'SIND PITS'!$C$7:$F$105,4,0)</f>
        <v>0</v>
      </c>
      <c r="J58" s="109"/>
      <c r="K58" s="100">
        <f t="shared" si="0"/>
        <v>4450</v>
      </c>
      <c r="L58" s="100">
        <v>8000</v>
      </c>
      <c r="M58" s="100">
        <v>4000</v>
      </c>
      <c r="N58" s="110"/>
      <c r="O58" s="46">
        <f>VLOOKUP(C58,'IP PITS'!$B$9:$I$90,8,0)</f>
        <v>0</v>
      </c>
      <c r="P58" s="100">
        <f t="shared" si="1"/>
        <v>450</v>
      </c>
      <c r="Q58" s="100">
        <f>VLOOKUP(C58,'IP PITS'!$B$9:$N$90,13,0)</f>
        <v>0</v>
      </c>
      <c r="R58" s="100">
        <f>VLOOKUP(C58,'IP PITS'!$B$9:$O$90,14,0)</f>
        <v>0</v>
      </c>
      <c r="S58" s="46"/>
      <c r="T58" s="100">
        <f>VLOOKUP(C58,'IP PITS'!$B$9:$P$90,15,0)</f>
        <v>0</v>
      </c>
      <c r="U58" s="46">
        <f>VLOOKUP(C58,'IP PITS'!$B$9:$Q$90,16,0)</f>
        <v>0</v>
      </c>
      <c r="V58" s="46">
        <v>0</v>
      </c>
      <c r="W58" s="100">
        <f>VLOOKUP(C58,'IP PITS'!$B$9:$R$90,17,0)</f>
        <v>0</v>
      </c>
      <c r="X58" s="109"/>
      <c r="Y58" s="100">
        <f t="shared" si="2"/>
        <v>4000</v>
      </c>
      <c r="Z58" s="46">
        <f t="shared" si="3"/>
        <v>0</v>
      </c>
      <c r="AA58" s="130"/>
      <c r="AB58" s="100" t="s">
        <v>669</v>
      </c>
    </row>
    <row r="59" spans="1:29" s="100" customFormat="1" x14ac:dyDescent="0.2">
      <c r="A59" s="52" t="s">
        <v>491</v>
      </c>
      <c r="B59" s="54" t="s">
        <v>57</v>
      </c>
      <c r="C59" s="52" t="s">
        <v>489</v>
      </c>
      <c r="D59" s="99"/>
      <c r="E59" s="102">
        <f>VLOOKUP(C59,'IP PITS'!$B$9:$V$90,21,0)</f>
        <v>3583.6</v>
      </c>
      <c r="F59" s="123"/>
      <c r="G59" s="100">
        <f>VLOOKUP(C59,'SIND PITS'!$C$7:$D$106,2,0)</f>
        <v>416.40000000000009</v>
      </c>
      <c r="H59" s="100">
        <f>VLOOKUP(C59,'SIND PITS'!$C$7:$E$106,3,0)</f>
        <v>474</v>
      </c>
      <c r="I59" s="100">
        <f>VLOOKUP(C59,'SIND PITS'!$C$7:$F$105,4,0)</f>
        <v>0</v>
      </c>
      <c r="J59" s="109"/>
      <c r="K59" s="100">
        <f t="shared" si="0"/>
        <v>4474</v>
      </c>
      <c r="L59" s="100">
        <v>8000</v>
      </c>
      <c r="M59" s="100">
        <v>4000</v>
      </c>
      <c r="N59" s="110"/>
      <c r="O59" s="46">
        <f>VLOOKUP(C59,'IP PITS'!$B$9:$I$90,8,0)</f>
        <v>0</v>
      </c>
      <c r="P59" s="100">
        <f t="shared" si="1"/>
        <v>474</v>
      </c>
      <c r="Q59" s="100">
        <f>VLOOKUP(C59,'IP PITS'!$B$9:$N$90,13,0)</f>
        <v>0</v>
      </c>
      <c r="R59" s="100">
        <f>VLOOKUP(C59,'IP PITS'!$B$9:$O$90,14,0)</f>
        <v>0</v>
      </c>
      <c r="S59" s="46"/>
      <c r="T59" s="100">
        <f>VLOOKUP(C59,'IP PITS'!$B$9:$P$90,15,0)</f>
        <v>0</v>
      </c>
      <c r="U59" s="46">
        <f>VLOOKUP(C59,'IP PITS'!$B$9:$Q$90,16,0)</f>
        <v>0</v>
      </c>
      <c r="V59" s="46">
        <v>0</v>
      </c>
      <c r="W59" s="100">
        <f>VLOOKUP(C59,'IP PITS'!$B$9:$R$90,17,0)</f>
        <v>0</v>
      </c>
      <c r="X59" s="109"/>
      <c r="Y59" s="100">
        <f t="shared" si="2"/>
        <v>4000</v>
      </c>
      <c r="Z59" s="46">
        <f t="shared" si="3"/>
        <v>0</v>
      </c>
      <c r="AA59" s="127"/>
      <c r="AB59" s="100" t="s">
        <v>669</v>
      </c>
    </row>
    <row r="60" spans="1:29" s="100" customFormat="1" x14ac:dyDescent="0.2">
      <c r="A60" s="54" t="s">
        <v>655</v>
      </c>
      <c r="B60" s="54" t="s">
        <v>57</v>
      </c>
      <c r="C60" s="54" t="s">
        <v>388</v>
      </c>
      <c r="D60" s="99"/>
      <c r="E60" s="102">
        <f>VLOOKUP(C60,'IP PITS'!$B$9:$V$90,21,0)</f>
        <v>2237.8000000000002</v>
      </c>
      <c r="F60" s="123"/>
      <c r="G60" s="100">
        <f>VLOOKUP(C60,'SIND PITS'!$C$7:$D$106,2,0)</f>
        <v>2262.1999999999994</v>
      </c>
      <c r="H60" s="100">
        <f>VLOOKUP(C60,'SIND PITS'!$C$7:$E$106,3,0)</f>
        <v>0</v>
      </c>
      <c r="I60" s="100">
        <f>VLOOKUP(C60,'SIND PITS'!$C$7:$F$105,4,0)</f>
        <v>0</v>
      </c>
      <c r="J60" s="109"/>
      <c r="K60" s="100">
        <f t="shared" si="0"/>
        <v>4500</v>
      </c>
      <c r="L60" s="46">
        <v>9000</v>
      </c>
      <c r="M60" s="46">
        <v>4500</v>
      </c>
      <c r="N60" s="110"/>
      <c r="O60" s="46">
        <f>VLOOKUP(C60,'IP PITS'!$B$9:$I$90,8,0)</f>
        <v>0</v>
      </c>
      <c r="P60" s="100">
        <f t="shared" si="1"/>
        <v>0</v>
      </c>
      <c r="Q60" s="100">
        <f>VLOOKUP(C60,'IP PITS'!$B$9:$N$90,13,0)</f>
        <v>0</v>
      </c>
      <c r="R60" s="100">
        <f>VLOOKUP(C60,'IP PITS'!$B$9:$O$90,14,0)</f>
        <v>0</v>
      </c>
      <c r="S60" s="46"/>
      <c r="T60" s="100">
        <f>VLOOKUP(C60,'IP PITS'!$B$9:$P$90,15,0)</f>
        <v>0</v>
      </c>
      <c r="U60" s="46">
        <f>VLOOKUP(C60,'IP PITS'!$B$9:$Q$90,16,0)</f>
        <v>0</v>
      </c>
      <c r="V60" s="46">
        <v>0</v>
      </c>
      <c r="W60" s="100">
        <f>VLOOKUP(C60,'IP PITS'!$B$9:$R$90,17,0)</f>
        <v>0</v>
      </c>
      <c r="X60" s="109"/>
      <c r="Y60" s="100">
        <f t="shared" si="2"/>
        <v>4500</v>
      </c>
      <c r="Z60" s="46">
        <f t="shared" si="3"/>
        <v>0</v>
      </c>
      <c r="AA60" s="46"/>
      <c r="AB60" s="100" t="s">
        <v>669</v>
      </c>
    </row>
    <row r="61" spans="1:29" s="100" customFormat="1" x14ac:dyDescent="0.2">
      <c r="A61" s="61" t="s">
        <v>656</v>
      </c>
      <c r="B61" s="54" t="s">
        <v>57</v>
      </c>
      <c r="C61" s="61" t="s">
        <v>349</v>
      </c>
      <c r="D61" s="99"/>
      <c r="E61" s="102">
        <f>VLOOKUP(C61,'IP PITS'!$B$9:$V$90,21,0)</f>
        <v>1459.6</v>
      </c>
      <c r="F61" s="123"/>
      <c r="G61" s="100">
        <f>VLOOKUP(C61,'SIND PITS'!$C$7:$D$106,2,0)</f>
        <v>2262.37</v>
      </c>
      <c r="H61" s="100">
        <f>VLOOKUP(C61,'SIND PITS'!$C$7:$E$106,3,0)</f>
        <v>450</v>
      </c>
      <c r="I61" s="100">
        <f>VLOOKUP(C61,'SIND PITS'!$C$7:$F$105,4,0)</f>
        <v>0</v>
      </c>
      <c r="J61" s="109"/>
      <c r="K61" s="100">
        <f t="shared" si="0"/>
        <v>4171.9699999999993</v>
      </c>
      <c r="L61" s="100">
        <v>9000</v>
      </c>
      <c r="M61" s="100">
        <v>4500</v>
      </c>
      <c r="N61" s="110"/>
      <c r="O61" s="46">
        <f>VLOOKUP(C61,'IP PITS'!$B$9:$I$90,8,0)</f>
        <v>0</v>
      </c>
      <c r="P61" s="100">
        <f t="shared" si="1"/>
        <v>450</v>
      </c>
      <c r="Q61" s="100">
        <f>VLOOKUP(C61,'IP PITS'!$B$9:$N$90,13,0)</f>
        <v>0</v>
      </c>
      <c r="R61" s="100">
        <f>VLOOKUP(C61,'IP PITS'!$B$9:$O$90,14,0)</f>
        <v>763.03</v>
      </c>
      <c r="S61" s="46"/>
      <c r="T61" s="100">
        <f>VLOOKUP(C61,'IP PITS'!$B$9:$P$90,15,0)</f>
        <v>15</v>
      </c>
      <c r="U61" s="46">
        <f>VLOOKUP(C61,'IP PITS'!$B$9:$Q$90,16,0)</f>
        <v>0</v>
      </c>
      <c r="V61" s="46">
        <v>0</v>
      </c>
      <c r="W61" s="100">
        <f>VLOOKUP(C61,'IP PITS'!$B$9:$R$90,17,0)</f>
        <v>0</v>
      </c>
      <c r="X61" s="109"/>
      <c r="Y61" s="100">
        <f t="shared" si="2"/>
        <v>4499.9999999999991</v>
      </c>
      <c r="Z61" s="46">
        <f t="shared" si="3"/>
        <v>0</v>
      </c>
      <c r="AA61" s="132"/>
      <c r="AB61" s="100" t="s">
        <v>669</v>
      </c>
    </row>
    <row r="62" spans="1:29" s="100" customFormat="1" ht="14.25" customHeight="1" x14ac:dyDescent="0.2">
      <c r="A62" s="61" t="s">
        <v>657</v>
      </c>
      <c r="B62" s="54" t="s">
        <v>57</v>
      </c>
      <c r="C62" s="52" t="s">
        <v>354</v>
      </c>
      <c r="D62" s="99"/>
      <c r="E62" s="102">
        <f>VLOOKUP(C62,'IP PITS'!$B$9:$V$90,21,0)</f>
        <v>1065.8</v>
      </c>
      <c r="F62" s="123"/>
      <c r="G62" s="100">
        <f>VLOOKUP(C62,'SIND PITS'!$C$7:$D$106,2,0)</f>
        <v>2884.9399999999996</v>
      </c>
      <c r="H62" s="100">
        <f>VLOOKUP(C62,'SIND PITS'!$C$7:$E$106,3,0)</f>
        <v>0</v>
      </c>
      <c r="I62" s="100">
        <f>VLOOKUP(C62,'SIND PITS'!$C$7:$F$105,4,0)</f>
        <v>0</v>
      </c>
      <c r="J62" s="109"/>
      <c r="K62" s="100">
        <f t="shared" si="0"/>
        <v>3950.74</v>
      </c>
      <c r="L62" s="100">
        <v>12000</v>
      </c>
      <c r="M62" s="100">
        <v>6000</v>
      </c>
      <c r="N62" s="110"/>
      <c r="O62" s="46">
        <f>VLOOKUP(C62,'IP PITS'!$B$9:$I$90,8,0)</f>
        <v>0</v>
      </c>
      <c r="P62" s="100">
        <f t="shared" si="1"/>
        <v>0</v>
      </c>
      <c r="Q62" s="100">
        <f>VLOOKUP(C62,'IP PITS'!$B$9:$N$90,13,0)</f>
        <v>2034.26</v>
      </c>
      <c r="R62" s="100">
        <f>VLOOKUP(C62,'IP PITS'!$B$9:$O$90,14,0)</f>
        <v>0</v>
      </c>
      <c r="S62" s="46"/>
      <c r="T62" s="100">
        <f>VLOOKUP(C62,'IP PITS'!$B$9:$P$90,15,0)</f>
        <v>15</v>
      </c>
      <c r="U62" s="46">
        <f>VLOOKUP(C62,'IP PITS'!$B$9:$Q$90,16,0)</f>
        <v>0</v>
      </c>
      <c r="V62" s="46">
        <v>0</v>
      </c>
      <c r="W62" s="100">
        <f>VLOOKUP(C62,'IP PITS'!$B$9:$R$90,17,0)</f>
        <v>0</v>
      </c>
      <c r="X62" s="109"/>
      <c r="Y62" s="100">
        <f t="shared" si="2"/>
        <v>6000</v>
      </c>
      <c r="Z62" s="46">
        <f t="shared" si="3"/>
        <v>0</v>
      </c>
      <c r="AA62" s="46"/>
      <c r="AB62" s="100" t="s">
        <v>669</v>
      </c>
    </row>
    <row r="63" spans="1:29" s="46" customFormat="1" x14ac:dyDescent="0.2">
      <c r="A63" s="52" t="s">
        <v>659</v>
      </c>
      <c r="B63" s="54" t="s">
        <v>57</v>
      </c>
      <c r="C63" s="52" t="s">
        <v>391</v>
      </c>
      <c r="D63" s="99"/>
      <c r="E63" s="102">
        <f>VLOOKUP(C63,'IP PITS'!$B$9:$V$90,21,0)</f>
        <v>3278.8</v>
      </c>
      <c r="F63" s="123"/>
      <c r="G63" s="100">
        <f>VLOOKUP(C63,'SIND PITS'!$C$7:$D$106,2,0)</f>
        <v>3721.2</v>
      </c>
      <c r="H63" s="100">
        <f>VLOOKUP(C63,'SIND PITS'!$C$7:$E$106,3,0)</f>
        <v>166.67</v>
      </c>
      <c r="I63" s="100">
        <f>VLOOKUP(C63,'SIND PITS'!$C$7:$F$105,4,0)</f>
        <v>0</v>
      </c>
      <c r="J63" s="109"/>
      <c r="K63" s="100">
        <f t="shared" si="0"/>
        <v>7166.67</v>
      </c>
      <c r="L63" s="100">
        <v>14000</v>
      </c>
      <c r="M63" s="100">
        <v>7000</v>
      </c>
      <c r="N63" s="110"/>
      <c r="O63" s="46">
        <f>VLOOKUP(C63,'IP PITS'!$B$9:$I$90,8,0)</f>
        <v>0</v>
      </c>
      <c r="P63" s="100">
        <f t="shared" si="1"/>
        <v>166.67</v>
      </c>
      <c r="Q63" s="100">
        <f>VLOOKUP(C63,'IP PITS'!$B$9:$N$90,13,0)</f>
        <v>0</v>
      </c>
      <c r="R63" s="100">
        <f>VLOOKUP(C63,'IP PITS'!$B$9:$O$90,14,0)</f>
        <v>0</v>
      </c>
      <c r="T63" s="100">
        <f>VLOOKUP(C63,'IP PITS'!$B$9:$P$90,15,0)</f>
        <v>0</v>
      </c>
      <c r="U63" s="46">
        <f>VLOOKUP(C63,'IP PITS'!$B$9:$Q$90,16,0)</f>
        <v>0</v>
      </c>
      <c r="V63" s="46">
        <v>0</v>
      </c>
      <c r="W63" s="100">
        <f>VLOOKUP(C63,'IP PITS'!$B$9:$R$90,17,0)</f>
        <v>0</v>
      </c>
      <c r="X63" s="109"/>
      <c r="Y63" s="100">
        <f t="shared" si="2"/>
        <v>7000</v>
      </c>
      <c r="Z63" s="46">
        <f t="shared" si="3"/>
        <v>0</v>
      </c>
      <c r="AB63" s="100" t="s">
        <v>669</v>
      </c>
    </row>
    <row r="64" spans="1:29" s="46" customFormat="1" x14ac:dyDescent="0.2">
      <c r="A64" s="52" t="s">
        <v>660</v>
      </c>
      <c r="B64" s="54" t="s">
        <v>57</v>
      </c>
      <c r="C64" s="52" t="s">
        <v>392</v>
      </c>
      <c r="D64" s="99"/>
      <c r="E64" s="102">
        <f>VLOOKUP(C64,'IP PITS'!$B$9:$V$90,21,0)</f>
        <v>2369.13</v>
      </c>
      <c r="F64" s="123"/>
      <c r="G64" s="100">
        <f>VLOOKUP(C64,'SIND PITS'!$C$7:$D$106,2,0)</f>
        <v>3721.37</v>
      </c>
      <c r="H64" s="100">
        <f>VLOOKUP(C64,'SIND PITS'!$C$7:$E$106,3,0)</f>
        <v>208.5</v>
      </c>
      <c r="I64" s="100">
        <f>VLOOKUP(C64,'SIND PITS'!$C$7:$F$105,4,0)</f>
        <v>0</v>
      </c>
      <c r="J64" s="109"/>
      <c r="K64" s="100">
        <f t="shared" si="0"/>
        <v>6299</v>
      </c>
      <c r="L64" s="100">
        <v>14000</v>
      </c>
      <c r="M64" s="100">
        <v>7000</v>
      </c>
      <c r="N64" s="110"/>
      <c r="O64" s="46">
        <f>VLOOKUP(C64,'IP PITS'!$B$9:$I$90,8,0)</f>
        <v>0</v>
      </c>
      <c r="P64" s="100">
        <f t="shared" si="1"/>
        <v>208.5</v>
      </c>
      <c r="Q64" s="100">
        <f>VLOOKUP(C64,'IP PITS'!$B$9:$N$90,13,0)</f>
        <v>0</v>
      </c>
      <c r="R64" s="100">
        <f>VLOOKUP(C64,'IP PITS'!$B$9:$O$90,14,0)</f>
        <v>0</v>
      </c>
      <c r="T64" s="100">
        <f>VLOOKUP(C64,'IP PITS'!$B$9:$P$90,15,0)</f>
        <v>0</v>
      </c>
      <c r="U64" s="46">
        <f>VLOOKUP(C64,'IP PITS'!$B$9:$Q$90,16,0)</f>
        <v>0</v>
      </c>
      <c r="V64" s="46">
        <v>0</v>
      </c>
      <c r="W64" s="100">
        <f>VLOOKUP(C64,'IP PITS'!$B$9:$R$90,17,0)</f>
        <v>909.5</v>
      </c>
      <c r="X64" s="109"/>
      <c r="Y64" s="100">
        <f t="shared" si="2"/>
        <v>7000</v>
      </c>
      <c r="Z64" s="46">
        <f t="shared" si="3"/>
        <v>0</v>
      </c>
      <c r="AB64" s="100" t="s">
        <v>669</v>
      </c>
    </row>
    <row r="65" spans="1:28" s="46" customFormat="1" x14ac:dyDescent="0.2">
      <c r="A65" s="52" t="s">
        <v>661</v>
      </c>
      <c r="B65" s="54" t="s">
        <v>57</v>
      </c>
      <c r="C65" s="52" t="s">
        <v>423</v>
      </c>
      <c r="D65" s="99"/>
      <c r="E65" s="102">
        <f>VLOOKUP(C65,'IP PITS'!$B$9:$V$90,21,0)</f>
        <v>1962.8</v>
      </c>
      <c r="F65" s="123"/>
      <c r="G65" s="100">
        <f>VLOOKUP(C65,'SIND PITS'!$C$7:$D$106,2,0)</f>
        <v>3339.5</v>
      </c>
      <c r="H65" s="100">
        <f>VLOOKUP(C65,'SIND PITS'!$C$7:$E$106,3,0)</f>
        <v>2732</v>
      </c>
      <c r="I65" s="100">
        <f>VLOOKUP(C65,'SIND PITS'!$C$7:$F$105,4,0)</f>
        <v>0</v>
      </c>
      <c r="J65" s="109"/>
      <c r="K65" s="100">
        <f t="shared" si="0"/>
        <v>8034.3</v>
      </c>
      <c r="L65" s="100">
        <v>15000</v>
      </c>
      <c r="M65" s="100">
        <v>7500</v>
      </c>
      <c r="N65" s="110"/>
      <c r="O65" s="46">
        <f>VLOOKUP(C65,'IP PITS'!$B$9:$I$90,8,0)</f>
        <v>0</v>
      </c>
      <c r="P65" s="100">
        <f t="shared" si="1"/>
        <v>2732</v>
      </c>
      <c r="Q65" s="100">
        <f>VLOOKUP(C65,'IP PITS'!$B$9:$N$90,13,0)</f>
        <v>1881.2</v>
      </c>
      <c r="R65" s="100">
        <f>VLOOKUP(C65,'IP PITS'!$B$9:$O$90,14,0)</f>
        <v>0</v>
      </c>
      <c r="T65" s="100">
        <f>VLOOKUP(C65,'IP PITS'!$B$9:$P$90,15,0)</f>
        <v>15</v>
      </c>
      <c r="U65" s="46">
        <f>VLOOKUP(C65,'IP PITS'!$B$9:$Q$90,16,0)</f>
        <v>0</v>
      </c>
      <c r="V65" s="46">
        <v>0</v>
      </c>
      <c r="W65" s="100">
        <f>VLOOKUP(C65,'IP PITS'!$B$9:$R$90,17,0)</f>
        <v>301.5</v>
      </c>
      <c r="X65" s="109"/>
      <c r="Y65" s="100">
        <f t="shared" si="2"/>
        <v>7500</v>
      </c>
      <c r="Z65" s="46">
        <f t="shared" si="3"/>
        <v>0</v>
      </c>
      <c r="AB65" s="100" t="s">
        <v>669</v>
      </c>
    </row>
    <row r="66" spans="1:28" s="46" customFormat="1" x14ac:dyDescent="0.2">
      <c r="A66" s="52" t="s">
        <v>387</v>
      </c>
      <c r="B66" s="54" t="s">
        <v>57</v>
      </c>
      <c r="C66" s="52" t="s">
        <v>424</v>
      </c>
      <c r="D66" s="99"/>
      <c r="E66" s="102">
        <f>VLOOKUP(C66,'IP PITS'!$B$9:$V$90,21,0)</f>
        <v>1572.4</v>
      </c>
      <c r="F66" s="123"/>
      <c r="G66" s="100">
        <f>VLOOKUP(C66,'SIND PITS'!$C$7:$D$106,2,0)</f>
        <v>4339.4399999999996</v>
      </c>
      <c r="H66" s="100">
        <f>VLOOKUP(C66,'SIND PITS'!$C$7:$E$106,3,0)</f>
        <v>1964.38</v>
      </c>
      <c r="I66" s="100">
        <f>VLOOKUP(C66,'SIND PITS'!$C$7:$F$105,4,0)</f>
        <v>0</v>
      </c>
      <c r="J66" s="109"/>
      <c r="K66" s="100">
        <f t="shared" si="0"/>
        <v>7876.22</v>
      </c>
      <c r="L66" s="100">
        <v>17000</v>
      </c>
      <c r="M66" s="100">
        <v>8500</v>
      </c>
      <c r="N66" s="110"/>
      <c r="O66" s="46">
        <f>VLOOKUP(C66,'IP PITS'!$B$9:$I$90,8,0)</f>
        <v>0</v>
      </c>
      <c r="P66" s="100">
        <f t="shared" si="1"/>
        <v>1964.38</v>
      </c>
      <c r="Q66" s="100">
        <f>VLOOKUP(C66,'IP PITS'!$B$9:$N$90,13,0)</f>
        <v>2177.34</v>
      </c>
      <c r="R66" s="100">
        <f>VLOOKUP(C66,'IP PITS'!$B$9:$O$90,14,0)</f>
        <v>0</v>
      </c>
      <c r="T66" s="100">
        <f>VLOOKUP(C66,'IP PITS'!$B$9:$P$90,15,0)</f>
        <v>15</v>
      </c>
      <c r="U66" s="46">
        <f>VLOOKUP(C66,'IP PITS'!$B$9:$Q$90,16,0)</f>
        <v>0</v>
      </c>
      <c r="V66" s="46">
        <v>0</v>
      </c>
      <c r="W66" s="100">
        <f>VLOOKUP(C66,'IP PITS'!$B$9:$R$90,17,0)</f>
        <v>395.82</v>
      </c>
      <c r="X66" s="109"/>
      <c r="Y66" s="100">
        <f t="shared" si="2"/>
        <v>8500</v>
      </c>
      <c r="Z66" s="46">
        <f t="shared" si="3"/>
        <v>0</v>
      </c>
      <c r="AB66" s="100" t="s">
        <v>669</v>
      </c>
    </row>
    <row r="67" spans="1:28" s="46" customFormat="1" x14ac:dyDescent="0.2">
      <c r="A67" s="52" t="s">
        <v>394</v>
      </c>
      <c r="B67" s="54" t="s">
        <v>57</v>
      </c>
      <c r="C67" s="52" t="s">
        <v>425</v>
      </c>
      <c r="D67" s="99"/>
      <c r="E67" s="102">
        <f>VLOOKUP(C67,'IP PITS'!$B$9:$V$90,21,0)</f>
        <v>3079.2</v>
      </c>
      <c r="F67" s="123"/>
      <c r="G67" s="100">
        <f>VLOOKUP(C67,'SIND PITS'!$C$7:$D$106,2,0)</f>
        <v>1917.2999999999997</v>
      </c>
      <c r="H67" s="100">
        <f>VLOOKUP(C67,'SIND PITS'!$C$7:$E$106,3,0)</f>
        <v>5149.88</v>
      </c>
      <c r="I67" s="100">
        <f>VLOOKUP(C67,'SIND PITS'!$C$7:$F$105,4,0)</f>
        <v>0</v>
      </c>
      <c r="J67" s="109"/>
      <c r="K67" s="100">
        <f t="shared" si="0"/>
        <v>10146.380000000001</v>
      </c>
      <c r="L67" s="79">
        <v>10500</v>
      </c>
      <c r="M67" s="100">
        <v>5250</v>
      </c>
      <c r="N67" s="110"/>
      <c r="O67" s="46">
        <f>VLOOKUP(C67,'IP PITS'!$B$9:$I$90,8,0)</f>
        <v>0</v>
      </c>
      <c r="P67" s="100">
        <f t="shared" si="1"/>
        <v>5149.88</v>
      </c>
      <c r="Q67" s="100">
        <f>VLOOKUP(C67,'IP PITS'!$B$9:$N$90,13,0)</f>
        <v>0</v>
      </c>
      <c r="R67" s="100">
        <f>VLOOKUP(C67,'IP PITS'!$B$9:$O$90,14,0)</f>
        <v>0</v>
      </c>
      <c r="T67" s="100">
        <f>VLOOKUP(C67,'IP PITS'!$B$9:$P$90,15,0)</f>
        <v>0</v>
      </c>
      <c r="U67" s="46">
        <f>VLOOKUP(C67,'IP PITS'!$B$9:$Q$90,16,0)</f>
        <v>0</v>
      </c>
      <c r="V67" s="46">
        <v>0</v>
      </c>
      <c r="W67" s="100">
        <f>VLOOKUP(C67,'IP PITS'!$B$9:$R$90,17,0)</f>
        <v>253.5</v>
      </c>
      <c r="X67" s="109"/>
      <c r="Y67" s="100">
        <f t="shared" si="2"/>
        <v>5250.0000000000009</v>
      </c>
      <c r="Z67" s="46">
        <f t="shared" si="3"/>
        <v>0</v>
      </c>
      <c r="AB67" s="100" t="s">
        <v>669</v>
      </c>
    </row>
    <row r="68" spans="1:28" s="46" customFormat="1" x14ac:dyDescent="0.2">
      <c r="A68" s="52" t="s">
        <v>399</v>
      </c>
      <c r="B68" s="54" t="s">
        <v>57</v>
      </c>
      <c r="C68" s="52" t="s">
        <v>427</v>
      </c>
      <c r="D68" s="99"/>
      <c r="E68" s="102">
        <f>VLOOKUP(C68,'IP PITS'!$B$9:$V$90,21,0)</f>
        <v>1222.4000000000001</v>
      </c>
      <c r="F68" s="123"/>
      <c r="G68" s="100">
        <f>VLOOKUP(C68,'SIND PITS'!$C$7:$D$106,2,0)</f>
        <v>2050.17</v>
      </c>
      <c r="H68" s="100">
        <f>VLOOKUP(C68,'SIND PITS'!$C$7:$E$106,3,0)</f>
        <v>1280</v>
      </c>
      <c r="I68" s="100">
        <f>VLOOKUP(C68,'SIND PITS'!$C$7:$F$105,4,0)</f>
        <v>0</v>
      </c>
      <c r="J68" s="109"/>
      <c r="K68" s="100">
        <f t="shared" si="0"/>
        <v>4552.57</v>
      </c>
      <c r="L68" s="100">
        <v>12000</v>
      </c>
      <c r="M68" s="100">
        <v>6000</v>
      </c>
      <c r="N68" s="110"/>
      <c r="O68" s="46">
        <f>VLOOKUP(C68,'IP PITS'!$B$9:$I$90,8,0)</f>
        <v>0</v>
      </c>
      <c r="P68" s="100">
        <f t="shared" si="1"/>
        <v>1280</v>
      </c>
      <c r="Q68" s="100">
        <f>VLOOKUP(C68,'IP PITS'!$B$9:$N$90,13,0)</f>
        <v>1202.43</v>
      </c>
      <c r="R68" s="100">
        <f>VLOOKUP(C68,'IP PITS'!$B$9:$O$90,14,0)</f>
        <v>0</v>
      </c>
      <c r="T68" s="100">
        <f>VLOOKUP(C68,'IP PITS'!$B$9:$P$90,15,0)</f>
        <v>15</v>
      </c>
      <c r="U68" s="46">
        <f>VLOOKUP(C68,'IP PITS'!$B$9:$Q$90,16,0)</f>
        <v>0</v>
      </c>
      <c r="V68" s="46">
        <v>0</v>
      </c>
      <c r="W68" s="100">
        <f>VLOOKUP(C68,'IP PITS'!$B$9:$R$90,17,0)</f>
        <v>310</v>
      </c>
      <c r="X68" s="109"/>
      <c r="Y68" s="100">
        <f t="shared" si="2"/>
        <v>4800</v>
      </c>
      <c r="Z68" s="46">
        <f t="shared" si="3"/>
        <v>1200</v>
      </c>
      <c r="AA68" s="46" t="s">
        <v>670</v>
      </c>
      <c r="AB68" s="100" t="s">
        <v>669</v>
      </c>
    </row>
    <row r="69" spans="1:28" s="46" customFormat="1" x14ac:dyDescent="0.2">
      <c r="A69" s="52" t="s">
        <v>41</v>
      </c>
      <c r="B69" s="54" t="s">
        <v>57</v>
      </c>
      <c r="C69" s="52" t="s">
        <v>428</v>
      </c>
      <c r="D69" s="99"/>
      <c r="E69" s="102">
        <f>VLOOKUP(C69,'IP PITS'!$B$9:$V$90,21,0)</f>
        <v>2195</v>
      </c>
      <c r="F69" s="123"/>
      <c r="G69" s="100">
        <f>VLOOKUP(C69,'SIND PITS'!$C$7:$D$106,2,0)</f>
        <v>1667.37</v>
      </c>
      <c r="H69" s="100">
        <f>VLOOKUP(C69,'SIND PITS'!$C$7:$E$106,3,0)</f>
        <v>1417</v>
      </c>
      <c r="I69" s="100">
        <f>VLOOKUP(C69,'SIND PITS'!$C$7:$F$105,4,0)</f>
        <v>0</v>
      </c>
      <c r="J69" s="109"/>
      <c r="K69" s="100">
        <f t="shared" ref="K69:K104" si="4">+D69+E69+G69+H69+I69</f>
        <v>5279.37</v>
      </c>
      <c r="L69" s="100">
        <v>10000</v>
      </c>
      <c r="M69" s="100">
        <v>5000</v>
      </c>
      <c r="N69" s="110"/>
      <c r="O69" s="46">
        <f>VLOOKUP(C69,'IP PITS'!$B$9:$I$90,8,0)</f>
        <v>0</v>
      </c>
      <c r="P69" s="100">
        <f t="shared" ref="P69:P104" si="5">+H69+I69</f>
        <v>1417</v>
      </c>
      <c r="Q69" s="100">
        <f>VLOOKUP(C69,'IP PITS'!$B$9:$N$90,13,0)</f>
        <v>0</v>
      </c>
      <c r="R69" s="100">
        <f>VLOOKUP(C69,'IP PITS'!$B$9:$O$90,14,0)</f>
        <v>1122.6300000000001</v>
      </c>
      <c r="T69" s="100">
        <f>VLOOKUP(C69,'IP PITS'!$B$9:$P$90,15,0)</f>
        <v>15</v>
      </c>
      <c r="U69" s="46">
        <f>VLOOKUP(C69,'IP PITS'!$B$9:$Q$90,16,0)</f>
        <v>0</v>
      </c>
      <c r="V69" s="46">
        <v>0</v>
      </c>
      <c r="W69" s="100">
        <f>VLOOKUP(C69,'IP PITS'!$B$9:$R$90,17,0)</f>
        <v>0</v>
      </c>
      <c r="X69" s="109"/>
      <c r="Y69" s="100">
        <f t="shared" ref="Y69:Y104" si="6">+K69-O69-P69+Q69+R69+S69+T69+U69+V69+W69</f>
        <v>5000</v>
      </c>
      <c r="Z69" s="46">
        <f t="shared" ref="Z69:Z104" si="7">+M69-Y69</f>
        <v>0</v>
      </c>
      <c r="AB69" s="100" t="s">
        <v>669</v>
      </c>
    </row>
    <row r="70" spans="1:28" s="46" customFormat="1" x14ac:dyDescent="0.2">
      <c r="A70" s="52" t="s">
        <v>662</v>
      </c>
      <c r="B70" s="54" t="s">
        <v>57</v>
      </c>
      <c r="C70" s="52" t="s">
        <v>429</v>
      </c>
      <c r="D70" s="99"/>
      <c r="E70" s="102">
        <f>VLOOKUP(C70,'IP PITS'!$B$9:$V$90,21,0)</f>
        <v>3332.6</v>
      </c>
      <c r="F70" s="123"/>
      <c r="G70" s="100">
        <f>VLOOKUP(C70,'SIND PITS'!$C$7:$D$106,2,0)</f>
        <v>2667.3999999999996</v>
      </c>
      <c r="H70" s="100">
        <f>VLOOKUP(C70,'SIND PITS'!$C$7:$E$106,3,0)</f>
        <v>1054.5</v>
      </c>
      <c r="I70" s="100">
        <f>VLOOKUP(C70,'SIND PITS'!$C$7:$F$105,4,0)</f>
        <v>0</v>
      </c>
      <c r="J70" s="109"/>
      <c r="K70" s="100">
        <f t="shared" si="4"/>
        <v>7054.5</v>
      </c>
      <c r="L70" s="100">
        <v>12000</v>
      </c>
      <c r="M70" s="100">
        <v>6000</v>
      </c>
      <c r="N70" s="110"/>
      <c r="O70" s="46">
        <f>VLOOKUP(C70,'IP PITS'!$B$9:$I$90,8,0)</f>
        <v>0</v>
      </c>
      <c r="P70" s="100">
        <f t="shared" si="5"/>
        <v>1054.5</v>
      </c>
      <c r="Q70" s="100">
        <f>VLOOKUP(C70,'IP PITS'!$B$9:$N$90,13,0)</f>
        <v>0</v>
      </c>
      <c r="R70" s="100">
        <f>VLOOKUP(C70,'IP PITS'!$B$9:$O$90,14,0)</f>
        <v>0</v>
      </c>
      <c r="T70" s="100">
        <f>VLOOKUP(C70,'IP PITS'!$B$9:$P$90,15,0)</f>
        <v>0</v>
      </c>
      <c r="U70" s="46">
        <f>VLOOKUP(C70,'IP PITS'!$B$9:$Q$90,16,0)</f>
        <v>0</v>
      </c>
      <c r="V70" s="46">
        <v>0</v>
      </c>
      <c r="W70" s="100">
        <f>VLOOKUP(C70,'IP PITS'!$B$9:$R$90,17,0)</f>
        <v>0</v>
      </c>
      <c r="X70" s="109"/>
      <c r="Y70" s="100">
        <f t="shared" si="6"/>
        <v>6000</v>
      </c>
      <c r="Z70" s="46">
        <f t="shared" si="7"/>
        <v>0</v>
      </c>
      <c r="AA70" s="133"/>
      <c r="AB70" s="100" t="s">
        <v>669</v>
      </c>
    </row>
    <row r="71" spans="1:28" s="46" customFormat="1" x14ac:dyDescent="0.2">
      <c r="A71" s="52" t="s">
        <v>414</v>
      </c>
      <c r="B71" s="54" t="s">
        <v>57</v>
      </c>
      <c r="C71" s="52" t="s">
        <v>431</v>
      </c>
      <c r="D71" s="99"/>
      <c r="E71" s="102">
        <f>VLOOKUP(C71,'IP PITS'!$B$9:$V$90,21,0)</f>
        <v>2073.8000000000002</v>
      </c>
      <c r="F71" s="123"/>
      <c r="G71" s="100">
        <f>VLOOKUP(C71,'SIND PITS'!$C$7:$D$106,2,0)</f>
        <v>1667.4699999999998</v>
      </c>
      <c r="H71" s="100">
        <f>VLOOKUP(C71,'SIND PITS'!$C$7:$E$106,3,0)</f>
        <v>226.5</v>
      </c>
      <c r="I71" s="100">
        <f>VLOOKUP(C71,'SIND PITS'!$C$7:$F$105,4,0)</f>
        <v>0</v>
      </c>
      <c r="J71" s="109"/>
      <c r="K71" s="100">
        <f t="shared" si="4"/>
        <v>3967.77</v>
      </c>
      <c r="L71" s="100">
        <v>10000</v>
      </c>
      <c r="M71" s="100">
        <v>5000</v>
      </c>
      <c r="N71" s="110"/>
      <c r="O71" s="46">
        <f>VLOOKUP(C71,'IP PITS'!$B$9:$I$90,8,0)</f>
        <v>0</v>
      </c>
      <c r="P71" s="100">
        <f t="shared" si="5"/>
        <v>226.5</v>
      </c>
      <c r="Q71" s="100">
        <f>VLOOKUP(C71,'IP PITS'!$B$9:$N$90,13,0)</f>
        <v>692.93</v>
      </c>
      <c r="R71" s="100">
        <f>VLOOKUP(C71,'IP PITS'!$B$9:$O$90,14,0)</f>
        <v>0</v>
      </c>
      <c r="T71" s="100">
        <f>VLOOKUP(C71,'IP PITS'!$B$9:$P$90,15,0)</f>
        <v>15</v>
      </c>
      <c r="U71" s="46">
        <f>VLOOKUP(C71,'IP PITS'!$B$9:$Q$90,16,0)</f>
        <v>0</v>
      </c>
      <c r="V71" s="46">
        <v>0</v>
      </c>
      <c r="W71" s="100">
        <f>VLOOKUP(C71,'IP PITS'!$B$9:$R$90,17,0)</f>
        <v>550.83000000000004</v>
      </c>
      <c r="X71" s="109"/>
      <c r="Y71" s="100">
        <f t="shared" si="6"/>
        <v>5000.03</v>
      </c>
      <c r="Z71" s="46">
        <f t="shared" si="7"/>
        <v>-2.9999999999745341E-2</v>
      </c>
      <c r="AB71" s="100" t="s">
        <v>669</v>
      </c>
    </row>
    <row r="72" spans="1:28" s="46" customFormat="1" x14ac:dyDescent="0.2">
      <c r="A72" s="52" t="s">
        <v>663</v>
      </c>
      <c r="B72" s="54" t="s">
        <v>57</v>
      </c>
      <c r="C72" s="52" t="s">
        <v>433</v>
      </c>
      <c r="D72" s="99"/>
      <c r="E72" s="102">
        <f>VLOOKUP(C72,'IP PITS'!$B$9:$V$90,21,0)</f>
        <v>2447.6</v>
      </c>
      <c r="F72" s="123"/>
      <c r="G72" s="100">
        <f>VLOOKUP(C72,'SIND PITS'!$C$7:$D$106,2,0)</f>
        <v>2552.4</v>
      </c>
      <c r="H72" s="100">
        <f>VLOOKUP(C72,'SIND PITS'!$C$7:$E$106,3,0)</f>
        <v>250</v>
      </c>
      <c r="I72" s="100">
        <f>VLOOKUP(C72,'SIND PITS'!$C$7:$F$105,4,0)</f>
        <v>0</v>
      </c>
      <c r="J72" s="109"/>
      <c r="K72" s="100">
        <f t="shared" si="4"/>
        <v>5250</v>
      </c>
      <c r="L72" s="100">
        <v>10000</v>
      </c>
      <c r="M72" s="100">
        <v>5000</v>
      </c>
      <c r="N72" s="110"/>
      <c r="O72" s="46">
        <f>VLOOKUP(C72,'IP PITS'!$B$9:$I$90,8,0)</f>
        <v>0</v>
      </c>
      <c r="P72" s="100">
        <f t="shared" si="5"/>
        <v>250</v>
      </c>
      <c r="Q72" s="100">
        <f>VLOOKUP(C72,'IP PITS'!$B$9:$N$90,13,0)</f>
        <v>0</v>
      </c>
      <c r="R72" s="100">
        <f>VLOOKUP(C72,'IP PITS'!$B$9:$O$90,14,0)</f>
        <v>0</v>
      </c>
      <c r="T72" s="100">
        <f>VLOOKUP(C72,'IP PITS'!$B$9:$P$90,15,0)</f>
        <v>0</v>
      </c>
      <c r="U72" s="46">
        <f>VLOOKUP(C72,'IP PITS'!$B$9:$Q$90,16,0)</f>
        <v>0</v>
      </c>
      <c r="V72" s="46">
        <v>0</v>
      </c>
      <c r="W72" s="100">
        <f>VLOOKUP(C72,'IP PITS'!$B$9:$R$90,17,0)</f>
        <v>0</v>
      </c>
      <c r="X72" s="109"/>
      <c r="Y72" s="100">
        <f t="shared" si="6"/>
        <v>5000</v>
      </c>
      <c r="Z72" s="46">
        <f t="shared" si="7"/>
        <v>0</v>
      </c>
      <c r="AB72" s="100" t="s">
        <v>669</v>
      </c>
    </row>
    <row r="73" spans="1:28" s="46" customFormat="1" x14ac:dyDescent="0.2">
      <c r="A73" s="52" t="s">
        <v>403</v>
      </c>
      <c r="B73" s="54" t="s">
        <v>57</v>
      </c>
      <c r="C73" s="52" t="s">
        <v>434</v>
      </c>
      <c r="D73" s="99"/>
      <c r="E73" s="102">
        <f>VLOOKUP(C73,'IP PITS'!$B$9:$V$90,21,0)</f>
        <v>1892.4</v>
      </c>
      <c r="F73" s="123"/>
      <c r="G73" s="100">
        <f>VLOOKUP(C73,'SIND PITS'!$C$7:$D$106,2,0)</f>
        <v>1694.0999999999995</v>
      </c>
      <c r="H73" s="100">
        <f>VLOOKUP(C73,'SIND PITS'!$C$7:$E$106,3,0)</f>
        <v>382</v>
      </c>
      <c r="I73" s="100">
        <f>VLOOKUP(C73,'SIND PITS'!$C$7:$F$105,4,0)</f>
        <v>0</v>
      </c>
      <c r="J73" s="109"/>
      <c r="K73" s="100">
        <f t="shared" si="4"/>
        <v>3968.4999999999995</v>
      </c>
      <c r="L73" s="100">
        <v>9000</v>
      </c>
      <c r="M73" s="100">
        <v>4500</v>
      </c>
      <c r="N73" s="110"/>
      <c r="O73" s="46">
        <f>VLOOKUP(C73,'IP PITS'!$B$9:$I$90,8,0)</f>
        <v>0</v>
      </c>
      <c r="P73" s="100">
        <f t="shared" si="5"/>
        <v>382</v>
      </c>
      <c r="Q73" s="100">
        <f>VLOOKUP(C73,'IP PITS'!$B$9:$N$90,13,0)</f>
        <v>898.5</v>
      </c>
      <c r="R73" s="100">
        <f>VLOOKUP(C73,'IP PITS'!$B$9:$O$90,14,0)</f>
        <v>0</v>
      </c>
      <c r="T73" s="100">
        <f>VLOOKUP(C73,'IP PITS'!$B$9:$P$90,15,0)</f>
        <v>15</v>
      </c>
      <c r="U73" s="46">
        <f>VLOOKUP(C73,'IP PITS'!$B$9:$Q$90,16,0)</f>
        <v>0</v>
      </c>
      <c r="V73" s="46">
        <v>0</v>
      </c>
      <c r="W73" s="100">
        <f>VLOOKUP(C73,'IP PITS'!$B$9:$R$90,17,0)</f>
        <v>0</v>
      </c>
      <c r="X73" s="109"/>
      <c r="Y73" s="100">
        <f t="shared" si="6"/>
        <v>4500</v>
      </c>
      <c r="Z73" s="46">
        <f t="shared" si="7"/>
        <v>0</v>
      </c>
      <c r="AB73" s="100" t="s">
        <v>669</v>
      </c>
    </row>
    <row r="74" spans="1:28" s="46" customFormat="1" x14ac:dyDescent="0.2">
      <c r="A74" s="52" t="s">
        <v>664</v>
      </c>
      <c r="B74" s="54" t="s">
        <v>57</v>
      </c>
      <c r="C74" s="52" t="s">
        <v>435</v>
      </c>
      <c r="D74" s="99"/>
      <c r="E74" s="102">
        <f>VLOOKUP(C74,'IP PITS'!$B$9:$V$90,21,0)</f>
        <v>1881.6</v>
      </c>
      <c r="F74" s="123"/>
      <c r="G74" s="100">
        <f>VLOOKUP(C74,'SIND PITS'!$C$7:$D$106,2,0)</f>
        <v>2194.1900000000005</v>
      </c>
      <c r="H74" s="100">
        <f>VLOOKUP(C74,'SIND PITS'!$C$7:$E$106,3,0)</f>
        <v>84</v>
      </c>
      <c r="I74" s="100">
        <f>VLOOKUP(C74,'SIND PITS'!$C$7:$F$105,4,0)</f>
        <v>0</v>
      </c>
      <c r="J74" s="109"/>
      <c r="K74" s="100">
        <f t="shared" si="4"/>
        <v>4159.7900000000009</v>
      </c>
      <c r="L74" s="100">
        <v>10000</v>
      </c>
      <c r="M74" s="100">
        <v>5000</v>
      </c>
      <c r="N74" s="110"/>
      <c r="O74" s="46">
        <f>VLOOKUP(C74,'IP PITS'!$B$9:$I$90,8,0)</f>
        <v>0</v>
      </c>
      <c r="P74" s="100">
        <f t="shared" si="5"/>
        <v>84</v>
      </c>
      <c r="Q74" s="100">
        <f>VLOOKUP(C74,'IP PITS'!$B$9:$N$90,13,0)</f>
        <v>909.21</v>
      </c>
      <c r="R74" s="100">
        <f>VLOOKUP(C74,'IP PITS'!$B$9:$O$90,14,0)</f>
        <v>0</v>
      </c>
      <c r="T74" s="100">
        <f>VLOOKUP(C74,'IP PITS'!$B$9:$P$90,15,0)</f>
        <v>15</v>
      </c>
      <c r="U74" s="46">
        <f>VLOOKUP(C74,'IP PITS'!$B$9:$Q$90,16,0)</f>
        <v>0</v>
      </c>
      <c r="V74" s="46">
        <v>0</v>
      </c>
      <c r="W74" s="100">
        <f>VLOOKUP(C74,'IP PITS'!$B$9:$R$90,17,0)</f>
        <v>0</v>
      </c>
      <c r="X74" s="109"/>
      <c r="Y74" s="100">
        <f t="shared" si="6"/>
        <v>5000.0000000000009</v>
      </c>
      <c r="Z74" s="46">
        <f t="shared" si="7"/>
        <v>0</v>
      </c>
      <c r="AB74" s="100" t="s">
        <v>669</v>
      </c>
    </row>
    <row r="75" spans="1:28" s="46" customFormat="1" x14ac:dyDescent="0.2">
      <c r="A75" s="52" t="s">
        <v>410</v>
      </c>
      <c r="B75" s="54" t="s">
        <v>57</v>
      </c>
      <c r="C75" s="52" t="s">
        <v>472</v>
      </c>
      <c r="D75" s="99"/>
      <c r="E75" s="102">
        <f>VLOOKUP(C75,'IP PITS'!$B$9:$V$90,21,0)</f>
        <v>2446.6</v>
      </c>
      <c r="F75" s="123"/>
      <c r="G75" s="100">
        <f>VLOOKUP(C75,'SIND PITS'!$C$7:$D$106,2,0)</f>
        <v>2553.4</v>
      </c>
      <c r="H75" s="100">
        <f>VLOOKUP(C75,'SIND PITS'!$C$7:$E$106,3,0)</f>
        <v>200</v>
      </c>
      <c r="I75" s="100">
        <f>VLOOKUP(C75,'SIND PITS'!$C$7:$F$105,4,0)</f>
        <v>0</v>
      </c>
      <c r="J75" s="109"/>
      <c r="K75" s="100">
        <f t="shared" si="4"/>
        <v>5200</v>
      </c>
      <c r="L75" s="100">
        <v>10000</v>
      </c>
      <c r="M75" s="100">
        <v>5000</v>
      </c>
      <c r="N75" s="110"/>
      <c r="O75" s="46">
        <f>VLOOKUP(C75,'IP PITS'!$B$9:$I$90,8,0)</f>
        <v>0</v>
      </c>
      <c r="P75" s="100">
        <f t="shared" si="5"/>
        <v>200</v>
      </c>
      <c r="Q75" s="100">
        <f>VLOOKUP(C75,'IP PITS'!$B$9:$N$90,13,0)</f>
        <v>0</v>
      </c>
      <c r="R75" s="100">
        <f>VLOOKUP(C75,'IP PITS'!$B$9:$O$90,14,0)</f>
        <v>0</v>
      </c>
      <c r="T75" s="100">
        <f>VLOOKUP(C75,'IP PITS'!$B$9:$P$90,15,0)</f>
        <v>0</v>
      </c>
      <c r="U75" s="46">
        <f>VLOOKUP(C75,'IP PITS'!$B$9:$Q$90,16,0)</f>
        <v>0</v>
      </c>
      <c r="V75" s="46">
        <v>0</v>
      </c>
      <c r="W75" s="100">
        <f>VLOOKUP(C75,'IP PITS'!$B$9:$R$90,17,0)</f>
        <v>0</v>
      </c>
      <c r="X75" s="109"/>
      <c r="Y75" s="100">
        <f t="shared" si="6"/>
        <v>5000</v>
      </c>
      <c r="Z75" s="46">
        <f t="shared" si="7"/>
        <v>0</v>
      </c>
      <c r="AB75" s="100" t="s">
        <v>669</v>
      </c>
    </row>
    <row r="76" spans="1:28" s="46" customFormat="1" x14ac:dyDescent="0.2">
      <c r="A76" s="52" t="s">
        <v>525</v>
      </c>
      <c r="B76" s="54" t="s">
        <v>57</v>
      </c>
      <c r="C76" s="52" t="s">
        <v>524</v>
      </c>
      <c r="D76" s="99"/>
      <c r="E76" s="102">
        <f>VLOOKUP(C76,'IP PITS'!$B$9:$V$90,21,0)</f>
        <v>2865.8</v>
      </c>
      <c r="F76" s="123"/>
      <c r="G76" s="100">
        <f>VLOOKUP(C76,'SIND PITS'!$C$7:$D$106,2,0)</f>
        <v>284.2</v>
      </c>
      <c r="H76" s="100">
        <f>VLOOKUP(C76,'SIND PITS'!$C$7:$E$106,3,0)</f>
        <v>811</v>
      </c>
      <c r="I76" s="100">
        <f>VLOOKUP(C76,'SIND PITS'!$C$7:$F$105,4,0)</f>
        <v>0</v>
      </c>
      <c r="J76" s="109"/>
      <c r="K76" s="100">
        <f t="shared" si="4"/>
        <v>3961</v>
      </c>
      <c r="L76" s="46">
        <v>6300</v>
      </c>
      <c r="M76" s="100">
        <v>3150</v>
      </c>
      <c r="N76" s="110"/>
      <c r="O76" s="46">
        <f>VLOOKUP(C76,'IP PITS'!$B$9:$I$90,8,0)</f>
        <v>0</v>
      </c>
      <c r="P76" s="100">
        <f t="shared" si="5"/>
        <v>811</v>
      </c>
      <c r="Q76" s="100">
        <f>VLOOKUP(C76,'IP PITS'!$B$9:$N$90,13,0)</f>
        <v>0</v>
      </c>
      <c r="R76" s="100">
        <f>VLOOKUP(C76,'IP PITS'!$B$9:$O$90,14,0)</f>
        <v>0</v>
      </c>
      <c r="T76" s="100">
        <f>VLOOKUP(C76,'IP PITS'!$B$9:$P$90,15,0)</f>
        <v>0</v>
      </c>
      <c r="U76" s="46">
        <f>VLOOKUP(C76,'IP PITS'!$B$9:$Q$90,16,0)</f>
        <v>0</v>
      </c>
      <c r="V76" s="46">
        <v>0</v>
      </c>
      <c r="W76" s="100">
        <f>VLOOKUP(C76,'IP PITS'!$B$9:$R$90,17,0)</f>
        <v>0</v>
      </c>
      <c r="X76" s="109"/>
      <c r="Y76" s="100">
        <f t="shared" si="6"/>
        <v>3150</v>
      </c>
      <c r="Z76" s="46">
        <f t="shared" si="7"/>
        <v>0</v>
      </c>
      <c r="AB76" s="100" t="s">
        <v>669</v>
      </c>
    </row>
    <row r="77" spans="1:28" s="46" customFormat="1" x14ac:dyDescent="0.2">
      <c r="A77" s="52" t="s">
        <v>43</v>
      </c>
      <c r="B77" s="54" t="s">
        <v>57</v>
      </c>
      <c r="C77" s="52" t="s">
        <v>467</v>
      </c>
      <c r="D77" s="99"/>
      <c r="E77" s="102">
        <f>VLOOKUP(C77,'IP PITS'!$B$9:$V$90,21,0)</f>
        <v>2446.6</v>
      </c>
      <c r="F77" s="123"/>
      <c r="G77" s="100">
        <f>VLOOKUP(C77,'SIND PITS'!$C$7:$D$106,2,0)</f>
        <v>3553.3999999999996</v>
      </c>
      <c r="H77" s="100">
        <f>VLOOKUP(C77,'SIND PITS'!$C$7:$E$106,3,0)</f>
        <v>812</v>
      </c>
      <c r="I77" s="100">
        <f>VLOOKUP(C77,'SIND PITS'!$C$7:$F$105,4,0)</f>
        <v>0</v>
      </c>
      <c r="J77" s="109"/>
      <c r="K77" s="100">
        <f t="shared" si="4"/>
        <v>6812</v>
      </c>
      <c r="L77" s="100">
        <v>12000</v>
      </c>
      <c r="M77" s="100">
        <v>6000</v>
      </c>
      <c r="N77" s="110"/>
      <c r="O77" s="46">
        <f>VLOOKUP(C77,'IP PITS'!$B$9:$I$90,8,0)</f>
        <v>0</v>
      </c>
      <c r="P77" s="100">
        <f t="shared" si="5"/>
        <v>812</v>
      </c>
      <c r="Q77" s="100">
        <f>VLOOKUP(C77,'IP PITS'!$B$9:$N$90,13,0)</f>
        <v>0</v>
      </c>
      <c r="R77" s="100">
        <f>VLOOKUP(C77,'IP PITS'!$B$9:$O$90,14,0)</f>
        <v>0</v>
      </c>
      <c r="T77" s="100">
        <f>VLOOKUP(C77,'IP PITS'!$B$9:$P$90,15,0)</f>
        <v>0</v>
      </c>
      <c r="U77" s="46">
        <f>VLOOKUP(C77,'IP PITS'!$B$9:$Q$90,16,0)</f>
        <v>0</v>
      </c>
      <c r="V77" s="46">
        <v>0</v>
      </c>
      <c r="W77" s="100">
        <f>VLOOKUP(C77,'IP PITS'!$B$9:$R$90,17,0)</f>
        <v>0</v>
      </c>
      <c r="X77" s="109"/>
      <c r="Y77" s="100">
        <f t="shared" si="6"/>
        <v>6000</v>
      </c>
      <c r="Z77" s="46">
        <f t="shared" si="7"/>
        <v>0</v>
      </c>
      <c r="AB77" s="100" t="s">
        <v>669</v>
      </c>
    </row>
    <row r="78" spans="1:28" s="46" customFormat="1" x14ac:dyDescent="0.2">
      <c r="A78" s="52" t="s">
        <v>529</v>
      </c>
      <c r="B78" s="54" t="s">
        <v>57</v>
      </c>
      <c r="C78" s="52" t="s">
        <v>530</v>
      </c>
      <c r="D78" s="99"/>
      <c r="E78" s="102">
        <f>VLOOKUP(C78,'IP PITS'!$B$9:$V$90,21,0)</f>
        <v>2447.1999999999998</v>
      </c>
      <c r="F78" s="123"/>
      <c r="G78" s="100">
        <f>VLOOKUP(C78,'SIND PITS'!$C$7:$D$106,2,0)</f>
        <v>52.800000000000182</v>
      </c>
      <c r="H78" s="100">
        <f>VLOOKUP(C78,'SIND PITS'!$C$7:$E$106,3,0)</f>
        <v>305.5</v>
      </c>
      <c r="I78" s="100">
        <f>VLOOKUP(C78,'SIND PITS'!$C$7:$F$105,4,0)</f>
        <v>0</v>
      </c>
      <c r="J78" s="109"/>
      <c r="K78" s="100">
        <f t="shared" si="4"/>
        <v>2805.5</v>
      </c>
      <c r="L78" s="100">
        <v>5000</v>
      </c>
      <c r="M78" s="100">
        <v>2500</v>
      </c>
      <c r="N78" s="110"/>
      <c r="O78" s="46">
        <f>VLOOKUP(C78,'IP PITS'!$B$9:$I$90,8,0)</f>
        <v>0</v>
      </c>
      <c r="P78" s="100">
        <f t="shared" si="5"/>
        <v>305.5</v>
      </c>
      <c r="Q78" s="100">
        <f>VLOOKUP(C78,'IP PITS'!$B$9:$N$90,13,0)</f>
        <v>0</v>
      </c>
      <c r="R78" s="100">
        <f>VLOOKUP(C78,'IP PITS'!$B$9:$O$90,14,0)</f>
        <v>0</v>
      </c>
      <c r="T78" s="100">
        <f>VLOOKUP(C78,'IP PITS'!$B$9:$P$90,15,0)</f>
        <v>0</v>
      </c>
      <c r="U78" s="46">
        <f>VLOOKUP(C78,'IP PITS'!$B$9:$Q$90,16,0)</f>
        <v>0</v>
      </c>
      <c r="V78" s="46">
        <v>0</v>
      </c>
      <c r="W78" s="100">
        <f>VLOOKUP(C78,'IP PITS'!$B$9:$R$90,17,0)</f>
        <v>0</v>
      </c>
      <c r="X78" s="109"/>
      <c r="Y78" s="100">
        <f t="shared" si="6"/>
        <v>2500</v>
      </c>
      <c r="Z78" s="46">
        <f t="shared" si="7"/>
        <v>0</v>
      </c>
      <c r="AB78" s="100" t="s">
        <v>669</v>
      </c>
    </row>
    <row r="79" spans="1:28" s="46" customFormat="1" x14ac:dyDescent="0.2">
      <c r="A79" s="52" t="s">
        <v>554</v>
      </c>
      <c r="B79" s="54" t="s">
        <v>57</v>
      </c>
      <c r="C79" s="52" t="s">
        <v>555</v>
      </c>
      <c r="D79" s="99"/>
      <c r="E79" s="102">
        <f>VLOOKUP(C79,'IP PITS'!$B$9:$V$90,21,0)</f>
        <v>2014.8</v>
      </c>
      <c r="F79" s="123"/>
      <c r="G79" s="100">
        <f>VLOOKUP(C79,'SIND PITS'!$C$7:$D$106,2,0)</f>
        <v>52.440000000000055</v>
      </c>
      <c r="H79" s="100">
        <f>VLOOKUP(C79,'SIND PITS'!$C$7:$E$106,3,0)</f>
        <v>338.5</v>
      </c>
      <c r="I79" s="100">
        <f>VLOOKUP(C79,'SIND PITS'!$C$7:$F$105,4,0)</f>
        <v>0</v>
      </c>
      <c r="J79" s="109"/>
      <c r="K79" s="100">
        <f t="shared" si="4"/>
        <v>2405.7399999999998</v>
      </c>
      <c r="L79" s="124">
        <v>5000</v>
      </c>
      <c r="M79" s="100">
        <v>2500</v>
      </c>
      <c r="N79" s="110"/>
      <c r="O79" s="46">
        <f>VLOOKUP(C79,'IP PITS'!$B$9:$I$90,8,0)</f>
        <v>0</v>
      </c>
      <c r="P79" s="100">
        <f t="shared" si="5"/>
        <v>338.5</v>
      </c>
      <c r="Q79" s="100">
        <f>VLOOKUP(C79,'IP PITS'!$B$9:$N$90,13,0)</f>
        <v>417.76</v>
      </c>
      <c r="R79" s="100">
        <f>VLOOKUP(C79,'IP PITS'!$B$9:$O$90,14,0)</f>
        <v>0</v>
      </c>
      <c r="T79" s="100">
        <f>VLOOKUP(C79,'IP PITS'!$B$9:$P$90,15,0)</f>
        <v>15</v>
      </c>
      <c r="U79" s="46">
        <f>VLOOKUP(C79,'IP PITS'!$B$9:$Q$90,16,0)</f>
        <v>0</v>
      </c>
      <c r="V79" s="46">
        <v>0</v>
      </c>
      <c r="W79" s="100">
        <f>VLOOKUP(C79,'IP PITS'!$B$9:$R$90,17,0)</f>
        <v>0</v>
      </c>
      <c r="X79" s="109"/>
      <c r="Y79" s="100">
        <f t="shared" si="6"/>
        <v>2500</v>
      </c>
      <c r="Z79" s="46">
        <f t="shared" si="7"/>
        <v>0</v>
      </c>
      <c r="AB79" s="100" t="s">
        <v>669</v>
      </c>
    </row>
    <row r="80" spans="1:28" s="46" customFormat="1" x14ac:dyDescent="0.2">
      <c r="A80" s="52" t="s">
        <v>558</v>
      </c>
      <c r="B80" s="54" t="s">
        <v>57</v>
      </c>
      <c r="C80" s="52" t="s">
        <v>559</v>
      </c>
      <c r="D80" s="99"/>
      <c r="E80" s="102">
        <f>VLOOKUP(C80,'IP PITS'!$B$9:$V$90,21,0)</f>
        <v>2283</v>
      </c>
      <c r="F80" s="123"/>
      <c r="G80" s="100">
        <f>VLOOKUP(C80,'SIND PITS'!$C$7:$D$106,2,0)</f>
        <v>135.27000000000001</v>
      </c>
      <c r="H80" s="100">
        <f>VLOOKUP(C80,'SIND PITS'!$C$7:$E$106,3,0)</f>
        <v>337.5</v>
      </c>
      <c r="I80" s="100">
        <f>VLOOKUP(C80,'SIND PITS'!$C$7:$F$105,4,0)</f>
        <v>0</v>
      </c>
      <c r="J80" s="109"/>
      <c r="K80" s="100">
        <f t="shared" si="4"/>
        <v>2755.77</v>
      </c>
      <c r="L80" s="100">
        <v>6000</v>
      </c>
      <c r="M80" s="100">
        <v>3000</v>
      </c>
      <c r="N80" s="110"/>
      <c r="O80" s="46">
        <f>VLOOKUP(C80,'IP PITS'!$B$9:$I$90,8,0)</f>
        <v>0</v>
      </c>
      <c r="P80" s="100">
        <f t="shared" si="5"/>
        <v>337.5</v>
      </c>
      <c r="Q80" s="100">
        <f>VLOOKUP(C80,'IP PITS'!$B$9:$N$90,13,0)</f>
        <v>0</v>
      </c>
      <c r="R80" s="100">
        <f>VLOOKUP(C80,'IP PITS'!$B$9:$O$90,14,0)</f>
        <v>0</v>
      </c>
      <c r="T80" s="100">
        <f>VLOOKUP(C80,'IP PITS'!$B$9:$P$90,15,0)</f>
        <v>0</v>
      </c>
      <c r="U80" s="46">
        <f>VLOOKUP(C80,'IP PITS'!$B$9:$Q$90,16,0)</f>
        <v>581.73</v>
      </c>
      <c r="V80" s="46">
        <v>0</v>
      </c>
      <c r="W80" s="100">
        <f>VLOOKUP(C80,'IP PITS'!$B$9:$R$90,17,0)</f>
        <v>0</v>
      </c>
      <c r="X80" s="109"/>
      <c r="Y80" s="100">
        <f t="shared" si="6"/>
        <v>3000</v>
      </c>
      <c r="Z80" s="46">
        <f t="shared" si="7"/>
        <v>0</v>
      </c>
      <c r="AB80" s="100" t="s">
        <v>669</v>
      </c>
    </row>
    <row r="81" spans="1:28" s="46" customFormat="1" x14ac:dyDescent="0.2">
      <c r="A81" s="52" t="s">
        <v>99</v>
      </c>
      <c r="B81" s="54" t="s">
        <v>57</v>
      </c>
      <c r="C81" s="61" t="s">
        <v>560</v>
      </c>
      <c r="D81" s="99"/>
      <c r="E81" s="102">
        <f>VLOOKUP(C81,'IP PITS'!$B$9:$V$90,21,0)</f>
        <v>2864.8</v>
      </c>
      <c r="F81" s="123"/>
      <c r="G81" s="100">
        <f>VLOOKUP(C81,'SIND PITS'!$C$7:$D$106,2,0)</f>
        <v>585.19999999999982</v>
      </c>
      <c r="H81" s="100">
        <f>VLOOKUP(C81,'SIND PITS'!$C$7:$E$106,3,0)</f>
        <v>0</v>
      </c>
      <c r="I81" s="100">
        <f>VLOOKUP(C81,'SIND PITS'!$C$7:$F$105,4,0)</f>
        <v>0</v>
      </c>
      <c r="J81" s="109"/>
      <c r="K81" s="100">
        <f t="shared" si="4"/>
        <v>3450</v>
      </c>
      <c r="L81" s="100">
        <v>6900</v>
      </c>
      <c r="M81" s="100">
        <v>3450</v>
      </c>
      <c r="N81" s="110">
        <v>0</v>
      </c>
      <c r="O81" s="46">
        <f>VLOOKUP(C81,'IP PITS'!$B$9:$I$90,8,0)</f>
        <v>0</v>
      </c>
      <c r="P81" s="100">
        <f t="shared" si="5"/>
        <v>0</v>
      </c>
      <c r="Q81" s="100">
        <f>VLOOKUP(C81,'IP PITS'!$B$9:$N$90,13,0)</f>
        <v>0</v>
      </c>
      <c r="R81" s="100">
        <f>VLOOKUP(C81,'IP PITS'!$B$9:$O$90,14,0)</f>
        <v>0</v>
      </c>
      <c r="T81" s="100">
        <f>VLOOKUP(C81,'IP PITS'!$B$9:$P$90,15,0)</f>
        <v>0</v>
      </c>
      <c r="U81" s="46">
        <f>VLOOKUP(C81,'IP PITS'!$B$9:$Q$90,16,0)</f>
        <v>0</v>
      </c>
      <c r="V81" s="46">
        <v>0</v>
      </c>
      <c r="W81" s="100">
        <f>VLOOKUP(C81,'IP PITS'!$B$9:$R$90,17,0)</f>
        <v>0</v>
      </c>
      <c r="X81" s="109"/>
      <c r="Y81" s="100">
        <f t="shared" si="6"/>
        <v>3450</v>
      </c>
      <c r="Z81" s="46">
        <f t="shared" si="7"/>
        <v>0</v>
      </c>
      <c r="AB81" s="100" t="s">
        <v>669</v>
      </c>
    </row>
    <row r="82" spans="1:28" s="46" customFormat="1" x14ac:dyDescent="0.2">
      <c r="A82" s="52" t="s">
        <v>562</v>
      </c>
      <c r="B82" s="54" t="s">
        <v>57</v>
      </c>
      <c r="C82" s="52" t="s">
        <v>563</v>
      </c>
      <c r="D82" s="99"/>
      <c r="E82" s="102">
        <f>VLOOKUP(C82,'IP PITS'!$B$9:$V$90,21,0)</f>
        <v>2515</v>
      </c>
      <c r="F82" s="123"/>
      <c r="G82" s="100">
        <f>VLOOKUP(C82,'SIND PITS'!$C$7:$D$106,2,0)</f>
        <v>5513.35</v>
      </c>
      <c r="H82" s="100">
        <f>VLOOKUP(C82,'SIND PITS'!$C$7:$E$106,3,0)</f>
        <v>2102.5</v>
      </c>
      <c r="I82" s="100">
        <f>VLOOKUP(C82,'SIND PITS'!$C$7:$F$105,4,0)</f>
        <v>0</v>
      </c>
      <c r="J82" s="109"/>
      <c r="K82" s="100">
        <f t="shared" si="4"/>
        <v>10130.85</v>
      </c>
      <c r="L82" s="79">
        <v>19950</v>
      </c>
      <c r="M82" s="100">
        <v>9975</v>
      </c>
      <c r="N82" s="110"/>
      <c r="O82" s="46">
        <f>VLOOKUP(C82,'IP PITS'!$B$9:$I$90,8,0)</f>
        <v>0</v>
      </c>
      <c r="P82" s="100">
        <f t="shared" si="5"/>
        <v>2102.5</v>
      </c>
      <c r="Q82" s="100">
        <f>VLOOKUP(C82,'IP PITS'!$B$9:$N$90,13,0)</f>
        <v>0</v>
      </c>
      <c r="R82" s="100">
        <f>VLOOKUP(C82,'IP PITS'!$B$9:$O$90,14,0)</f>
        <v>0</v>
      </c>
      <c r="T82" s="100">
        <f>VLOOKUP(C82,'IP PITS'!$B$9:$P$90,15,0)</f>
        <v>0</v>
      </c>
      <c r="U82" s="46">
        <f>VLOOKUP(C82,'IP PITS'!$B$9:$Q$90,16,0)</f>
        <v>0</v>
      </c>
      <c r="V82" s="46">
        <v>0</v>
      </c>
      <c r="W82" s="100">
        <f>VLOOKUP(C82,'IP PITS'!$B$9:$R$90,17,0)</f>
        <v>616.65</v>
      </c>
      <c r="X82" s="109"/>
      <c r="Y82" s="100">
        <f t="shared" si="6"/>
        <v>8645</v>
      </c>
      <c r="Z82" s="46">
        <f t="shared" si="7"/>
        <v>1330</v>
      </c>
      <c r="AA82" s="46" t="s">
        <v>667</v>
      </c>
      <c r="AB82" s="100" t="s">
        <v>669</v>
      </c>
    </row>
    <row r="83" spans="1:28" s="46" customFormat="1" x14ac:dyDescent="0.2">
      <c r="A83" s="47" t="s">
        <v>566</v>
      </c>
      <c r="B83" s="54" t="s">
        <v>57</v>
      </c>
      <c r="C83" s="47" t="s">
        <v>567</v>
      </c>
      <c r="D83" s="99"/>
      <c r="E83" s="102">
        <f>VLOOKUP(C83,'IP PITS'!$B$9:$V$90,21,0)</f>
        <v>2447.6</v>
      </c>
      <c r="F83" s="123"/>
      <c r="G83" s="100">
        <f>VLOOKUP(C83,'SIND PITS'!$C$7:$D$106,2,0)</f>
        <v>52.400000000000091</v>
      </c>
      <c r="H83" s="100">
        <f>VLOOKUP(C83,'SIND PITS'!$C$7:$E$106,3,0)</f>
        <v>1096.5</v>
      </c>
      <c r="I83" s="100">
        <f>VLOOKUP(C83,'SIND PITS'!$C$7:$F$105,4,0)</f>
        <v>0</v>
      </c>
      <c r="J83" s="109"/>
      <c r="K83" s="100">
        <f t="shared" si="4"/>
        <v>3596.5</v>
      </c>
      <c r="L83" s="100">
        <v>5000</v>
      </c>
      <c r="M83" s="100">
        <v>2500</v>
      </c>
      <c r="N83" s="110"/>
      <c r="O83" s="46">
        <f>VLOOKUP(C83,'IP PITS'!$B$9:$I$90,8,0)</f>
        <v>0</v>
      </c>
      <c r="P83" s="100">
        <f t="shared" si="5"/>
        <v>1096.5</v>
      </c>
      <c r="Q83" s="100">
        <f>VLOOKUP(C83,'IP PITS'!$B$9:$N$90,13,0)</f>
        <v>0</v>
      </c>
      <c r="R83" s="100">
        <f>VLOOKUP(C83,'IP PITS'!$B$9:$O$90,14,0)</f>
        <v>0</v>
      </c>
      <c r="T83" s="100">
        <f>VLOOKUP(C83,'IP PITS'!$B$9:$P$90,15,0)</f>
        <v>0</v>
      </c>
      <c r="U83" s="46">
        <f>VLOOKUP(C83,'IP PITS'!$B$9:$Q$90,16,0)</f>
        <v>0</v>
      </c>
      <c r="V83" s="46">
        <v>0</v>
      </c>
      <c r="W83" s="100">
        <f>VLOOKUP(C83,'IP PITS'!$B$9:$R$90,17,0)</f>
        <v>0</v>
      </c>
      <c r="X83" s="109"/>
      <c r="Y83" s="100">
        <f t="shared" si="6"/>
        <v>2500</v>
      </c>
      <c r="Z83" s="46">
        <f t="shared" si="7"/>
        <v>0</v>
      </c>
      <c r="AB83" s="100" t="s">
        <v>669</v>
      </c>
    </row>
    <row r="84" spans="1:28" s="46" customFormat="1" x14ac:dyDescent="0.2">
      <c r="A84" s="47" t="s">
        <v>571</v>
      </c>
      <c r="B84" s="54" t="s">
        <v>57</v>
      </c>
      <c r="C84" s="47" t="s">
        <v>572</v>
      </c>
      <c r="D84" s="99"/>
      <c r="E84" s="102">
        <f>VLOOKUP(C84,'IP PITS'!$B$9:$V$90,21,0)</f>
        <v>3278.8</v>
      </c>
      <c r="F84" s="123"/>
      <c r="G84" s="100">
        <f>VLOOKUP(C84,'SIND PITS'!$C$7:$D$106,2,0)</f>
        <v>221.19999999999982</v>
      </c>
      <c r="H84" s="100">
        <f>VLOOKUP(C84,'SIND PITS'!$C$7:$E$106,3,0)</f>
        <v>0</v>
      </c>
      <c r="I84" s="100">
        <f>VLOOKUP(C84,'SIND PITS'!$C$7:$F$105,4,0)</f>
        <v>0</v>
      </c>
      <c r="J84" s="109"/>
      <c r="K84" s="100">
        <f t="shared" si="4"/>
        <v>3500</v>
      </c>
      <c r="L84" s="100">
        <v>7000</v>
      </c>
      <c r="M84" s="100">
        <v>3500</v>
      </c>
      <c r="N84" s="110"/>
      <c r="O84" s="46">
        <f>VLOOKUP(C84,'IP PITS'!$B$9:$I$90,8,0)</f>
        <v>0</v>
      </c>
      <c r="P84" s="100">
        <f t="shared" si="5"/>
        <v>0</v>
      </c>
      <c r="Q84" s="100">
        <f>VLOOKUP(C84,'IP PITS'!$B$9:$N$90,13,0)</f>
        <v>0</v>
      </c>
      <c r="R84" s="100">
        <f>VLOOKUP(C84,'IP PITS'!$B$9:$O$90,14,0)</f>
        <v>0</v>
      </c>
      <c r="T84" s="100">
        <f>VLOOKUP(C84,'IP PITS'!$B$9:$P$90,15,0)</f>
        <v>0</v>
      </c>
      <c r="U84" s="46">
        <f>VLOOKUP(C84,'IP PITS'!$B$9:$Q$90,16,0)</f>
        <v>0</v>
      </c>
      <c r="V84" s="46">
        <v>0</v>
      </c>
      <c r="W84" s="100">
        <f>VLOOKUP(C84,'IP PITS'!$B$9:$R$90,17,0)</f>
        <v>0</v>
      </c>
      <c r="X84" s="109"/>
      <c r="Y84" s="100">
        <f t="shared" si="6"/>
        <v>3500</v>
      </c>
      <c r="Z84" s="46">
        <f t="shared" si="7"/>
        <v>0</v>
      </c>
      <c r="AB84" s="100" t="s">
        <v>669</v>
      </c>
    </row>
    <row r="85" spans="1:28" s="46" customFormat="1" x14ac:dyDescent="0.2">
      <c r="A85" s="47" t="s">
        <v>573</v>
      </c>
      <c r="B85" s="54" t="s">
        <v>57</v>
      </c>
      <c r="C85" s="47" t="s">
        <v>574</v>
      </c>
      <c r="D85" s="99"/>
      <c r="E85" s="102">
        <f>VLOOKUP(C85,'IP PITS'!$B$9:$V$90,21,0)</f>
        <v>3234.2</v>
      </c>
      <c r="F85" s="123"/>
      <c r="G85" s="100">
        <f>VLOOKUP(C85,'SIND PITS'!$C$7:$D$106,2,0)</f>
        <v>215.80000000000018</v>
      </c>
      <c r="H85" s="100">
        <f>VLOOKUP(C85,'SIND PITS'!$C$7:$E$106,3,0)</f>
        <v>0</v>
      </c>
      <c r="I85" s="100">
        <f>VLOOKUP(C85,'SIND PITS'!$C$7:$F$105,4,0)</f>
        <v>0</v>
      </c>
      <c r="J85" s="109"/>
      <c r="K85" s="100">
        <f t="shared" si="4"/>
        <v>3450</v>
      </c>
      <c r="L85" s="100">
        <v>6900</v>
      </c>
      <c r="M85" s="100">
        <v>3450</v>
      </c>
      <c r="N85" s="110"/>
      <c r="O85" s="46">
        <f>VLOOKUP(C85,'IP PITS'!$B$9:$I$90,8,0)</f>
        <v>0</v>
      </c>
      <c r="P85" s="100">
        <f t="shared" si="5"/>
        <v>0</v>
      </c>
      <c r="Q85" s="100">
        <f>VLOOKUP(C85,'IP PITS'!$B$9:$N$90,13,0)</f>
        <v>0</v>
      </c>
      <c r="R85" s="100">
        <f>VLOOKUP(C85,'IP PITS'!$B$9:$O$90,14,0)</f>
        <v>0</v>
      </c>
      <c r="T85" s="100">
        <f>VLOOKUP(C85,'IP PITS'!$B$9:$P$90,15,0)</f>
        <v>0</v>
      </c>
      <c r="U85" s="46">
        <f>VLOOKUP(C85,'IP PITS'!$B$9:$Q$90,16,0)</f>
        <v>0</v>
      </c>
      <c r="V85" s="46">
        <v>0</v>
      </c>
      <c r="W85" s="100">
        <f>VLOOKUP(C85,'IP PITS'!$B$9:$R$90,17,0)</f>
        <v>0</v>
      </c>
      <c r="X85" s="109"/>
      <c r="Y85" s="100">
        <f t="shared" si="6"/>
        <v>3450</v>
      </c>
      <c r="Z85" s="46">
        <f t="shared" si="7"/>
        <v>0</v>
      </c>
      <c r="AB85" s="100" t="s">
        <v>669</v>
      </c>
    </row>
    <row r="86" spans="1:28" s="46" customFormat="1" x14ac:dyDescent="0.2">
      <c r="A86" s="47" t="s">
        <v>575</v>
      </c>
      <c r="B86" s="54" t="s">
        <v>57</v>
      </c>
      <c r="C86" s="47" t="s">
        <v>576</v>
      </c>
      <c r="D86" s="99"/>
      <c r="E86" s="102">
        <f>VLOOKUP(C86,'IP PITS'!$B$9:$V$90,21,0)</f>
        <v>1799.4</v>
      </c>
      <c r="F86" s="123"/>
      <c r="G86" s="100">
        <f>VLOOKUP(C86,'SIND PITS'!$C$7:$D$106,2,0)</f>
        <v>222.4699999999998</v>
      </c>
      <c r="H86" s="100">
        <f>VLOOKUP(C86,'SIND PITS'!$C$7:$E$106,3,0)</f>
        <v>2528</v>
      </c>
      <c r="I86" s="100">
        <f>VLOOKUP(C86,'SIND PITS'!$C$7:$F$105,4,0)</f>
        <v>0</v>
      </c>
      <c r="J86" s="109"/>
      <c r="K86" s="100">
        <f t="shared" si="4"/>
        <v>4549.87</v>
      </c>
      <c r="L86" s="100">
        <v>7000</v>
      </c>
      <c r="M86" s="100">
        <v>3500</v>
      </c>
      <c r="N86" s="110"/>
      <c r="O86" s="46">
        <f>VLOOKUP(C86,'IP PITS'!$B$9:$I$90,8,0)</f>
        <v>0</v>
      </c>
      <c r="P86" s="100">
        <f t="shared" si="5"/>
        <v>2528</v>
      </c>
      <c r="Q86" s="100">
        <f>VLOOKUP(C86,'IP PITS'!$B$9:$N$90,13,0)</f>
        <v>1463.13</v>
      </c>
      <c r="R86" s="100">
        <f>VLOOKUP(C86,'IP PITS'!$B$9:$O$90,14,0)</f>
        <v>0</v>
      </c>
      <c r="T86" s="100">
        <f>VLOOKUP(C86,'IP PITS'!$B$9:$P$90,15,0)</f>
        <v>15</v>
      </c>
      <c r="U86" s="46">
        <f>VLOOKUP(C86,'IP PITS'!$B$9:$Q$90,16,0)</f>
        <v>0</v>
      </c>
      <c r="V86" s="46">
        <v>0</v>
      </c>
      <c r="W86" s="100">
        <f>VLOOKUP(C86,'IP PITS'!$B$9:$R$90,17,0)</f>
        <v>0</v>
      </c>
      <c r="X86" s="109"/>
      <c r="Y86" s="100">
        <f t="shared" si="6"/>
        <v>3500</v>
      </c>
      <c r="Z86" s="46">
        <f t="shared" si="7"/>
        <v>0</v>
      </c>
      <c r="AB86" s="100" t="s">
        <v>669</v>
      </c>
    </row>
    <row r="87" spans="1:28" s="46" customFormat="1" x14ac:dyDescent="0.2">
      <c r="A87" s="47" t="s">
        <v>577</v>
      </c>
      <c r="B87" s="54" t="s">
        <v>57</v>
      </c>
      <c r="C87" s="47" t="s">
        <v>578</v>
      </c>
      <c r="D87" s="99"/>
      <c r="E87" s="102">
        <f>VLOOKUP(C87,'IP PITS'!$B$9:$V$90,21,0)</f>
        <v>2974.2</v>
      </c>
      <c r="F87" s="123"/>
      <c r="G87" s="100">
        <f>VLOOKUP(C87,'SIND PITS'!$C$7:$D$106,2,0)</f>
        <v>175.80000000000018</v>
      </c>
      <c r="H87" s="100">
        <f>VLOOKUP(C87,'SIND PITS'!$C$7:$E$106,3,0)</f>
        <v>843.75</v>
      </c>
      <c r="I87" s="100">
        <f>VLOOKUP(C87,'SIND PITS'!$C$7:$F$105,4,0)</f>
        <v>0</v>
      </c>
      <c r="J87" s="109"/>
      <c r="K87" s="100">
        <f t="shared" si="4"/>
        <v>3993.75</v>
      </c>
      <c r="L87" s="100">
        <v>6300</v>
      </c>
      <c r="M87" s="100">
        <v>3150</v>
      </c>
      <c r="N87" s="110"/>
      <c r="O87" s="46">
        <f>VLOOKUP(C87,'IP PITS'!$B$9:$I$90,8,0)</f>
        <v>0</v>
      </c>
      <c r="P87" s="100">
        <f t="shared" si="5"/>
        <v>843.75</v>
      </c>
      <c r="Q87" s="100">
        <f>VLOOKUP(C87,'IP PITS'!$B$9:$N$90,13,0)</f>
        <v>0</v>
      </c>
      <c r="R87" s="100">
        <f>VLOOKUP(C87,'IP PITS'!$B$9:$O$90,14,0)</f>
        <v>0</v>
      </c>
      <c r="T87" s="100">
        <f>VLOOKUP(C87,'IP PITS'!$B$9:$P$90,15,0)</f>
        <v>0</v>
      </c>
      <c r="U87" s="46">
        <f>VLOOKUP(C87,'IP PITS'!$B$9:$Q$90,16,0)</f>
        <v>0</v>
      </c>
      <c r="V87" s="46">
        <v>0</v>
      </c>
      <c r="W87" s="100">
        <f>VLOOKUP(C87,'IP PITS'!$B$9:$R$90,17,0)</f>
        <v>0</v>
      </c>
      <c r="X87" s="109"/>
      <c r="Y87" s="100">
        <f t="shared" si="6"/>
        <v>3150</v>
      </c>
      <c r="Z87" s="46">
        <f t="shared" si="7"/>
        <v>0</v>
      </c>
      <c r="AB87" s="100" t="s">
        <v>669</v>
      </c>
    </row>
    <row r="88" spans="1:28" s="46" customFormat="1" x14ac:dyDescent="0.2">
      <c r="A88" s="47" t="s">
        <v>579</v>
      </c>
      <c r="B88" s="54" t="s">
        <v>57</v>
      </c>
      <c r="C88" s="47" t="s">
        <v>580</v>
      </c>
      <c r="D88" s="99"/>
      <c r="E88" s="102">
        <f>VLOOKUP(C88,'IP PITS'!$B$9:$V$90,21,0)</f>
        <v>2647</v>
      </c>
      <c r="F88" s="123"/>
      <c r="G88" s="100">
        <f>VLOOKUP(C88,'SIND PITS'!$C$7:$D$106,2,0)</f>
        <v>175.65000000000009</v>
      </c>
      <c r="H88" s="100">
        <f>VLOOKUP(C88,'SIND PITS'!$C$7:$E$106,3,0)</f>
        <v>0</v>
      </c>
      <c r="I88" s="100">
        <f>VLOOKUP(C88,'SIND PITS'!$C$7:$F$105,4,0)</f>
        <v>0</v>
      </c>
      <c r="J88" s="109"/>
      <c r="K88" s="100">
        <f t="shared" si="4"/>
        <v>2822.65</v>
      </c>
      <c r="L88" s="100">
        <v>6300</v>
      </c>
      <c r="M88" s="100">
        <v>3150</v>
      </c>
      <c r="N88" s="110"/>
      <c r="O88" s="46">
        <f>VLOOKUP(C88,'IP PITS'!$B$9:$I$90,8,0)</f>
        <v>0</v>
      </c>
      <c r="P88" s="100">
        <f t="shared" si="5"/>
        <v>0</v>
      </c>
      <c r="Q88" s="100">
        <f>VLOOKUP(C88,'IP PITS'!$B$9:$N$90,13,0)</f>
        <v>0</v>
      </c>
      <c r="R88" s="100">
        <f>VLOOKUP(C88,'IP PITS'!$B$9:$O$90,14,0)</f>
        <v>312.35000000000002</v>
      </c>
      <c r="T88" s="100">
        <f>VLOOKUP(C88,'IP PITS'!$B$9:$P$90,15,0)</f>
        <v>15</v>
      </c>
      <c r="U88" s="46">
        <f>VLOOKUP(C88,'IP PITS'!$B$9:$Q$90,16,0)</f>
        <v>0</v>
      </c>
      <c r="V88" s="46">
        <v>0</v>
      </c>
      <c r="W88" s="100">
        <f>VLOOKUP(C88,'IP PITS'!$B$9:$R$90,17,0)</f>
        <v>0</v>
      </c>
      <c r="X88" s="109"/>
      <c r="Y88" s="100">
        <f t="shared" si="6"/>
        <v>3150</v>
      </c>
      <c r="Z88" s="46">
        <f t="shared" si="7"/>
        <v>0</v>
      </c>
      <c r="AB88" s="100" t="s">
        <v>669</v>
      </c>
    </row>
    <row r="89" spans="1:28" s="46" customFormat="1" x14ac:dyDescent="0.2">
      <c r="A89" s="52" t="s">
        <v>581</v>
      </c>
      <c r="B89" s="54" t="s">
        <v>57</v>
      </c>
      <c r="C89" s="52" t="s">
        <v>582</v>
      </c>
      <c r="D89" s="99"/>
      <c r="E89" s="102">
        <f>VLOOKUP(C89,'IP PITS'!$B$9:$V$90,21,0)</f>
        <v>2974.2</v>
      </c>
      <c r="F89" s="123"/>
      <c r="G89" s="100">
        <f>VLOOKUP(C89,'SIND PITS'!$C$7:$D$106,2,0)</f>
        <v>175.80000000000018</v>
      </c>
      <c r="H89" s="100">
        <f>VLOOKUP(C89,'SIND PITS'!$C$7:$E$106,3,0)</f>
        <v>618.75</v>
      </c>
      <c r="I89" s="100">
        <f>VLOOKUP(C89,'SIND PITS'!$C$7:$F$105,4,0)</f>
        <v>0</v>
      </c>
      <c r="J89" s="109"/>
      <c r="K89" s="100">
        <f t="shared" si="4"/>
        <v>3768.75</v>
      </c>
      <c r="L89" s="100">
        <v>6300</v>
      </c>
      <c r="M89" s="100">
        <v>3150</v>
      </c>
      <c r="N89" s="110"/>
      <c r="O89" s="46">
        <f>VLOOKUP(C89,'IP PITS'!$B$9:$I$90,8,0)</f>
        <v>0</v>
      </c>
      <c r="P89" s="100">
        <f t="shared" si="5"/>
        <v>618.75</v>
      </c>
      <c r="Q89" s="100">
        <f>VLOOKUP(C89,'IP PITS'!$B$9:$N$90,13,0)</f>
        <v>0</v>
      </c>
      <c r="R89" s="100">
        <f>VLOOKUP(C89,'IP PITS'!$B$9:$O$90,14,0)</f>
        <v>0</v>
      </c>
      <c r="T89" s="100">
        <f>VLOOKUP(C89,'IP PITS'!$B$9:$P$90,15,0)</f>
        <v>0</v>
      </c>
      <c r="U89" s="46">
        <f>VLOOKUP(C89,'IP PITS'!$B$9:$Q$90,16,0)</f>
        <v>0</v>
      </c>
      <c r="V89" s="46">
        <v>0</v>
      </c>
      <c r="W89" s="100">
        <f>VLOOKUP(C89,'IP PITS'!$B$9:$R$90,17,0)</f>
        <v>0</v>
      </c>
      <c r="X89" s="109"/>
      <c r="Y89" s="100">
        <f t="shared" si="6"/>
        <v>3150</v>
      </c>
      <c r="Z89" s="46">
        <f t="shared" si="7"/>
        <v>0</v>
      </c>
      <c r="AA89" s="127"/>
      <c r="AB89" s="100" t="s">
        <v>669</v>
      </c>
    </row>
    <row r="90" spans="1:28" s="46" customFormat="1" x14ac:dyDescent="0.2">
      <c r="A90" s="52" t="s">
        <v>583</v>
      </c>
      <c r="B90" s="54" t="s">
        <v>57</v>
      </c>
      <c r="C90" s="52" t="s">
        <v>584</v>
      </c>
      <c r="D90" s="99"/>
      <c r="E90" s="102">
        <f>VLOOKUP(C90,'IP PITS'!$B$9:$V$90,21,0)</f>
        <v>1997.6</v>
      </c>
      <c r="F90" s="123"/>
      <c r="G90" s="100">
        <f>VLOOKUP(C90,'SIND PITS'!$C$7:$D$106,2,0)</f>
        <v>175.61000000000013</v>
      </c>
      <c r="H90" s="100">
        <f>VLOOKUP(C90,'SIND PITS'!$C$7:$E$106,3,0)</f>
        <v>480</v>
      </c>
      <c r="I90" s="100">
        <f>VLOOKUP(C90,'SIND PITS'!$C$7:$F$105,4,0)</f>
        <v>0</v>
      </c>
      <c r="J90" s="109"/>
      <c r="K90" s="100">
        <f t="shared" si="4"/>
        <v>2653.21</v>
      </c>
      <c r="L90" s="100">
        <v>6300</v>
      </c>
      <c r="M90" s="100">
        <v>3150</v>
      </c>
      <c r="N90" s="110"/>
      <c r="O90" s="46">
        <f>VLOOKUP(C90,'IP PITS'!$B$9:$I$90,8,0)</f>
        <v>0</v>
      </c>
      <c r="P90" s="100">
        <f t="shared" si="5"/>
        <v>480</v>
      </c>
      <c r="Q90" s="100">
        <f>VLOOKUP(C90,'IP PITS'!$B$9:$N$90,13,0)</f>
        <v>0</v>
      </c>
      <c r="R90" s="100">
        <f>VLOOKUP(C90,'IP PITS'!$B$9:$O$90,14,0)</f>
        <v>961.79</v>
      </c>
      <c r="T90" s="100">
        <f>VLOOKUP(C90,'IP PITS'!$B$9:$P$90,15,0)</f>
        <v>15</v>
      </c>
      <c r="U90" s="46">
        <f>VLOOKUP(C90,'IP PITS'!$B$9:$Q$90,16,0)</f>
        <v>0</v>
      </c>
      <c r="V90" s="46">
        <v>0</v>
      </c>
      <c r="W90" s="100">
        <f>VLOOKUP(C90,'IP PITS'!$B$9:$R$90,17,0)</f>
        <v>0</v>
      </c>
      <c r="X90" s="109"/>
      <c r="Y90" s="100">
        <f t="shared" si="6"/>
        <v>3150</v>
      </c>
      <c r="Z90" s="46">
        <f t="shared" si="7"/>
        <v>0</v>
      </c>
      <c r="AA90" s="127"/>
      <c r="AB90" s="100" t="s">
        <v>669</v>
      </c>
    </row>
    <row r="91" spans="1:28" s="100" customFormat="1" x14ac:dyDescent="0.2">
      <c r="A91" s="52" t="s">
        <v>587</v>
      </c>
      <c r="B91" s="54" t="s">
        <v>57</v>
      </c>
      <c r="C91" s="52" t="s">
        <v>588</v>
      </c>
      <c r="D91" s="99"/>
      <c r="E91" s="102">
        <f>VLOOKUP(C91,'IP PITS'!$B$9:$V$90,21,0)</f>
        <v>1245.2</v>
      </c>
      <c r="F91" s="123"/>
      <c r="G91" s="100">
        <f>VLOOKUP(C91,'SIND PITS'!$C$7:$D$106,2,0)</f>
        <v>134.19999999999982</v>
      </c>
      <c r="H91" s="100">
        <f>VLOOKUP(C91,'SIND PITS'!$C$7:$E$106,3,0)</f>
        <v>400</v>
      </c>
      <c r="I91" s="100">
        <f>VLOOKUP(C91,'SIND PITS'!$C$7:$F$105,4,0)</f>
        <v>0</v>
      </c>
      <c r="J91" s="109"/>
      <c r="K91" s="100">
        <f t="shared" si="4"/>
        <v>1779.3999999999999</v>
      </c>
      <c r="L91" s="100">
        <v>6000</v>
      </c>
      <c r="M91" s="100">
        <v>3000</v>
      </c>
      <c r="N91" s="110"/>
      <c r="O91" s="46">
        <f>VLOOKUP(C91,'IP PITS'!$B$9:$I$90,8,0)</f>
        <v>0</v>
      </c>
      <c r="P91" s="100">
        <f t="shared" si="5"/>
        <v>400</v>
      </c>
      <c r="Q91" s="100">
        <f>VLOOKUP(C91,'IP PITS'!$B$9:$N$90,13,0)</f>
        <v>0</v>
      </c>
      <c r="R91" s="100">
        <f>VLOOKUP(C91,'IP PITS'!$B$9:$O$90,14,0)</f>
        <v>1605.6</v>
      </c>
      <c r="S91" s="46"/>
      <c r="T91" s="100">
        <f>VLOOKUP(C91,'IP PITS'!$B$9:$P$90,15,0)</f>
        <v>15</v>
      </c>
      <c r="U91" s="46">
        <f>VLOOKUP(C91,'IP PITS'!$B$9:$Q$90,16,0)</f>
        <v>0</v>
      </c>
      <c r="V91" s="46">
        <v>0</v>
      </c>
      <c r="W91" s="100">
        <f>VLOOKUP(C91,'IP PITS'!$B$9:$R$90,17,0)</f>
        <v>0</v>
      </c>
      <c r="X91" s="109"/>
      <c r="Y91" s="100">
        <f t="shared" si="6"/>
        <v>3000</v>
      </c>
      <c r="Z91" s="46">
        <f t="shared" si="7"/>
        <v>0</v>
      </c>
      <c r="AA91" s="127"/>
      <c r="AB91" s="100" t="s">
        <v>669</v>
      </c>
    </row>
    <row r="92" spans="1:28" s="100" customFormat="1" x14ac:dyDescent="0.2">
      <c r="A92" s="52" t="s">
        <v>589</v>
      </c>
      <c r="B92" s="54" t="s">
        <v>57</v>
      </c>
      <c r="C92" s="52" t="s">
        <v>590</v>
      </c>
      <c r="E92" s="102">
        <f>VLOOKUP(C92,'IP PITS'!$B$9:$V$90,21,0)</f>
        <v>1478.6</v>
      </c>
      <c r="F92" s="123"/>
      <c r="J92" s="109"/>
      <c r="K92" s="100">
        <f t="shared" si="4"/>
        <v>1478.6</v>
      </c>
      <c r="L92" s="100">
        <v>6000</v>
      </c>
      <c r="M92" s="100">
        <f>+L92/2</f>
        <v>3000</v>
      </c>
      <c r="N92" s="110"/>
      <c r="O92" s="46"/>
      <c r="S92" s="46"/>
      <c r="U92" s="46"/>
      <c r="V92" s="46"/>
      <c r="X92" s="109"/>
      <c r="Y92" s="100">
        <f t="shared" si="6"/>
        <v>1478.6</v>
      </c>
      <c r="Z92" s="46"/>
      <c r="AA92" s="127"/>
    </row>
    <row r="93" spans="1:28" s="100" customFormat="1" x14ac:dyDescent="0.2">
      <c r="A93" s="52" t="s">
        <v>591</v>
      </c>
      <c r="B93" s="54" t="s">
        <v>57</v>
      </c>
      <c r="C93" s="52" t="s">
        <v>592</v>
      </c>
      <c r="D93" s="99"/>
      <c r="E93" s="102">
        <f>VLOOKUP(C93,'IP PITS'!$B$9:$V$90,21,0)</f>
        <v>2865.8</v>
      </c>
      <c r="F93" s="123"/>
      <c r="G93" s="100">
        <f>VLOOKUP(C93,'SIND PITS'!$C$7:$D$106,2,0)</f>
        <v>134.19999999999965</v>
      </c>
      <c r="H93" s="100">
        <f>VLOOKUP(C93,'SIND PITS'!$C$7:$E$106,3,0)</f>
        <v>292.5</v>
      </c>
      <c r="I93" s="100">
        <f>VLOOKUP(C93,'SIND PITS'!$C$7:$F$105,4,0)</f>
        <v>0</v>
      </c>
      <c r="J93" s="109"/>
      <c r="K93" s="100">
        <f t="shared" si="4"/>
        <v>3292.5</v>
      </c>
      <c r="L93" s="100">
        <v>6000</v>
      </c>
      <c r="M93" s="100">
        <v>3000</v>
      </c>
      <c r="N93" s="110"/>
      <c r="O93" s="46">
        <f>VLOOKUP(C93,'IP PITS'!$B$9:$I$90,8,0)</f>
        <v>0</v>
      </c>
      <c r="P93" s="100">
        <f t="shared" si="5"/>
        <v>292.5</v>
      </c>
      <c r="Q93" s="100">
        <f>VLOOKUP(C93,'IP PITS'!$B$9:$N$90,13,0)</f>
        <v>0</v>
      </c>
      <c r="R93" s="100">
        <f>VLOOKUP(C93,'IP PITS'!$B$9:$O$90,14,0)</f>
        <v>0</v>
      </c>
      <c r="S93" s="46"/>
      <c r="T93" s="100">
        <f>VLOOKUP(C93,'IP PITS'!$B$9:$P$90,15,0)</f>
        <v>0</v>
      </c>
      <c r="U93" s="46">
        <f>VLOOKUP(C93,'IP PITS'!$B$9:$Q$90,16,0)</f>
        <v>0</v>
      </c>
      <c r="V93" s="46">
        <v>0</v>
      </c>
      <c r="W93" s="100">
        <f>VLOOKUP(C93,'IP PITS'!$B$9:$R$90,17,0)</f>
        <v>0</v>
      </c>
      <c r="X93" s="109"/>
      <c r="Y93" s="100">
        <f t="shared" si="6"/>
        <v>3000</v>
      </c>
      <c r="Z93" s="46">
        <f t="shared" si="7"/>
        <v>0</v>
      </c>
      <c r="AA93" s="127"/>
      <c r="AB93" s="100" t="s">
        <v>669</v>
      </c>
    </row>
    <row r="94" spans="1:28" s="100" customFormat="1" x14ac:dyDescent="0.2">
      <c r="A94" s="52" t="s">
        <v>515</v>
      </c>
      <c r="B94" s="54" t="s">
        <v>57</v>
      </c>
      <c r="C94" s="52" t="s">
        <v>430</v>
      </c>
      <c r="D94" s="99"/>
      <c r="E94" s="102">
        <f>VLOOKUP(C94,'IP PITS'!$B$9:$V$90,21,0)</f>
        <v>2864.8</v>
      </c>
      <c r="F94" s="123"/>
      <c r="G94" s="100">
        <f>VLOOKUP(C94,'SIND PITS'!$C$7:$D$106,2,0)</f>
        <v>3135.2</v>
      </c>
      <c r="H94" s="100">
        <f>VLOOKUP(C94,'SIND PITS'!$C$7:$E$106,3,0)</f>
        <v>399.5</v>
      </c>
      <c r="I94" s="100">
        <f>VLOOKUP(C94,'SIND PITS'!$C$7:$F$105,4,0)</f>
        <v>0</v>
      </c>
      <c r="J94" s="109"/>
      <c r="K94" s="100">
        <f t="shared" si="4"/>
        <v>6399.5</v>
      </c>
      <c r="L94" s="100">
        <v>12000</v>
      </c>
      <c r="M94" s="100">
        <v>6000</v>
      </c>
      <c r="N94" s="110"/>
      <c r="O94" s="46">
        <f>VLOOKUP(C94,'IP PITS'!$B$9:$I$90,8,0)</f>
        <v>0</v>
      </c>
      <c r="P94" s="100">
        <f t="shared" si="5"/>
        <v>399.5</v>
      </c>
      <c r="Q94" s="100">
        <f>VLOOKUP(C94,'IP PITS'!$B$9:$N$90,13,0)</f>
        <v>0</v>
      </c>
      <c r="R94" s="100">
        <f>VLOOKUP(C94,'IP PITS'!$B$9:$O$90,14,0)</f>
        <v>0</v>
      </c>
      <c r="S94" s="46"/>
      <c r="T94" s="100">
        <f>VLOOKUP(C94,'IP PITS'!$B$9:$P$90,15,0)</f>
        <v>0</v>
      </c>
      <c r="U94" s="46">
        <f>VLOOKUP(C94,'IP PITS'!$B$9:$Q$90,16,0)</f>
        <v>0</v>
      </c>
      <c r="V94" s="46">
        <v>0</v>
      </c>
      <c r="W94" s="100">
        <f>VLOOKUP(C94,'IP PITS'!$B$9:$R$90,17,0)</f>
        <v>0</v>
      </c>
      <c r="X94" s="109"/>
      <c r="Y94" s="100">
        <f t="shared" si="6"/>
        <v>6000</v>
      </c>
      <c r="Z94" s="46">
        <f t="shared" si="7"/>
        <v>0</v>
      </c>
      <c r="AA94" s="127"/>
      <c r="AB94" s="100" t="s">
        <v>669</v>
      </c>
    </row>
    <row r="95" spans="1:28" s="100" customFormat="1" x14ac:dyDescent="0.2">
      <c r="A95" s="52" t="s">
        <v>594</v>
      </c>
      <c r="B95" s="54" t="s">
        <v>57</v>
      </c>
      <c r="C95" s="52" t="s">
        <v>595</v>
      </c>
      <c r="D95" s="99"/>
      <c r="E95" s="102">
        <f>VLOOKUP(C95,'IP PITS'!$B$9:$V$90,21,0)</f>
        <v>2372</v>
      </c>
      <c r="F95" s="123"/>
      <c r="G95" s="100">
        <f>VLOOKUP(C95,'SIND PITS'!$C$7:$D$106,2,0)</f>
        <v>3135.1899999999996</v>
      </c>
      <c r="H95" s="100">
        <f>VLOOKUP(C95,'SIND PITS'!$C$7:$E$106,3,0)</f>
        <v>1750</v>
      </c>
      <c r="I95" s="100">
        <f>VLOOKUP(C95,'SIND PITS'!$C$7:$F$105,4,0)</f>
        <v>0</v>
      </c>
      <c r="J95" s="109"/>
      <c r="K95" s="100">
        <f t="shared" si="4"/>
        <v>7257.19</v>
      </c>
      <c r="L95" s="100">
        <v>12000</v>
      </c>
      <c r="M95" s="100">
        <v>6000</v>
      </c>
      <c r="N95" s="110"/>
      <c r="O95" s="46">
        <f>VLOOKUP(C95,'IP PITS'!$B$9:$I$90,8,0)</f>
        <v>0</v>
      </c>
      <c r="P95" s="100">
        <f t="shared" si="5"/>
        <v>1750</v>
      </c>
      <c r="Q95" s="100">
        <f>VLOOKUP(C95,'IP PITS'!$B$9:$N$90,13,0)</f>
        <v>0</v>
      </c>
      <c r="R95" s="100">
        <f>VLOOKUP(C95,'IP PITS'!$B$9:$O$90,14,0)</f>
        <v>477.81</v>
      </c>
      <c r="S95" s="46"/>
      <c r="T95" s="100">
        <f>VLOOKUP(C95,'IP PITS'!$B$9:$P$90,15,0)</f>
        <v>15</v>
      </c>
      <c r="U95" s="46">
        <f>VLOOKUP(C95,'IP PITS'!$B$9:$Q$90,16,0)</f>
        <v>0</v>
      </c>
      <c r="V95" s="46">
        <v>0</v>
      </c>
      <c r="W95" s="100">
        <f>VLOOKUP(C95,'IP PITS'!$B$9:$R$90,17,0)</f>
        <v>0</v>
      </c>
      <c r="X95" s="109"/>
      <c r="Y95" s="100">
        <f t="shared" si="6"/>
        <v>6000</v>
      </c>
      <c r="Z95" s="46">
        <f t="shared" si="7"/>
        <v>0</v>
      </c>
      <c r="AA95" s="127"/>
      <c r="AB95" s="100" t="s">
        <v>669</v>
      </c>
    </row>
    <row r="96" spans="1:28" s="100" customFormat="1" x14ac:dyDescent="0.2">
      <c r="A96" s="52" t="s">
        <v>600</v>
      </c>
      <c r="B96" s="54" t="s">
        <v>57</v>
      </c>
      <c r="C96" s="52" t="s">
        <v>601</v>
      </c>
      <c r="D96" s="99"/>
      <c r="E96" s="102">
        <f>VLOOKUP(C96,'IP PITS'!$B$9:$V$90,21,0)</f>
        <v>925.6</v>
      </c>
      <c r="F96" s="123"/>
      <c r="G96" s="100">
        <f>VLOOKUP(C96,'SIND PITS'!$C$7:$D$106,2,0)</f>
        <v>1704.55</v>
      </c>
      <c r="H96" s="100">
        <f>VLOOKUP(C96,'SIND PITS'!$C$7:$E$106,3,0)</f>
        <v>0</v>
      </c>
      <c r="I96" s="100">
        <f>VLOOKUP(C96,'SIND PITS'!$C$7:$F$105,4,0)</f>
        <v>0</v>
      </c>
      <c r="J96" s="109"/>
      <c r="K96" s="100">
        <f t="shared" si="4"/>
        <v>2630.15</v>
      </c>
      <c r="L96" s="100">
        <v>7000</v>
      </c>
      <c r="M96" s="100">
        <v>3500</v>
      </c>
      <c r="N96" s="110"/>
      <c r="O96" s="46">
        <f>VLOOKUP(C96,'IP PITS'!$B$9:$I$90,8,0)</f>
        <v>0</v>
      </c>
      <c r="P96" s="100">
        <f t="shared" si="5"/>
        <v>0</v>
      </c>
      <c r="Q96" s="100">
        <f>VLOOKUP(C96,'IP PITS'!$B$9:$N$90,13,0)</f>
        <v>0</v>
      </c>
      <c r="R96" s="100">
        <f>VLOOKUP(C96,'IP PITS'!$B$9:$O$90,14,0)</f>
        <v>854.85</v>
      </c>
      <c r="S96" s="46"/>
      <c r="T96" s="100">
        <f>VLOOKUP(C96,'IP PITS'!$B$9:$P$90,15,0)</f>
        <v>15</v>
      </c>
      <c r="U96" s="46">
        <f>VLOOKUP(C96,'IP PITS'!$B$9:$Q$90,16,0)</f>
        <v>0</v>
      </c>
      <c r="V96" s="46">
        <v>0</v>
      </c>
      <c r="W96" s="100">
        <f>VLOOKUP(C96,'IP PITS'!$B$9:$R$90,17,0)</f>
        <v>0</v>
      </c>
      <c r="X96" s="109"/>
      <c r="Y96" s="100">
        <f t="shared" si="6"/>
        <v>3500</v>
      </c>
      <c r="Z96" s="46">
        <f t="shared" si="7"/>
        <v>0</v>
      </c>
      <c r="AA96" s="127"/>
      <c r="AB96" s="100" t="s">
        <v>669</v>
      </c>
    </row>
    <row r="97" spans="1:249" s="100" customFormat="1" x14ac:dyDescent="0.2">
      <c r="A97" s="52" t="s">
        <v>602</v>
      </c>
      <c r="B97" s="54" t="s">
        <v>57</v>
      </c>
      <c r="C97" s="52" t="s">
        <v>603</v>
      </c>
      <c r="D97" s="99"/>
      <c r="E97" s="102">
        <f>VLOOKUP(C97,'IP PITS'!$B$9:$V$90,21,0)</f>
        <v>979.4</v>
      </c>
      <c r="F97" s="123"/>
      <c r="G97" s="100">
        <f>VLOOKUP(C97,'SIND PITS'!$C$7:$D$106,2,0)</f>
        <v>1704.5800000000002</v>
      </c>
      <c r="H97" s="100">
        <f>VLOOKUP(C97,'SIND PITS'!$C$7:$E$106,3,0)</f>
        <v>675</v>
      </c>
      <c r="I97" s="100">
        <f>VLOOKUP(C97,'SIND PITS'!$C$7:$F$105,4,0)</f>
        <v>0</v>
      </c>
      <c r="J97" s="109"/>
      <c r="K97" s="100">
        <f t="shared" si="4"/>
        <v>3358.98</v>
      </c>
      <c r="L97" s="100">
        <v>7000</v>
      </c>
      <c r="M97" s="100">
        <v>3500</v>
      </c>
      <c r="N97" s="110"/>
      <c r="O97" s="46">
        <f>VLOOKUP(C97,'IP PITS'!$B$9:$I$90,8,0)</f>
        <v>0</v>
      </c>
      <c r="P97" s="100">
        <f t="shared" si="5"/>
        <v>675</v>
      </c>
      <c r="Q97" s="100">
        <f>VLOOKUP(C97,'IP PITS'!$B$9:$N$90,13,0)</f>
        <v>801.02</v>
      </c>
      <c r="R97" s="100">
        <f>VLOOKUP(C97,'IP PITS'!$B$9:$O$90,14,0)</f>
        <v>0</v>
      </c>
      <c r="S97" s="46"/>
      <c r="T97" s="100">
        <f>VLOOKUP(C97,'IP PITS'!$B$9:$P$90,15,0)</f>
        <v>15</v>
      </c>
      <c r="U97" s="46">
        <f>VLOOKUP(C97,'IP PITS'!$B$9:$Q$90,16,0)</f>
        <v>0</v>
      </c>
      <c r="V97" s="46">
        <v>0</v>
      </c>
      <c r="W97" s="100">
        <f>VLOOKUP(C97,'IP PITS'!$B$9:$R$90,17,0)</f>
        <v>0</v>
      </c>
      <c r="X97" s="109"/>
      <c r="Y97" s="100">
        <f t="shared" si="6"/>
        <v>3500</v>
      </c>
      <c r="Z97" s="46">
        <f t="shared" si="7"/>
        <v>0</v>
      </c>
      <c r="AA97" s="127"/>
      <c r="AB97" s="100" t="s">
        <v>669</v>
      </c>
    </row>
    <row r="98" spans="1:249" s="100" customFormat="1" x14ac:dyDescent="0.2">
      <c r="A98" s="52" t="s">
        <v>605</v>
      </c>
      <c r="B98" s="54" t="s">
        <v>57</v>
      </c>
      <c r="C98" s="52" t="s">
        <v>606</v>
      </c>
      <c r="D98" s="99"/>
      <c r="E98" s="102">
        <f>VLOOKUP(C98,'IP PITS'!$B$9:$V$90,21,0)</f>
        <v>2974.4</v>
      </c>
      <c r="F98" s="123"/>
      <c r="G98" s="100">
        <f>VLOOKUP(C98,'SIND PITS'!$C$7:$D$106,2,0)</f>
        <v>175.60000000000008</v>
      </c>
      <c r="H98" s="100">
        <f>VLOOKUP(C98,'SIND PITS'!$C$7:$E$106,3,0)</f>
        <v>0</v>
      </c>
      <c r="I98" s="100">
        <f>VLOOKUP(C98,'SIND PITS'!$C$7:$F$105,4,0)</f>
        <v>0</v>
      </c>
      <c r="J98" s="109"/>
      <c r="K98" s="100">
        <f t="shared" si="4"/>
        <v>3150</v>
      </c>
      <c r="L98" s="100">
        <v>6300</v>
      </c>
      <c r="M98" s="100">
        <v>3150</v>
      </c>
      <c r="N98" s="110"/>
      <c r="O98" s="46">
        <f>VLOOKUP(C98,'IP PITS'!$B$9:$I$90,8,0)</f>
        <v>0</v>
      </c>
      <c r="P98" s="100">
        <f t="shared" si="5"/>
        <v>0</v>
      </c>
      <c r="Q98" s="100">
        <f>VLOOKUP(C98,'IP PITS'!$B$9:$N$90,13,0)</f>
        <v>0</v>
      </c>
      <c r="R98" s="100">
        <f>VLOOKUP(C98,'IP PITS'!$B$9:$O$90,14,0)</f>
        <v>0</v>
      </c>
      <c r="S98" s="46"/>
      <c r="T98" s="100">
        <f>VLOOKUP(C98,'IP PITS'!$B$9:$P$90,15,0)</f>
        <v>0</v>
      </c>
      <c r="U98" s="46">
        <f>VLOOKUP(C98,'IP PITS'!$B$9:$Q$90,16,0)</f>
        <v>0</v>
      </c>
      <c r="V98" s="46">
        <v>0</v>
      </c>
      <c r="W98" s="100">
        <f>VLOOKUP(C98,'IP PITS'!$B$9:$R$90,17,0)</f>
        <v>0</v>
      </c>
      <c r="X98" s="109"/>
      <c r="Y98" s="100">
        <f t="shared" si="6"/>
        <v>3150</v>
      </c>
      <c r="Z98" s="46">
        <f t="shared" si="7"/>
        <v>0</v>
      </c>
      <c r="AA98" s="127"/>
      <c r="AB98" s="100" t="s">
        <v>669</v>
      </c>
    </row>
    <row r="99" spans="1:249" s="100" customFormat="1" x14ac:dyDescent="0.2">
      <c r="A99" s="52" t="s">
        <v>77</v>
      </c>
      <c r="B99" s="54" t="s">
        <v>57</v>
      </c>
      <c r="C99" s="52" t="s">
        <v>607</v>
      </c>
      <c r="D99" s="99"/>
      <c r="E99" s="102">
        <f>VLOOKUP(C99,'IP PITS'!$B$9:$V$90,21,0)</f>
        <v>2865.8</v>
      </c>
      <c r="F99" s="123"/>
      <c r="G99" s="100">
        <f>VLOOKUP(C99,'SIND PITS'!$C$7:$D$106,2,0)</f>
        <v>134.19999999999982</v>
      </c>
      <c r="H99" s="100">
        <f>VLOOKUP(C99,'SIND PITS'!$C$7:$E$106,3,0)</f>
        <v>378</v>
      </c>
      <c r="I99" s="100">
        <f>VLOOKUP(C99,'SIND PITS'!$C$7:$F$105,4,0)</f>
        <v>0</v>
      </c>
      <c r="J99" s="109"/>
      <c r="K99" s="100">
        <f t="shared" si="4"/>
        <v>3378</v>
      </c>
      <c r="L99" s="100">
        <v>6000</v>
      </c>
      <c r="M99" s="100">
        <v>3000</v>
      </c>
      <c r="N99" s="110"/>
      <c r="O99" s="46">
        <f>VLOOKUP(C99,'IP PITS'!$B$9:$I$90,8,0)</f>
        <v>0</v>
      </c>
      <c r="P99" s="100">
        <f t="shared" si="5"/>
        <v>378</v>
      </c>
      <c r="Q99" s="100">
        <f>VLOOKUP(C99,'IP PITS'!$B$9:$N$90,13,0)</f>
        <v>0</v>
      </c>
      <c r="R99" s="100">
        <f>VLOOKUP(C99,'IP PITS'!$B$9:$O$90,14,0)</f>
        <v>0</v>
      </c>
      <c r="S99" s="46"/>
      <c r="T99" s="100">
        <f>VLOOKUP(C99,'IP PITS'!$B$9:$P$90,15,0)</f>
        <v>0</v>
      </c>
      <c r="U99" s="46">
        <f>VLOOKUP(C99,'IP PITS'!$B$9:$Q$90,16,0)</f>
        <v>0</v>
      </c>
      <c r="V99" s="46">
        <v>0</v>
      </c>
      <c r="W99" s="100">
        <f>VLOOKUP(C99,'IP PITS'!$B$9:$R$90,17,0)</f>
        <v>0</v>
      </c>
      <c r="X99" s="109"/>
      <c r="Y99" s="100">
        <f t="shared" si="6"/>
        <v>3000</v>
      </c>
      <c r="Z99" s="46">
        <f t="shared" si="7"/>
        <v>0</v>
      </c>
      <c r="AA99" s="127"/>
      <c r="AB99" s="100" t="s">
        <v>669</v>
      </c>
    </row>
    <row r="100" spans="1:249" s="100" customFormat="1" x14ac:dyDescent="0.2">
      <c r="A100" s="52" t="s">
        <v>609</v>
      </c>
      <c r="B100" s="54" t="s">
        <v>57</v>
      </c>
      <c r="C100" s="52" t="s">
        <v>610</v>
      </c>
      <c r="D100" s="99"/>
      <c r="E100" s="102">
        <f>VLOOKUP(C100,'IP PITS'!$B$9:$V$90,21,0)</f>
        <v>2446.6</v>
      </c>
      <c r="F100" s="123"/>
      <c r="G100" s="100">
        <f>VLOOKUP(C100,'SIND PITS'!$C$7:$D$106,2,0)</f>
        <v>53.400000000000091</v>
      </c>
      <c r="H100" s="100">
        <f>VLOOKUP(C100,'SIND PITS'!$C$7:$E$106,3,0)</f>
        <v>0</v>
      </c>
      <c r="I100" s="100">
        <f>VLOOKUP(C100,'SIND PITS'!$C$7:$F$105,4,0)</f>
        <v>0</v>
      </c>
      <c r="J100" s="109"/>
      <c r="K100" s="100">
        <f t="shared" si="4"/>
        <v>2500</v>
      </c>
      <c r="L100" s="100">
        <v>5000</v>
      </c>
      <c r="M100" s="100">
        <v>2500</v>
      </c>
      <c r="N100" s="110"/>
      <c r="O100" s="46">
        <f>VLOOKUP(C100,'IP PITS'!$B$9:$I$90,8,0)</f>
        <v>0</v>
      </c>
      <c r="P100" s="100">
        <f t="shared" si="5"/>
        <v>0</v>
      </c>
      <c r="Q100" s="100">
        <f>VLOOKUP(C100,'IP PITS'!$B$9:$N$90,13,0)</f>
        <v>0</v>
      </c>
      <c r="R100" s="100">
        <f>VLOOKUP(C100,'IP PITS'!$B$9:$O$90,14,0)</f>
        <v>0</v>
      </c>
      <c r="S100" s="46"/>
      <c r="T100" s="100">
        <f>VLOOKUP(C100,'IP PITS'!$B$9:$P$90,15,0)</f>
        <v>0</v>
      </c>
      <c r="U100" s="46">
        <f>VLOOKUP(C100,'IP PITS'!$B$9:$Q$90,16,0)</f>
        <v>0</v>
      </c>
      <c r="V100" s="46">
        <v>0</v>
      </c>
      <c r="W100" s="100">
        <f>VLOOKUP(C100,'IP PITS'!$B$9:$R$90,17,0)</f>
        <v>0</v>
      </c>
      <c r="X100" s="109"/>
      <c r="Y100" s="100">
        <f t="shared" si="6"/>
        <v>2500</v>
      </c>
      <c r="Z100" s="46">
        <f t="shared" si="7"/>
        <v>0</v>
      </c>
      <c r="AA100" s="127"/>
      <c r="AB100" s="100" t="s">
        <v>669</v>
      </c>
    </row>
    <row r="101" spans="1:249" s="100" customFormat="1" x14ac:dyDescent="0.2">
      <c r="A101" s="52" t="s">
        <v>611</v>
      </c>
      <c r="B101" s="54" t="s">
        <v>57</v>
      </c>
      <c r="C101" s="52" t="s">
        <v>612</v>
      </c>
      <c r="D101" s="99"/>
      <c r="E101" s="102">
        <f>VLOOKUP(C101,'IP PITS'!$B$9:$V$90,21,0)</f>
        <v>2974.2</v>
      </c>
      <c r="F101" s="123"/>
      <c r="G101" s="100">
        <f>VLOOKUP(C101,'SIND PITS'!$C$7:$D$106,2,0)</f>
        <v>175.80000000000018</v>
      </c>
      <c r="H101" s="100">
        <f>VLOOKUP(C101,'SIND PITS'!$C$7:$E$106,3,0)</f>
        <v>0</v>
      </c>
      <c r="I101" s="100">
        <f>VLOOKUP(C101,'SIND PITS'!$C$7:$F$105,4,0)</f>
        <v>0</v>
      </c>
      <c r="J101" s="109"/>
      <c r="K101" s="100">
        <f t="shared" si="4"/>
        <v>3150</v>
      </c>
      <c r="L101" s="100">
        <v>6300</v>
      </c>
      <c r="M101" s="100">
        <v>3150</v>
      </c>
      <c r="N101" s="110"/>
      <c r="O101" s="46">
        <f>VLOOKUP(C101,'IP PITS'!$B$9:$I$90,8,0)</f>
        <v>0</v>
      </c>
      <c r="P101" s="100">
        <f t="shared" si="5"/>
        <v>0</v>
      </c>
      <c r="Q101" s="100">
        <f>VLOOKUP(C101,'IP PITS'!$B$9:$N$90,13,0)</f>
        <v>0</v>
      </c>
      <c r="R101" s="100">
        <f>VLOOKUP(C101,'IP PITS'!$B$9:$O$90,14,0)</f>
        <v>0</v>
      </c>
      <c r="S101" s="46"/>
      <c r="T101" s="100">
        <f>VLOOKUP(C101,'IP PITS'!$B$9:$P$90,15,0)</f>
        <v>0</v>
      </c>
      <c r="U101" s="46">
        <f>VLOOKUP(C101,'IP PITS'!$B$9:$Q$90,16,0)</f>
        <v>0</v>
      </c>
      <c r="V101" s="46">
        <v>0</v>
      </c>
      <c r="W101" s="100">
        <f>VLOOKUP(C101,'IP PITS'!$B$9:$R$90,17,0)</f>
        <v>0</v>
      </c>
      <c r="X101" s="109"/>
      <c r="Y101" s="100">
        <f t="shared" si="6"/>
        <v>3150</v>
      </c>
      <c r="Z101" s="46">
        <f t="shared" si="7"/>
        <v>0</v>
      </c>
      <c r="AA101" s="127"/>
      <c r="AB101" s="100" t="s">
        <v>669</v>
      </c>
    </row>
    <row r="102" spans="1:249" s="100" customFormat="1" x14ac:dyDescent="0.2">
      <c r="A102" s="52" t="s">
        <v>613</v>
      </c>
      <c r="B102" s="54" t="s">
        <v>57</v>
      </c>
      <c r="C102" s="52" t="s">
        <v>614</v>
      </c>
      <c r="D102" s="99"/>
      <c r="E102" s="102">
        <f>VLOOKUP(C102,'IP PITS'!$B$9:$V$90,21,0)</f>
        <v>3277.6</v>
      </c>
      <c r="F102" s="123"/>
      <c r="G102" s="100">
        <f>VLOOKUP(C102,'SIND PITS'!$C$7:$D$106,2,0)</f>
        <v>222.40000000000009</v>
      </c>
      <c r="H102" s="100">
        <f>VLOOKUP(C102,'SIND PITS'!$C$7:$E$106,3,0)</f>
        <v>0</v>
      </c>
      <c r="I102" s="100">
        <f>VLOOKUP(C102,'SIND PITS'!$C$7:$F$105,4,0)</f>
        <v>0</v>
      </c>
      <c r="J102" s="109"/>
      <c r="K102" s="100">
        <f t="shared" si="4"/>
        <v>3500</v>
      </c>
      <c r="L102" s="100">
        <v>7000</v>
      </c>
      <c r="M102" s="100">
        <v>3500</v>
      </c>
      <c r="N102" s="110"/>
      <c r="O102" s="46">
        <f>VLOOKUP(C102,'IP PITS'!$B$9:$I$90,8,0)</f>
        <v>0</v>
      </c>
      <c r="P102" s="100">
        <f t="shared" si="5"/>
        <v>0</v>
      </c>
      <c r="Q102" s="100">
        <f>VLOOKUP(C102,'IP PITS'!$B$9:$N$90,13,0)</f>
        <v>0</v>
      </c>
      <c r="R102" s="100">
        <f>VLOOKUP(C102,'IP PITS'!$B$9:$O$90,14,0)</f>
        <v>0</v>
      </c>
      <c r="S102" s="46"/>
      <c r="T102" s="100">
        <f>VLOOKUP(C102,'IP PITS'!$B$9:$P$90,15,0)</f>
        <v>0</v>
      </c>
      <c r="U102" s="46">
        <f>VLOOKUP(C102,'IP PITS'!$B$9:$Q$90,16,0)</f>
        <v>0</v>
      </c>
      <c r="V102" s="46">
        <v>0</v>
      </c>
      <c r="W102" s="100">
        <f>VLOOKUP(C102,'IP PITS'!$B$9:$R$90,17,0)</f>
        <v>0</v>
      </c>
      <c r="X102" s="109"/>
      <c r="Y102" s="100">
        <f t="shared" si="6"/>
        <v>3500</v>
      </c>
      <c r="Z102" s="46">
        <f t="shared" si="7"/>
        <v>0</v>
      </c>
      <c r="AA102" s="127"/>
      <c r="AB102" s="100" t="s">
        <v>669</v>
      </c>
    </row>
    <row r="103" spans="1:249" s="100" customFormat="1" x14ac:dyDescent="0.2">
      <c r="A103" s="52" t="s">
        <v>615</v>
      </c>
      <c r="B103" s="54" t="s">
        <v>57</v>
      </c>
      <c r="C103" s="52" t="s">
        <v>616</v>
      </c>
      <c r="D103" s="99"/>
      <c r="E103" s="102">
        <f>VLOOKUP(C103,'IP PITS'!$B$9:$V$90,21,0)</f>
        <v>2865.8</v>
      </c>
      <c r="F103" s="123"/>
      <c r="G103" s="100">
        <f>VLOOKUP(C103,'SIND PITS'!$C$7:$D$106,2,0)</f>
        <v>134.19999999999982</v>
      </c>
      <c r="H103" s="100">
        <f>VLOOKUP(C103,'SIND PITS'!$C$7:$E$106,3,0)</f>
        <v>0</v>
      </c>
      <c r="I103" s="100">
        <f>VLOOKUP(C103,'SIND PITS'!$C$7:$F$105,4,0)</f>
        <v>0</v>
      </c>
      <c r="J103" s="109"/>
      <c r="K103" s="100">
        <f t="shared" si="4"/>
        <v>3000</v>
      </c>
      <c r="L103" s="100">
        <v>6000</v>
      </c>
      <c r="M103" s="100">
        <v>3000</v>
      </c>
      <c r="N103" s="110"/>
      <c r="O103" s="46">
        <f>VLOOKUP(C103,'IP PITS'!$B$9:$I$90,8,0)</f>
        <v>0</v>
      </c>
      <c r="P103" s="100">
        <f t="shared" si="5"/>
        <v>0</v>
      </c>
      <c r="Q103" s="100">
        <f>VLOOKUP(C103,'IP PITS'!$B$9:$N$90,13,0)</f>
        <v>0</v>
      </c>
      <c r="R103" s="100">
        <f>VLOOKUP(C103,'IP PITS'!$B$9:$O$90,14,0)</f>
        <v>0</v>
      </c>
      <c r="S103" s="46"/>
      <c r="T103" s="100">
        <f>VLOOKUP(C103,'IP PITS'!$B$9:$P$90,15,0)</f>
        <v>0</v>
      </c>
      <c r="U103" s="46">
        <f>VLOOKUP(C103,'IP PITS'!$B$9:$Q$90,16,0)</f>
        <v>0</v>
      </c>
      <c r="V103" s="46">
        <v>0</v>
      </c>
      <c r="W103" s="100">
        <f>VLOOKUP(C103,'IP PITS'!$B$9:$R$90,17,0)</f>
        <v>0</v>
      </c>
      <c r="X103" s="109"/>
      <c r="Y103" s="100">
        <f t="shared" si="6"/>
        <v>3000</v>
      </c>
      <c r="Z103" s="46">
        <f t="shared" si="7"/>
        <v>0</v>
      </c>
      <c r="AA103" s="127"/>
      <c r="AB103" s="100" t="s">
        <v>669</v>
      </c>
    </row>
    <row r="104" spans="1:249" s="100" customFormat="1" x14ac:dyDescent="0.2">
      <c r="A104" s="52" t="s">
        <v>619</v>
      </c>
      <c r="B104" s="54" t="s">
        <v>57</v>
      </c>
      <c r="C104" s="52" t="s">
        <v>620</v>
      </c>
      <c r="D104" s="99"/>
      <c r="E104" s="102">
        <f>VLOOKUP(C104,'IP PITS'!$B$9:$V$90,21,0)</f>
        <v>1864.8</v>
      </c>
      <c r="F104" s="123"/>
      <c r="G104" s="100">
        <f>VLOOKUP(C104,'SIND PITS'!$C$7:$D$106,2,0)</f>
        <v>52.2</v>
      </c>
      <c r="H104" s="100">
        <f>VLOOKUP(C104,'SIND PITS'!$C$7:$E$106,3,0)</f>
        <v>0</v>
      </c>
      <c r="I104" s="100">
        <f>VLOOKUP(C104,'SIND PITS'!$C$7:$F$105,4,0)</f>
        <v>0</v>
      </c>
      <c r="J104" s="109"/>
      <c r="K104" s="100">
        <f t="shared" si="4"/>
        <v>1917</v>
      </c>
      <c r="L104" s="100">
        <v>6300</v>
      </c>
      <c r="M104" s="100">
        <v>3150</v>
      </c>
      <c r="N104" s="110"/>
      <c r="O104" s="46">
        <f>VLOOKUP(C104,'IP PITS'!$B$9:$I$90,8,0)</f>
        <v>0</v>
      </c>
      <c r="P104" s="100">
        <f t="shared" si="5"/>
        <v>0</v>
      </c>
      <c r="Q104" s="100">
        <f>VLOOKUP(C104,'IP PITS'!$B$9:$N$90,13,0)</f>
        <v>600</v>
      </c>
      <c r="R104" s="100">
        <f>VLOOKUP(C104,'IP PITS'!$B$9:$O$90,14,0)</f>
        <v>0</v>
      </c>
      <c r="S104" s="46"/>
      <c r="T104" s="100">
        <f>VLOOKUP(C104,'IP PITS'!$B$9:$P$90,15,0)</f>
        <v>0</v>
      </c>
      <c r="U104" s="46">
        <f>VLOOKUP(C104,'IP PITS'!$B$9:$Q$90,16,0)</f>
        <v>0</v>
      </c>
      <c r="V104" s="46">
        <v>0</v>
      </c>
      <c r="W104" s="100">
        <f>VLOOKUP(C104,'IP PITS'!$B$9:$R$90,17,0)</f>
        <v>0</v>
      </c>
      <c r="X104" s="109"/>
      <c r="Y104" s="100">
        <f t="shared" si="6"/>
        <v>2517</v>
      </c>
      <c r="Z104" s="46">
        <f t="shared" si="7"/>
        <v>633</v>
      </c>
      <c r="AA104" s="127" t="s">
        <v>668</v>
      </c>
      <c r="AB104" s="100" t="s">
        <v>669</v>
      </c>
    </row>
    <row r="105" spans="1:249" s="137" customFormat="1" ht="24.75" customHeight="1" x14ac:dyDescent="0.2">
      <c r="C105" s="137" t="s">
        <v>665</v>
      </c>
      <c r="D105" s="137">
        <f t="shared" ref="D105:AA105" si="8">SUM(D4:D104)</f>
        <v>77805.399999999994</v>
      </c>
      <c r="E105" s="137">
        <f t="shared" si="8"/>
        <v>229673.72999999998</v>
      </c>
      <c r="F105" s="137">
        <f t="shared" si="8"/>
        <v>0</v>
      </c>
      <c r="G105" s="137">
        <f t="shared" si="8"/>
        <v>149180.06</v>
      </c>
      <c r="H105" s="137">
        <f t="shared" si="8"/>
        <v>71542.929999999993</v>
      </c>
      <c r="I105" s="137">
        <f t="shared" si="8"/>
        <v>234.01</v>
      </c>
      <c r="J105" s="137">
        <f t="shared" si="8"/>
        <v>0</v>
      </c>
      <c r="K105" s="137">
        <f t="shared" si="8"/>
        <v>528436.13000000012</v>
      </c>
      <c r="L105" s="137">
        <f t="shared" si="8"/>
        <v>1021806.02</v>
      </c>
      <c r="M105" s="137">
        <f t="shared" si="8"/>
        <v>510903.01</v>
      </c>
      <c r="N105" s="137">
        <f t="shared" si="8"/>
        <v>0</v>
      </c>
      <c r="O105" s="137">
        <f t="shared" si="8"/>
        <v>285.99</v>
      </c>
      <c r="P105" s="137">
        <f t="shared" si="8"/>
        <v>71776.94</v>
      </c>
      <c r="Q105" s="137">
        <f t="shared" si="8"/>
        <v>29632.14</v>
      </c>
      <c r="R105" s="137">
        <f t="shared" si="8"/>
        <v>9157.5400000000009</v>
      </c>
      <c r="S105" s="137">
        <f t="shared" si="8"/>
        <v>0</v>
      </c>
      <c r="T105" s="137">
        <f t="shared" si="8"/>
        <v>465</v>
      </c>
      <c r="U105" s="137">
        <f t="shared" si="8"/>
        <v>1781.73</v>
      </c>
      <c r="V105" s="137">
        <f t="shared" si="8"/>
        <v>0</v>
      </c>
      <c r="W105" s="137">
        <f t="shared" si="8"/>
        <v>8609.0500000000011</v>
      </c>
      <c r="X105" s="137">
        <f t="shared" si="8"/>
        <v>0</v>
      </c>
      <c r="Y105" s="137">
        <f t="shared" si="8"/>
        <v>506018.66000000003</v>
      </c>
      <c r="Z105" s="137">
        <f t="shared" si="8"/>
        <v>3362.9500000000003</v>
      </c>
      <c r="AA105" s="137">
        <f t="shared" si="8"/>
        <v>0</v>
      </c>
      <c r="AB105" s="100"/>
      <c r="AC105" s="137">
        <f t="shared" ref="AC105:AG105" si="9">SUM(AC31:AC104)</f>
        <v>0</v>
      </c>
      <c r="AD105" s="137">
        <f t="shared" si="9"/>
        <v>0</v>
      </c>
      <c r="AE105" s="137">
        <f t="shared" si="9"/>
        <v>0</v>
      </c>
      <c r="AF105" s="137">
        <f t="shared" si="9"/>
        <v>0</v>
      </c>
      <c r="AG105" s="137">
        <f t="shared" si="9"/>
        <v>0</v>
      </c>
      <c r="AH105" s="137">
        <f>SUM(AH4:AH95)</f>
        <v>0</v>
      </c>
      <c r="AI105" s="137">
        <f>SUM(AI4:AI95)</f>
        <v>0</v>
      </c>
      <c r="AJ105" s="137">
        <f>SUM(AJ4:AJ95)</f>
        <v>0</v>
      </c>
      <c r="AK105" s="137">
        <f>SUM(AK4:AK95)</f>
        <v>0</v>
      </c>
    </row>
    <row r="106" spans="1:249" s="68" customFormat="1" x14ac:dyDescent="0.2">
      <c r="C106" s="89"/>
      <c r="F106" s="123"/>
      <c r="J106" s="109"/>
      <c r="N106" s="138"/>
      <c r="X106" s="123"/>
      <c r="Z106" s="133"/>
      <c r="AA106" s="133"/>
      <c r="AB106" s="133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4"/>
      <c r="DV106" s="124"/>
      <c r="DW106" s="124"/>
      <c r="DX106" s="124"/>
      <c r="DY106" s="124"/>
      <c r="DZ106" s="124"/>
      <c r="EA106" s="124"/>
      <c r="EB106" s="124"/>
      <c r="EC106" s="124"/>
      <c r="ED106" s="124"/>
      <c r="EE106" s="124"/>
      <c r="EF106" s="124"/>
      <c r="EG106" s="124"/>
      <c r="EH106" s="124"/>
      <c r="EI106" s="124"/>
      <c r="EJ106" s="124"/>
      <c r="EK106" s="124"/>
      <c r="EL106" s="124"/>
      <c r="EM106" s="124"/>
      <c r="EN106" s="124"/>
      <c r="EO106" s="124"/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24"/>
      <c r="FC106" s="124"/>
      <c r="FD106" s="124"/>
      <c r="FE106" s="124"/>
      <c r="FF106" s="124"/>
      <c r="FG106" s="124"/>
      <c r="FH106" s="124"/>
      <c r="FI106" s="124"/>
      <c r="FJ106" s="124"/>
      <c r="FK106" s="124"/>
      <c r="FL106" s="124"/>
      <c r="FM106" s="124"/>
      <c r="FN106" s="124"/>
      <c r="FO106" s="124"/>
      <c r="FP106" s="124"/>
      <c r="FQ106" s="124"/>
      <c r="FR106" s="124"/>
      <c r="FS106" s="124"/>
      <c r="FT106" s="124"/>
      <c r="FU106" s="124"/>
      <c r="FV106" s="124"/>
      <c r="FW106" s="124"/>
      <c r="FX106" s="124"/>
      <c r="FY106" s="124"/>
      <c r="FZ106" s="124"/>
      <c r="GA106" s="124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</row>
    <row r="107" spans="1:249" s="68" customFormat="1" x14ac:dyDescent="0.2">
      <c r="C107" s="89"/>
      <c r="F107" s="123"/>
      <c r="J107" s="123"/>
      <c r="N107" s="138"/>
      <c r="X107" s="123"/>
      <c r="Z107" s="133"/>
      <c r="AA107" s="133"/>
      <c r="AB107" s="133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124"/>
      <c r="DS107" s="124"/>
      <c r="DT107" s="124"/>
      <c r="DU107" s="124"/>
      <c r="DV107" s="124"/>
      <c r="DW107" s="124"/>
      <c r="DX107" s="124"/>
      <c r="DY107" s="124"/>
      <c r="DZ107" s="124"/>
      <c r="EA107" s="124"/>
      <c r="EB107" s="124"/>
      <c r="EC107" s="124"/>
      <c r="ED107" s="124"/>
      <c r="EE107" s="124"/>
      <c r="EF107" s="124"/>
      <c r="EG107" s="124"/>
      <c r="EH107" s="124"/>
      <c r="EI107" s="124"/>
      <c r="EJ107" s="124"/>
      <c r="EK107" s="124"/>
      <c r="EL107" s="124"/>
      <c r="EM107" s="124"/>
      <c r="EN107" s="124"/>
      <c r="EO107" s="124"/>
      <c r="EP107" s="124"/>
      <c r="EQ107" s="124"/>
      <c r="ER107" s="124"/>
      <c r="ES107" s="124"/>
      <c r="ET107" s="124"/>
      <c r="EU107" s="124"/>
      <c r="EV107" s="124"/>
      <c r="EW107" s="124"/>
      <c r="EX107" s="124"/>
      <c r="EY107" s="124"/>
      <c r="EZ107" s="124"/>
      <c r="FA107" s="124"/>
      <c r="FB107" s="124"/>
      <c r="FC107" s="124"/>
      <c r="FD107" s="124"/>
      <c r="FE107" s="124"/>
      <c r="FF107" s="124"/>
      <c r="FG107" s="124"/>
      <c r="FH107" s="124"/>
      <c r="FI107" s="124"/>
      <c r="FJ107" s="124"/>
      <c r="FK107" s="124"/>
      <c r="FL107" s="124"/>
      <c r="FM107" s="124"/>
      <c r="FN107" s="124"/>
      <c r="FO107" s="124"/>
      <c r="FP107" s="124"/>
      <c r="FQ107" s="124"/>
      <c r="FR107" s="124"/>
      <c r="FS107" s="124"/>
      <c r="FT107" s="124"/>
      <c r="FU107" s="124"/>
      <c r="FV107" s="124"/>
      <c r="FW107" s="124"/>
      <c r="FX107" s="124"/>
      <c r="FY107" s="124"/>
      <c r="FZ107" s="124"/>
      <c r="GA107" s="124"/>
      <c r="GB107" s="124"/>
      <c r="GC107" s="124"/>
      <c r="GD107" s="124"/>
      <c r="GE107" s="124"/>
      <c r="GF107" s="124"/>
      <c r="GG107" s="124"/>
      <c r="GH107" s="124"/>
      <c r="GI107" s="124"/>
      <c r="GJ107" s="124"/>
      <c r="GK107" s="124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  <c r="HR107" s="124"/>
      <c r="HS107" s="124"/>
      <c r="HT107" s="124"/>
      <c r="HU107" s="124"/>
      <c r="HV107" s="124"/>
      <c r="HW107" s="124"/>
      <c r="HX107" s="124"/>
      <c r="HY107" s="124"/>
      <c r="HZ107" s="124"/>
      <c r="IA107" s="124"/>
      <c r="IB107" s="124"/>
      <c r="IC107" s="124"/>
      <c r="ID107" s="124"/>
      <c r="IE107" s="124"/>
      <c r="IF107" s="124"/>
      <c r="IG107" s="124"/>
      <c r="IH107" s="124"/>
      <c r="II107" s="124"/>
      <c r="IJ107" s="124"/>
      <c r="IK107" s="124"/>
      <c r="IL107" s="124"/>
      <c r="IM107" s="124"/>
      <c r="IN107" s="124"/>
      <c r="IO107" s="124"/>
    </row>
  </sheetData>
  <autoFilter ref="A3:AA107" xr:uid="{00000000-0009-0000-0000-000005000000}"/>
  <sortState xmlns:xlrd2="http://schemas.microsoft.com/office/spreadsheetml/2017/richdata2" ref="A4:AB138">
    <sortCondition ref="AB4:AB138"/>
  </sortState>
  <mergeCells count="4">
    <mergeCell ref="A2:E2"/>
    <mergeCell ref="G2:I2"/>
    <mergeCell ref="K2:M2"/>
    <mergeCell ref="O2:W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8:I19"/>
  <sheetViews>
    <sheetView showGridLines="0" zoomScale="90" zoomScaleNormal="90" workbookViewId="0">
      <selection activeCell="D15" sqref="D15"/>
    </sheetView>
  </sheetViews>
  <sheetFormatPr baseColWidth="10" defaultRowHeight="15.75" x14ac:dyDescent="0.25"/>
  <cols>
    <col min="1" max="3" width="11.42578125" style="142"/>
    <col min="4" max="4" width="19.5703125" style="142" bestFit="1" customWidth="1"/>
    <col min="5" max="5" width="16.28515625" style="142" customWidth="1"/>
    <col min="6" max="7" width="11.42578125" style="142"/>
    <col min="8" max="8" width="18.7109375" style="142" customWidth="1"/>
    <col min="9" max="9" width="23.28515625" style="142" customWidth="1"/>
    <col min="10" max="16384" width="11.42578125" style="142"/>
  </cols>
  <sheetData>
    <row r="8" spans="4:9" ht="28.5" customHeight="1" x14ac:dyDescent="0.25">
      <c r="D8" s="167" t="s">
        <v>678</v>
      </c>
      <c r="E8" s="167"/>
      <c r="H8" s="168" t="s">
        <v>680</v>
      </c>
      <c r="I8" s="168"/>
    </row>
    <row r="9" spans="4:9" x14ac:dyDescent="0.25">
      <c r="D9" s="143" t="s">
        <v>671</v>
      </c>
      <c r="E9" s="144">
        <f>+'CPD PITS'!M43</f>
        <v>139835.83288799998</v>
      </c>
      <c r="F9" s="144"/>
      <c r="G9" s="144"/>
      <c r="H9" s="143" t="s">
        <v>671</v>
      </c>
      <c r="I9" s="144">
        <f>+'CPD PITS'!P39</f>
        <v>6396.3315448472249</v>
      </c>
    </row>
    <row r="10" spans="4:9" x14ac:dyDescent="0.25">
      <c r="D10" s="143" t="s">
        <v>672</v>
      </c>
      <c r="E10" s="144">
        <f>+'IP PITS'!J107</f>
        <v>446617.41252799996</v>
      </c>
      <c r="F10" s="144"/>
      <c r="G10" s="144"/>
      <c r="H10" s="143" t="s">
        <v>672</v>
      </c>
      <c r="I10" s="144">
        <f>+'IP PITS'!L101</f>
        <v>19208.610406553493</v>
      </c>
    </row>
    <row r="11" spans="4:9" x14ac:dyDescent="0.25">
      <c r="D11" s="143" t="s">
        <v>673</v>
      </c>
      <c r="E11" s="145">
        <f>+'SIND PITS'!G118</f>
        <v>261436.32239999995</v>
      </c>
      <c r="F11" s="144"/>
      <c r="G11" s="144"/>
      <c r="H11" s="143"/>
      <c r="I11" s="145"/>
    </row>
    <row r="12" spans="4:9" x14ac:dyDescent="0.25">
      <c r="D12" s="144"/>
      <c r="E12" s="147">
        <f>+E9+E10+E11</f>
        <v>847889.56781599985</v>
      </c>
      <c r="F12" s="144"/>
      <c r="G12" s="144"/>
      <c r="H12" s="144"/>
      <c r="I12" s="147">
        <f>+I9+I10+I11</f>
        <v>25604.941951400717</v>
      </c>
    </row>
    <row r="13" spans="4:9" x14ac:dyDescent="0.25">
      <c r="F13" s="144"/>
      <c r="G13" s="144"/>
    </row>
    <row r="14" spans="4:9" x14ac:dyDescent="0.25">
      <c r="D14" s="167" t="s">
        <v>679</v>
      </c>
      <c r="E14" s="167"/>
      <c r="F14" s="144"/>
      <c r="G14" s="144"/>
      <c r="H14" s="167" t="s">
        <v>679</v>
      </c>
      <c r="I14" s="167"/>
    </row>
    <row r="15" spans="4:9" x14ac:dyDescent="0.25">
      <c r="D15" s="143" t="s">
        <v>674</v>
      </c>
      <c r="E15" s="144">
        <f>+E12*4%</f>
        <v>33915.582712639996</v>
      </c>
      <c r="F15" s="144"/>
      <c r="G15" s="144"/>
      <c r="H15" s="143" t="s">
        <v>674</v>
      </c>
      <c r="I15" s="144">
        <f>+I12*4%</f>
        <v>1024.1976780560287</v>
      </c>
    </row>
    <row r="16" spans="4:9" x14ac:dyDescent="0.25">
      <c r="D16" s="143" t="s">
        <v>675</v>
      </c>
      <c r="E16" s="144">
        <f>+E12*12%</f>
        <v>101746.74813791997</v>
      </c>
      <c r="F16" s="144"/>
      <c r="G16" s="144"/>
      <c r="H16" s="143" t="s">
        <v>675</v>
      </c>
      <c r="I16" s="144">
        <f>+I12*12%</f>
        <v>3072.593034168086</v>
      </c>
    </row>
    <row r="17" spans="4:9" x14ac:dyDescent="0.25">
      <c r="D17" s="143" t="s">
        <v>676</v>
      </c>
      <c r="E17" s="144">
        <f>+E12*11%</f>
        <v>93267.85245975999</v>
      </c>
      <c r="H17" s="143" t="s">
        <v>676</v>
      </c>
      <c r="I17" s="144">
        <f>+I12*11%</f>
        <v>2816.5436146540787</v>
      </c>
    </row>
    <row r="18" spans="4:9" x14ac:dyDescent="0.25">
      <c r="D18" s="143" t="s">
        <v>677</v>
      </c>
      <c r="E18" s="144">
        <f>+E12*73%</f>
        <v>618959.38450567983</v>
      </c>
      <c r="H18" s="143" t="s">
        <v>677</v>
      </c>
      <c r="I18" s="144">
        <f>+I12*73%</f>
        <v>18691.607624522523</v>
      </c>
    </row>
    <row r="19" spans="4:9" x14ac:dyDescent="0.25">
      <c r="E19" s="146">
        <f>SUM(E15:E18)</f>
        <v>847889.56781599973</v>
      </c>
      <c r="I19" s="146">
        <f>SUM(I15:I18)</f>
        <v>25604.941951400717</v>
      </c>
    </row>
  </sheetData>
  <mergeCells count="4">
    <mergeCell ref="D8:E8"/>
    <mergeCell ref="D14:E14"/>
    <mergeCell ref="H8:I8"/>
    <mergeCell ref="H14:I14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3" customWidth="1"/>
    <col min="2" max="2" width="29.140625" style="3" customWidth="1"/>
    <col min="3" max="3" width="57" style="3" customWidth="1"/>
    <col min="4" max="5" width="27.5703125" style="3" customWidth="1"/>
    <col min="6" max="6" width="23.85546875" style="3" customWidth="1"/>
    <col min="7" max="7" width="20.5703125" style="3" customWidth="1"/>
    <col min="8" max="16384" width="11.42578125" style="3"/>
  </cols>
  <sheetData>
    <row r="5" spans="1:7" ht="39.75" customHeight="1" thickBot="1" x14ac:dyDescent="0.3">
      <c r="A5" s="1" t="s">
        <v>1</v>
      </c>
      <c r="B5" s="1" t="s">
        <v>2</v>
      </c>
      <c r="C5" s="1" t="s">
        <v>3</v>
      </c>
      <c r="D5" s="1" t="s">
        <v>118</v>
      </c>
      <c r="E5" s="1" t="s">
        <v>119</v>
      </c>
      <c r="F5" s="1" t="s">
        <v>120</v>
      </c>
      <c r="G5" s="1" t="s">
        <v>121</v>
      </c>
    </row>
    <row r="6" spans="1:7" ht="15" customHeight="1" thickTop="1" x14ac:dyDescent="0.25">
      <c r="A6" s="4"/>
      <c r="B6" s="4"/>
      <c r="C6" s="2" t="s">
        <v>122</v>
      </c>
      <c r="D6" s="2">
        <v>2847.47</v>
      </c>
      <c r="E6" s="2"/>
      <c r="F6" s="2">
        <v>152.53</v>
      </c>
      <c r="G6" s="2">
        <f>+F6+D6+E6</f>
        <v>3000</v>
      </c>
    </row>
    <row r="7" spans="1:7" x14ac:dyDescent="0.25">
      <c r="A7" s="2" t="s">
        <v>59</v>
      </c>
      <c r="B7" s="2" t="s">
        <v>57</v>
      </c>
      <c r="C7" s="2" t="s">
        <v>60</v>
      </c>
      <c r="D7" s="2">
        <v>3215.903308547945</v>
      </c>
      <c r="E7" s="2">
        <v>0</v>
      </c>
      <c r="F7" s="2">
        <v>234.1</v>
      </c>
      <c r="G7" s="2">
        <f>+F7+D7+E7</f>
        <v>3450.0033085479449</v>
      </c>
    </row>
    <row r="8" spans="1:7" x14ac:dyDescent="0.25">
      <c r="A8" s="2" t="s">
        <v>17</v>
      </c>
      <c r="B8" s="2" t="s">
        <v>5</v>
      </c>
      <c r="C8" s="2" t="s">
        <v>18</v>
      </c>
      <c r="D8" s="2">
        <v>2105.5100000000002</v>
      </c>
      <c r="E8" s="2">
        <v>1394.18</v>
      </c>
      <c r="F8" s="2">
        <v>1000.31</v>
      </c>
      <c r="G8" s="2">
        <f>+F8+D8+E8</f>
        <v>4500</v>
      </c>
    </row>
    <row r="9" spans="1:7" x14ac:dyDescent="0.25">
      <c r="A9" s="2" t="s">
        <v>27</v>
      </c>
      <c r="B9" s="2" t="s">
        <v>5</v>
      </c>
      <c r="C9" s="2" t="s">
        <v>28</v>
      </c>
      <c r="D9" s="2">
        <v>3109.74</v>
      </c>
      <c r="E9" s="2">
        <v>1268.6500000000001</v>
      </c>
      <c r="F9" s="2">
        <v>1121.5999999999999</v>
      </c>
      <c r="G9" s="2">
        <f t="shared" ref="G9:G54" si="0">+F9+D9+E9</f>
        <v>5499.99</v>
      </c>
    </row>
    <row r="10" spans="1:7" x14ac:dyDescent="0.25">
      <c r="A10" s="2" t="s">
        <v>21</v>
      </c>
      <c r="B10" s="2" t="s">
        <v>5</v>
      </c>
      <c r="C10" s="2" t="s">
        <v>22</v>
      </c>
      <c r="D10" s="2">
        <v>1882.39</v>
      </c>
      <c r="E10" s="2">
        <v>1617.3</v>
      </c>
      <c r="F10" s="2">
        <v>1000.31</v>
      </c>
      <c r="G10" s="2">
        <f t="shared" si="0"/>
        <v>4500</v>
      </c>
    </row>
    <row r="11" spans="1:7" x14ac:dyDescent="0.25">
      <c r="A11" s="2" t="s">
        <v>41</v>
      </c>
      <c r="B11" s="2" t="s">
        <v>5</v>
      </c>
      <c r="C11" s="2" t="s">
        <v>42</v>
      </c>
      <c r="D11" s="2">
        <v>2165.48</v>
      </c>
      <c r="E11" s="2">
        <v>1334.21</v>
      </c>
      <c r="F11" s="2">
        <v>725.31</v>
      </c>
      <c r="G11" s="2">
        <f t="shared" si="0"/>
        <v>4225</v>
      </c>
    </row>
    <row r="12" spans="1:7" x14ac:dyDescent="0.25">
      <c r="A12" s="2" t="s">
        <v>23</v>
      </c>
      <c r="B12" s="2" t="s">
        <v>5</v>
      </c>
      <c r="C12" s="2" t="s">
        <v>24</v>
      </c>
      <c r="D12" s="2">
        <v>3156.22</v>
      </c>
      <c r="E12" s="2">
        <v>934.91</v>
      </c>
      <c r="F12" s="2">
        <v>907.87</v>
      </c>
      <c r="G12" s="2">
        <f t="shared" si="0"/>
        <v>4999</v>
      </c>
    </row>
    <row r="13" spans="1:7" x14ac:dyDescent="0.25">
      <c r="A13" s="2" t="s">
        <v>73</v>
      </c>
      <c r="B13" s="2" t="s">
        <v>57</v>
      </c>
      <c r="C13" s="2" t="s">
        <v>74</v>
      </c>
      <c r="D13" s="2">
        <v>3947.3665304931505</v>
      </c>
      <c r="E13" s="2">
        <v>0</v>
      </c>
      <c r="F13" s="2">
        <v>552.72</v>
      </c>
      <c r="G13" s="2">
        <f t="shared" si="0"/>
        <v>4500.0865304931503</v>
      </c>
    </row>
    <row r="14" spans="1:7" x14ac:dyDescent="0.25">
      <c r="A14" s="2" t="s">
        <v>107</v>
      </c>
      <c r="B14" s="2" t="s">
        <v>57</v>
      </c>
      <c r="C14" s="2" t="s">
        <v>108</v>
      </c>
      <c r="D14" s="2">
        <v>2143.6576129506129</v>
      </c>
      <c r="E14" s="2">
        <v>1403.1213651315788</v>
      </c>
      <c r="F14" s="2">
        <v>453.22102191780868</v>
      </c>
      <c r="G14" s="2">
        <f t="shared" si="0"/>
        <v>4000.0000000000005</v>
      </c>
    </row>
    <row r="15" spans="1:7" x14ac:dyDescent="0.25">
      <c r="A15" s="2" t="s">
        <v>77</v>
      </c>
      <c r="B15" s="2" t="s">
        <v>57</v>
      </c>
      <c r="C15" s="2" t="s">
        <v>78</v>
      </c>
      <c r="D15" s="2">
        <v>2847.1469578630135</v>
      </c>
      <c r="E15" s="2">
        <v>0</v>
      </c>
      <c r="F15" s="2">
        <v>152.9</v>
      </c>
      <c r="G15" s="2">
        <f t="shared" si="0"/>
        <v>3000.0469578630136</v>
      </c>
    </row>
    <row r="16" spans="1:7" x14ac:dyDescent="0.25">
      <c r="A16" s="2" t="s">
        <v>39</v>
      </c>
      <c r="B16" s="2" t="s">
        <v>5</v>
      </c>
      <c r="C16" s="2" t="s">
        <v>40</v>
      </c>
      <c r="D16" s="2">
        <v>3499.69</v>
      </c>
      <c r="E16" s="2"/>
      <c r="F16" s="2">
        <v>1000.31</v>
      </c>
      <c r="G16" s="2">
        <f t="shared" si="0"/>
        <v>4500</v>
      </c>
    </row>
    <row r="17" spans="1:7" x14ac:dyDescent="0.25">
      <c r="A17" s="2" t="s">
        <v>33</v>
      </c>
      <c r="B17" s="2" t="s">
        <v>5</v>
      </c>
      <c r="C17" s="2" t="s">
        <v>34</v>
      </c>
      <c r="D17" s="2">
        <v>1791.88</v>
      </c>
      <c r="E17" s="2">
        <v>1707.81</v>
      </c>
      <c r="F17" s="2">
        <v>1000.31</v>
      </c>
      <c r="G17" s="2">
        <f t="shared" si="0"/>
        <v>4500</v>
      </c>
    </row>
    <row r="18" spans="1:7" x14ac:dyDescent="0.25">
      <c r="A18" s="2" t="s">
        <v>83</v>
      </c>
      <c r="B18" s="2" t="s">
        <v>57</v>
      </c>
      <c r="C18" s="2" t="s">
        <v>84</v>
      </c>
      <c r="D18" s="2">
        <v>3946.5112222739726</v>
      </c>
      <c r="E18" s="2">
        <v>0</v>
      </c>
      <c r="F18" s="2">
        <v>553.57000000000005</v>
      </c>
      <c r="G18" s="2">
        <f t="shared" si="0"/>
        <v>4500.0812222739723</v>
      </c>
    </row>
    <row r="19" spans="1:7" x14ac:dyDescent="0.25">
      <c r="A19" s="2" t="s">
        <v>65</v>
      </c>
      <c r="B19" s="2" t="s">
        <v>57</v>
      </c>
      <c r="C19" s="2" t="s">
        <v>66</v>
      </c>
      <c r="D19" s="2">
        <v>3947.2809996712331</v>
      </c>
      <c r="E19" s="2">
        <v>0</v>
      </c>
      <c r="F19" s="2">
        <v>552.72</v>
      </c>
      <c r="G19" s="2">
        <f t="shared" si="0"/>
        <v>4500.0009996712333</v>
      </c>
    </row>
    <row r="20" spans="1:7" x14ac:dyDescent="0.25">
      <c r="A20" s="2" t="s">
        <v>7</v>
      </c>
      <c r="B20" s="2" t="s">
        <v>5</v>
      </c>
      <c r="C20" s="2" t="s">
        <v>8</v>
      </c>
      <c r="D20" s="2">
        <v>2932.8376972050487</v>
      </c>
      <c r="E20" s="2">
        <v>0</v>
      </c>
      <c r="F20" s="2">
        <v>1567.16</v>
      </c>
      <c r="G20" s="2">
        <f t="shared" si="0"/>
        <v>4499.997697205049</v>
      </c>
    </row>
    <row r="21" spans="1:7" x14ac:dyDescent="0.25">
      <c r="A21" s="2" t="s">
        <v>19</v>
      </c>
      <c r="B21" s="2" t="s">
        <v>5</v>
      </c>
      <c r="C21" s="2" t="s">
        <v>20</v>
      </c>
      <c r="D21" s="2">
        <v>4857.84</v>
      </c>
      <c r="E21" s="2"/>
      <c r="F21" s="2">
        <v>1392.16</v>
      </c>
      <c r="G21" s="2">
        <f t="shared" si="0"/>
        <v>6250</v>
      </c>
    </row>
    <row r="22" spans="1:7" x14ac:dyDescent="0.25">
      <c r="A22" s="2" t="s">
        <v>63</v>
      </c>
      <c r="B22" s="2" t="s">
        <v>57</v>
      </c>
      <c r="C22" s="2" t="s">
        <v>64</v>
      </c>
      <c r="D22" s="2">
        <v>3546.8093890410964</v>
      </c>
      <c r="E22" s="2">
        <v>0</v>
      </c>
      <c r="F22" s="2">
        <v>453.19</v>
      </c>
      <c r="G22" s="2">
        <f t="shared" si="0"/>
        <v>3999.9993890410965</v>
      </c>
    </row>
    <row r="23" spans="1:7" x14ac:dyDescent="0.25">
      <c r="A23" s="2" t="s">
        <v>69</v>
      </c>
      <c r="B23" s="2" t="s">
        <v>57</v>
      </c>
      <c r="C23" s="2" t="s">
        <v>70</v>
      </c>
      <c r="D23" s="2">
        <v>6823.3498032260286</v>
      </c>
      <c r="E23" s="2">
        <v>0</v>
      </c>
      <c r="F23" s="2">
        <v>1451.81</v>
      </c>
      <c r="G23" s="2">
        <f t="shared" si="0"/>
        <v>8275.1598032260281</v>
      </c>
    </row>
    <row r="24" spans="1:7" x14ac:dyDescent="0.25">
      <c r="A24" s="2" t="s">
        <v>85</v>
      </c>
      <c r="B24" s="2" t="s">
        <v>57</v>
      </c>
      <c r="C24" s="2" t="s">
        <v>86</v>
      </c>
      <c r="D24" s="2">
        <v>3747.3421633424659</v>
      </c>
      <c r="F24" s="2">
        <v>2252.66</v>
      </c>
      <c r="G24" s="2">
        <f t="shared" si="0"/>
        <v>6000.0021633424658</v>
      </c>
    </row>
    <row r="25" spans="1:7" x14ac:dyDescent="0.25">
      <c r="A25" s="2" t="s">
        <v>9</v>
      </c>
      <c r="B25" s="2" t="s">
        <v>5</v>
      </c>
      <c r="C25" s="2" t="s">
        <v>10</v>
      </c>
      <c r="D25" s="2">
        <v>2770.6069535821916</v>
      </c>
      <c r="E25" s="2">
        <v>0</v>
      </c>
      <c r="F25" s="2">
        <v>1479.43</v>
      </c>
      <c r="G25" s="2">
        <f t="shared" si="0"/>
        <v>4250.0369535821919</v>
      </c>
    </row>
    <row r="26" spans="1:7" x14ac:dyDescent="0.25">
      <c r="A26" s="2" t="s">
        <v>31</v>
      </c>
      <c r="B26" s="2" t="s">
        <v>5</v>
      </c>
      <c r="C26" s="2" t="s">
        <v>32</v>
      </c>
      <c r="D26" s="2">
        <v>4857.84</v>
      </c>
      <c r="E26" s="2"/>
      <c r="F26" s="2">
        <v>1392.16</v>
      </c>
      <c r="G26" s="2">
        <f t="shared" si="0"/>
        <v>6250</v>
      </c>
    </row>
    <row r="27" spans="1:7" x14ac:dyDescent="0.25">
      <c r="A27" s="2" t="s">
        <v>71</v>
      </c>
      <c r="B27" s="2" t="s">
        <v>57</v>
      </c>
      <c r="C27" s="2" t="s">
        <v>72</v>
      </c>
      <c r="D27" s="2">
        <v>3946.5112222739726</v>
      </c>
      <c r="E27" s="2">
        <v>0</v>
      </c>
      <c r="F27" s="2">
        <v>553.57000000000005</v>
      </c>
      <c r="G27" s="2">
        <f t="shared" si="0"/>
        <v>4500.0812222739723</v>
      </c>
    </row>
    <row r="28" spans="1:7" x14ac:dyDescent="0.25">
      <c r="A28" s="2" t="s">
        <v>99</v>
      </c>
      <c r="B28" s="2" t="s">
        <v>57</v>
      </c>
      <c r="C28" s="2" t="s">
        <v>100</v>
      </c>
      <c r="D28" s="2">
        <v>2847.5373688219179</v>
      </c>
      <c r="E28" s="2">
        <v>0</v>
      </c>
      <c r="F28" s="2">
        <v>152.46</v>
      </c>
      <c r="G28" s="2">
        <f t="shared" si="0"/>
        <v>2999.9973688219179</v>
      </c>
    </row>
    <row r="29" spans="1:7" x14ac:dyDescent="0.25">
      <c r="A29" s="2" t="s">
        <v>29</v>
      </c>
      <c r="B29" s="2" t="s">
        <v>5</v>
      </c>
      <c r="C29" s="2" t="s">
        <v>30</v>
      </c>
      <c r="D29" s="2">
        <v>5720.15</v>
      </c>
      <c r="E29" s="2"/>
      <c r="F29" s="2">
        <v>3054.85</v>
      </c>
      <c r="G29" s="2">
        <f t="shared" si="0"/>
        <v>8775</v>
      </c>
    </row>
    <row r="30" spans="1:7" x14ac:dyDescent="0.25">
      <c r="A30" s="2" t="s">
        <v>87</v>
      </c>
      <c r="B30" s="2" t="s">
        <v>57</v>
      </c>
      <c r="C30" s="2" t="s">
        <v>88</v>
      </c>
      <c r="D30" s="2">
        <v>3546.5813068493148</v>
      </c>
      <c r="E30" s="2"/>
      <c r="F30" s="2">
        <v>453.42</v>
      </c>
      <c r="G30" s="2">
        <f t="shared" si="0"/>
        <v>4000.0013068493149</v>
      </c>
    </row>
    <row r="31" spans="1:7" x14ac:dyDescent="0.25">
      <c r="A31" s="2" t="s">
        <v>25</v>
      </c>
      <c r="B31" s="2" t="s">
        <v>5</v>
      </c>
      <c r="C31" s="2" t="s">
        <v>26</v>
      </c>
      <c r="D31" s="2">
        <v>4469.1400000000003</v>
      </c>
      <c r="E31" s="2"/>
      <c r="F31" s="2">
        <v>530.86</v>
      </c>
      <c r="G31" s="2">
        <f t="shared" si="0"/>
        <v>5000</v>
      </c>
    </row>
    <row r="32" spans="1:7" x14ac:dyDescent="0.25">
      <c r="A32" s="2" t="s">
        <v>115</v>
      </c>
      <c r="B32" s="2" t="s">
        <v>57</v>
      </c>
      <c r="C32" s="2" t="s">
        <v>116</v>
      </c>
      <c r="D32" s="2">
        <v>2612.241922161139</v>
      </c>
      <c r="E32" s="2">
        <v>934.53705592105268</v>
      </c>
      <c r="F32" s="2">
        <v>453.22102191780868</v>
      </c>
      <c r="G32" s="2">
        <f t="shared" si="0"/>
        <v>4000.0000000000005</v>
      </c>
    </row>
    <row r="33" spans="1:7" x14ac:dyDescent="0.25">
      <c r="A33" s="2"/>
      <c r="B33" s="2"/>
      <c r="C33" s="2" t="s">
        <v>123</v>
      </c>
      <c r="D33" s="2">
        <v>3546.7789780821922</v>
      </c>
      <c r="F33" s="2">
        <v>453.22</v>
      </c>
      <c r="G33" s="2">
        <f t="shared" si="0"/>
        <v>3999.9989780821925</v>
      </c>
    </row>
    <row r="34" spans="1:7" x14ac:dyDescent="0.25">
      <c r="A34" s="2" t="s">
        <v>37</v>
      </c>
      <c r="B34" s="2" t="s">
        <v>5</v>
      </c>
      <c r="C34" s="2" t="s">
        <v>38</v>
      </c>
      <c r="D34" s="2">
        <v>4357.49</v>
      </c>
      <c r="E34" s="2">
        <v>354.58</v>
      </c>
      <c r="F34" s="2">
        <v>1537.93</v>
      </c>
      <c r="G34" s="2">
        <f t="shared" si="0"/>
        <v>6250</v>
      </c>
    </row>
    <row r="35" spans="1:7" x14ac:dyDescent="0.25">
      <c r="A35" s="2" t="s">
        <v>95</v>
      </c>
      <c r="B35" s="2" t="s">
        <v>57</v>
      </c>
      <c r="C35" s="2" t="s">
        <v>96</v>
      </c>
      <c r="D35" s="2">
        <v>1475.8895890093727</v>
      </c>
      <c r="E35" s="2">
        <v>1371.5794578947368</v>
      </c>
      <c r="F35" s="2">
        <v>152.53</v>
      </c>
      <c r="G35" s="2">
        <f t="shared" si="0"/>
        <v>2999.9990469041095</v>
      </c>
    </row>
    <row r="36" spans="1:7" x14ac:dyDescent="0.25">
      <c r="A36" s="2" t="s">
        <v>75</v>
      </c>
      <c r="B36" s="2" t="s">
        <v>57</v>
      </c>
      <c r="C36" s="2" t="s">
        <v>76</v>
      </c>
      <c r="D36" s="2">
        <v>3546.1251424657539</v>
      </c>
      <c r="E36" s="2">
        <v>0</v>
      </c>
      <c r="F36" s="2">
        <v>453.95</v>
      </c>
      <c r="G36" s="2">
        <f t="shared" si="0"/>
        <v>4000.0751424657537</v>
      </c>
    </row>
    <row r="37" spans="1:7" x14ac:dyDescent="0.25">
      <c r="A37" s="2" t="s">
        <v>15</v>
      </c>
      <c r="B37" s="2" t="s">
        <v>5</v>
      </c>
      <c r="C37" s="2" t="s">
        <v>16</v>
      </c>
      <c r="D37" s="2">
        <v>4857.84</v>
      </c>
      <c r="E37" s="2"/>
      <c r="F37" s="2">
        <v>1392.16</v>
      </c>
      <c r="G37" s="2">
        <f t="shared" si="0"/>
        <v>6250</v>
      </c>
    </row>
    <row r="38" spans="1:7" x14ac:dyDescent="0.25">
      <c r="A38" s="2" t="s">
        <v>43</v>
      </c>
      <c r="B38" s="2" t="s">
        <v>5</v>
      </c>
      <c r="C38" s="2" t="s">
        <v>44</v>
      </c>
      <c r="D38" s="2">
        <v>5433.67</v>
      </c>
      <c r="E38" s="2"/>
      <c r="F38" s="2">
        <v>2566.33</v>
      </c>
      <c r="G38" s="2">
        <f t="shared" si="0"/>
        <v>8000</v>
      </c>
    </row>
    <row r="39" spans="1:7" x14ac:dyDescent="0.25">
      <c r="A39" s="2" t="s">
        <v>81</v>
      </c>
      <c r="B39" s="2" t="s">
        <v>57</v>
      </c>
      <c r="C39" s="2" t="s">
        <v>82</v>
      </c>
      <c r="D39" s="2">
        <v>3546.1251424657539</v>
      </c>
      <c r="E39" s="2">
        <v>0</v>
      </c>
      <c r="F39" s="2">
        <v>453.95</v>
      </c>
      <c r="G39" s="2">
        <f t="shared" si="0"/>
        <v>4000.0751424657537</v>
      </c>
    </row>
    <row r="40" spans="1:7" x14ac:dyDescent="0.25">
      <c r="A40" s="2" t="s">
        <v>91</v>
      </c>
      <c r="B40" s="2" t="s">
        <v>57</v>
      </c>
      <c r="C40" s="2" t="s">
        <v>92</v>
      </c>
      <c r="D40" s="2"/>
      <c r="E40" s="2"/>
      <c r="F40" s="2"/>
      <c r="G40" s="2">
        <f t="shared" si="0"/>
        <v>0</v>
      </c>
    </row>
    <row r="41" spans="1:7" x14ac:dyDescent="0.25">
      <c r="A41" s="2" t="s">
        <v>79</v>
      </c>
      <c r="B41" s="2" t="s">
        <v>57</v>
      </c>
      <c r="C41" s="2" t="s">
        <v>80</v>
      </c>
      <c r="D41" s="2">
        <v>2278.9976136849314</v>
      </c>
      <c r="E41" s="2">
        <v>0</v>
      </c>
      <c r="F41" s="2">
        <v>31.04</v>
      </c>
      <c r="G41" s="2">
        <f t="shared" si="0"/>
        <v>2310.0376136849313</v>
      </c>
    </row>
    <row r="42" spans="1:7" x14ac:dyDescent="0.25">
      <c r="A42" s="2" t="s">
        <v>35</v>
      </c>
      <c r="B42" s="2" t="s">
        <v>5</v>
      </c>
      <c r="C42" s="2" t="s">
        <v>36</v>
      </c>
      <c r="D42" s="2">
        <v>1578.82</v>
      </c>
      <c r="E42" s="2">
        <v>1920.87</v>
      </c>
      <c r="F42" s="2">
        <v>1000.31</v>
      </c>
      <c r="G42" s="2">
        <f t="shared" si="0"/>
        <v>4500</v>
      </c>
    </row>
    <row r="43" spans="1:7" x14ac:dyDescent="0.25">
      <c r="A43" s="2" t="s">
        <v>11</v>
      </c>
      <c r="B43" s="2" t="s">
        <v>5</v>
      </c>
      <c r="C43" s="2" t="s">
        <v>12</v>
      </c>
      <c r="D43" s="2">
        <v>2902.3600571780821</v>
      </c>
      <c r="E43" s="2">
        <v>0</v>
      </c>
      <c r="F43" s="2">
        <v>1597.64</v>
      </c>
      <c r="G43" s="2">
        <f t="shared" si="0"/>
        <v>4500.000057178082</v>
      </c>
    </row>
    <row r="44" spans="1:7" x14ac:dyDescent="0.25">
      <c r="A44" s="2" t="s">
        <v>111</v>
      </c>
      <c r="B44" s="2" t="s">
        <v>57</v>
      </c>
      <c r="C44" s="2" t="s">
        <v>112</v>
      </c>
      <c r="D44" s="2"/>
      <c r="E44" s="2">
        <v>1414.95</v>
      </c>
      <c r="F44" s="2">
        <v>453.22102191780778</v>
      </c>
      <c r="G44" s="2">
        <f t="shared" si="0"/>
        <v>1868.1710219178078</v>
      </c>
    </row>
    <row r="45" spans="1:7" x14ac:dyDescent="0.25">
      <c r="A45" s="2" t="s">
        <v>93</v>
      </c>
      <c r="B45" s="2" t="s">
        <v>57</v>
      </c>
      <c r="C45" s="2" t="s">
        <v>94</v>
      </c>
      <c r="D45" s="2"/>
      <c r="E45" s="2"/>
      <c r="F45" s="2"/>
      <c r="G45" s="2">
        <f t="shared" si="0"/>
        <v>0</v>
      </c>
    </row>
    <row r="46" spans="1:7" x14ac:dyDescent="0.25">
      <c r="A46" s="2" t="s">
        <v>113</v>
      </c>
      <c r="B46" s="2" t="s">
        <v>57</v>
      </c>
      <c r="C46" s="2" t="s">
        <v>114</v>
      </c>
      <c r="D46" s="2">
        <v>3039.1080734769284</v>
      </c>
      <c r="E46" s="2">
        <v>507.67090460526316</v>
      </c>
      <c r="F46" s="2">
        <v>453.22102191780868</v>
      </c>
      <c r="G46" s="2">
        <f t="shared" si="0"/>
        <v>4000.0000000000005</v>
      </c>
    </row>
    <row r="47" spans="1:7" x14ac:dyDescent="0.25">
      <c r="A47" s="2" t="s">
        <v>61</v>
      </c>
      <c r="B47" s="2" t="s">
        <v>57</v>
      </c>
      <c r="C47" s="2" t="s">
        <v>62</v>
      </c>
      <c r="D47" s="2">
        <v>2847.4885674520542</v>
      </c>
      <c r="E47" s="2">
        <v>0</v>
      </c>
      <c r="F47" s="2">
        <v>152.51</v>
      </c>
      <c r="G47" s="2">
        <f t="shared" si="0"/>
        <v>2999.998567452054</v>
      </c>
    </row>
    <row r="48" spans="1:7" x14ac:dyDescent="0.25">
      <c r="A48" s="2" t="s">
        <v>4</v>
      </c>
      <c r="B48" s="2" t="s">
        <v>5</v>
      </c>
      <c r="C48" s="2" t="s">
        <v>6</v>
      </c>
      <c r="D48" s="2">
        <v>3274.429274783749</v>
      </c>
      <c r="E48" s="2">
        <v>0</v>
      </c>
      <c r="F48" s="2">
        <v>1725.57</v>
      </c>
      <c r="G48" s="2">
        <f t="shared" si="0"/>
        <v>4999.9992747837487</v>
      </c>
    </row>
    <row r="49" spans="1:7" x14ac:dyDescent="0.25">
      <c r="A49" s="2" t="s">
        <v>109</v>
      </c>
      <c r="B49" s="2" t="s">
        <v>57</v>
      </c>
      <c r="C49" s="2" t="s">
        <v>110</v>
      </c>
      <c r="D49" s="2">
        <v>5392.9098316146356</v>
      </c>
      <c r="E49" s="2">
        <v>845.1410032894737</v>
      </c>
      <c r="F49" s="2">
        <v>1261.9491650958907</v>
      </c>
      <c r="G49" s="2">
        <f t="shared" si="0"/>
        <v>7500</v>
      </c>
    </row>
    <row r="50" spans="1:7" x14ac:dyDescent="0.25">
      <c r="A50" s="2" t="s">
        <v>13</v>
      </c>
      <c r="B50" s="2" t="s">
        <v>5</v>
      </c>
      <c r="C50" s="2" t="s">
        <v>14</v>
      </c>
      <c r="D50" s="2">
        <v>3179.5199886849314</v>
      </c>
      <c r="E50" s="2">
        <v>0</v>
      </c>
      <c r="F50" s="2">
        <v>1820.48</v>
      </c>
      <c r="G50" s="2">
        <f t="shared" si="0"/>
        <v>4999.9999886849309</v>
      </c>
    </row>
    <row r="51" spans="1:7" x14ac:dyDescent="0.25">
      <c r="A51" s="2" t="s">
        <v>67</v>
      </c>
      <c r="B51" s="2" t="s">
        <v>57</v>
      </c>
      <c r="C51" s="2" t="s">
        <v>68</v>
      </c>
      <c r="D51" s="2">
        <v>3546.2771972602745</v>
      </c>
      <c r="E51" s="2">
        <v>0</v>
      </c>
      <c r="F51" s="2">
        <v>453.8</v>
      </c>
      <c r="G51" s="2">
        <f t="shared" si="0"/>
        <v>4000.0771972602747</v>
      </c>
    </row>
    <row r="52" spans="1:7" x14ac:dyDescent="0.25">
      <c r="A52" s="2" t="s">
        <v>56</v>
      </c>
      <c r="B52" s="2" t="s">
        <v>57</v>
      </c>
      <c r="C52" s="2" t="s">
        <v>58</v>
      </c>
      <c r="D52" s="2">
        <v>3258.9921784109583</v>
      </c>
      <c r="E52" s="2">
        <v>0</v>
      </c>
      <c r="F52" s="2">
        <v>241.01</v>
      </c>
      <c r="G52" s="2">
        <f t="shared" si="0"/>
        <v>3500.0021784109585</v>
      </c>
    </row>
    <row r="53" spans="1:7" x14ac:dyDescent="0.25">
      <c r="A53" s="2" t="s">
        <v>97</v>
      </c>
      <c r="B53" s="2" t="s">
        <v>57</v>
      </c>
      <c r="C53" s="2" t="s">
        <v>98</v>
      </c>
      <c r="D53" s="2">
        <v>3546.7789780821922</v>
      </c>
      <c r="E53" s="2"/>
      <c r="F53" s="2">
        <v>453.22</v>
      </c>
      <c r="G53" s="2">
        <f t="shared" si="0"/>
        <v>3999.9989780821925</v>
      </c>
    </row>
    <row r="54" spans="1:7" x14ac:dyDescent="0.25">
      <c r="A54" s="2" t="s">
        <v>89</v>
      </c>
      <c r="B54" s="2" t="s">
        <v>57</v>
      </c>
      <c r="C54" s="2" t="s">
        <v>90</v>
      </c>
      <c r="D54" s="2"/>
      <c r="E54" s="2"/>
      <c r="F54" s="2"/>
      <c r="G54" s="2">
        <f t="shared" si="0"/>
        <v>0</v>
      </c>
    </row>
    <row r="56" spans="1:7" x14ac:dyDescent="0.25">
      <c r="D56" s="5">
        <f>SUM(D7:D55)</f>
        <v>152047.16507095491</v>
      </c>
      <c r="E56" s="5">
        <f>SUM(E7:E55)</f>
        <v>17009.509786842107</v>
      </c>
      <c r="F56" s="5">
        <f>SUM(F7:F55)</f>
        <v>41096.243252767134</v>
      </c>
      <c r="G56" s="5">
        <f>SUM(G7:G55)</f>
        <v>210152.91811056412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6" customWidth="1"/>
    <col min="2" max="2" width="14.42578125" style="9" customWidth="1"/>
    <col min="3" max="3" width="11.42578125" style="9"/>
    <col min="4" max="16384" width="11.42578125" style="6"/>
  </cols>
  <sheetData>
    <row r="1" spans="1:5" x14ac:dyDescent="0.25">
      <c r="A1" s="10" t="s">
        <v>125</v>
      </c>
      <c r="B1" s="10"/>
      <c r="C1" s="10"/>
    </row>
    <row r="2" spans="1:5" x14ac:dyDescent="0.25">
      <c r="A2" s="7" t="s">
        <v>126</v>
      </c>
      <c r="B2" s="8"/>
      <c r="C2" s="8"/>
    </row>
    <row r="3" spans="1:5" x14ac:dyDescent="0.25">
      <c r="A3" s="13" t="s">
        <v>8</v>
      </c>
      <c r="B3" s="9">
        <v>9000</v>
      </c>
    </row>
    <row r="4" spans="1:5" x14ac:dyDescent="0.25">
      <c r="A4" s="13" t="s">
        <v>6</v>
      </c>
      <c r="B4" s="9">
        <v>10000</v>
      </c>
    </row>
    <row r="5" spans="1:5" x14ac:dyDescent="0.25">
      <c r="A5" s="13" t="s">
        <v>10</v>
      </c>
      <c r="B5" s="9">
        <v>8500</v>
      </c>
    </row>
    <row r="6" spans="1:5" x14ac:dyDescent="0.25">
      <c r="A6" s="13" t="s">
        <v>12</v>
      </c>
      <c r="B6" s="9">
        <v>9000</v>
      </c>
    </row>
    <row r="7" spans="1:5" x14ac:dyDescent="0.25">
      <c r="A7" s="13" t="s">
        <v>127</v>
      </c>
      <c r="B7" s="9">
        <v>11150</v>
      </c>
    </row>
    <row r="8" spans="1:5" x14ac:dyDescent="0.25">
      <c r="A8" s="13" t="s">
        <v>30</v>
      </c>
      <c r="B8" s="9">
        <v>22000</v>
      </c>
    </row>
    <row r="9" spans="1:5" x14ac:dyDescent="0.25">
      <c r="A9" s="13" t="s">
        <v>134</v>
      </c>
      <c r="B9" s="9">
        <v>22000</v>
      </c>
    </row>
    <row r="10" spans="1:5" x14ac:dyDescent="0.25">
      <c r="A10" s="13" t="s">
        <v>133</v>
      </c>
      <c r="B10" s="9">
        <v>10250</v>
      </c>
    </row>
    <row r="11" spans="1:5" x14ac:dyDescent="0.25">
      <c r="A11" s="13" t="s">
        <v>18</v>
      </c>
      <c r="B11" s="9">
        <v>10150</v>
      </c>
      <c r="E11" s="18"/>
    </row>
    <row r="12" spans="1:5" x14ac:dyDescent="0.25">
      <c r="A12" s="13" t="s">
        <v>16</v>
      </c>
      <c r="B12" s="9">
        <v>15000</v>
      </c>
    </row>
    <row r="13" spans="1:5" x14ac:dyDescent="0.25">
      <c r="A13" s="13" t="s">
        <v>22</v>
      </c>
      <c r="B13" s="9">
        <v>10150</v>
      </c>
      <c r="C13" s="9">
        <f>+B13/30</f>
        <v>338.33333333333331</v>
      </c>
      <c r="D13" s="9">
        <f>+C13*2</f>
        <v>676.66666666666663</v>
      </c>
      <c r="E13" s="6">
        <f>+D13*0.3</f>
        <v>202.99999999999997</v>
      </c>
    </row>
    <row r="14" spans="1:5" x14ac:dyDescent="0.25">
      <c r="A14" s="13" t="s">
        <v>24</v>
      </c>
      <c r="B14" s="9">
        <v>12000</v>
      </c>
    </row>
    <row r="15" spans="1:5" x14ac:dyDescent="0.25">
      <c r="A15" s="13" t="s">
        <v>164</v>
      </c>
      <c r="B15" s="9">
        <v>15000</v>
      </c>
    </row>
    <row r="16" spans="1:5" x14ac:dyDescent="0.25">
      <c r="A16" s="13" t="s">
        <v>28</v>
      </c>
      <c r="B16" s="9">
        <v>13000</v>
      </c>
    </row>
    <row r="17" spans="1:5" x14ac:dyDescent="0.25">
      <c r="A17" s="13" t="s">
        <v>34</v>
      </c>
      <c r="B17" s="9">
        <v>9000</v>
      </c>
    </row>
    <row r="18" spans="1:5" x14ac:dyDescent="0.25">
      <c r="A18" s="13" t="s">
        <v>132</v>
      </c>
      <c r="B18" s="9">
        <v>15000</v>
      </c>
    </row>
    <row r="19" spans="1:5" x14ac:dyDescent="0.25">
      <c r="A19" s="13" t="s">
        <v>38</v>
      </c>
      <c r="B19" s="9">
        <v>10000</v>
      </c>
    </row>
    <row r="20" spans="1:5" x14ac:dyDescent="0.25">
      <c r="A20" s="13" t="s">
        <v>26</v>
      </c>
      <c r="B20" s="9">
        <v>14500</v>
      </c>
      <c r="E20" s="18"/>
    </row>
    <row r="21" spans="1:5" x14ac:dyDescent="0.25">
      <c r="A21" s="13" t="s">
        <v>36</v>
      </c>
      <c r="B21" s="9">
        <v>10000</v>
      </c>
    </row>
    <row r="22" spans="1:5" ht="15.75" customHeight="1" x14ac:dyDescent="0.25">
      <c r="A22" s="13" t="s">
        <v>40</v>
      </c>
      <c r="B22" s="9">
        <v>10150</v>
      </c>
    </row>
    <row r="23" spans="1:5" x14ac:dyDescent="0.25">
      <c r="A23" s="13" t="s">
        <v>58</v>
      </c>
      <c r="B23" s="9">
        <v>7000</v>
      </c>
    </row>
    <row r="24" spans="1:5" x14ac:dyDescent="0.25">
      <c r="A24" s="13" t="s">
        <v>60</v>
      </c>
      <c r="B24" s="9">
        <v>6900</v>
      </c>
    </row>
    <row r="25" spans="1:5" x14ac:dyDescent="0.25">
      <c r="A25" s="13" t="s">
        <v>62</v>
      </c>
      <c r="B25" s="9">
        <v>6000</v>
      </c>
    </row>
    <row r="26" spans="1:5" x14ac:dyDescent="0.25">
      <c r="A26" s="13" t="s">
        <v>64</v>
      </c>
      <c r="B26" s="9">
        <v>8000</v>
      </c>
    </row>
    <row r="27" spans="1:5" x14ac:dyDescent="0.25">
      <c r="A27" s="13" t="s">
        <v>66</v>
      </c>
      <c r="B27" s="9">
        <v>9000</v>
      </c>
    </row>
    <row r="28" spans="1:5" x14ac:dyDescent="0.25">
      <c r="A28" s="13" t="s">
        <v>94</v>
      </c>
      <c r="B28" s="9">
        <v>7000</v>
      </c>
    </row>
    <row r="29" spans="1:5" x14ac:dyDescent="0.25">
      <c r="A29" s="13" t="s">
        <v>92</v>
      </c>
      <c r="B29" s="9">
        <v>10000</v>
      </c>
    </row>
    <row r="30" spans="1:5" x14ac:dyDescent="0.25">
      <c r="A30" s="13" t="s">
        <v>90</v>
      </c>
      <c r="B30" s="9">
        <v>6000</v>
      </c>
    </row>
    <row r="31" spans="1:5" x14ac:dyDescent="0.25">
      <c r="A31" s="13" t="s">
        <v>74</v>
      </c>
      <c r="B31" s="19">
        <v>11000</v>
      </c>
    </row>
    <row r="32" spans="1:5" x14ac:dyDescent="0.25">
      <c r="A32" s="13" t="s">
        <v>78</v>
      </c>
      <c r="B32" s="9">
        <v>6000</v>
      </c>
    </row>
    <row r="33" spans="1:2" x14ac:dyDescent="0.25">
      <c r="A33" s="13" t="s">
        <v>76</v>
      </c>
      <c r="B33" s="9">
        <v>8000</v>
      </c>
    </row>
    <row r="34" spans="1:2" x14ac:dyDescent="0.25">
      <c r="A34" s="13" t="s">
        <v>68</v>
      </c>
      <c r="B34" s="9">
        <v>8000</v>
      </c>
    </row>
    <row r="35" spans="1:2" x14ac:dyDescent="0.25">
      <c r="A35" s="13" t="s">
        <v>88</v>
      </c>
      <c r="B35" s="9">
        <v>8000</v>
      </c>
    </row>
    <row r="36" spans="1:2" x14ac:dyDescent="0.25">
      <c r="A36" s="13" t="s">
        <v>82</v>
      </c>
      <c r="B36" s="9">
        <v>8000</v>
      </c>
    </row>
    <row r="37" spans="1:2" x14ac:dyDescent="0.25">
      <c r="A37" s="11" t="s">
        <v>367</v>
      </c>
      <c r="B37" s="9">
        <v>9000</v>
      </c>
    </row>
    <row r="38" spans="1:2" x14ac:dyDescent="0.25">
      <c r="A38" s="13" t="s">
        <v>80</v>
      </c>
      <c r="B38" s="9">
        <v>4620</v>
      </c>
    </row>
    <row r="39" spans="1:2" x14ac:dyDescent="0.25">
      <c r="A39" s="13" t="s">
        <v>70</v>
      </c>
      <c r="B39" s="9">
        <v>16550</v>
      </c>
    </row>
    <row r="40" spans="1:2" x14ac:dyDescent="0.25">
      <c r="A40" s="13" t="s">
        <v>84</v>
      </c>
      <c r="B40" s="9">
        <v>9000</v>
      </c>
    </row>
    <row r="41" spans="1:2" x14ac:dyDescent="0.25">
      <c r="A41" s="13" t="s">
        <v>86</v>
      </c>
      <c r="B41" s="9">
        <v>12000</v>
      </c>
    </row>
    <row r="42" spans="1:2" x14ac:dyDescent="0.25">
      <c r="A42" s="13" t="s">
        <v>96</v>
      </c>
      <c r="B42" s="9">
        <v>6000</v>
      </c>
    </row>
    <row r="43" spans="1:2" x14ac:dyDescent="0.25">
      <c r="A43" s="13" t="s">
        <v>176</v>
      </c>
      <c r="B43" s="9">
        <v>8000</v>
      </c>
    </row>
    <row r="44" spans="1:2" x14ac:dyDescent="0.25">
      <c r="A44" s="13" t="s">
        <v>102</v>
      </c>
      <c r="B44" s="9">
        <v>6000</v>
      </c>
    </row>
    <row r="45" spans="1:2" x14ac:dyDescent="0.25">
      <c r="A45" s="13" t="s">
        <v>100</v>
      </c>
      <c r="B45" s="9">
        <v>6000</v>
      </c>
    </row>
    <row r="46" spans="1:2" x14ac:dyDescent="0.25">
      <c r="A46" s="13" t="s">
        <v>114</v>
      </c>
      <c r="B46" s="9">
        <v>8500</v>
      </c>
    </row>
    <row r="47" spans="1:2" x14ac:dyDescent="0.25">
      <c r="A47" s="13" t="s">
        <v>116</v>
      </c>
      <c r="B47" s="9">
        <v>8500</v>
      </c>
    </row>
    <row r="48" spans="1:2" x14ac:dyDescent="0.25">
      <c r="A48" s="13" t="s">
        <v>110</v>
      </c>
      <c r="B48" s="9">
        <v>15000</v>
      </c>
    </row>
    <row r="49" spans="1:2" x14ac:dyDescent="0.25">
      <c r="A49" s="13" t="s">
        <v>108</v>
      </c>
      <c r="B49" s="9">
        <v>9050</v>
      </c>
    </row>
    <row r="50" spans="1:2" x14ac:dyDescent="0.25">
      <c r="A50" s="13" t="s">
        <v>112</v>
      </c>
      <c r="B50" s="9">
        <v>8000</v>
      </c>
    </row>
    <row r="51" spans="1:2" x14ac:dyDescent="0.25">
      <c r="A51" s="13" t="s">
        <v>104</v>
      </c>
      <c r="B51" s="9">
        <v>8000</v>
      </c>
    </row>
    <row r="52" spans="1:2" x14ac:dyDescent="0.25">
      <c r="A52" s="13" t="s">
        <v>106</v>
      </c>
      <c r="B52" s="9">
        <v>6900</v>
      </c>
    </row>
    <row r="53" spans="1:2" x14ac:dyDescent="0.25">
      <c r="A53" s="13" t="s">
        <v>128</v>
      </c>
      <c r="B53" s="9">
        <v>10000</v>
      </c>
    </row>
    <row r="54" spans="1:2" x14ac:dyDescent="0.25">
      <c r="A54" s="13" t="s">
        <v>129</v>
      </c>
      <c r="B54" s="9">
        <v>9000</v>
      </c>
    </row>
    <row r="55" spans="1:2" x14ac:dyDescent="0.25">
      <c r="A55" s="13" t="s">
        <v>130</v>
      </c>
      <c r="B55" s="9">
        <v>9000</v>
      </c>
    </row>
    <row r="56" spans="1:2" x14ac:dyDescent="0.25">
      <c r="A56" s="13" t="s">
        <v>131</v>
      </c>
      <c r="B56" s="9">
        <v>17000</v>
      </c>
    </row>
    <row r="57" spans="1:2" x14ac:dyDescent="0.25">
      <c r="A57" s="13" t="s">
        <v>165</v>
      </c>
      <c r="B57" s="9">
        <v>12000</v>
      </c>
    </row>
    <row r="58" spans="1:2" x14ac:dyDescent="0.25">
      <c r="A58" s="13" t="s">
        <v>178</v>
      </c>
      <c r="B58" s="9">
        <v>8000</v>
      </c>
    </row>
    <row r="59" spans="1:2" x14ac:dyDescent="0.25">
      <c r="A59" s="13" t="s">
        <v>208</v>
      </c>
      <c r="B59" s="9">
        <v>2521.1999999999998</v>
      </c>
    </row>
    <row r="60" spans="1:2" x14ac:dyDescent="0.25">
      <c r="A60" s="13" t="s">
        <v>179</v>
      </c>
      <c r="B60" s="9">
        <v>7900</v>
      </c>
    </row>
    <row r="61" spans="1:2" x14ac:dyDescent="0.25">
      <c r="A61" s="13" t="s">
        <v>180</v>
      </c>
      <c r="B61" s="9">
        <v>18500</v>
      </c>
    </row>
    <row r="62" spans="1:2" x14ac:dyDescent="0.25">
      <c r="A62" s="13" t="s">
        <v>317</v>
      </c>
      <c r="B62" s="9">
        <v>40000</v>
      </c>
    </row>
    <row r="63" spans="1:2" x14ac:dyDescent="0.25">
      <c r="A63" s="11" t="s">
        <v>368</v>
      </c>
      <c r="B63" s="9">
        <v>10000</v>
      </c>
    </row>
    <row r="64" spans="1:2" x14ac:dyDescent="0.25">
      <c r="A64" s="11" t="s">
        <v>361</v>
      </c>
      <c r="B64" s="9">
        <v>10000</v>
      </c>
    </row>
    <row r="65" spans="1:2" x14ac:dyDescent="0.25">
      <c r="A65" s="13" t="s">
        <v>181</v>
      </c>
      <c r="B65" s="9">
        <v>9800</v>
      </c>
    </row>
    <row r="66" spans="1:2" x14ac:dyDescent="0.25">
      <c r="A66" s="13" t="s">
        <v>182</v>
      </c>
      <c r="B66" s="9">
        <v>17000</v>
      </c>
    </row>
    <row r="67" spans="1:2" x14ac:dyDescent="0.25">
      <c r="A67" s="13" t="s">
        <v>183</v>
      </c>
      <c r="B67" s="9">
        <v>13000</v>
      </c>
    </row>
    <row r="68" spans="1:2" x14ac:dyDescent="0.25">
      <c r="A68" s="13" t="s">
        <v>184</v>
      </c>
      <c r="B68" s="9">
        <v>10000</v>
      </c>
    </row>
    <row r="69" spans="1:2" x14ac:dyDescent="0.25">
      <c r="A69" s="13" t="s">
        <v>185</v>
      </c>
      <c r="B69" s="9">
        <v>6900</v>
      </c>
    </row>
    <row r="70" spans="1:2" x14ac:dyDescent="0.25">
      <c r="A70" s="13" t="s">
        <v>186</v>
      </c>
      <c r="B70" s="9">
        <v>8500</v>
      </c>
    </row>
    <row r="71" spans="1:2" x14ac:dyDescent="0.25">
      <c r="A71" s="13" t="s">
        <v>187</v>
      </c>
      <c r="B71" s="9">
        <v>12000</v>
      </c>
    </row>
    <row r="72" spans="1:2" x14ac:dyDescent="0.25">
      <c r="A72" s="13" t="s">
        <v>188</v>
      </c>
      <c r="B72" s="9">
        <v>9500</v>
      </c>
    </row>
    <row r="73" spans="1:2" x14ac:dyDescent="0.25">
      <c r="A73" s="13" t="s">
        <v>189</v>
      </c>
      <c r="B73" s="9">
        <v>10000</v>
      </c>
    </row>
    <row r="74" spans="1:2" x14ac:dyDescent="0.25">
      <c r="A74" s="13" t="s">
        <v>190</v>
      </c>
      <c r="B74" s="9">
        <v>16000</v>
      </c>
    </row>
    <row r="75" spans="1:2" x14ac:dyDescent="0.25">
      <c r="A75" s="13" t="s">
        <v>191</v>
      </c>
      <c r="B75" s="9">
        <v>12000</v>
      </c>
    </row>
    <row r="76" spans="1:2" x14ac:dyDescent="0.25">
      <c r="A76" s="13" t="s">
        <v>192</v>
      </c>
      <c r="B76" s="9">
        <v>9800</v>
      </c>
    </row>
    <row r="77" spans="1:2" x14ac:dyDescent="0.25">
      <c r="A77" s="13" t="s">
        <v>193</v>
      </c>
      <c r="B77" s="9">
        <v>43000</v>
      </c>
    </row>
    <row r="78" spans="1:2" x14ac:dyDescent="0.25">
      <c r="A78" s="13" t="s">
        <v>194</v>
      </c>
      <c r="B78" s="9">
        <v>10000</v>
      </c>
    </row>
    <row r="79" spans="1:2" x14ac:dyDescent="0.25">
      <c r="A79" s="13" t="s">
        <v>195</v>
      </c>
      <c r="B79" s="9">
        <v>10000</v>
      </c>
    </row>
    <row r="80" spans="1:2" x14ac:dyDescent="0.25">
      <c r="A80" s="13" t="s">
        <v>196</v>
      </c>
      <c r="B80" s="9">
        <v>2521.1999999999998</v>
      </c>
    </row>
    <row r="81" spans="1:5" x14ac:dyDescent="0.25">
      <c r="A81" s="13" t="s">
        <v>197</v>
      </c>
      <c r="B81" s="9">
        <v>53500</v>
      </c>
    </row>
    <row r="82" spans="1:5" x14ac:dyDescent="0.25">
      <c r="A82" s="13" t="s">
        <v>198</v>
      </c>
      <c r="B82" s="9">
        <v>7500</v>
      </c>
    </row>
    <row r="83" spans="1:5" x14ac:dyDescent="0.25">
      <c r="A83" s="13" t="s">
        <v>199</v>
      </c>
      <c r="B83" s="9">
        <v>11500</v>
      </c>
    </row>
    <row r="84" spans="1:5" x14ac:dyDescent="0.25">
      <c r="A84" s="13" t="s">
        <v>200</v>
      </c>
      <c r="B84" s="9">
        <v>11000</v>
      </c>
    </row>
    <row r="85" spans="1:5" x14ac:dyDescent="0.25">
      <c r="A85" s="13" t="s">
        <v>201</v>
      </c>
      <c r="B85" s="9">
        <v>12000</v>
      </c>
      <c r="C85" s="9">
        <f>+B85/15</f>
        <v>800</v>
      </c>
      <c r="D85" s="6">
        <f>+C85*5</f>
        <v>4000</v>
      </c>
      <c r="E85" s="6">
        <f>+D85*0.3</f>
        <v>1200</v>
      </c>
    </row>
    <row r="86" spans="1:5" x14ac:dyDescent="0.25">
      <c r="A86" s="13" t="s">
        <v>319</v>
      </c>
      <c r="B86" s="9">
        <v>18500</v>
      </c>
    </row>
    <row r="87" spans="1:5" x14ac:dyDescent="0.25">
      <c r="A87" s="12" t="s">
        <v>309</v>
      </c>
      <c r="B87" s="9">
        <v>18000</v>
      </c>
    </row>
    <row r="88" spans="1:5" x14ac:dyDescent="0.25">
      <c r="A88" s="12" t="s">
        <v>313</v>
      </c>
      <c r="B88" s="9">
        <v>22000</v>
      </c>
    </row>
    <row r="89" spans="1:5" x14ac:dyDescent="0.25">
      <c r="A89" s="12" t="s">
        <v>369</v>
      </c>
      <c r="B89" s="9">
        <v>2610.48</v>
      </c>
    </row>
    <row r="90" spans="1:5" x14ac:dyDescent="0.25">
      <c r="A90" s="12" t="s">
        <v>379</v>
      </c>
      <c r="B90" s="9">
        <v>10000</v>
      </c>
    </row>
    <row r="91" spans="1:5" x14ac:dyDescent="0.25">
      <c r="A91" s="15" t="s">
        <v>378</v>
      </c>
      <c r="B91" s="9">
        <v>5000</v>
      </c>
    </row>
    <row r="92" spans="1:5" x14ac:dyDescent="0.25">
      <c r="A92" s="17" t="s">
        <v>381</v>
      </c>
    </row>
    <row r="93" spans="1:5" x14ac:dyDescent="0.25">
      <c r="A93" s="17" t="s">
        <v>382</v>
      </c>
    </row>
    <row r="94" spans="1:5" x14ac:dyDescent="0.25">
      <c r="A94" s="17" t="s">
        <v>383</v>
      </c>
    </row>
    <row r="95" spans="1:5" x14ac:dyDescent="0.25">
      <c r="A95" s="17" t="s">
        <v>384</v>
      </c>
    </row>
    <row r="96" spans="1:5" x14ac:dyDescent="0.25">
      <c r="A96" s="17" t="s">
        <v>385</v>
      </c>
      <c r="B96" s="19"/>
    </row>
    <row r="97" spans="1:2" x14ac:dyDescent="0.25">
      <c r="A97" s="17" t="s">
        <v>386</v>
      </c>
      <c r="B97" s="9">
        <v>8800</v>
      </c>
    </row>
    <row r="98" spans="1:2" x14ac:dyDescent="0.25">
      <c r="A98" s="12"/>
    </row>
    <row r="99" spans="1:2" x14ac:dyDescent="0.25">
      <c r="A99" s="12"/>
    </row>
    <row r="100" spans="1:2" x14ac:dyDescent="0.25">
      <c r="A100" s="12"/>
    </row>
    <row r="101" spans="1:2" x14ac:dyDescent="0.25">
      <c r="A101" s="12"/>
    </row>
    <row r="102" spans="1:2" x14ac:dyDescent="0.25">
      <c r="A102" s="12"/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3" t="s">
        <v>230</v>
      </c>
      <c r="B1">
        <v>9000</v>
      </c>
    </row>
    <row r="2" spans="1:2" x14ac:dyDescent="0.25">
      <c r="A2" s="13" t="s">
        <v>303</v>
      </c>
      <c r="B2">
        <v>10000</v>
      </c>
    </row>
    <row r="3" spans="1:2" x14ac:dyDescent="0.25">
      <c r="A3" s="13" t="s">
        <v>261</v>
      </c>
      <c r="B3">
        <v>8500</v>
      </c>
    </row>
    <row r="4" spans="1:2" x14ac:dyDescent="0.25">
      <c r="A4" s="13" t="s">
        <v>284</v>
      </c>
      <c r="B4">
        <v>9000</v>
      </c>
    </row>
    <row r="5" spans="1:2" x14ac:dyDescent="0.25">
      <c r="A5" s="13" t="s">
        <v>304</v>
      </c>
      <c r="B5">
        <v>10000</v>
      </c>
    </row>
    <row r="6" spans="1:2" x14ac:dyDescent="0.25">
      <c r="A6" s="13" t="s">
        <v>266</v>
      </c>
      <c r="B6">
        <v>19500</v>
      </c>
    </row>
    <row r="7" spans="1:2" x14ac:dyDescent="0.25">
      <c r="A7" s="13" t="s">
        <v>205</v>
      </c>
      <c r="B7">
        <v>18500</v>
      </c>
    </row>
    <row r="8" spans="1:2" x14ac:dyDescent="0.25">
      <c r="A8" s="13" t="s">
        <v>204</v>
      </c>
      <c r="B8">
        <v>10250</v>
      </c>
    </row>
    <row r="9" spans="1:2" x14ac:dyDescent="0.25">
      <c r="A9" s="13" t="s">
        <v>236</v>
      </c>
      <c r="B9">
        <v>10150</v>
      </c>
    </row>
    <row r="10" spans="1:2" x14ac:dyDescent="0.25">
      <c r="A10" s="13" t="s">
        <v>276</v>
      </c>
      <c r="B10">
        <v>15000</v>
      </c>
    </row>
    <row r="11" spans="1:2" x14ac:dyDescent="0.25">
      <c r="A11" s="13" t="s">
        <v>240</v>
      </c>
      <c r="B11">
        <v>10150</v>
      </c>
    </row>
    <row r="12" spans="1:2" x14ac:dyDescent="0.25">
      <c r="A12" s="13" t="s">
        <v>243</v>
      </c>
      <c r="B12">
        <v>12000</v>
      </c>
    </row>
    <row r="13" spans="1:2" x14ac:dyDescent="0.25">
      <c r="A13" s="13" t="s">
        <v>302</v>
      </c>
      <c r="B13">
        <v>15000</v>
      </c>
    </row>
    <row r="14" spans="1:2" x14ac:dyDescent="0.25">
      <c r="A14" s="13" t="s">
        <v>237</v>
      </c>
      <c r="B14">
        <v>13000</v>
      </c>
    </row>
    <row r="15" spans="1:2" x14ac:dyDescent="0.25">
      <c r="A15" s="13" t="s">
        <v>249</v>
      </c>
      <c r="B15">
        <v>9000</v>
      </c>
    </row>
    <row r="16" spans="1:2" x14ac:dyDescent="0.25">
      <c r="A16" s="13" t="s">
        <v>203</v>
      </c>
      <c r="B16">
        <v>15000</v>
      </c>
    </row>
    <row r="17" spans="1:2" x14ac:dyDescent="0.25">
      <c r="A17" s="13" t="s">
        <v>271</v>
      </c>
      <c r="B17">
        <v>10000</v>
      </c>
    </row>
    <row r="18" spans="1:2" x14ac:dyDescent="0.25">
      <c r="A18" s="13" t="s">
        <v>268</v>
      </c>
      <c r="B18">
        <v>14500</v>
      </c>
    </row>
    <row r="19" spans="1:2" x14ac:dyDescent="0.25">
      <c r="A19" s="13" t="s">
        <v>283</v>
      </c>
      <c r="B19">
        <v>9000</v>
      </c>
    </row>
    <row r="20" spans="1:2" x14ac:dyDescent="0.25">
      <c r="A20" s="13" t="s">
        <v>248</v>
      </c>
      <c r="B20">
        <v>10150</v>
      </c>
    </row>
    <row r="21" spans="1:2" x14ac:dyDescent="0.25">
      <c r="A21" s="13" t="s">
        <v>299</v>
      </c>
      <c r="B21">
        <v>7000</v>
      </c>
    </row>
    <row r="22" spans="1:2" x14ac:dyDescent="0.25">
      <c r="A22" s="13" t="s">
        <v>235</v>
      </c>
      <c r="B22">
        <v>6900</v>
      </c>
    </row>
    <row r="23" spans="1:2" x14ac:dyDescent="0.25">
      <c r="A23" s="13" t="s">
        <v>293</v>
      </c>
      <c r="B23">
        <v>6000</v>
      </c>
    </row>
    <row r="24" spans="1:2" x14ac:dyDescent="0.25">
      <c r="A24" s="13" t="s">
        <v>255</v>
      </c>
      <c r="B24">
        <v>8000</v>
      </c>
    </row>
    <row r="25" spans="1:2" x14ac:dyDescent="0.25">
      <c r="A25" s="13" t="s">
        <v>254</v>
      </c>
      <c r="B25">
        <v>9000</v>
      </c>
    </row>
    <row r="26" spans="1:2" x14ac:dyDescent="0.25">
      <c r="A26" s="13" t="s">
        <v>286</v>
      </c>
      <c r="B26">
        <v>7000</v>
      </c>
    </row>
    <row r="27" spans="1:2" x14ac:dyDescent="0.25">
      <c r="A27" s="13" t="s">
        <v>278</v>
      </c>
      <c r="B27">
        <v>10000</v>
      </c>
    </row>
    <row r="28" spans="1:2" x14ac:dyDescent="0.25">
      <c r="A28" s="13" t="s">
        <v>301</v>
      </c>
      <c r="B28">
        <v>6000</v>
      </c>
    </row>
    <row r="29" spans="1:2" x14ac:dyDescent="0.25">
      <c r="A29" s="13" t="s">
        <v>244</v>
      </c>
      <c r="B29">
        <v>9000</v>
      </c>
    </row>
    <row r="30" spans="1:2" x14ac:dyDescent="0.25">
      <c r="A30" s="13" t="s">
        <v>247</v>
      </c>
      <c r="B30">
        <v>6000</v>
      </c>
    </row>
    <row r="31" spans="1:2" x14ac:dyDescent="0.25">
      <c r="A31" s="13" t="s">
        <v>274</v>
      </c>
      <c r="B31">
        <v>8000</v>
      </c>
    </row>
    <row r="32" spans="1:2" x14ac:dyDescent="0.25">
      <c r="A32" s="13" t="s">
        <v>298</v>
      </c>
      <c r="B32">
        <v>8000</v>
      </c>
    </row>
    <row r="33" spans="1:2" x14ac:dyDescent="0.25">
      <c r="A33" s="13" t="s">
        <v>267</v>
      </c>
      <c r="B33">
        <v>8000</v>
      </c>
    </row>
    <row r="34" spans="1:2" x14ac:dyDescent="0.25">
      <c r="A34" s="13" t="s">
        <v>277</v>
      </c>
      <c r="B34">
        <v>8000</v>
      </c>
    </row>
    <row r="35" spans="1:2" x14ac:dyDescent="0.25">
      <c r="A35" s="13" t="s">
        <v>206</v>
      </c>
      <c r="B35">
        <v>9000</v>
      </c>
    </row>
    <row r="36" spans="1:2" x14ac:dyDescent="0.25">
      <c r="A36" s="13" t="s">
        <v>280</v>
      </c>
      <c r="B36">
        <v>4620</v>
      </c>
    </row>
    <row r="37" spans="1:2" x14ac:dyDescent="0.25">
      <c r="A37" s="13" t="s">
        <v>256</v>
      </c>
      <c r="B37">
        <v>16550</v>
      </c>
    </row>
    <row r="38" spans="1:2" x14ac:dyDescent="0.25">
      <c r="A38" s="13" t="s">
        <v>253</v>
      </c>
      <c r="B38">
        <v>9000</v>
      </c>
    </row>
    <row r="39" spans="1:2" x14ac:dyDescent="0.25">
      <c r="A39" s="13" t="s">
        <v>258</v>
      </c>
      <c r="B39">
        <v>12000</v>
      </c>
    </row>
    <row r="40" spans="1:2" x14ac:dyDescent="0.25">
      <c r="A40" s="13" t="s">
        <v>305</v>
      </c>
      <c r="B40">
        <v>6000</v>
      </c>
    </row>
    <row r="41" spans="1:2" x14ac:dyDescent="0.25">
      <c r="A41" s="13" t="s">
        <v>207</v>
      </c>
      <c r="B41">
        <v>8000</v>
      </c>
    </row>
    <row r="42" spans="1:2" x14ac:dyDescent="0.25">
      <c r="A42" s="13" t="s">
        <v>234</v>
      </c>
      <c r="B42">
        <v>6000</v>
      </c>
    </row>
    <row r="43" spans="1:2" x14ac:dyDescent="0.25">
      <c r="A43" s="13" t="s">
        <v>263</v>
      </c>
      <c r="B43">
        <v>6000</v>
      </c>
    </row>
    <row r="44" spans="1:2" x14ac:dyDescent="0.25">
      <c r="A44" s="13" t="s">
        <v>289</v>
      </c>
      <c r="B44">
        <v>8000</v>
      </c>
    </row>
    <row r="45" spans="1:2" x14ac:dyDescent="0.25">
      <c r="A45" s="13" t="s">
        <v>269</v>
      </c>
      <c r="B45">
        <v>8000</v>
      </c>
    </row>
    <row r="46" spans="1:2" x14ac:dyDescent="0.25">
      <c r="A46" s="13" t="s">
        <v>295</v>
      </c>
      <c r="B46">
        <v>15000</v>
      </c>
    </row>
    <row r="47" spans="1:2" x14ac:dyDescent="0.25">
      <c r="A47" s="13" t="s">
        <v>245</v>
      </c>
      <c r="B47">
        <v>9050</v>
      </c>
    </row>
    <row r="48" spans="1:2" x14ac:dyDescent="0.25">
      <c r="A48" s="13" t="s">
        <v>285</v>
      </c>
      <c r="B48">
        <v>8000</v>
      </c>
    </row>
    <row r="49" spans="1:2" x14ac:dyDescent="0.25">
      <c r="A49" s="13" t="s">
        <v>270</v>
      </c>
      <c r="B49">
        <v>8000</v>
      </c>
    </row>
    <row r="50" spans="1:2" x14ac:dyDescent="0.25">
      <c r="A50" s="13" t="s">
        <v>246</v>
      </c>
      <c r="B50">
        <v>6900</v>
      </c>
    </row>
    <row r="51" spans="1:2" x14ac:dyDescent="0.25">
      <c r="A51" s="13" t="s">
        <v>294</v>
      </c>
      <c r="B51">
        <v>10000</v>
      </c>
    </row>
    <row r="52" spans="1:2" x14ac:dyDescent="0.25">
      <c r="A52" s="13" t="s">
        <v>241</v>
      </c>
      <c r="B52">
        <v>9000</v>
      </c>
    </row>
    <row r="53" spans="1:2" x14ac:dyDescent="0.25">
      <c r="A53" s="13" t="s">
        <v>273</v>
      </c>
      <c r="B53">
        <v>9000</v>
      </c>
    </row>
    <row r="54" spans="1:2" x14ac:dyDescent="0.25">
      <c r="A54" s="13" t="s">
        <v>279</v>
      </c>
      <c r="B54">
        <v>17000</v>
      </c>
    </row>
    <row r="55" spans="1:2" x14ac:dyDescent="0.25">
      <c r="A55" s="13" t="s">
        <v>259</v>
      </c>
      <c r="B55">
        <v>12000</v>
      </c>
    </row>
    <row r="56" spans="1:2" x14ac:dyDescent="0.25">
      <c r="A56" s="13" t="s">
        <v>231</v>
      </c>
      <c r="B56">
        <v>8000</v>
      </c>
    </row>
    <row r="57" spans="1:2" x14ac:dyDescent="0.25">
      <c r="A57" s="13" t="s">
        <v>306</v>
      </c>
      <c r="B57">
        <v>2521.1999999999998</v>
      </c>
    </row>
    <row r="58" spans="1:2" x14ac:dyDescent="0.25">
      <c r="A58" s="13" t="s">
        <v>232</v>
      </c>
      <c r="B58">
        <v>6900</v>
      </c>
    </row>
    <row r="59" spans="1:2" x14ac:dyDescent="0.25">
      <c r="A59" s="13" t="s">
        <v>233</v>
      </c>
      <c r="B59">
        <v>17000</v>
      </c>
    </row>
    <row r="60" spans="1:2" x14ac:dyDescent="0.25">
      <c r="A60" s="13" t="s">
        <v>238</v>
      </c>
      <c r="B60">
        <v>25000</v>
      </c>
    </row>
    <row r="61" spans="1:2" x14ac:dyDescent="0.25">
      <c r="A61" s="13" t="s">
        <v>307</v>
      </c>
      <c r="B61">
        <v>10000</v>
      </c>
    </row>
    <row r="62" spans="1:2" x14ac:dyDescent="0.25">
      <c r="A62" s="13" t="s">
        <v>239</v>
      </c>
      <c r="B62">
        <v>8000</v>
      </c>
    </row>
    <row r="63" spans="1:2" x14ac:dyDescent="0.25">
      <c r="A63" s="13" t="s">
        <v>242</v>
      </c>
      <c r="B63">
        <v>8450</v>
      </c>
    </row>
    <row r="64" spans="1:2" x14ac:dyDescent="0.25">
      <c r="A64" s="13" t="s">
        <v>250</v>
      </c>
      <c r="B64">
        <v>15000</v>
      </c>
    </row>
    <row r="65" spans="1:2" x14ac:dyDescent="0.25">
      <c r="A65" s="13" t="s">
        <v>251</v>
      </c>
      <c r="B65">
        <v>11000</v>
      </c>
    </row>
    <row r="66" spans="1:2" x14ac:dyDescent="0.25">
      <c r="A66" s="13" t="s">
        <v>252</v>
      </c>
      <c r="B66">
        <v>8000</v>
      </c>
    </row>
    <row r="67" spans="1:2" x14ac:dyDescent="0.25">
      <c r="A67" s="13" t="s">
        <v>257</v>
      </c>
      <c r="B67">
        <v>6900</v>
      </c>
    </row>
    <row r="68" spans="1:2" x14ac:dyDescent="0.25">
      <c r="A68" s="13" t="s">
        <v>260</v>
      </c>
      <c r="B68">
        <v>8000</v>
      </c>
    </row>
    <row r="69" spans="1:2" x14ac:dyDescent="0.25">
      <c r="A69" s="13" t="s">
        <v>262</v>
      </c>
      <c r="B69">
        <v>9000</v>
      </c>
    </row>
    <row r="70" spans="1:2" x14ac:dyDescent="0.25">
      <c r="A70" s="13" t="s">
        <v>264</v>
      </c>
      <c r="B70">
        <v>8000</v>
      </c>
    </row>
    <row r="71" spans="1:2" x14ac:dyDescent="0.25">
      <c r="A71" s="13" t="s">
        <v>265</v>
      </c>
      <c r="B71">
        <v>8000</v>
      </c>
    </row>
    <row r="72" spans="1:2" x14ac:dyDescent="0.25">
      <c r="A72" s="13" t="s">
        <v>272</v>
      </c>
      <c r="B72">
        <v>16000</v>
      </c>
    </row>
    <row r="73" spans="1:2" x14ac:dyDescent="0.25">
      <c r="A73" s="13" t="s">
        <v>275</v>
      </c>
      <c r="B73">
        <v>12000</v>
      </c>
    </row>
    <row r="74" spans="1:2" x14ac:dyDescent="0.25">
      <c r="A74" s="13" t="s">
        <v>281</v>
      </c>
      <c r="B74">
        <v>8450</v>
      </c>
    </row>
    <row r="75" spans="1:2" x14ac:dyDescent="0.25">
      <c r="A75" s="13" t="s">
        <v>282</v>
      </c>
      <c r="B75">
        <v>43000</v>
      </c>
    </row>
    <row r="76" spans="1:2" x14ac:dyDescent="0.25">
      <c r="A76" s="13" t="s">
        <v>287</v>
      </c>
      <c r="B76">
        <v>10000</v>
      </c>
    </row>
    <row r="77" spans="1:2" x14ac:dyDescent="0.25">
      <c r="A77" s="13" t="s">
        <v>288</v>
      </c>
      <c r="B77">
        <v>8000</v>
      </c>
    </row>
    <row r="78" spans="1:2" x14ac:dyDescent="0.25">
      <c r="A78" s="13" t="s">
        <v>308</v>
      </c>
      <c r="B78">
        <v>2521.1999999999998</v>
      </c>
    </row>
    <row r="79" spans="1:2" x14ac:dyDescent="0.25">
      <c r="A79" s="13" t="s">
        <v>290</v>
      </c>
      <c r="B79">
        <v>53500</v>
      </c>
    </row>
    <row r="80" spans="1:2" x14ac:dyDescent="0.25">
      <c r="A80" s="13" t="s">
        <v>291</v>
      </c>
      <c r="B80">
        <v>6900</v>
      </c>
    </row>
    <row r="81" spans="1:2" x14ac:dyDescent="0.25">
      <c r="A81" s="13" t="s">
        <v>292</v>
      </c>
      <c r="B81">
        <v>8000</v>
      </c>
    </row>
    <row r="82" spans="1:2" x14ac:dyDescent="0.25">
      <c r="A82" s="13" t="s">
        <v>296</v>
      </c>
      <c r="B82">
        <v>10000</v>
      </c>
    </row>
    <row r="83" spans="1:2" x14ac:dyDescent="0.25">
      <c r="A83" s="13" t="s">
        <v>297</v>
      </c>
      <c r="B83">
        <v>12000</v>
      </c>
    </row>
    <row r="84" spans="1:2" x14ac:dyDescent="0.25">
      <c r="A84" s="13" t="s">
        <v>300</v>
      </c>
      <c r="B84">
        <v>17000</v>
      </c>
    </row>
    <row r="85" spans="1:2" x14ac:dyDescent="0.25">
      <c r="A85" s="13" t="s">
        <v>310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FACTURACION SINDICATO</vt:lpstr>
      <vt:lpstr>CPD PITS</vt:lpstr>
      <vt:lpstr>IP PITS</vt:lpstr>
      <vt:lpstr>SIND PITS</vt:lpstr>
      <vt:lpstr>RESUMEN</vt:lpstr>
      <vt:lpstr>RESUMEN PITS</vt:lpstr>
      <vt:lpstr>FACTURACION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2019-08-28T16:49:48Z</dcterms:modified>
</cp:coreProperties>
</file>