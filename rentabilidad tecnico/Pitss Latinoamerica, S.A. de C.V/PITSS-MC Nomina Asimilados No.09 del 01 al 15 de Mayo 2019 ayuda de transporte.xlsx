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g-servidor-pc\servidor hg\MC MEDIOS CREATIVOS\NOMINAS\2019\ASIMILADOS A SALARIOS\SEITON\09\"/>
    </mc:Choice>
  </mc:AlternateContent>
  <bookViews>
    <workbookView xWindow="0" yWindow="0" windowWidth="13425" windowHeight="4110"/>
  </bookViews>
  <sheets>
    <sheet name="PITS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K39" i="1" s="1"/>
  <c r="L39" i="1" l="1"/>
  <c r="M39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K38" i="1" l="1"/>
  <c r="K37" i="1"/>
  <c r="L38" i="1" l="1"/>
  <c r="M38" i="1" s="1"/>
  <c r="L37" i="1"/>
  <c r="M37" i="1" s="1"/>
  <c r="C41" i="1"/>
  <c r="D41" i="1" l="1"/>
  <c r="E41" i="1"/>
  <c r="F41" i="1"/>
  <c r="G41" i="1"/>
  <c r="H41" i="1"/>
  <c r="I41" i="1"/>
  <c r="N41" i="1"/>
  <c r="K36" i="1" l="1"/>
  <c r="L36" i="1" l="1"/>
  <c r="M36" i="1" s="1"/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7" i="1"/>
  <c r="O41" i="1" l="1"/>
  <c r="K33" i="1"/>
  <c r="K34" i="1"/>
  <c r="K35" i="1"/>
  <c r="K8" i="1"/>
  <c r="L8" i="1" s="1"/>
  <c r="M8" i="1" s="1"/>
  <c r="K9" i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K31" i="1"/>
  <c r="L31" i="1" s="1"/>
  <c r="M31" i="1" s="1"/>
  <c r="K32" i="1"/>
  <c r="L32" i="1" s="1"/>
  <c r="M32" i="1" s="1"/>
  <c r="J7" i="1"/>
  <c r="J41" i="1" l="1"/>
  <c r="K7" i="1"/>
  <c r="K41" i="1" s="1"/>
  <c r="L35" i="1"/>
  <c r="M35" i="1" s="1"/>
  <c r="L33" i="1"/>
  <c r="M33" i="1" s="1"/>
  <c r="L34" i="1"/>
  <c r="M34" i="1" s="1"/>
  <c r="L7" i="1" l="1"/>
  <c r="L41" i="1" s="1"/>
  <c r="M7" i="1" l="1"/>
  <c r="M41" i="1" s="1"/>
</calcChain>
</file>

<file path=xl/sharedStrings.xml><?xml version="1.0" encoding="utf-8"?>
<sst xmlns="http://schemas.openxmlformats.org/spreadsheetml/2006/main" count="101" uniqueCount="85">
  <si>
    <t>MC MEDIOS CREATIVOS EMPRESARIALES SC</t>
  </si>
  <si>
    <t>Lista de Raya (forma tabular)</t>
  </si>
  <si>
    <t>Reg Pat IMSS: 00000000000</t>
  </si>
  <si>
    <t xml:space="preserve">RFC: MCE -151008-K95 </t>
  </si>
  <si>
    <t>Código</t>
  </si>
  <si>
    <t>Empleado</t>
  </si>
  <si>
    <t>Pago por Asimilados a Salarios</t>
  </si>
  <si>
    <t>*TOTAL* *PERCEPCIONES*</t>
  </si>
  <si>
    <t>I.S.R. antes de Subs al Empleo</t>
  </si>
  <si>
    <t>I.S.R.</t>
  </si>
  <si>
    <t>*TOTAL* *DEDUCCIONES*</t>
  </si>
  <si>
    <t>*NETO*</t>
  </si>
  <si>
    <t>Total Percepciones</t>
  </si>
  <si>
    <t>Comision Cliente</t>
  </si>
  <si>
    <t>Subtotal</t>
  </si>
  <si>
    <t>IVA</t>
  </si>
  <si>
    <t>Total</t>
  </si>
  <si>
    <t>Banco</t>
  </si>
  <si>
    <t xml:space="preserve"> SEI0001</t>
  </si>
  <si>
    <t>Torres Ricardez Alfredo</t>
  </si>
  <si>
    <t xml:space="preserve"> SEI0004</t>
  </si>
  <si>
    <t>Montoya Portillo Carlos Alberto</t>
  </si>
  <si>
    <t xml:space="preserve"> SEI0005</t>
  </si>
  <si>
    <t>Cota Jaramillo Miguel Angel</t>
  </si>
  <si>
    <t xml:space="preserve"> SEI0006</t>
  </si>
  <si>
    <t>Gonzalez Rasgado Miguel Isaias</t>
  </si>
  <si>
    <t xml:space="preserve"> SEI0007</t>
  </si>
  <si>
    <t>Mar Marquez Cesar Eduardo</t>
  </si>
  <si>
    <t xml:space="preserve"> SEI0011</t>
  </si>
  <si>
    <t>Molina Ramirez Gerardo Daniel</t>
  </si>
  <si>
    <t xml:space="preserve"> SEI0013</t>
  </si>
  <si>
    <t>Muñoz Reyes Luis Eduardo</t>
  </si>
  <si>
    <t xml:space="preserve"> SEI0016</t>
  </si>
  <si>
    <t>Chavez  Pedraza Samuel</t>
  </si>
  <si>
    <t xml:space="preserve"> SEI0018</t>
  </si>
  <si>
    <t>Lopez Torreon Roberto Porfirio</t>
  </si>
  <si>
    <t xml:space="preserve"> SEI0019</t>
  </si>
  <si>
    <t>Martinez Hernandez J. Antonio</t>
  </si>
  <si>
    <t xml:space="preserve"> SEI0020</t>
  </si>
  <si>
    <t>Palacios Ramos Jesus</t>
  </si>
  <si>
    <t xml:space="preserve"> SEI0022</t>
  </si>
  <si>
    <t>Vaca Valdez Guillermo</t>
  </si>
  <si>
    <t xml:space="preserve"> SEI0026</t>
  </si>
  <si>
    <t>Velez Rodriguez Jaime</t>
  </si>
  <si>
    <t xml:space="preserve"> SEI0456</t>
  </si>
  <si>
    <t>Chavira  Garcia David Fernando</t>
  </si>
  <si>
    <t xml:space="preserve"> SEI0465</t>
  </si>
  <si>
    <t>Sandoval Garcia Luis</t>
  </si>
  <si>
    <t xml:space="preserve"> SEI0473</t>
  </si>
  <si>
    <t>Torres  Velazquez  Juan Antonio</t>
  </si>
  <si>
    <t xml:space="preserve"> SEI0476</t>
  </si>
  <si>
    <t>Hernandez Garcia Manuel Alejandro</t>
  </si>
  <si>
    <t xml:space="preserve"> SEI0477</t>
  </si>
  <si>
    <t>Sandoval Medina Demetrio</t>
  </si>
  <si>
    <t xml:space="preserve"> SEI0479</t>
  </si>
  <si>
    <t>Cruz Perez Alejandro Nezahualcoyotl</t>
  </si>
  <si>
    <t xml:space="preserve"> SEI0480</t>
  </si>
  <si>
    <t>Lizaran  Maceda Jose Guadalupe</t>
  </si>
  <si>
    <t xml:space="preserve"> SEI0482</t>
  </si>
  <si>
    <t>Mendez Rivera Ivan Israel</t>
  </si>
  <si>
    <t xml:space="preserve"> SEI0485</t>
  </si>
  <si>
    <t>Palacios Vega Luis Rosendo</t>
  </si>
  <si>
    <t xml:space="preserve"> SEI0487</t>
  </si>
  <si>
    <t>Hernandez Rodriguez Jorge</t>
  </si>
  <si>
    <t xml:space="preserve"> SEI0488</t>
  </si>
  <si>
    <t>Lizaran Maceda Jesus</t>
  </si>
  <si>
    <t xml:space="preserve"> SEI0489</t>
  </si>
  <si>
    <t>Casas Chavarria Rafael</t>
  </si>
  <si>
    <t xml:space="preserve"> SEI0490</t>
  </si>
  <si>
    <t>Del Pilar Mendez Lucio</t>
  </si>
  <si>
    <t xml:space="preserve"> SEI0494</t>
  </si>
  <si>
    <t>Hernandez Ojeda Julio Cesar</t>
  </si>
  <si>
    <t xml:space="preserve"> SEI0495</t>
  </si>
  <si>
    <t>Total Depto</t>
  </si>
  <si>
    <t xml:space="preserve">  -----------------------</t>
  </si>
  <si>
    <t xml:space="preserve"> SEI0492</t>
  </si>
  <si>
    <t>Alejandro Vazquez Erasmo Miguel</t>
  </si>
  <si>
    <t xml:space="preserve"> SEI0493</t>
  </si>
  <si>
    <t>Orea Gonzalez Esteban Concepcion</t>
  </si>
  <si>
    <t>FACTURACION</t>
  </si>
  <si>
    <t>PITSS</t>
  </si>
  <si>
    <t>Diaz Ortiz Guillermo Hiram</t>
  </si>
  <si>
    <t>Marquez Hernandez Rogelio</t>
  </si>
  <si>
    <t>Cruz Herrera Roberto</t>
  </si>
  <si>
    <t>Garcia Valderrama Jose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</si>
</sst>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indexed="12"/>
      <name val="Calibri"/>
      <family val="2"/>
    </font>
    <font>
      <b/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1">
    <xf numFmtId="0" fontId="0" fillId="0" borderId="0"/>
  </cellStyleXfs>
  <cellXfs count="16">
    <xf numFmtId="0" fontId="0" fillId="0" borderId="0" xfId="0"/>
    <xf numFmtId="43" fontId="3" fillId="0" borderId="0" xfId="0" applyNumberFormat="1" applyFont="1" applyAlignment="1">
      <alignment horizontal="centerContinuous" vertical="top"/>
    </xf>
    <xf numFmtId="43" fontId="1" fillId="0" borderId="0" xfId="0" applyNumberFormat="1" applyFont="1"/>
    <xf numFmtId="43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2" fillId="0" borderId="0" xfId="0" applyNumberFormat="1" applyFont="1"/>
    <xf numFmtId="43" fontId="2" fillId="2" borderId="1" xfId="0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4" fillId="4" borderId="1" xfId="0" applyNumberFormat="1" applyFont="1" applyFill="1" applyBorder="1" applyAlignment="1">
      <alignment horizontal="center" vertical="center" wrapText="1"/>
    </xf>
    <xf numFmtId="43" fontId="2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/>
    </xf>
    <xf numFmtId="43" fontId="5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%20MEDIOS%20CREATIVOS/NOMINAS/2019/ASIMILADOS%20A%20SALARIOS/SEITON/01/SEITON-MC%20Nomina%20Asimilados%20No.01%20del%2001%20al%2015%20de%20Enero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9">
          <cell r="C9" t="str">
            <v>Torres Ricardez Alfredo</v>
          </cell>
          <cell r="D9">
            <v>0</v>
          </cell>
          <cell r="E9">
            <v>1500</v>
          </cell>
          <cell r="F9">
            <v>1500</v>
          </cell>
          <cell r="G9">
            <v>83.21</v>
          </cell>
          <cell r="H9">
            <v>83.21</v>
          </cell>
          <cell r="I9">
            <v>83.21</v>
          </cell>
          <cell r="J9">
            <v>1416.79</v>
          </cell>
          <cell r="K9">
            <v>1500</v>
          </cell>
          <cell r="L9">
            <v>30</v>
          </cell>
          <cell r="M9">
            <v>1530</v>
          </cell>
          <cell r="N9">
            <v>244.8</v>
          </cell>
          <cell r="O9">
            <v>1774.8</v>
          </cell>
          <cell r="P9">
            <v>12</v>
          </cell>
          <cell r="Q9" t="str">
            <v>PITSS</v>
          </cell>
        </row>
        <row r="10">
          <cell r="C10" t="str">
            <v>Montoya Portillo Carlos Alberto</v>
          </cell>
          <cell r="D10">
            <v>0</v>
          </cell>
          <cell r="E10">
            <v>1500</v>
          </cell>
          <cell r="F10">
            <v>1500</v>
          </cell>
          <cell r="G10">
            <v>83.21</v>
          </cell>
          <cell r="H10">
            <v>83.21</v>
          </cell>
          <cell r="I10">
            <v>83.21</v>
          </cell>
          <cell r="J10">
            <v>1416.79</v>
          </cell>
          <cell r="K10">
            <v>1500</v>
          </cell>
          <cell r="L10">
            <v>30</v>
          </cell>
          <cell r="M10">
            <v>1530</v>
          </cell>
          <cell r="N10">
            <v>244.8</v>
          </cell>
          <cell r="O10">
            <v>1774.8</v>
          </cell>
          <cell r="P10">
            <v>12</v>
          </cell>
          <cell r="Q10" t="str">
            <v>PITSS</v>
          </cell>
        </row>
        <row r="11">
          <cell r="C11" t="str">
            <v>Cota Jaramillo Miguel Angel</v>
          </cell>
          <cell r="D11">
            <v>0</v>
          </cell>
          <cell r="E11">
            <v>1500</v>
          </cell>
          <cell r="F11">
            <v>1500</v>
          </cell>
          <cell r="G11">
            <v>83.21</v>
          </cell>
          <cell r="H11">
            <v>83.21</v>
          </cell>
          <cell r="I11">
            <v>83.21</v>
          </cell>
          <cell r="J11">
            <v>1416.79</v>
          </cell>
          <cell r="K11">
            <v>1500</v>
          </cell>
          <cell r="L11">
            <v>30</v>
          </cell>
          <cell r="M11">
            <v>1530</v>
          </cell>
          <cell r="N11">
            <v>244.8</v>
          </cell>
          <cell r="O11">
            <v>1774.8</v>
          </cell>
          <cell r="P11">
            <v>12</v>
          </cell>
          <cell r="Q11" t="str">
            <v>PITSS</v>
          </cell>
        </row>
        <row r="12">
          <cell r="C12" t="str">
            <v>Gonzalez Rasgado Miguel Isaias</v>
          </cell>
          <cell r="D12">
            <v>0</v>
          </cell>
          <cell r="E12">
            <v>1500</v>
          </cell>
          <cell r="F12">
            <v>1500</v>
          </cell>
          <cell r="G12">
            <v>83.21</v>
          </cell>
          <cell r="H12">
            <v>83.21</v>
          </cell>
          <cell r="I12">
            <v>83.21</v>
          </cell>
          <cell r="J12">
            <v>1416.79</v>
          </cell>
          <cell r="K12">
            <v>1500</v>
          </cell>
          <cell r="L12">
            <v>30</v>
          </cell>
          <cell r="M12">
            <v>1530</v>
          </cell>
          <cell r="N12">
            <v>244.8</v>
          </cell>
          <cell r="O12">
            <v>1774.8</v>
          </cell>
          <cell r="P12">
            <v>12</v>
          </cell>
          <cell r="Q12" t="str">
            <v>PITSS</v>
          </cell>
        </row>
        <row r="13">
          <cell r="C13" t="str">
            <v>Mar Marquez Cesar Eduardo</v>
          </cell>
          <cell r="D13">
            <v>0</v>
          </cell>
          <cell r="E13">
            <v>1500</v>
          </cell>
          <cell r="F13">
            <v>1500</v>
          </cell>
          <cell r="G13">
            <v>83.21</v>
          </cell>
          <cell r="H13">
            <v>83.21</v>
          </cell>
          <cell r="I13">
            <v>83.21</v>
          </cell>
          <cell r="J13">
            <v>1416.79</v>
          </cell>
          <cell r="K13">
            <v>1500</v>
          </cell>
          <cell r="L13">
            <v>30</v>
          </cell>
          <cell r="M13">
            <v>1530</v>
          </cell>
          <cell r="N13">
            <v>244.8</v>
          </cell>
          <cell r="O13">
            <v>1774.8</v>
          </cell>
          <cell r="P13">
            <v>12</v>
          </cell>
          <cell r="Q13" t="str">
            <v>PITSS</v>
          </cell>
        </row>
        <row r="14">
          <cell r="C14" t="str">
            <v>Molina Ramirez Gerardo Daniel</v>
          </cell>
          <cell r="D14">
            <v>0</v>
          </cell>
          <cell r="E14">
            <v>1500</v>
          </cell>
          <cell r="F14">
            <v>1500</v>
          </cell>
          <cell r="G14">
            <v>83.21</v>
          </cell>
          <cell r="H14">
            <v>83.21</v>
          </cell>
          <cell r="I14">
            <v>83.21</v>
          </cell>
          <cell r="J14">
            <v>1416.79</v>
          </cell>
          <cell r="K14">
            <v>1500</v>
          </cell>
          <cell r="L14">
            <v>30</v>
          </cell>
          <cell r="M14">
            <v>1530</v>
          </cell>
          <cell r="N14">
            <v>244.8</v>
          </cell>
          <cell r="O14">
            <v>1774.8</v>
          </cell>
          <cell r="P14">
            <v>12</v>
          </cell>
          <cell r="Q14" t="str">
            <v>PITSS</v>
          </cell>
        </row>
        <row r="15">
          <cell r="C15" t="str">
            <v>Muñoz Reyes Luis Eduardo</v>
          </cell>
          <cell r="D15">
            <v>0</v>
          </cell>
          <cell r="E15">
            <v>1500</v>
          </cell>
          <cell r="F15">
            <v>1500</v>
          </cell>
          <cell r="G15">
            <v>83.21</v>
          </cell>
          <cell r="H15">
            <v>83.21</v>
          </cell>
          <cell r="I15">
            <v>83.21</v>
          </cell>
          <cell r="J15">
            <v>1416.79</v>
          </cell>
          <cell r="K15">
            <v>1500</v>
          </cell>
          <cell r="L15">
            <v>30</v>
          </cell>
          <cell r="M15">
            <v>1530</v>
          </cell>
          <cell r="N15">
            <v>244.8</v>
          </cell>
          <cell r="O15">
            <v>1774.8</v>
          </cell>
          <cell r="P15">
            <v>12</v>
          </cell>
          <cell r="Q15" t="str">
            <v>PITSS</v>
          </cell>
        </row>
        <row r="16">
          <cell r="C16" t="str">
            <v>Chavez  Pedraza Samuel</v>
          </cell>
          <cell r="D16">
            <v>0</v>
          </cell>
          <cell r="E16">
            <v>1500</v>
          </cell>
          <cell r="F16">
            <v>1500</v>
          </cell>
          <cell r="G16">
            <v>83.21</v>
          </cell>
          <cell r="H16">
            <v>83.21</v>
          </cell>
          <cell r="I16">
            <v>83.21</v>
          </cell>
          <cell r="J16">
            <v>1416.79</v>
          </cell>
          <cell r="K16">
            <v>1500</v>
          </cell>
          <cell r="L16">
            <v>30</v>
          </cell>
          <cell r="M16">
            <v>1530</v>
          </cell>
          <cell r="N16">
            <v>244.8</v>
          </cell>
          <cell r="O16">
            <v>1774.8</v>
          </cell>
          <cell r="P16">
            <v>12</v>
          </cell>
          <cell r="Q16" t="str">
            <v>PITSS</v>
          </cell>
        </row>
        <row r="17">
          <cell r="C17" t="str">
            <v>Lopez Torreon Roberto Porfirio</v>
          </cell>
          <cell r="D17">
            <v>0</v>
          </cell>
          <cell r="E17">
            <v>1500</v>
          </cell>
          <cell r="F17">
            <v>1500</v>
          </cell>
          <cell r="G17">
            <v>83.21</v>
          </cell>
          <cell r="H17">
            <v>83.21</v>
          </cell>
          <cell r="I17">
            <v>83.21</v>
          </cell>
          <cell r="J17">
            <v>1416.79</v>
          </cell>
          <cell r="K17">
            <v>1500</v>
          </cell>
          <cell r="L17">
            <v>30</v>
          </cell>
          <cell r="M17">
            <v>1530</v>
          </cell>
          <cell r="N17">
            <v>244.8</v>
          </cell>
          <cell r="O17">
            <v>1774.8</v>
          </cell>
          <cell r="P17">
            <v>12</v>
          </cell>
          <cell r="Q17" t="str">
            <v>PITSS</v>
          </cell>
        </row>
        <row r="18">
          <cell r="C18" t="str">
            <v>Martinez Hernandez J. Antonio</v>
          </cell>
          <cell r="D18">
            <v>0</v>
          </cell>
          <cell r="E18">
            <v>1500</v>
          </cell>
          <cell r="F18">
            <v>1500</v>
          </cell>
          <cell r="G18">
            <v>83.21</v>
          </cell>
          <cell r="H18">
            <v>83.21</v>
          </cell>
          <cell r="I18">
            <v>83.21</v>
          </cell>
          <cell r="J18">
            <v>1416.79</v>
          </cell>
          <cell r="K18">
            <v>1500</v>
          </cell>
          <cell r="L18">
            <v>30</v>
          </cell>
          <cell r="M18">
            <v>1530</v>
          </cell>
          <cell r="N18">
            <v>244.8</v>
          </cell>
          <cell r="O18">
            <v>1774.8</v>
          </cell>
          <cell r="P18">
            <v>12</v>
          </cell>
          <cell r="Q18" t="str">
            <v>PITSS</v>
          </cell>
        </row>
        <row r="19">
          <cell r="C19" t="str">
            <v>Palacios Ramos Jesus</v>
          </cell>
          <cell r="D19">
            <v>0</v>
          </cell>
          <cell r="E19">
            <v>1500</v>
          </cell>
          <cell r="F19">
            <v>1500</v>
          </cell>
          <cell r="G19">
            <v>83.21</v>
          </cell>
          <cell r="H19">
            <v>83.21</v>
          </cell>
          <cell r="I19">
            <v>83.21</v>
          </cell>
          <cell r="J19">
            <v>1416.79</v>
          </cell>
          <cell r="K19">
            <v>1500</v>
          </cell>
          <cell r="L19">
            <v>30</v>
          </cell>
          <cell r="M19">
            <v>1530</v>
          </cell>
          <cell r="N19">
            <v>244.8</v>
          </cell>
          <cell r="O19">
            <v>1774.8</v>
          </cell>
          <cell r="P19">
            <v>12</v>
          </cell>
          <cell r="Q19" t="str">
            <v>PITSS</v>
          </cell>
        </row>
        <row r="20">
          <cell r="C20" t="str">
            <v>Vaca Valdez Guillermo</v>
          </cell>
          <cell r="D20">
            <v>0</v>
          </cell>
          <cell r="E20">
            <v>1500</v>
          </cell>
          <cell r="F20">
            <v>1500</v>
          </cell>
          <cell r="G20">
            <v>83.21</v>
          </cell>
          <cell r="H20">
            <v>83.21</v>
          </cell>
          <cell r="I20">
            <v>83.21</v>
          </cell>
          <cell r="J20">
            <v>1416.79</v>
          </cell>
          <cell r="K20">
            <v>1500</v>
          </cell>
          <cell r="L20">
            <v>30</v>
          </cell>
          <cell r="M20">
            <v>1530</v>
          </cell>
          <cell r="N20">
            <v>244.8</v>
          </cell>
          <cell r="O20">
            <v>1774.8</v>
          </cell>
          <cell r="P20">
            <v>12</v>
          </cell>
          <cell r="Q20" t="str">
            <v>PITSS</v>
          </cell>
        </row>
        <row r="21">
          <cell r="C21" t="str">
            <v>Velez Rodriguez Jaime</v>
          </cell>
          <cell r="D21">
            <v>0</v>
          </cell>
          <cell r="E21">
            <v>800</v>
          </cell>
          <cell r="F21">
            <v>800</v>
          </cell>
          <cell r="G21">
            <v>38.409999999999997</v>
          </cell>
          <cell r="H21">
            <v>38.409999999999997</v>
          </cell>
          <cell r="I21">
            <v>38.409999999999997</v>
          </cell>
          <cell r="J21">
            <v>761.59</v>
          </cell>
          <cell r="K21">
            <v>800</v>
          </cell>
          <cell r="L21">
            <v>16</v>
          </cell>
          <cell r="M21">
            <v>816</v>
          </cell>
          <cell r="N21">
            <v>130.56</v>
          </cell>
          <cell r="O21">
            <v>946.56</v>
          </cell>
          <cell r="P21">
            <v>12</v>
          </cell>
          <cell r="Q21" t="str">
            <v>PITSS</v>
          </cell>
        </row>
        <row r="22">
          <cell r="C22" t="str">
            <v xml:space="preserve">Cerro  Garcia  Elvis </v>
          </cell>
          <cell r="D22">
            <v>0</v>
          </cell>
          <cell r="E22">
            <v>1500</v>
          </cell>
          <cell r="F22">
            <v>1500</v>
          </cell>
          <cell r="G22">
            <v>83.21</v>
          </cell>
          <cell r="H22">
            <v>83.21</v>
          </cell>
          <cell r="I22">
            <v>83.21</v>
          </cell>
          <cell r="J22">
            <v>1416.79</v>
          </cell>
          <cell r="K22">
            <v>1500</v>
          </cell>
          <cell r="L22">
            <v>30</v>
          </cell>
          <cell r="M22">
            <v>1530</v>
          </cell>
          <cell r="N22">
            <v>244.8</v>
          </cell>
          <cell r="O22">
            <v>1774.8</v>
          </cell>
          <cell r="P22">
            <v>12</v>
          </cell>
          <cell r="Q22" t="str">
            <v>PITSS</v>
          </cell>
        </row>
        <row r="23">
          <cell r="C23" t="str">
            <v>Chavira  Garcia David Fernando</v>
          </cell>
          <cell r="D23">
            <v>0</v>
          </cell>
          <cell r="E23">
            <v>3000</v>
          </cell>
          <cell r="F23">
            <v>3000</v>
          </cell>
          <cell r="G23">
            <v>205.07</v>
          </cell>
          <cell r="H23">
            <v>205.07</v>
          </cell>
          <cell r="I23">
            <v>205.07</v>
          </cell>
          <cell r="J23">
            <v>2794.93</v>
          </cell>
          <cell r="K23">
            <v>3000</v>
          </cell>
          <cell r="L23">
            <v>60</v>
          </cell>
          <cell r="M23">
            <v>3060</v>
          </cell>
          <cell r="N23">
            <v>489.6</v>
          </cell>
          <cell r="O23">
            <v>3549.6</v>
          </cell>
          <cell r="P23">
            <v>12</v>
          </cell>
          <cell r="Q23" t="str">
            <v>PITSS</v>
          </cell>
        </row>
        <row r="24">
          <cell r="C24" t="str">
            <v>Sandoval Garcia Luis</v>
          </cell>
          <cell r="D24">
            <v>0</v>
          </cell>
          <cell r="E24">
            <v>1500</v>
          </cell>
          <cell r="F24">
            <v>1500</v>
          </cell>
          <cell r="G24">
            <v>83.21</v>
          </cell>
          <cell r="H24">
            <v>83.21</v>
          </cell>
          <cell r="I24">
            <v>83.21</v>
          </cell>
          <cell r="J24">
            <v>1416.79</v>
          </cell>
          <cell r="K24">
            <v>1500</v>
          </cell>
          <cell r="L24">
            <v>30</v>
          </cell>
          <cell r="M24">
            <v>1530</v>
          </cell>
          <cell r="N24">
            <v>244.8</v>
          </cell>
          <cell r="O24">
            <v>1774.8</v>
          </cell>
          <cell r="P24">
            <v>12</v>
          </cell>
          <cell r="Q24" t="str">
            <v>PITSS</v>
          </cell>
        </row>
        <row r="25">
          <cell r="C25" t="str">
            <v>Torres  Velazquez  Juan Antonio</v>
          </cell>
          <cell r="D25">
            <v>0</v>
          </cell>
          <cell r="E25">
            <v>1500</v>
          </cell>
          <cell r="F25">
            <v>1500</v>
          </cell>
          <cell r="G25">
            <v>83.21</v>
          </cell>
          <cell r="H25">
            <v>83.21</v>
          </cell>
          <cell r="I25">
            <v>83.21</v>
          </cell>
          <cell r="J25">
            <v>1416.79</v>
          </cell>
          <cell r="K25">
            <v>1500</v>
          </cell>
          <cell r="L25">
            <v>30</v>
          </cell>
          <cell r="M25">
            <v>1530</v>
          </cell>
          <cell r="N25">
            <v>244.8</v>
          </cell>
          <cell r="O25">
            <v>1774.8</v>
          </cell>
          <cell r="P25">
            <v>12</v>
          </cell>
          <cell r="Q25" t="str">
            <v>PITSS</v>
          </cell>
        </row>
        <row r="26">
          <cell r="C26" t="str">
            <v>Hernandez Garcia Manuel Alejandro</v>
          </cell>
          <cell r="D26">
            <v>0</v>
          </cell>
          <cell r="E26">
            <v>1500</v>
          </cell>
          <cell r="F26">
            <v>1500</v>
          </cell>
          <cell r="G26">
            <v>83.21</v>
          </cell>
          <cell r="H26">
            <v>83.21</v>
          </cell>
          <cell r="I26">
            <v>83.21</v>
          </cell>
          <cell r="J26">
            <v>1416.79</v>
          </cell>
          <cell r="K26">
            <v>1500</v>
          </cell>
          <cell r="L26">
            <v>30</v>
          </cell>
          <cell r="M26">
            <v>1530</v>
          </cell>
          <cell r="N26">
            <v>244.8</v>
          </cell>
          <cell r="O26">
            <v>1774.8</v>
          </cell>
          <cell r="P26">
            <v>12</v>
          </cell>
          <cell r="Q26" t="str">
            <v>PITSS</v>
          </cell>
        </row>
        <row r="27">
          <cell r="C27" t="str">
            <v>Sandoval Medina Demetrio</v>
          </cell>
          <cell r="D27">
            <v>0</v>
          </cell>
          <cell r="E27">
            <v>1500</v>
          </cell>
          <cell r="F27">
            <v>1500</v>
          </cell>
          <cell r="G27">
            <v>83.21</v>
          </cell>
          <cell r="H27">
            <v>83.21</v>
          </cell>
          <cell r="I27">
            <v>83.21</v>
          </cell>
          <cell r="J27">
            <v>1416.79</v>
          </cell>
          <cell r="K27">
            <v>1500</v>
          </cell>
          <cell r="L27">
            <v>30</v>
          </cell>
          <cell r="M27">
            <v>1530</v>
          </cell>
          <cell r="N27">
            <v>244.8</v>
          </cell>
          <cell r="O27">
            <v>1774.8</v>
          </cell>
          <cell r="P27">
            <v>12</v>
          </cell>
          <cell r="Q27" t="str">
            <v>PITSS</v>
          </cell>
        </row>
        <row r="28">
          <cell r="C28" t="str">
            <v>Cruz Perez Alejandro Nezahualcoyotl</v>
          </cell>
          <cell r="D28">
            <v>0</v>
          </cell>
          <cell r="E28">
            <v>1500</v>
          </cell>
          <cell r="F28">
            <v>1500</v>
          </cell>
          <cell r="G28">
            <v>83.21</v>
          </cell>
          <cell r="H28">
            <v>83.21</v>
          </cell>
          <cell r="I28">
            <v>83.21</v>
          </cell>
          <cell r="J28">
            <v>1416.79</v>
          </cell>
          <cell r="K28">
            <v>1500</v>
          </cell>
          <cell r="L28">
            <v>30</v>
          </cell>
          <cell r="M28">
            <v>1530</v>
          </cell>
          <cell r="N28">
            <v>244.8</v>
          </cell>
          <cell r="O28">
            <v>1774.8</v>
          </cell>
          <cell r="P28">
            <v>12</v>
          </cell>
          <cell r="Q28" t="str">
            <v>PITSS</v>
          </cell>
        </row>
        <row r="29">
          <cell r="C29" t="str">
            <v>Lizaran  Maceda Jose Guadalupe</v>
          </cell>
          <cell r="D29">
            <v>0</v>
          </cell>
          <cell r="E29">
            <v>750</v>
          </cell>
          <cell r="F29">
            <v>750</v>
          </cell>
          <cell r="G29">
            <v>35.21</v>
          </cell>
          <cell r="H29">
            <v>35.21</v>
          </cell>
          <cell r="I29">
            <v>35.21</v>
          </cell>
          <cell r="J29">
            <v>714.79</v>
          </cell>
          <cell r="K29">
            <v>750</v>
          </cell>
          <cell r="L29">
            <v>15</v>
          </cell>
          <cell r="M29">
            <v>765</v>
          </cell>
          <cell r="N29">
            <v>122.4</v>
          </cell>
          <cell r="O29">
            <v>887.4</v>
          </cell>
          <cell r="P29">
            <v>12</v>
          </cell>
          <cell r="Q29" t="str">
            <v>PITSS</v>
          </cell>
        </row>
        <row r="30">
          <cell r="C30" t="str">
            <v>Mendez Rivera Ivan Israel</v>
          </cell>
          <cell r="D30">
            <v>0</v>
          </cell>
          <cell r="E30">
            <v>1500</v>
          </cell>
          <cell r="F30">
            <v>1500</v>
          </cell>
          <cell r="G30">
            <v>83.21</v>
          </cell>
          <cell r="H30">
            <v>83.21</v>
          </cell>
          <cell r="I30">
            <v>83.21</v>
          </cell>
          <cell r="J30">
            <v>1416.79</v>
          </cell>
          <cell r="K30">
            <v>1500</v>
          </cell>
          <cell r="L30">
            <v>30</v>
          </cell>
          <cell r="M30">
            <v>1530</v>
          </cell>
          <cell r="N30">
            <v>244.8</v>
          </cell>
          <cell r="O30">
            <v>1774.8</v>
          </cell>
          <cell r="P30">
            <v>12</v>
          </cell>
          <cell r="Q30" t="str">
            <v>PITSS</v>
          </cell>
        </row>
        <row r="31">
          <cell r="C31" t="str">
            <v>Ruiz Flores Aldo Tomas</v>
          </cell>
          <cell r="D31">
            <v>0</v>
          </cell>
          <cell r="E31">
            <v>1500</v>
          </cell>
          <cell r="F31">
            <v>1500</v>
          </cell>
          <cell r="G31">
            <v>83.21</v>
          </cell>
          <cell r="H31">
            <v>83.21</v>
          </cell>
          <cell r="I31">
            <v>83.21</v>
          </cell>
          <cell r="J31">
            <v>1416.79</v>
          </cell>
          <cell r="K31">
            <v>1500</v>
          </cell>
          <cell r="L31">
            <v>30</v>
          </cell>
          <cell r="M31">
            <v>1530</v>
          </cell>
          <cell r="N31">
            <v>244.8</v>
          </cell>
          <cell r="O31">
            <v>1774.8</v>
          </cell>
          <cell r="P31">
            <v>12</v>
          </cell>
          <cell r="Q31" t="str">
            <v>PITSS</v>
          </cell>
        </row>
        <row r="32">
          <cell r="C32" t="str">
            <v>Palacios Vega Luis Rosendo</v>
          </cell>
          <cell r="D32">
            <v>0</v>
          </cell>
          <cell r="E32">
            <v>1500</v>
          </cell>
          <cell r="F32">
            <v>1500</v>
          </cell>
          <cell r="G32">
            <v>83.21</v>
          </cell>
          <cell r="H32">
            <v>83.21</v>
          </cell>
          <cell r="I32">
            <v>83.21</v>
          </cell>
          <cell r="J32">
            <v>1416.79</v>
          </cell>
          <cell r="K32">
            <v>1500</v>
          </cell>
          <cell r="L32">
            <v>30</v>
          </cell>
          <cell r="M32">
            <v>1530</v>
          </cell>
          <cell r="N32">
            <v>244.8</v>
          </cell>
          <cell r="O32">
            <v>1774.8</v>
          </cell>
          <cell r="P32">
            <v>12</v>
          </cell>
          <cell r="Q32" t="str">
            <v>PITSS</v>
          </cell>
        </row>
        <row r="33">
          <cell r="C33" t="str">
            <v>Hernandez Rodriguez Jorge</v>
          </cell>
          <cell r="D33">
            <v>0</v>
          </cell>
          <cell r="E33">
            <v>1500</v>
          </cell>
          <cell r="F33">
            <v>1500</v>
          </cell>
          <cell r="G33">
            <v>83.21</v>
          </cell>
          <cell r="H33">
            <v>83.21</v>
          </cell>
          <cell r="I33">
            <v>83.21</v>
          </cell>
          <cell r="J33">
            <v>1416.79</v>
          </cell>
          <cell r="K33">
            <v>1500</v>
          </cell>
          <cell r="L33">
            <v>30</v>
          </cell>
          <cell r="M33">
            <v>1530</v>
          </cell>
          <cell r="N33">
            <v>244.8</v>
          </cell>
          <cell r="O33">
            <v>1774.8</v>
          </cell>
          <cell r="P33">
            <v>12</v>
          </cell>
          <cell r="Q33" t="str">
            <v>PITSS</v>
          </cell>
        </row>
        <row r="34">
          <cell r="C34" t="str">
            <v>Lizaran Maceda Jesus</v>
          </cell>
          <cell r="D34">
            <v>0</v>
          </cell>
          <cell r="E34">
            <v>1500</v>
          </cell>
          <cell r="F34">
            <v>1500</v>
          </cell>
          <cell r="G34">
            <v>83.21</v>
          </cell>
          <cell r="H34">
            <v>83.21</v>
          </cell>
          <cell r="I34">
            <v>83.21</v>
          </cell>
          <cell r="J34">
            <v>1416.79</v>
          </cell>
          <cell r="K34">
            <v>1500</v>
          </cell>
          <cell r="L34">
            <v>30</v>
          </cell>
          <cell r="M34">
            <v>1530</v>
          </cell>
          <cell r="N34">
            <v>244.8</v>
          </cell>
          <cell r="O34">
            <v>1774.8</v>
          </cell>
          <cell r="P34">
            <v>12</v>
          </cell>
          <cell r="Q34" t="str">
            <v>PITSS</v>
          </cell>
        </row>
        <row r="35">
          <cell r="C35" t="str">
            <v>Casas Chavarria Rafael</v>
          </cell>
          <cell r="D35">
            <v>0</v>
          </cell>
          <cell r="E35">
            <v>1500</v>
          </cell>
          <cell r="F35">
            <v>1500</v>
          </cell>
          <cell r="G35">
            <v>83.21</v>
          </cell>
          <cell r="H35">
            <v>83.21</v>
          </cell>
          <cell r="I35">
            <v>83.21</v>
          </cell>
          <cell r="J35">
            <v>1416.79</v>
          </cell>
          <cell r="K35">
            <v>1500</v>
          </cell>
          <cell r="L35">
            <v>30</v>
          </cell>
          <cell r="M35">
            <v>1530</v>
          </cell>
          <cell r="N35">
            <v>244.8</v>
          </cell>
          <cell r="O35">
            <v>1774.8</v>
          </cell>
          <cell r="P35">
            <v>12</v>
          </cell>
          <cell r="Q35" t="str">
            <v>PITSS</v>
          </cell>
        </row>
        <row r="36">
          <cell r="C36" t="str">
            <v>Del Pilar Mendez Lucio</v>
          </cell>
          <cell r="D36">
            <v>0</v>
          </cell>
          <cell r="E36">
            <v>750</v>
          </cell>
          <cell r="F36">
            <v>750</v>
          </cell>
          <cell r="G36">
            <v>35.21</v>
          </cell>
          <cell r="H36">
            <v>35.21</v>
          </cell>
          <cell r="I36">
            <v>35.21</v>
          </cell>
          <cell r="J36">
            <v>714.79</v>
          </cell>
          <cell r="K36">
            <v>750</v>
          </cell>
          <cell r="L36">
            <v>15</v>
          </cell>
          <cell r="M36">
            <v>765</v>
          </cell>
          <cell r="N36">
            <v>122.4</v>
          </cell>
          <cell r="O36">
            <v>887.4</v>
          </cell>
          <cell r="P36">
            <v>12</v>
          </cell>
          <cell r="Q36" t="str">
            <v>PITSS</v>
          </cell>
        </row>
        <row r="37">
          <cell r="C37" t="str">
            <v>Garcia Valderrama Jose De Jesus</v>
          </cell>
          <cell r="D37">
            <v>0</v>
          </cell>
          <cell r="E37">
            <v>1500</v>
          </cell>
          <cell r="F37">
            <v>1500</v>
          </cell>
          <cell r="G37">
            <v>83.21</v>
          </cell>
          <cell r="H37">
            <v>83.21</v>
          </cell>
          <cell r="I37">
            <v>83.21</v>
          </cell>
          <cell r="J37">
            <v>1416.79</v>
          </cell>
          <cell r="K37">
            <v>1500</v>
          </cell>
          <cell r="L37">
            <v>30</v>
          </cell>
          <cell r="M37">
            <v>1530</v>
          </cell>
          <cell r="N37">
            <v>244.8</v>
          </cell>
          <cell r="O37">
            <v>1774.8</v>
          </cell>
          <cell r="P37">
            <v>0</v>
          </cell>
          <cell r="Q37" t="str">
            <v>PITSS</v>
          </cell>
        </row>
        <row r="38">
          <cell r="C38" t="str">
            <v>Alejandro Vazquez Erasmo Miguel</v>
          </cell>
          <cell r="E38">
            <v>1500</v>
          </cell>
          <cell r="F38">
            <v>1500</v>
          </cell>
          <cell r="H38">
            <v>83.21</v>
          </cell>
          <cell r="I38">
            <v>83.21</v>
          </cell>
          <cell r="J38">
            <v>1416.79</v>
          </cell>
          <cell r="K38">
            <v>1500</v>
          </cell>
          <cell r="L38">
            <v>30</v>
          </cell>
          <cell r="M38">
            <v>1530</v>
          </cell>
          <cell r="N38">
            <v>244.8</v>
          </cell>
          <cell r="O38">
            <v>1774.8</v>
          </cell>
          <cell r="Q38" t="str">
            <v>PITSS</v>
          </cell>
        </row>
        <row r="39">
          <cell r="C39" t="str">
            <v>Orea Gonzalez Esteban Concepcion</v>
          </cell>
          <cell r="E39">
            <v>750</v>
          </cell>
          <cell r="F39">
            <v>750</v>
          </cell>
          <cell r="H39">
            <v>35.21</v>
          </cell>
          <cell r="I39">
            <v>35.21</v>
          </cell>
          <cell r="J39">
            <v>714.79</v>
          </cell>
          <cell r="K39">
            <v>750</v>
          </cell>
          <cell r="L39">
            <v>15</v>
          </cell>
          <cell r="M39">
            <v>765</v>
          </cell>
          <cell r="N39">
            <v>122.4</v>
          </cell>
          <cell r="O39">
            <v>887.4</v>
          </cell>
          <cell r="Q39" t="str">
            <v>PITSS</v>
          </cell>
        </row>
        <row r="40">
          <cell r="C40">
            <v>0</v>
          </cell>
          <cell r="D40">
            <v>0</v>
          </cell>
          <cell r="E40">
            <v>45050</v>
          </cell>
          <cell r="F40">
            <v>45050</v>
          </cell>
          <cell r="G40">
            <v>2394.1500000000005</v>
          </cell>
          <cell r="H40">
            <v>2512.5700000000006</v>
          </cell>
          <cell r="I40">
            <v>2512.5700000000006</v>
          </cell>
          <cell r="J40">
            <v>42537.430000000015</v>
          </cell>
          <cell r="K40">
            <v>45050</v>
          </cell>
          <cell r="L40">
            <v>901</v>
          </cell>
          <cell r="M40">
            <v>45951</v>
          </cell>
          <cell r="N40">
            <v>7352.1600000000017</v>
          </cell>
          <cell r="O40">
            <v>53303.160000000025</v>
          </cell>
          <cell r="P40">
            <v>336</v>
          </cell>
          <cell r="Q40">
            <v>0</v>
          </cell>
        </row>
        <row r="41">
          <cell r="C41" t="str">
            <v>Benavides Herrera Daniela</v>
          </cell>
          <cell r="D41">
            <v>12732.52</v>
          </cell>
          <cell r="E41">
            <v>0</v>
          </cell>
          <cell r="F41">
            <v>12732.52</v>
          </cell>
          <cell r="G41">
            <v>2098.3200000000002</v>
          </cell>
          <cell r="H41">
            <v>2098.3200000000002</v>
          </cell>
          <cell r="I41">
            <v>2098.3200000000002</v>
          </cell>
          <cell r="J41">
            <v>10634.2</v>
          </cell>
          <cell r="K41">
            <v>12732.52</v>
          </cell>
          <cell r="L41">
            <v>254.65040000000002</v>
          </cell>
          <cell r="M41">
            <v>12987.170400000001</v>
          </cell>
          <cell r="N41">
            <v>2077.9472640000004</v>
          </cell>
          <cell r="O41">
            <v>15065.117664000001</v>
          </cell>
          <cell r="P41">
            <v>12</v>
          </cell>
          <cell r="Q41" t="str">
            <v>SEITON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8" sqref="A8"/>
      <selection pane="bottomRight" activeCell="I38" sqref="I38"/>
    </sheetView>
  </sheetViews>
  <sheetFormatPr baseColWidth="10" defaultRowHeight="12.75" x14ac:dyDescent="0.2"/>
  <cols>
    <col min="1" max="1" width="12.28515625" style="2" customWidth="1"/>
    <col min="2" max="2" width="31.85546875" style="2" customWidth="1"/>
    <col min="3" max="4" width="15.7109375" style="2" customWidth="1"/>
    <col min="5" max="5" width="15.7109375" style="2" hidden="1" customWidth="1"/>
    <col min="6" max="13" width="15.7109375" style="2" customWidth="1"/>
    <col min="14" max="14" width="15.7109375" style="2" hidden="1" customWidth="1"/>
    <col min="15" max="15" width="13.5703125" style="2" customWidth="1"/>
    <col min="16" max="16384" width="11.42578125" style="2"/>
  </cols>
  <sheetData>
    <row r="1" spans="1:15" ht="24.95" customHeight="1" x14ac:dyDescent="0.2">
      <c r="A1" s="1"/>
      <c r="B1" s="12" t="s">
        <v>0</v>
      </c>
      <c r="C1" s="13"/>
      <c r="D1" s="13"/>
    </row>
    <row r="2" spans="1:15" x14ac:dyDescent="0.2">
      <c r="B2" s="14" t="s">
        <v>1</v>
      </c>
      <c r="C2" s="14"/>
      <c r="D2" s="14"/>
      <c r="E2" s="3"/>
    </row>
    <row r="3" spans="1:15" x14ac:dyDescent="0.2">
      <c r="B3" s="4" t="s">
        <v>2</v>
      </c>
      <c r="C3" s="4"/>
      <c r="D3" s="4"/>
    </row>
    <row r="4" spans="1:15" x14ac:dyDescent="0.2">
      <c r="B4" s="4" t="s">
        <v>3</v>
      </c>
    </row>
    <row r="5" spans="1:15" ht="15.75" x14ac:dyDescent="0.2">
      <c r="I5" s="15" t="s">
        <v>79</v>
      </c>
      <c r="J5" s="15"/>
      <c r="K5" s="15"/>
      <c r="L5" s="15"/>
      <c r="M5" s="15"/>
    </row>
    <row r="6" spans="1:15" s="8" customFormat="1" ht="39" thickBot="1" x14ac:dyDescent="0.3">
      <c r="A6" s="9" t="s">
        <v>4</v>
      </c>
      <c r="B6" s="9" t="s">
        <v>5</v>
      </c>
      <c r="C6" s="9" t="s">
        <v>6</v>
      </c>
      <c r="D6" s="10" t="s">
        <v>7</v>
      </c>
      <c r="E6" s="9" t="s">
        <v>8</v>
      </c>
      <c r="F6" s="9" t="s">
        <v>9</v>
      </c>
      <c r="G6" s="10" t="s">
        <v>10</v>
      </c>
      <c r="H6" s="11" t="s">
        <v>11</v>
      </c>
      <c r="I6" s="9" t="s">
        <v>12</v>
      </c>
      <c r="J6" s="9" t="s">
        <v>13</v>
      </c>
      <c r="K6" s="9" t="s">
        <v>14</v>
      </c>
      <c r="L6" s="9" t="s">
        <v>15</v>
      </c>
      <c r="M6" s="9" t="s">
        <v>16</v>
      </c>
      <c r="N6" s="7" t="s">
        <v>17</v>
      </c>
      <c r="O6" s="9" t="s">
        <v>79</v>
      </c>
    </row>
    <row r="7" spans="1:15" ht="13.5" thickTop="1" x14ac:dyDescent="0.2">
      <c r="A7" s="2" t="s">
        <v>18</v>
      </c>
      <c r="B7" s="2" t="s">
        <v>19</v>
      </c>
      <c r="C7" s="2">
        <v>1500</v>
      </c>
      <c r="D7" s="2">
        <v>1500</v>
      </c>
      <c r="E7" s="2">
        <v>83.21</v>
      </c>
      <c r="F7" s="2">
        <v>83.21</v>
      </c>
      <c r="G7" s="2">
        <v>83.21</v>
      </c>
      <c r="H7" s="2">
        <v>1416.79</v>
      </c>
      <c r="I7" s="2">
        <v>1500</v>
      </c>
      <c r="J7" s="2">
        <f t="shared" ref="J7:J38" si="0">+I7*2%</f>
        <v>30</v>
      </c>
      <c r="K7" s="2">
        <f t="shared" ref="K7:K36" si="1">+I7+J7</f>
        <v>1530</v>
      </c>
      <c r="L7" s="2">
        <f t="shared" ref="L7:L36" si="2">+K7*16%</f>
        <v>244.8</v>
      </c>
      <c r="M7" s="2">
        <f t="shared" ref="M7:M36" si="3">+K7+L7</f>
        <v>1774.8</v>
      </c>
      <c r="N7" s="2">
        <v>12</v>
      </c>
      <c r="O7" s="2" t="str">
        <f>VLOOKUP(B7,[1]Hoja1!$C$9:$Q$41,15,0)</f>
        <v>PITSS</v>
      </c>
    </row>
    <row r="8" spans="1:15" x14ac:dyDescent="0.2">
      <c r="A8" s="2" t="s">
        <v>20</v>
      </c>
      <c r="B8" s="2" t="s">
        <v>21</v>
      </c>
      <c r="C8" s="2">
        <v>1500</v>
      </c>
      <c r="D8" s="2">
        <v>1500</v>
      </c>
      <c r="E8" s="2">
        <v>83.21</v>
      </c>
      <c r="F8" s="2">
        <v>83.21</v>
      </c>
      <c r="G8" s="2">
        <v>83.21</v>
      </c>
      <c r="H8" s="2">
        <v>1416.79</v>
      </c>
      <c r="I8" s="2">
        <v>1500</v>
      </c>
      <c r="J8" s="2">
        <f t="shared" si="0"/>
        <v>30</v>
      </c>
      <c r="K8" s="2">
        <f t="shared" si="1"/>
        <v>1530</v>
      </c>
      <c r="L8" s="2">
        <f t="shared" si="2"/>
        <v>244.8</v>
      </c>
      <c r="M8" s="2">
        <f t="shared" si="3"/>
        <v>1774.8</v>
      </c>
      <c r="N8" s="2">
        <v>12</v>
      </c>
      <c r="O8" s="2" t="str">
        <f>VLOOKUP(B8,[1]Hoja1!$C$9:$Q$41,15,0)</f>
        <v>PITSS</v>
      </c>
    </row>
    <row r="9" spans="1:15" x14ac:dyDescent="0.2">
      <c r="A9" s="2" t="s">
        <v>22</v>
      </c>
      <c r="B9" s="2" t="s">
        <v>23</v>
      </c>
      <c r="C9" s="2">
        <v>1500</v>
      </c>
      <c r="D9" s="2">
        <v>1500</v>
      </c>
      <c r="E9" s="2">
        <v>83.21</v>
      </c>
      <c r="F9" s="2">
        <v>83.21</v>
      </c>
      <c r="G9" s="2">
        <v>83.21</v>
      </c>
      <c r="H9" s="2">
        <v>1416.79</v>
      </c>
      <c r="I9" s="2">
        <v>1500</v>
      </c>
      <c r="J9" s="2">
        <f t="shared" si="0"/>
        <v>30</v>
      </c>
      <c r="K9" s="2">
        <f t="shared" si="1"/>
        <v>1530</v>
      </c>
      <c r="L9" s="2">
        <f t="shared" si="2"/>
        <v>244.8</v>
      </c>
      <c r="M9" s="2">
        <f t="shared" si="3"/>
        <v>1774.8</v>
      </c>
      <c r="N9" s="2">
        <v>12</v>
      </c>
      <c r="O9" s="2" t="str">
        <f>VLOOKUP(B9,[1]Hoja1!$C$9:$Q$41,15,0)</f>
        <v>PITSS</v>
      </c>
    </row>
    <row r="10" spans="1:15" x14ac:dyDescent="0.2">
      <c r="A10" s="2" t="s">
        <v>24</v>
      </c>
      <c r="B10" s="2" t="s">
        <v>25</v>
      </c>
      <c r="C10" s="2">
        <v>1500</v>
      </c>
      <c r="D10" s="2">
        <v>1500</v>
      </c>
      <c r="E10" s="2">
        <v>83.21</v>
      </c>
      <c r="F10" s="2">
        <v>83.21</v>
      </c>
      <c r="G10" s="2">
        <v>83.21</v>
      </c>
      <c r="H10" s="2">
        <v>1416.79</v>
      </c>
      <c r="I10" s="2">
        <v>1500</v>
      </c>
      <c r="J10" s="2">
        <f t="shared" si="0"/>
        <v>30</v>
      </c>
      <c r="K10" s="2">
        <f t="shared" si="1"/>
        <v>1530</v>
      </c>
      <c r="L10" s="2">
        <f t="shared" si="2"/>
        <v>244.8</v>
      </c>
      <c r="M10" s="2">
        <f t="shared" si="3"/>
        <v>1774.8</v>
      </c>
      <c r="N10" s="2">
        <v>12</v>
      </c>
      <c r="O10" s="2" t="str">
        <f>VLOOKUP(B10,[1]Hoja1!$C$9:$Q$41,15,0)</f>
        <v>PITSS</v>
      </c>
    </row>
    <row r="11" spans="1:15" x14ac:dyDescent="0.2">
      <c r="A11" s="2" t="s">
        <v>26</v>
      </c>
      <c r="B11" s="2" t="s">
        <v>27</v>
      </c>
      <c r="C11" s="2">
        <v>1500</v>
      </c>
      <c r="D11" s="2">
        <v>1500</v>
      </c>
      <c r="E11" s="2">
        <v>83.21</v>
      </c>
      <c r="F11" s="2">
        <v>83.21</v>
      </c>
      <c r="G11" s="2">
        <v>83.21</v>
      </c>
      <c r="H11" s="2">
        <v>1416.79</v>
      </c>
      <c r="I11" s="2">
        <v>1500</v>
      </c>
      <c r="J11" s="2">
        <f t="shared" si="0"/>
        <v>30</v>
      </c>
      <c r="K11" s="2">
        <f t="shared" si="1"/>
        <v>1530</v>
      </c>
      <c r="L11" s="2">
        <f t="shared" si="2"/>
        <v>244.8</v>
      </c>
      <c r="M11" s="2">
        <f t="shared" si="3"/>
        <v>1774.8</v>
      </c>
      <c r="N11" s="2">
        <v>12</v>
      </c>
      <c r="O11" s="2" t="str">
        <f>VLOOKUP(B11,[1]Hoja1!$C$9:$Q$41,15,0)</f>
        <v>PITSS</v>
      </c>
    </row>
    <row r="12" spans="1:15" x14ac:dyDescent="0.2">
      <c r="A12" s="2" t="s">
        <v>28</v>
      </c>
      <c r="B12" s="2" t="s">
        <v>29</v>
      </c>
      <c r="C12" s="2">
        <v>1500</v>
      </c>
      <c r="D12" s="2">
        <v>1500</v>
      </c>
      <c r="E12" s="2">
        <v>83.21</v>
      </c>
      <c r="F12" s="2">
        <v>83.21</v>
      </c>
      <c r="G12" s="2">
        <v>83.21</v>
      </c>
      <c r="H12" s="2">
        <v>1416.79</v>
      </c>
      <c r="I12" s="2">
        <v>1500</v>
      </c>
      <c r="J12" s="2">
        <f t="shared" si="0"/>
        <v>30</v>
      </c>
      <c r="K12" s="2">
        <f t="shared" si="1"/>
        <v>1530</v>
      </c>
      <c r="L12" s="2">
        <f t="shared" si="2"/>
        <v>244.8</v>
      </c>
      <c r="M12" s="2">
        <f t="shared" si="3"/>
        <v>1774.8</v>
      </c>
      <c r="N12" s="2">
        <v>12</v>
      </c>
      <c r="O12" s="2" t="str">
        <f>VLOOKUP(B12,[1]Hoja1!$C$9:$Q$41,15,0)</f>
        <v>PITSS</v>
      </c>
    </row>
    <row r="13" spans="1:15" x14ac:dyDescent="0.2">
      <c r="A13" s="2" t="s">
        <v>30</v>
      </c>
      <c r="B13" s="2" t="s">
        <v>31</v>
      </c>
      <c r="C13" s="2">
        <v>1500</v>
      </c>
      <c r="D13" s="2">
        <v>1500</v>
      </c>
      <c r="E13" s="2">
        <v>83.21</v>
      </c>
      <c r="F13" s="2">
        <v>83.21</v>
      </c>
      <c r="G13" s="2">
        <v>83.21</v>
      </c>
      <c r="H13" s="2">
        <v>1416.79</v>
      </c>
      <c r="I13" s="2">
        <v>1500</v>
      </c>
      <c r="J13" s="2">
        <f t="shared" si="0"/>
        <v>30</v>
      </c>
      <c r="K13" s="2">
        <f t="shared" si="1"/>
        <v>1530</v>
      </c>
      <c r="L13" s="2">
        <f t="shared" si="2"/>
        <v>244.8</v>
      </c>
      <c r="M13" s="2">
        <f t="shared" si="3"/>
        <v>1774.8</v>
      </c>
      <c r="N13" s="2">
        <v>12</v>
      </c>
      <c r="O13" s="2" t="str">
        <f>VLOOKUP(B13,[1]Hoja1!$C$9:$Q$41,15,0)</f>
        <v>PITSS</v>
      </c>
    </row>
    <row r="14" spans="1:15" x14ac:dyDescent="0.2">
      <c r="A14" s="2" t="s">
        <v>32</v>
      </c>
      <c r="B14" s="2" t="s">
        <v>33</v>
      </c>
      <c r="C14" s="2">
        <v>1500</v>
      </c>
      <c r="D14" s="2">
        <v>1500</v>
      </c>
      <c r="E14" s="2">
        <v>83.21</v>
      </c>
      <c r="F14" s="2">
        <v>83.21</v>
      </c>
      <c r="G14" s="2">
        <v>83.21</v>
      </c>
      <c r="H14" s="2">
        <v>1416.79</v>
      </c>
      <c r="I14" s="2">
        <v>1500</v>
      </c>
      <c r="J14" s="2">
        <f t="shared" si="0"/>
        <v>30</v>
      </c>
      <c r="K14" s="2">
        <f t="shared" si="1"/>
        <v>1530</v>
      </c>
      <c r="L14" s="2">
        <f t="shared" si="2"/>
        <v>244.8</v>
      </c>
      <c r="M14" s="2">
        <f t="shared" si="3"/>
        <v>1774.8</v>
      </c>
      <c r="N14" s="2">
        <v>12</v>
      </c>
      <c r="O14" s="2" t="str">
        <f>VLOOKUP(B14,[1]Hoja1!$C$9:$Q$41,15,0)</f>
        <v>PITSS</v>
      </c>
    </row>
    <row r="15" spans="1:15" x14ac:dyDescent="0.2">
      <c r="A15" s="2" t="s">
        <v>34</v>
      </c>
      <c r="B15" s="2" t="s">
        <v>35</v>
      </c>
      <c r="C15" s="2">
        <v>1500</v>
      </c>
      <c r="D15" s="2">
        <v>1500</v>
      </c>
      <c r="E15" s="2">
        <v>83.21</v>
      </c>
      <c r="F15" s="2">
        <v>83.21</v>
      </c>
      <c r="G15" s="2">
        <v>83.21</v>
      </c>
      <c r="H15" s="2">
        <v>1416.79</v>
      </c>
      <c r="I15" s="2">
        <v>1500</v>
      </c>
      <c r="J15" s="2">
        <f t="shared" si="0"/>
        <v>30</v>
      </c>
      <c r="K15" s="2">
        <f t="shared" si="1"/>
        <v>1530</v>
      </c>
      <c r="L15" s="2">
        <f t="shared" si="2"/>
        <v>244.8</v>
      </c>
      <c r="M15" s="2">
        <f t="shared" si="3"/>
        <v>1774.8</v>
      </c>
      <c r="N15" s="2">
        <v>12</v>
      </c>
      <c r="O15" s="2" t="str">
        <f>VLOOKUP(B15,[1]Hoja1!$C$9:$Q$41,15,0)</f>
        <v>PITSS</v>
      </c>
    </row>
    <row r="16" spans="1:15" x14ac:dyDescent="0.2">
      <c r="A16" s="2" t="s">
        <v>36</v>
      </c>
      <c r="B16" s="2" t="s">
        <v>37</v>
      </c>
      <c r="C16" s="2">
        <v>1500</v>
      </c>
      <c r="D16" s="2">
        <v>1500</v>
      </c>
      <c r="E16" s="2">
        <v>83.21</v>
      </c>
      <c r="F16" s="2">
        <v>83.21</v>
      </c>
      <c r="G16" s="2">
        <v>83.21</v>
      </c>
      <c r="H16" s="2">
        <v>1416.79</v>
      </c>
      <c r="I16" s="2">
        <v>1500</v>
      </c>
      <c r="J16" s="2">
        <f t="shared" si="0"/>
        <v>30</v>
      </c>
      <c r="K16" s="2">
        <f t="shared" si="1"/>
        <v>1530</v>
      </c>
      <c r="L16" s="2">
        <f t="shared" si="2"/>
        <v>244.8</v>
      </c>
      <c r="M16" s="2">
        <f t="shared" si="3"/>
        <v>1774.8</v>
      </c>
      <c r="N16" s="2">
        <v>12</v>
      </c>
      <c r="O16" s="2" t="str">
        <f>VLOOKUP(B16,[1]Hoja1!$C$9:$Q$41,15,0)</f>
        <v>PITSS</v>
      </c>
    </row>
    <row r="17" spans="1:15" x14ac:dyDescent="0.2">
      <c r="A17" s="2" t="s">
        <v>38</v>
      </c>
      <c r="B17" s="2" t="s">
        <v>39</v>
      </c>
      <c r="C17" s="2">
        <v>1500</v>
      </c>
      <c r="D17" s="2">
        <v>1500</v>
      </c>
      <c r="E17" s="2">
        <v>83.21</v>
      </c>
      <c r="F17" s="2">
        <v>83.21</v>
      </c>
      <c r="G17" s="2">
        <v>83.21</v>
      </c>
      <c r="H17" s="2">
        <v>1416.79</v>
      </c>
      <c r="I17" s="2">
        <v>1500</v>
      </c>
      <c r="J17" s="2">
        <f t="shared" si="0"/>
        <v>30</v>
      </c>
      <c r="K17" s="2">
        <f t="shared" si="1"/>
        <v>1530</v>
      </c>
      <c r="L17" s="2">
        <f t="shared" si="2"/>
        <v>244.8</v>
      </c>
      <c r="M17" s="2">
        <f t="shared" si="3"/>
        <v>1774.8</v>
      </c>
      <c r="N17" s="2">
        <v>12</v>
      </c>
      <c r="O17" s="2" t="str">
        <f>VLOOKUP(B17,[1]Hoja1!$C$9:$Q$41,15,0)</f>
        <v>PITSS</v>
      </c>
    </row>
    <row r="18" spans="1:15" x14ac:dyDescent="0.2">
      <c r="A18" s="2" t="s">
        <v>40</v>
      </c>
      <c r="B18" s="2" t="s">
        <v>41</v>
      </c>
      <c r="C18" s="2">
        <v>1500</v>
      </c>
      <c r="D18" s="2">
        <v>1500</v>
      </c>
      <c r="E18" s="2">
        <v>83.21</v>
      </c>
      <c r="F18" s="2">
        <v>83.21</v>
      </c>
      <c r="G18" s="2">
        <v>83.21</v>
      </c>
      <c r="H18" s="2">
        <v>1416.79</v>
      </c>
      <c r="I18" s="2">
        <v>1500</v>
      </c>
      <c r="J18" s="2">
        <f t="shared" si="0"/>
        <v>30</v>
      </c>
      <c r="K18" s="2">
        <f t="shared" si="1"/>
        <v>1530</v>
      </c>
      <c r="L18" s="2">
        <f t="shared" si="2"/>
        <v>244.8</v>
      </c>
      <c r="M18" s="2">
        <f t="shared" si="3"/>
        <v>1774.8</v>
      </c>
      <c r="N18" s="2">
        <v>12</v>
      </c>
      <c r="O18" s="2" t="str">
        <f>VLOOKUP(B18,[1]Hoja1!$C$9:$Q$41,15,0)</f>
        <v>PITSS</v>
      </c>
    </row>
    <row r="19" spans="1:15" x14ac:dyDescent="0.2">
      <c r="A19" s="2" t="s">
        <v>42</v>
      </c>
      <c r="B19" s="2" t="s">
        <v>43</v>
      </c>
      <c r="C19" s="2">
        <v>800</v>
      </c>
      <c r="D19" s="2">
        <v>800</v>
      </c>
      <c r="E19" s="2">
        <v>38.409999999999997</v>
      </c>
      <c r="F19" s="2">
        <v>38.409999999999997</v>
      </c>
      <c r="G19" s="2">
        <v>38.409999999999997</v>
      </c>
      <c r="H19" s="2">
        <v>761.59</v>
      </c>
      <c r="I19" s="2">
        <v>800</v>
      </c>
      <c r="J19" s="2">
        <f t="shared" si="0"/>
        <v>16</v>
      </c>
      <c r="K19" s="2">
        <f t="shared" si="1"/>
        <v>816</v>
      </c>
      <c r="L19" s="2">
        <f t="shared" si="2"/>
        <v>130.56</v>
      </c>
      <c r="M19" s="2">
        <f t="shared" si="3"/>
        <v>946.56</v>
      </c>
      <c r="N19" s="2">
        <v>12</v>
      </c>
      <c r="O19" s="2" t="str">
        <f>VLOOKUP(B19,[1]Hoja1!$C$9:$Q$41,15,0)</f>
        <v>PITSS</v>
      </c>
    </row>
    <row r="20" spans="1:15" x14ac:dyDescent="0.2">
      <c r="A20" s="2" t="s">
        <v>44</v>
      </c>
      <c r="B20" s="2" t="s">
        <v>45</v>
      </c>
      <c r="C20" s="2">
        <v>1500</v>
      </c>
      <c r="D20" s="2">
        <v>1500</v>
      </c>
      <c r="E20" s="2">
        <v>83.21</v>
      </c>
      <c r="F20" s="2">
        <v>83.21</v>
      </c>
      <c r="G20" s="2">
        <v>83.21</v>
      </c>
      <c r="H20" s="2">
        <v>1416.79</v>
      </c>
      <c r="I20" s="2">
        <v>1500</v>
      </c>
      <c r="J20" s="2">
        <f t="shared" si="0"/>
        <v>30</v>
      </c>
      <c r="K20" s="2">
        <f t="shared" si="1"/>
        <v>1530</v>
      </c>
      <c r="L20" s="2">
        <f t="shared" si="2"/>
        <v>244.8</v>
      </c>
      <c r="M20" s="2">
        <f t="shared" si="3"/>
        <v>1774.8</v>
      </c>
      <c r="N20" s="2">
        <v>12</v>
      </c>
      <c r="O20" s="2" t="str">
        <f>VLOOKUP(B20,[1]Hoja1!$C$9:$Q$41,15,0)</f>
        <v>PITSS</v>
      </c>
    </row>
    <row r="21" spans="1:15" x14ac:dyDescent="0.2">
      <c r="A21" s="2" t="s">
        <v>46</v>
      </c>
      <c r="B21" s="2" t="s">
        <v>47</v>
      </c>
      <c r="C21" s="2">
        <v>1500</v>
      </c>
      <c r="D21" s="2">
        <v>1500</v>
      </c>
      <c r="E21" s="2">
        <v>83.21</v>
      </c>
      <c r="F21" s="2">
        <v>83.21</v>
      </c>
      <c r="G21" s="2">
        <v>83.21</v>
      </c>
      <c r="H21" s="2">
        <v>1416.79</v>
      </c>
      <c r="I21" s="2">
        <v>1500</v>
      </c>
      <c r="J21" s="2">
        <f t="shared" si="0"/>
        <v>30</v>
      </c>
      <c r="K21" s="2">
        <f t="shared" si="1"/>
        <v>1530</v>
      </c>
      <c r="L21" s="2">
        <f t="shared" si="2"/>
        <v>244.8</v>
      </c>
      <c r="M21" s="2">
        <f t="shared" si="3"/>
        <v>1774.8</v>
      </c>
      <c r="N21" s="2">
        <v>12</v>
      </c>
      <c r="O21" s="2" t="str">
        <f>VLOOKUP(B21,[1]Hoja1!$C$9:$Q$41,15,0)</f>
        <v>PITSS</v>
      </c>
    </row>
    <row r="22" spans="1:15" x14ac:dyDescent="0.2">
      <c r="A22" s="2" t="s">
        <v>48</v>
      </c>
      <c r="B22" s="2" t="s">
        <v>49</v>
      </c>
      <c r="C22" s="2">
        <v>1500</v>
      </c>
      <c r="D22" s="2">
        <v>1500</v>
      </c>
      <c r="E22" s="2">
        <v>83.21</v>
      </c>
      <c r="F22" s="2">
        <v>83.21</v>
      </c>
      <c r="G22" s="2">
        <v>83.21</v>
      </c>
      <c r="H22" s="2">
        <v>1416.79</v>
      </c>
      <c r="I22" s="2">
        <v>1500</v>
      </c>
      <c r="J22" s="2">
        <f t="shared" si="0"/>
        <v>30</v>
      </c>
      <c r="K22" s="2">
        <f t="shared" si="1"/>
        <v>1530</v>
      </c>
      <c r="L22" s="2">
        <f t="shared" si="2"/>
        <v>244.8</v>
      </c>
      <c r="M22" s="2">
        <f t="shared" si="3"/>
        <v>1774.8</v>
      </c>
      <c r="N22" s="2">
        <v>12</v>
      </c>
      <c r="O22" s="2" t="str">
        <f>VLOOKUP(B22,[1]Hoja1!$C$9:$Q$41,15,0)</f>
        <v>PITSS</v>
      </c>
    </row>
    <row r="23" spans="1:15" x14ac:dyDescent="0.2">
      <c r="A23" s="2" t="s">
        <v>50</v>
      </c>
      <c r="B23" s="2" t="s">
        <v>51</v>
      </c>
      <c r="C23" s="2">
        <v>1500</v>
      </c>
      <c r="D23" s="2">
        <v>1500</v>
      </c>
      <c r="E23" s="2">
        <v>83.21</v>
      </c>
      <c r="F23" s="2">
        <v>83.21</v>
      </c>
      <c r="G23" s="2">
        <v>83.21</v>
      </c>
      <c r="H23" s="2">
        <v>1416.79</v>
      </c>
      <c r="I23" s="2">
        <v>1500</v>
      </c>
      <c r="J23" s="2">
        <f t="shared" si="0"/>
        <v>30</v>
      </c>
      <c r="K23" s="2">
        <f t="shared" si="1"/>
        <v>1530</v>
      </c>
      <c r="L23" s="2">
        <f t="shared" si="2"/>
        <v>244.8</v>
      </c>
      <c r="M23" s="2">
        <f t="shared" si="3"/>
        <v>1774.8</v>
      </c>
      <c r="N23" s="2">
        <v>12</v>
      </c>
      <c r="O23" s="2" t="str">
        <f>VLOOKUP(B23,[1]Hoja1!$C$9:$Q$41,15,0)</f>
        <v>PITSS</v>
      </c>
    </row>
    <row r="24" spans="1:15" x14ac:dyDescent="0.2">
      <c r="A24" s="2" t="s">
        <v>52</v>
      </c>
      <c r="B24" s="2" t="s">
        <v>53</v>
      </c>
      <c r="C24" s="2">
        <v>1500</v>
      </c>
      <c r="D24" s="2">
        <v>1500</v>
      </c>
      <c r="E24" s="2">
        <v>83.21</v>
      </c>
      <c r="F24" s="2">
        <v>83.21</v>
      </c>
      <c r="G24" s="2">
        <v>83.21</v>
      </c>
      <c r="H24" s="2">
        <v>1416.79</v>
      </c>
      <c r="I24" s="2">
        <v>1500</v>
      </c>
      <c r="J24" s="2">
        <f t="shared" si="0"/>
        <v>30</v>
      </c>
      <c r="K24" s="2">
        <f t="shared" si="1"/>
        <v>1530</v>
      </c>
      <c r="L24" s="2">
        <f t="shared" si="2"/>
        <v>244.8</v>
      </c>
      <c r="M24" s="2">
        <f t="shared" si="3"/>
        <v>1774.8</v>
      </c>
      <c r="N24" s="2">
        <v>12</v>
      </c>
      <c r="O24" s="2" t="str">
        <f>VLOOKUP(B24,[1]Hoja1!$C$9:$Q$41,15,0)</f>
        <v>PITSS</v>
      </c>
    </row>
    <row r="25" spans="1:15" x14ac:dyDescent="0.2">
      <c r="A25" s="2" t="s">
        <v>54</v>
      </c>
      <c r="B25" s="2" t="s">
        <v>55</v>
      </c>
      <c r="C25" s="2">
        <v>1500</v>
      </c>
      <c r="D25" s="2">
        <v>1500</v>
      </c>
      <c r="E25" s="2">
        <v>83.21</v>
      </c>
      <c r="F25" s="2">
        <v>83.21</v>
      </c>
      <c r="G25" s="2">
        <v>83.21</v>
      </c>
      <c r="H25" s="2">
        <v>1416.79</v>
      </c>
      <c r="I25" s="2">
        <v>1500</v>
      </c>
      <c r="J25" s="2">
        <f t="shared" si="0"/>
        <v>30</v>
      </c>
      <c r="K25" s="2">
        <f t="shared" si="1"/>
        <v>1530</v>
      </c>
      <c r="L25" s="2">
        <f t="shared" si="2"/>
        <v>244.8</v>
      </c>
      <c r="M25" s="2">
        <f t="shared" si="3"/>
        <v>1774.8</v>
      </c>
      <c r="N25" s="2">
        <v>12</v>
      </c>
      <c r="O25" s="2" t="str">
        <f>VLOOKUP(B25,[1]Hoja1!$C$9:$Q$41,15,0)</f>
        <v>PITSS</v>
      </c>
    </row>
    <row r="26" spans="1:15" x14ac:dyDescent="0.2">
      <c r="A26" s="2" t="s">
        <v>56</v>
      </c>
      <c r="B26" s="2" t="s">
        <v>57</v>
      </c>
      <c r="C26" s="2">
        <v>750</v>
      </c>
      <c r="D26" s="2">
        <v>750</v>
      </c>
      <c r="E26" s="2">
        <v>35.21</v>
      </c>
      <c r="F26" s="2">
        <v>35.21</v>
      </c>
      <c r="G26" s="2">
        <v>35.21</v>
      </c>
      <c r="H26" s="2">
        <v>714.79</v>
      </c>
      <c r="I26" s="2">
        <v>750</v>
      </c>
      <c r="J26" s="2">
        <f t="shared" si="0"/>
        <v>15</v>
      </c>
      <c r="K26" s="2">
        <f t="shared" si="1"/>
        <v>765</v>
      </c>
      <c r="L26" s="2">
        <f t="shared" si="2"/>
        <v>122.4</v>
      </c>
      <c r="M26" s="2">
        <f t="shared" si="3"/>
        <v>887.4</v>
      </c>
      <c r="N26" s="2">
        <v>12</v>
      </c>
      <c r="O26" s="2" t="str">
        <f>VLOOKUP(B26,[1]Hoja1!$C$9:$Q$41,15,0)</f>
        <v>PITSS</v>
      </c>
    </row>
    <row r="27" spans="1:15" x14ac:dyDescent="0.2">
      <c r="A27" s="2" t="s">
        <v>58</v>
      </c>
      <c r="B27" s="2" t="s">
        <v>59</v>
      </c>
      <c r="C27" s="2">
        <v>1500</v>
      </c>
      <c r="D27" s="2">
        <v>1500</v>
      </c>
      <c r="E27" s="2">
        <v>83.21</v>
      </c>
      <c r="F27" s="2">
        <v>83.21</v>
      </c>
      <c r="G27" s="2">
        <v>83.21</v>
      </c>
      <c r="H27" s="2">
        <v>1416.79</v>
      </c>
      <c r="I27" s="2">
        <v>1500</v>
      </c>
      <c r="J27" s="2">
        <f t="shared" si="0"/>
        <v>30</v>
      </c>
      <c r="K27" s="2">
        <f t="shared" si="1"/>
        <v>1530</v>
      </c>
      <c r="L27" s="2">
        <f t="shared" si="2"/>
        <v>244.8</v>
      </c>
      <c r="M27" s="2">
        <f t="shared" si="3"/>
        <v>1774.8</v>
      </c>
      <c r="N27" s="2">
        <v>12</v>
      </c>
      <c r="O27" s="2" t="str">
        <f>VLOOKUP(B27,[1]Hoja1!$C$9:$Q$41,15,0)</f>
        <v>PITSS</v>
      </c>
    </row>
    <row r="28" spans="1:15" x14ac:dyDescent="0.2">
      <c r="A28" s="2" t="s">
        <v>60</v>
      </c>
      <c r="B28" s="2" t="s">
        <v>61</v>
      </c>
      <c r="C28" s="2">
        <v>1500</v>
      </c>
      <c r="D28" s="2">
        <v>1500</v>
      </c>
      <c r="E28" s="2">
        <v>83.21</v>
      </c>
      <c r="F28" s="2">
        <v>83.21</v>
      </c>
      <c r="G28" s="2">
        <v>83.21</v>
      </c>
      <c r="H28" s="2">
        <v>1416.79</v>
      </c>
      <c r="I28" s="2">
        <v>1500</v>
      </c>
      <c r="J28" s="2">
        <f t="shared" si="0"/>
        <v>30</v>
      </c>
      <c r="K28" s="2">
        <f t="shared" si="1"/>
        <v>1530</v>
      </c>
      <c r="L28" s="2">
        <f t="shared" si="2"/>
        <v>244.8</v>
      </c>
      <c r="M28" s="2">
        <f t="shared" si="3"/>
        <v>1774.8</v>
      </c>
      <c r="N28" s="2">
        <v>12</v>
      </c>
      <c r="O28" s="2" t="str">
        <f>VLOOKUP(B28,[1]Hoja1!$C$9:$Q$41,15,0)</f>
        <v>PITSS</v>
      </c>
    </row>
    <row r="29" spans="1:15" x14ac:dyDescent="0.2">
      <c r="A29" s="2" t="s">
        <v>62</v>
      </c>
      <c r="B29" s="2" t="s">
        <v>63</v>
      </c>
      <c r="C29" s="2">
        <v>1500</v>
      </c>
      <c r="D29" s="2">
        <v>1500</v>
      </c>
      <c r="E29" s="2">
        <v>83.21</v>
      </c>
      <c r="F29" s="2">
        <v>83.21</v>
      </c>
      <c r="G29" s="2">
        <v>83.21</v>
      </c>
      <c r="H29" s="2">
        <v>1416.79</v>
      </c>
      <c r="I29" s="2">
        <v>1500</v>
      </c>
      <c r="J29" s="2">
        <f t="shared" si="0"/>
        <v>30</v>
      </c>
      <c r="K29" s="2">
        <f t="shared" si="1"/>
        <v>1530</v>
      </c>
      <c r="L29" s="2">
        <f t="shared" si="2"/>
        <v>244.8</v>
      </c>
      <c r="M29" s="2">
        <f t="shared" si="3"/>
        <v>1774.8</v>
      </c>
      <c r="N29" s="2">
        <v>12</v>
      </c>
      <c r="O29" s="2" t="str">
        <f>VLOOKUP(B29,[1]Hoja1!$C$9:$Q$41,15,0)</f>
        <v>PITSS</v>
      </c>
    </row>
    <row r="30" spans="1:15" x14ac:dyDescent="0.2">
      <c r="A30" s="2" t="s">
        <v>64</v>
      </c>
      <c r="B30" s="2" t="s">
        <v>65</v>
      </c>
      <c r="C30" s="2">
        <v>1500</v>
      </c>
      <c r="D30" s="2">
        <v>1500</v>
      </c>
      <c r="E30" s="2">
        <v>83.21</v>
      </c>
      <c r="F30" s="2">
        <v>83.21</v>
      </c>
      <c r="G30" s="2">
        <v>83.21</v>
      </c>
      <c r="H30" s="2">
        <v>1416.79</v>
      </c>
      <c r="I30" s="2">
        <v>1500</v>
      </c>
      <c r="J30" s="2">
        <f t="shared" si="0"/>
        <v>30</v>
      </c>
      <c r="K30" s="2">
        <f t="shared" si="1"/>
        <v>1530</v>
      </c>
      <c r="L30" s="2">
        <f t="shared" si="2"/>
        <v>244.8</v>
      </c>
      <c r="M30" s="2">
        <f t="shared" si="3"/>
        <v>1774.8</v>
      </c>
      <c r="N30" s="2">
        <v>12</v>
      </c>
      <c r="O30" s="2" t="str">
        <f>VLOOKUP(B30,[1]Hoja1!$C$9:$Q$41,15,0)</f>
        <v>PITSS</v>
      </c>
    </row>
    <row r="31" spans="1:15" x14ac:dyDescent="0.2">
      <c r="A31" s="2" t="s">
        <v>66</v>
      </c>
      <c r="B31" s="2" t="s">
        <v>67</v>
      </c>
      <c r="C31" s="2">
        <v>1500</v>
      </c>
      <c r="D31" s="2">
        <v>1500</v>
      </c>
      <c r="E31" s="2">
        <v>83.21</v>
      </c>
      <c r="F31" s="2">
        <v>83.21</v>
      </c>
      <c r="G31" s="2">
        <v>83.21</v>
      </c>
      <c r="H31" s="2">
        <v>1416.79</v>
      </c>
      <c r="I31" s="2">
        <v>1500</v>
      </c>
      <c r="J31" s="2">
        <f t="shared" si="0"/>
        <v>30</v>
      </c>
      <c r="K31" s="2">
        <f t="shared" si="1"/>
        <v>1530</v>
      </c>
      <c r="L31" s="2">
        <f t="shared" si="2"/>
        <v>244.8</v>
      </c>
      <c r="M31" s="2">
        <f t="shared" si="3"/>
        <v>1774.8</v>
      </c>
      <c r="N31" s="2">
        <v>12</v>
      </c>
      <c r="O31" s="2" t="str">
        <f>VLOOKUP(B31,[1]Hoja1!$C$9:$Q$41,15,0)</f>
        <v>PITSS</v>
      </c>
    </row>
    <row r="32" spans="1:15" x14ac:dyDescent="0.2">
      <c r="A32" s="2" t="s">
        <v>68</v>
      </c>
      <c r="B32" s="2" t="s">
        <v>69</v>
      </c>
      <c r="C32" s="2">
        <v>750</v>
      </c>
      <c r="D32" s="2">
        <v>750</v>
      </c>
      <c r="E32" s="2">
        <v>35.21</v>
      </c>
      <c r="F32" s="2">
        <v>35.21</v>
      </c>
      <c r="G32" s="2">
        <v>35.21</v>
      </c>
      <c r="H32" s="2">
        <v>714.79</v>
      </c>
      <c r="I32" s="2">
        <v>750</v>
      </c>
      <c r="J32" s="2">
        <f t="shared" si="0"/>
        <v>15</v>
      </c>
      <c r="K32" s="2">
        <f t="shared" si="1"/>
        <v>765</v>
      </c>
      <c r="L32" s="2">
        <f t="shared" si="2"/>
        <v>122.4</v>
      </c>
      <c r="M32" s="2">
        <f t="shared" si="3"/>
        <v>887.4</v>
      </c>
      <c r="N32" s="2">
        <v>12</v>
      </c>
      <c r="O32" s="2" t="str">
        <f>VLOOKUP(B32,[1]Hoja1!$C$9:$Q$41,15,0)</f>
        <v>PITSS</v>
      </c>
    </row>
    <row r="33" spans="1:15" x14ac:dyDescent="0.2">
      <c r="A33" s="2" t="s">
        <v>70</v>
      </c>
      <c r="B33" s="2" t="s">
        <v>71</v>
      </c>
      <c r="C33" s="2">
        <v>1500</v>
      </c>
      <c r="D33" s="2">
        <v>1500</v>
      </c>
      <c r="E33" s="2">
        <v>83.21</v>
      </c>
      <c r="F33" s="2">
        <v>83.21</v>
      </c>
      <c r="G33" s="2">
        <v>83.21</v>
      </c>
      <c r="H33" s="2">
        <v>1416.79</v>
      </c>
      <c r="I33" s="2">
        <v>1500</v>
      </c>
      <c r="J33" s="2">
        <f t="shared" si="0"/>
        <v>30</v>
      </c>
      <c r="K33" s="2">
        <f t="shared" si="1"/>
        <v>1530</v>
      </c>
      <c r="L33" s="2">
        <f t="shared" si="2"/>
        <v>244.8</v>
      </c>
      <c r="M33" s="2">
        <f t="shared" si="3"/>
        <v>1774.8</v>
      </c>
      <c r="N33" s="2">
        <v>0</v>
      </c>
      <c r="O33" s="2" t="s">
        <v>80</v>
      </c>
    </row>
    <row r="34" spans="1:15" x14ac:dyDescent="0.2">
      <c r="A34" s="2" t="s">
        <v>75</v>
      </c>
      <c r="B34" s="2" t="s">
        <v>76</v>
      </c>
      <c r="C34" s="2">
        <v>1500</v>
      </c>
      <c r="D34" s="2">
        <v>1500</v>
      </c>
      <c r="E34" s="2">
        <v>83.21</v>
      </c>
      <c r="F34" s="2">
        <v>83.21</v>
      </c>
      <c r="G34" s="2">
        <v>83.21</v>
      </c>
      <c r="H34" s="2">
        <v>1416.79</v>
      </c>
      <c r="I34" s="2">
        <v>1500</v>
      </c>
      <c r="J34" s="2">
        <f t="shared" si="0"/>
        <v>30</v>
      </c>
      <c r="K34" s="2">
        <f t="shared" si="1"/>
        <v>1530</v>
      </c>
      <c r="L34" s="2">
        <f t="shared" si="2"/>
        <v>244.8</v>
      </c>
      <c r="M34" s="2">
        <f t="shared" si="3"/>
        <v>1774.8</v>
      </c>
      <c r="N34" s="2">
        <v>0</v>
      </c>
      <c r="O34" s="2" t="str">
        <f>VLOOKUP(B34,[1]Hoja1!$C$9:$Q$41,15,0)</f>
        <v>PITSS</v>
      </c>
    </row>
    <row r="35" spans="1:15" x14ac:dyDescent="0.2">
      <c r="A35" s="2" t="s">
        <v>77</v>
      </c>
      <c r="B35" s="2" t="s">
        <v>78</v>
      </c>
      <c r="C35" s="2">
        <v>750</v>
      </c>
      <c r="D35" s="2">
        <v>750</v>
      </c>
      <c r="E35" s="2">
        <v>35.21</v>
      </c>
      <c r="F35" s="2">
        <v>35.21</v>
      </c>
      <c r="G35" s="2">
        <v>35.21</v>
      </c>
      <c r="H35" s="2">
        <v>714.79</v>
      </c>
      <c r="I35" s="2">
        <v>750</v>
      </c>
      <c r="J35" s="2">
        <f t="shared" si="0"/>
        <v>15</v>
      </c>
      <c r="K35" s="2">
        <f t="shared" si="1"/>
        <v>765</v>
      </c>
      <c r="L35" s="2">
        <f t="shared" si="2"/>
        <v>122.4</v>
      </c>
      <c r="M35" s="2">
        <f t="shared" si="3"/>
        <v>887.4</v>
      </c>
      <c r="N35" s="2">
        <v>0</v>
      </c>
      <c r="O35" s="2" t="str">
        <f>VLOOKUP(B35,[1]Hoja1!$C$9:$Q$41,15,0)</f>
        <v>PITSS</v>
      </c>
    </row>
    <row r="36" spans="1:15" x14ac:dyDescent="0.2">
      <c r="A36" s="2" t="s">
        <v>72</v>
      </c>
      <c r="B36" s="2" t="s">
        <v>81</v>
      </c>
      <c r="C36" s="2">
        <v>1500</v>
      </c>
      <c r="D36" s="2">
        <v>1500</v>
      </c>
      <c r="F36" s="2">
        <v>83.21</v>
      </c>
      <c r="G36" s="2">
        <v>83.21</v>
      </c>
      <c r="H36" s="2">
        <v>1416.79</v>
      </c>
      <c r="I36" s="2">
        <v>1500</v>
      </c>
      <c r="J36" s="2">
        <f t="shared" si="0"/>
        <v>30</v>
      </c>
      <c r="K36" s="2">
        <f t="shared" si="1"/>
        <v>1530</v>
      </c>
      <c r="L36" s="2">
        <f t="shared" si="2"/>
        <v>244.8</v>
      </c>
      <c r="M36" s="2">
        <f t="shared" si="3"/>
        <v>1774.8</v>
      </c>
      <c r="O36" s="2" t="s">
        <v>80</v>
      </c>
    </row>
    <row r="37" spans="1:15" x14ac:dyDescent="0.2">
      <c r="B37" s="2" t="s">
        <v>82</v>
      </c>
      <c r="C37" s="2">
        <v>1500</v>
      </c>
      <c r="D37" s="2">
        <v>1500</v>
      </c>
      <c r="F37" s="2">
        <v>83.21</v>
      </c>
      <c r="G37" s="2">
        <v>83.21</v>
      </c>
      <c r="H37" s="2">
        <v>1416.79</v>
      </c>
      <c r="I37" s="2">
        <v>1500</v>
      </c>
      <c r="J37" s="2">
        <f t="shared" si="0"/>
        <v>30</v>
      </c>
      <c r="K37" s="2">
        <f t="shared" ref="K37:K38" si="4">+I37+J37</f>
        <v>1530</v>
      </c>
      <c r="L37" s="2">
        <f t="shared" ref="L37:L38" si="5">+K37*16%</f>
        <v>244.8</v>
      </c>
      <c r="M37" s="2">
        <f t="shared" ref="M37:M38" si="6">+K37+L37</f>
        <v>1774.8</v>
      </c>
      <c r="O37" s="2" t="s">
        <v>80</v>
      </c>
    </row>
    <row r="38" spans="1:15" x14ac:dyDescent="0.2">
      <c r="B38" s="2" t="s">
        <v>83</v>
      </c>
      <c r="C38" s="2">
        <v>1500</v>
      </c>
      <c r="D38" s="2">
        <v>1500</v>
      </c>
      <c r="F38" s="2">
        <v>83.21</v>
      </c>
      <c r="G38" s="2">
        <v>83.21</v>
      </c>
      <c r="H38" s="2">
        <v>1416.79</v>
      </c>
      <c r="I38" s="2">
        <v>1500</v>
      </c>
      <c r="J38" s="2">
        <f t="shared" si="0"/>
        <v>30</v>
      </c>
      <c r="K38" s="2">
        <f t="shared" si="4"/>
        <v>1530</v>
      </c>
      <c r="L38" s="2">
        <f t="shared" si="5"/>
        <v>244.8</v>
      </c>
      <c r="M38" s="2">
        <f t="shared" si="6"/>
        <v>1774.8</v>
      </c>
      <c r="O38" s="2" t="s">
        <v>80</v>
      </c>
    </row>
    <row r="39" spans="1:15" x14ac:dyDescent="0.2">
      <c r="B39" s="2" t="s">
        <v>84</v>
      </c>
      <c r="C39" s="2">
        <v>1500</v>
      </c>
      <c r="D39" s="2">
        <v>1500</v>
      </c>
      <c r="F39" s="2">
        <v>83.21</v>
      </c>
      <c r="G39" s="2">
        <v>83.21</v>
      </c>
      <c r="H39" s="2">
        <v>1416.79</v>
      </c>
      <c r="I39" s="2">
        <v>1500</v>
      </c>
      <c r="J39" s="2">
        <f t="shared" ref="J39" si="7">+I39*2%</f>
        <v>30</v>
      </c>
      <c r="K39" s="2">
        <f t="shared" ref="K39" si="8">+I39+J39</f>
        <v>1530</v>
      </c>
      <c r="L39" s="2">
        <f t="shared" ref="L39" si="9">+K39*16%</f>
        <v>244.8</v>
      </c>
      <c r="M39" s="2">
        <f t="shared" ref="M39" si="10">+K39+L39</f>
        <v>1774.8</v>
      </c>
      <c r="O39" s="2" t="s">
        <v>80</v>
      </c>
    </row>
    <row r="40" spans="1:15" s="3" customFormat="1" x14ac:dyDescent="0.2">
      <c r="A40" s="5" t="s">
        <v>73</v>
      </c>
      <c r="C40" s="3" t="s">
        <v>74</v>
      </c>
      <c r="D40" s="3" t="s">
        <v>74</v>
      </c>
      <c r="E40" s="3" t="s">
        <v>74</v>
      </c>
      <c r="F40" s="3" t="s">
        <v>74</v>
      </c>
      <c r="G40" s="3" t="s">
        <v>74</v>
      </c>
      <c r="H40" s="3" t="s">
        <v>74</v>
      </c>
      <c r="I40" s="3" t="s">
        <v>74</v>
      </c>
      <c r="J40" s="3" t="s">
        <v>74</v>
      </c>
      <c r="K40" s="3" t="s">
        <v>74</v>
      </c>
      <c r="L40" s="3" t="s">
        <v>74</v>
      </c>
      <c r="M40" s="3" t="s">
        <v>74</v>
      </c>
      <c r="N40" s="3" t="s">
        <v>74</v>
      </c>
    </row>
    <row r="41" spans="1:15" x14ac:dyDescent="0.2">
      <c r="C41" s="6">
        <f>SUM(C7:C40)</f>
        <v>46550</v>
      </c>
      <c r="D41" s="6">
        <f t="shared" ref="D41:O41" si="11">SUM(D7:D40)</f>
        <v>46550</v>
      </c>
      <c r="E41" s="6">
        <f t="shared" si="11"/>
        <v>2224.2900000000004</v>
      </c>
      <c r="F41" s="6">
        <f t="shared" si="11"/>
        <v>2557.1300000000006</v>
      </c>
      <c r="G41" s="6">
        <f t="shared" si="11"/>
        <v>2557.1300000000006</v>
      </c>
      <c r="H41" s="6">
        <f t="shared" si="11"/>
        <v>43992.870000000017</v>
      </c>
      <c r="I41" s="6">
        <f t="shared" si="11"/>
        <v>46550</v>
      </c>
      <c r="J41" s="6">
        <f t="shared" si="11"/>
        <v>931</v>
      </c>
      <c r="K41" s="6">
        <f t="shared" si="11"/>
        <v>47481</v>
      </c>
      <c r="L41" s="6">
        <f t="shared" si="11"/>
        <v>7596.9600000000019</v>
      </c>
      <c r="M41" s="6">
        <f t="shared" si="11"/>
        <v>55077.960000000028</v>
      </c>
      <c r="N41" s="6">
        <f t="shared" si="11"/>
        <v>312</v>
      </c>
      <c r="O41" s="6">
        <f t="shared" si="11"/>
        <v>0</v>
      </c>
    </row>
  </sheetData>
  <sortState ref="A8:P43">
    <sortCondition ref="O8:O43"/>
  </sortState>
  <mergeCells count="3">
    <mergeCell ref="B1:D1"/>
    <mergeCell ref="B2:D2"/>
    <mergeCell ref="I5:M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HG-LAP-04</dc:creator>
  <cp:lastModifiedBy>HG-LAP-04</cp:lastModifiedBy>
  <dcterms:created xsi:type="dcterms:W3CDTF">2019-02-13T20:53:51Z</dcterms:created>
  <dcterms:modified xsi:type="dcterms:W3CDTF">2019-05-14T18:58:32Z</dcterms:modified>
</cp:coreProperties>
</file>