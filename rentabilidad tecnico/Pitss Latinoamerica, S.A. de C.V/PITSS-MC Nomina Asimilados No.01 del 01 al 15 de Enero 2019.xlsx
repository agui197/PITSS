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Hg-servidor-pc\servidor hg\MC MEDIOS CREATIVOS\NOMINAS\2019\ASIMILADOS A SALARIOS\SEITON\01\"/>
    </mc:Choice>
  </mc:AlternateContent>
  <bookViews>
    <workbookView xWindow="0" yWindow="0" windowWidth="13170" windowHeight="646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4" i="1" l="1"/>
  <c r="I44" i="1"/>
  <c r="Q44" i="1"/>
  <c r="Q42" i="1"/>
  <c r="P42" i="1"/>
  <c r="K42" i="1"/>
  <c r="J42" i="1"/>
  <c r="I42" i="1"/>
  <c r="H42" i="1"/>
  <c r="G42" i="1"/>
  <c r="F42" i="1"/>
  <c r="E42" i="1"/>
  <c r="D42" i="1"/>
  <c r="C42" i="1"/>
  <c r="B42" i="1"/>
  <c r="Q40" i="1"/>
  <c r="P40" i="1"/>
  <c r="P44" i="1" s="1"/>
  <c r="K40" i="1"/>
  <c r="K44" i="1" s="1"/>
  <c r="J40" i="1"/>
  <c r="J44" i="1" s="1"/>
  <c r="I40" i="1"/>
  <c r="H40" i="1"/>
  <c r="H44" i="1" s="1"/>
  <c r="G40" i="1"/>
  <c r="G44" i="1" s="1"/>
  <c r="F40" i="1"/>
  <c r="F44" i="1" s="1"/>
  <c r="E40" i="1"/>
  <c r="D40" i="1"/>
  <c r="D44" i="1" s="1"/>
  <c r="C40" i="1"/>
  <c r="B40" i="1"/>
  <c r="L39" i="1" l="1"/>
  <c r="M39" i="1"/>
  <c r="N39" i="1" s="1"/>
  <c r="L38" i="1"/>
  <c r="M38" i="1" s="1"/>
  <c r="O39" i="1" l="1"/>
  <c r="N38" i="1"/>
  <c r="O38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41" i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33" i="1"/>
  <c r="M33" i="1" s="1"/>
  <c r="L34" i="1"/>
  <c r="M34" i="1" s="1"/>
  <c r="L35" i="1"/>
  <c r="M35" i="1" s="1"/>
  <c r="L36" i="1"/>
  <c r="M36" i="1" s="1"/>
  <c r="L37" i="1"/>
  <c r="M37" i="1" s="1"/>
  <c r="L9" i="1"/>
  <c r="M41" i="1" l="1"/>
  <c r="M42" i="1" s="1"/>
  <c r="L42" i="1"/>
  <c r="M9" i="1"/>
  <c r="L40" i="1"/>
  <c r="N32" i="1"/>
  <c r="O32" i="1" s="1"/>
  <c r="N24" i="1"/>
  <c r="O24" i="1" s="1"/>
  <c r="N13" i="1"/>
  <c r="O13" i="1" s="1"/>
  <c r="N35" i="1"/>
  <c r="O35" i="1" s="1"/>
  <c r="N31" i="1"/>
  <c r="O31" i="1" s="1"/>
  <c r="N27" i="1"/>
  <c r="O27" i="1" s="1"/>
  <c r="N23" i="1"/>
  <c r="O23" i="1" s="1"/>
  <c r="N19" i="1"/>
  <c r="O19" i="1" s="1"/>
  <c r="N41" i="1"/>
  <c r="N12" i="1"/>
  <c r="O12" i="1" s="1"/>
  <c r="N36" i="1"/>
  <c r="O36" i="1" s="1"/>
  <c r="N20" i="1"/>
  <c r="O20" i="1" s="1"/>
  <c r="N34" i="1"/>
  <c r="O34" i="1" s="1"/>
  <c r="N30" i="1"/>
  <c r="O30" i="1" s="1"/>
  <c r="N26" i="1"/>
  <c r="O26" i="1" s="1"/>
  <c r="N22" i="1"/>
  <c r="O22" i="1" s="1"/>
  <c r="N18" i="1"/>
  <c r="O18" i="1" s="1"/>
  <c r="N15" i="1"/>
  <c r="O15" i="1" s="1"/>
  <c r="N11" i="1"/>
  <c r="O11" i="1" s="1"/>
  <c r="N28" i="1"/>
  <c r="O28" i="1" s="1"/>
  <c r="N16" i="1"/>
  <c r="O16" i="1" s="1"/>
  <c r="N37" i="1"/>
  <c r="O37" i="1" s="1"/>
  <c r="N33" i="1"/>
  <c r="O33" i="1" s="1"/>
  <c r="N29" i="1"/>
  <c r="O29" i="1" s="1"/>
  <c r="N25" i="1"/>
  <c r="O25" i="1" s="1"/>
  <c r="N21" i="1"/>
  <c r="O21" i="1" s="1"/>
  <c r="N17" i="1"/>
  <c r="O17" i="1"/>
  <c r="N14" i="1"/>
  <c r="O14" i="1" s="1"/>
  <c r="N10" i="1"/>
  <c r="L44" i="1" l="1"/>
  <c r="M40" i="1"/>
  <c r="M44" i="1" s="1"/>
  <c r="N9" i="1"/>
  <c r="O41" i="1"/>
  <c r="O42" i="1" s="1"/>
  <c r="N42" i="1"/>
  <c r="O10" i="1"/>
  <c r="O9" i="1" l="1"/>
  <c r="N40" i="1"/>
  <c r="N44" i="1" s="1"/>
  <c r="O40" i="1" l="1"/>
  <c r="O44" i="1" s="1"/>
</calcChain>
</file>

<file path=xl/sharedStrings.xml><?xml version="1.0" encoding="utf-8"?>
<sst xmlns="http://schemas.openxmlformats.org/spreadsheetml/2006/main" count="150" uniqueCount="92">
  <si>
    <t>MC MEDIOS CREATIVOS EMPRESARIALES SC</t>
  </si>
  <si>
    <t>Lista de Raya (forma tabular)</t>
  </si>
  <si>
    <t>Reg Pat IMSS: 00000000000</t>
  </si>
  <si>
    <t xml:space="preserve">RFC: MCE -151008-K95 </t>
  </si>
  <si>
    <t>Código</t>
  </si>
  <si>
    <t>Empleado</t>
  </si>
  <si>
    <t>Honorarios Asimilados (1)</t>
  </si>
  <si>
    <t>Pago por Asimilados a Salarios</t>
  </si>
  <si>
    <t>*TOTAL* *PERCEPCIONES*</t>
  </si>
  <si>
    <t>I.S.R. antes de Subs al Empleo</t>
  </si>
  <si>
    <t>I.S.R.</t>
  </si>
  <si>
    <t>*TOTAL* *DEDUCCIONES*</t>
  </si>
  <si>
    <t>*NETO*</t>
  </si>
  <si>
    <t>Total Percepciones</t>
  </si>
  <si>
    <t>Comision Cliente</t>
  </si>
  <si>
    <t>Subtotal</t>
  </si>
  <si>
    <t>IVA</t>
  </si>
  <si>
    <t>Total</t>
  </si>
  <si>
    <t>Banco</t>
  </si>
  <si>
    <t xml:space="preserve"> SEI0001</t>
  </si>
  <si>
    <t>Torres Ricardez Alfredo</t>
  </si>
  <si>
    <t xml:space="preserve"> SEI0004</t>
  </si>
  <si>
    <t>Montoya Portillo Carlos Alberto</t>
  </si>
  <si>
    <t xml:space="preserve"> SEI0005</t>
  </si>
  <si>
    <t>Cota Jaramillo Miguel Angel</t>
  </si>
  <si>
    <t xml:space="preserve"> SEI0006</t>
  </si>
  <si>
    <t>Gonzalez Rasgado Miguel Isaias</t>
  </si>
  <si>
    <t xml:space="preserve"> SEI0007</t>
  </si>
  <si>
    <t>Mar Marquez Cesar Eduardo</t>
  </si>
  <si>
    <t xml:space="preserve"> SEI0011</t>
  </si>
  <si>
    <t>Molina Ramirez Gerardo Daniel</t>
  </si>
  <si>
    <t xml:space="preserve"> SEI0013</t>
  </si>
  <si>
    <t>Muñoz Reyes Luis Eduardo</t>
  </si>
  <si>
    <t xml:space="preserve"> SEI0014</t>
  </si>
  <si>
    <t>Benavides Herrera Daniela</t>
  </si>
  <si>
    <t xml:space="preserve"> SEI0016</t>
  </si>
  <si>
    <t>Chavez  Pedraza Samuel</t>
  </si>
  <si>
    <t xml:space="preserve"> SEI0018</t>
  </si>
  <si>
    <t>Lopez Torreon Roberto Porfirio</t>
  </si>
  <si>
    <t xml:space="preserve"> SEI0019</t>
  </si>
  <si>
    <t>Martinez Hernandez J. Antonio</t>
  </si>
  <si>
    <t xml:space="preserve"> SEI0020</t>
  </si>
  <si>
    <t>Palacios Ramos Jesus</t>
  </si>
  <si>
    <t xml:space="preserve"> SEI0022</t>
  </si>
  <si>
    <t>Vaca Valdez Guillermo</t>
  </si>
  <si>
    <t xml:space="preserve"> SEI0026</t>
  </si>
  <si>
    <t>Velez Rodriguez Jaime</t>
  </si>
  <si>
    <t xml:space="preserve"> SEI0435</t>
  </si>
  <si>
    <t xml:space="preserve">Cerro  Garcia  Elvis </t>
  </si>
  <si>
    <t xml:space="preserve"> SEI0456</t>
  </si>
  <si>
    <t>Chavira  Garcia David Fernando</t>
  </si>
  <si>
    <t xml:space="preserve"> SEI0465</t>
  </si>
  <si>
    <t>Sandoval Garcia Luis</t>
  </si>
  <si>
    <t xml:space="preserve"> SEI0473</t>
  </si>
  <si>
    <t>Torres  Velazquez  Juan Antonio</t>
  </si>
  <si>
    <t xml:space="preserve"> SEI0476</t>
  </si>
  <si>
    <t>Hernandez Garcia Manuel Alejandro</t>
  </si>
  <si>
    <t xml:space="preserve"> SEI0477</t>
  </si>
  <si>
    <t>Sandoval Medina Demetrio</t>
  </si>
  <si>
    <t xml:space="preserve"> SEI0479</t>
  </si>
  <si>
    <t>Cruz Perez Alejandro Nezahualcoyotl</t>
  </si>
  <si>
    <t xml:space="preserve"> SEI0480</t>
  </si>
  <si>
    <t>Lizaran  Maceda Jose Guadalupe</t>
  </si>
  <si>
    <t xml:space="preserve"> SEI0482</t>
  </si>
  <si>
    <t>Mendez Rivera Ivan Israel</t>
  </si>
  <si>
    <t xml:space="preserve"> SEI0483</t>
  </si>
  <si>
    <t>Ruiz Flores Aldo Tomas</t>
  </si>
  <si>
    <t xml:space="preserve"> SEI0485</t>
  </si>
  <si>
    <t>Palacios Vega Luis Rosendo</t>
  </si>
  <si>
    <t xml:space="preserve"> SEI0487</t>
  </si>
  <si>
    <t>Hernandez Rodriguez Jorge</t>
  </si>
  <si>
    <t xml:space="preserve"> SEI0488</t>
  </si>
  <si>
    <t>Lizaran Maceda Jesus</t>
  </si>
  <si>
    <t xml:space="preserve"> SEI0489</t>
  </si>
  <si>
    <t>Casas Chavarria Rafael</t>
  </si>
  <si>
    <t xml:space="preserve"> SEI0490</t>
  </si>
  <si>
    <t>Del Pilar Mendez Lucio</t>
  </si>
  <si>
    <t>Total Depto</t>
  </si>
  <si>
    <t xml:space="preserve">  -----------------------</t>
  </si>
  <si>
    <t xml:space="preserve"> SEI0491</t>
  </si>
  <si>
    <t>Garcia Valderrama Jose De Jesus</t>
  </si>
  <si>
    <t xml:space="preserve"> </t>
  </si>
  <si>
    <t>FACTURACION</t>
  </si>
  <si>
    <t>Periodo 01 AL 01 QNA SEITON del 01/01/2019 al 15/01/2019</t>
  </si>
  <si>
    <t xml:space="preserve"> SEI0492</t>
  </si>
  <si>
    <t xml:space="preserve"> SEI0493</t>
  </si>
  <si>
    <t>Alejandro Vazquez Erasmo Miguel</t>
  </si>
  <si>
    <t>Orea Gonzalez Esteban Concepcion</t>
  </si>
  <si>
    <t>PITSS</t>
  </si>
  <si>
    <t>SEITON</t>
  </si>
  <si>
    <t xml:space="preserve">Total  PITSS </t>
  </si>
  <si>
    <t xml:space="preserve">Total  SEITON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</si>
</sst>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rgb="FF0000FF"/>
      <name val="Calibri"/>
      <family val="2"/>
    </font>
    <font>
      <i/>
      <sz val="11"/>
      <color rgb="FFFF9900"/>
      <name val="Calibri"/>
      <family val="2"/>
    </font>
    <font>
      <sz val="11"/>
      <color rgb="FFFF990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color indexed="12"/>
      <name val="Calibri"/>
      <family val="2"/>
    </font>
    <font>
      <b/>
      <i/>
      <sz val="14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rgb="FF0000FD"/>
      </left>
      <right style="thin">
        <color rgb="FF0000FD"/>
      </right>
      <top style="thin">
        <color rgb="FF0000FD"/>
      </top>
      <bottom style="double">
        <color rgb="FF0000FD"/>
      </bottom>
      <diagonal/>
    </border>
    <border>
      <left/>
      <right/>
      <top/>
      <bottom style="thin">
        <color rgb="FF0000FD"/>
      </bottom>
      <diagonal/>
    </border>
  </borders>
  <cellStyleXfs count="1">
    <xf numFmtId="0" fontId="0" fillId="0" borderId="0"/>
  </cellStyleXfs>
  <cellXfs count="22">
    <xf numFmtId="0" fontId="0" fillId="0" borderId="0" xfId="0"/>
    <xf numFmtId="43" fontId="1" fillId="0" borderId="0" xfId="0" applyNumberFormat="1" applyFont="1" applyAlignment="1">
      <alignment horizontal="centerContinuous"/>
    </xf>
    <xf numFmtId="43" fontId="4" fillId="0" borderId="0" xfId="0" applyNumberFormat="1" applyFont="1"/>
    <xf numFmtId="43" fontId="2" fillId="0" borderId="0" xfId="0" applyNumberFormat="1" applyFont="1" applyAlignment="1">
      <alignment horizontal="centerContinuous" vertical="top"/>
    </xf>
    <xf numFmtId="43" fontId="4" fillId="0" borderId="0" xfId="0" applyNumberFormat="1" applyFont="1" applyAlignment="1">
      <alignment horizontal="right"/>
    </xf>
    <xf numFmtId="43" fontId="4" fillId="0" borderId="0" xfId="0" applyNumberFormat="1" applyFont="1" applyAlignment="1">
      <alignment horizontal="left"/>
    </xf>
    <xf numFmtId="43" fontId="5" fillId="0" borderId="0" xfId="0" applyNumberFormat="1" applyFont="1" applyAlignment="1">
      <alignment horizontal="left"/>
    </xf>
    <xf numFmtId="43" fontId="5" fillId="0" borderId="0" xfId="0" applyNumberFormat="1" applyFont="1"/>
    <xf numFmtId="43" fontId="4" fillId="0" borderId="0" xfId="0" applyNumberFormat="1" applyFont="1" applyAlignment="1">
      <alignment horizontal="center" vertical="center"/>
    </xf>
    <xf numFmtId="43" fontId="5" fillId="2" borderId="1" xfId="0" applyNumberFormat="1" applyFont="1" applyFill="1" applyBorder="1" applyAlignment="1">
      <alignment horizontal="center" vertical="center" wrapText="1"/>
    </xf>
    <xf numFmtId="43" fontId="6" fillId="2" borderId="1" xfId="0" applyNumberFormat="1" applyFont="1" applyFill="1" applyBorder="1" applyAlignment="1">
      <alignment horizontal="center" vertical="center" wrapText="1"/>
    </xf>
    <xf numFmtId="43" fontId="6" fillId="3" borderId="1" xfId="0" applyNumberFormat="1" applyFont="1" applyFill="1" applyBorder="1" applyAlignment="1">
      <alignment horizontal="center" vertical="center" wrapText="1"/>
    </xf>
    <xf numFmtId="43" fontId="5" fillId="4" borderId="0" xfId="0" applyNumberFormat="1" applyFont="1" applyFill="1"/>
    <xf numFmtId="43" fontId="4" fillId="4" borderId="0" xfId="0" applyNumberFormat="1" applyFont="1" applyFill="1"/>
    <xf numFmtId="43" fontId="5" fillId="5" borderId="0" xfId="0" applyNumberFormat="1" applyFont="1" applyFill="1"/>
    <xf numFmtId="43" fontId="4" fillId="5" borderId="0" xfId="0" applyNumberFormat="1" applyFont="1" applyFill="1"/>
    <xf numFmtId="43" fontId="3" fillId="0" borderId="0" xfId="0" applyNumberFormat="1" applyFont="1" applyAlignment="1">
      <alignment horizontal="center"/>
    </xf>
    <xf numFmtId="43" fontId="4" fillId="0" borderId="0" xfId="0" applyNumberFormat="1" applyFont="1" applyAlignment="1"/>
    <xf numFmtId="43" fontId="5" fillId="0" borderId="0" xfId="0" applyNumberFormat="1" applyFont="1" applyAlignment="1">
      <alignment horizontal="left" vertical="center"/>
    </xf>
    <xf numFmtId="43" fontId="4" fillId="0" borderId="0" xfId="0" applyNumberFormat="1" applyFont="1" applyAlignment="1">
      <alignment horizontal="left" vertical="center"/>
    </xf>
    <xf numFmtId="43" fontId="4" fillId="0" borderId="0" xfId="0" applyNumberFormat="1" applyFont="1" applyAlignment="1">
      <alignment horizontal="left"/>
    </xf>
    <xf numFmtId="43" fontId="7" fillId="3" borderId="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46"/>
  <sheetViews>
    <sheetView showGridLines="0" tabSelected="1" zoomScale="80" zoomScaleNormal="80" workbookViewId="0">
      <pane xSplit="3" ySplit="8" topLeftCell="D24" activePane="bottomRight" state="frozen"/>
      <selection pane="topRight" activeCell="C1" sqref="C1"/>
      <selection pane="bottomLeft" activeCell="A9" sqref="A9"/>
      <selection pane="bottomRight" activeCell="E29" sqref="C29:E29"/>
    </sheetView>
  </sheetViews>
  <sheetFormatPr baseColWidth="10" defaultRowHeight="15" outlineLevelRow="2" x14ac:dyDescent="0.25"/>
  <cols>
    <col min="1" max="1" width="15.28515625" style="2" bestFit="1" customWidth="1"/>
    <col min="2" max="2" width="12.28515625" style="2" customWidth="1"/>
    <col min="3" max="3" width="41.28515625" style="2" customWidth="1"/>
    <col min="4" max="5" width="15.7109375" style="2" customWidth="1"/>
    <col min="6" max="6" width="18.28515625" style="2" customWidth="1"/>
    <col min="7" max="7" width="15.7109375" style="2" hidden="1" customWidth="1"/>
    <col min="8" max="8" width="15.7109375" style="2" customWidth="1"/>
    <col min="9" max="9" width="16.5703125" style="2" customWidth="1"/>
    <col min="10" max="15" width="15.7109375" style="2" customWidth="1"/>
    <col min="16" max="16" width="15.7109375" style="2" hidden="1" customWidth="1"/>
    <col min="17" max="17" width="14.7109375" style="2" customWidth="1"/>
    <col min="18" max="16384" width="11.42578125" style="2"/>
  </cols>
  <sheetData>
    <row r="1" spans="2:17" ht="18" customHeight="1" x14ac:dyDescent="0.25">
      <c r="B1" s="1"/>
      <c r="C1" s="16" t="s">
        <v>81</v>
      </c>
      <c r="D1" s="17"/>
      <c r="E1" s="17"/>
      <c r="F1" s="17"/>
    </row>
    <row r="2" spans="2:17" ht="24.95" customHeight="1" x14ac:dyDescent="0.25">
      <c r="B2" s="3"/>
      <c r="C2" s="18" t="s">
        <v>0</v>
      </c>
      <c r="D2" s="19"/>
      <c r="E2" s="19"/>
      <c r="F2" s="19"/>
    </row>
    <row r="3" spans="2:17" x14ac:dyDescent="0.25">
      <c r="C3" s="20" t="s">
        <v>1</v>
      </c>
      <c r="D3" s="20"/>
      <c r="E3" s="20"/>
      <c r="F3" s="20"/>
      <c r="G3" s="4"/>
    </row>
    <row r="4" spans="2:17" x14ac:dyDescent="0.25">
      <c r="C4" s="20" t="s">
        <v>83</v>
      </c>
      <c r="D4" s="20"/>
      <c r="E4" s="20"/>
      <c r="F4" s="20"/>
      <c r="G4" s="4"/>
    </row>
    <row r="5" spans="2:17" x14ac:dyDescent="0.25">
      <c r="C5" s="5" t="s">
        <v>2</v>
      </c>
      <c r="D5" s="5"/>
      <c r="E5" s="5"/>
      <c r="F5" s="5"/>
    </row>
    <row r="6" spans="2:17" x14ac:dyDescent="0.25">
      <c r="C6" s="5" t="s">
        <v>3</v>
      </c>
      <c r="D6" s="5"/>
      <c r="E6" s="5"/>
      <c r="F6" s="5"/>
    </row>
    <row r="7" spans="2:17" ht="18.75" x14ac:dyDescent="0.3">
      <c r="C7" s="5"/>
      <c r="D7" s="5"/>
      <c r="E7" s="5"/>
      <c r="F7" s="5"/>
      <c r="K7" s="21" t="s">
        <v>82</v>
      </c>
      <c r="L7" s="21"/>
      <c r="M7" s="21"/>
      <c r="N7" s="21"/>
      <c r="O7" s="21"/>
    </row>
    <row r="8" spans="2:17" s="8" customFormat="1" ht="45.75" thickBot="1" x14ac:dyDescent="0.3">
      <c r="B8" s="9" t="s">
        <v>4</v>
      </c>
      <c r="C8" s="9" t="s">
        <v>5</v>
      </c>
      <c r="D8" s="9" t="s">
        <v>6</v>
      </c>
      <c r="E8" s="9" t="s">
        <v>7</v>
      </c>
      <c r="F8" s="10" t="s">
        <v>8</v>
      </c>
      <c r="G8" s="9" t="s">
        <v>9</v>
      </c>
      <c r="H8" s="9" t="s">
        <v>10</v>
      </c>
      <c r="I8" s="10" t="s">
        <v>11</v>
      </c>
      <c r="J8" s="11" t="s">
        <v>12</v>
      </c>
      <c r="K8" s="9" t="s">
        <v>13</v>
      </c>
      <c r="L8" s="9" t="s">
        <v>14</v>
      </c>
      <c r="M8" s="9" t="s">
        <v>15</v>
      </c>
      <c r="N8" s="9" t="s">
        <v>16</v>
      </c>
      <c r="O8" s="9" t="s">
        <v>17</v>
      </c>
      <c r="P8" s="9" t="s">
        <v>18</v>
      </c>
      <c r="Q8" s="9" t="s">
        <v>82</v>
      </c>
    </row>
    <row r="9" spans="2:17" ht="15.75" outlineLevel="2" thickTop="1" x14ac:dyDescent="0.25">
      <c r="B9" s="2" t="s">
        <v>19</v>
      </c>
      <c r="C9" s="2" t="s">
        <v>20</v>
      </c>
      <c r="D9" s="2">
        <v>0</v>
      </c>
      <c r="E9" s="2">
        <v>1500</v>
      </c>
      <c r="F9" s="2">
        <v>1500</v>
      </c>
      <c r="G9" s="2">
        <v>83.21</v>
      </c>
      <c r="H9" s="2">
        <v>83.21</v>
      </c>
      <c r="I9" s="2">
        <v>83.21</v>
      </c>
      <c r="J9" s="2">
        <v>1416.79</v>
      </c>
      <c r="K9" s="2">
        <v>1500</v>
      </c>
      <c r="L9" s="2">
        <f t="shared" ref="L9:L39" si="0">+K9*2%</f>
        <v>30</v>
      </c>
      <c r="M9" s="2">
        <f t="shared" ref="M9:M39" si="1">+K9+L9</f>
        <v>1530</v>
      </c>
      <c r="N9" s="2">
        <f t="shared" ref="N9:N39" si="2">+M9*16%</f>
        <v>244.8</v>
      </c>
      <c r="O9" s="2">
        <f t="shared" ref="O9:O39" si="3">+M9+N9</f>
        <v>1774.8</v>
      </c>
      <c r="P9" s="2">
        <v>12</v>
      </c>
      <c r="Q9" s="2" t="s">
        <v>88</v>
      </c>
    </row>
    <row r="10" spans="2:17" outlineLevel="2" x14ac:dyDescent="0.25">
      <c r="B10" s="2" t="s">
        <v>21</v>
      </c>
      <c r="C10" s="2" t="s">
        <v>22</v>
      </c>
      <c r="D10" s="2">
        <v>0</v>
      </c>
      <c r="E10" s="2">
        <v>1500</v>
      </c>
      <c r="F10" s="2">
        <v>1500</v>
      </c>
      <c r="G10" s="2">
        <v>83.21</v>
      </c>
      <c r="H10" s="2">
        <v>83.21</v>
      </c>
      <c r="I10" s="2">
        <v>83.21</v>
      </c>
      <c r="J10" s="2">
        <v>1416.79</v>
      </c>
      <c r="K10" s="2">
        <v>1500</v>
      </c>
      <c r="L10" s="2">
        <f t="shared" si="0"/>
        <v>30</v>
      </c>
      <c r="M10" s="2">
        <f t="shared" si="1"/>
        <v>1530</v>
      </c>
      <c r="N10" s="2">
        <f t="shared" si="2"/>
        <v>244.8</v>
      </c>
      <c r="O10" s="2">
        <f t="shared" si="3"/>
        <v>1774.8</v>
      </c>
      <c r="P10" s="2">
        <v>12</v>
      </c>
      <c r="Q10" s="2" t="s">
        <v>88</v>
      </c>
    </row>
    <row r="11" spans="2:17" outlineLevel="2" x14ac:dyDescent="0.25">
      <c r="B11" s="2" t="s">
        <v>23</v>
      </c>
      <c r="C11" s="2" t="s">
        <v>24</v>
      </c>
      <c r="D11" s="2">
        <v>0</v>
      </c>
      <c r="E11" s="2">
        <v>1500</v>
      </c>
      <c r="F11" s="2">
        <v>1500</v>
      </c>
      <c r="G11" s="2">
        <v>83.21</v>
      </c>
      <c r="H11" s="2">
        <v>83.21</v>
      </c>
      <c r="I11" s="2">
        <v>83.21</v>
      </c>
      <c r="J11" s="2">
        <v>1416.79</v>
      </c>
      <c r="K11" s="2">
        <v>1500</v>
      </c>
      <c r="L11" s="2">
        <f t="shared" si="0"/>
        <v>30</v>
      </c>
      <c r="M11" s="2">
        <f t="shared" si="1"/>
        <v>1530</v>
      </c>
      <c r="N11" s="2">
        <f t="shared" si="2"/>
        <v>244.8</v>
      </c>
      <c r="O11" s="2">
        <f t="shared" si="3"/>
        <v>1774.8</v>
      </c>
      <c r="P11" s="2">
        <v>12</v>
      </c>
      <c r="Q11" s="2" t="s">
        <v>88</v>
      </c>
    </row>
    <row r="12" spans="2:17" outlineLevel="2" x14ac:dyDescent="0.25">
      <c r="B12" s="2" t="s">
        <v>25</v>
      </c>
      <c r="C12" s="2" t="s">
        <v>26</v>
      </c>
      <c r="D12" s="2">
        <v>0</v>
      </c>
      <c r="E12" s="2">
        <v>1500</v>
      </c>
      <c r="F12" s="2">
        <v>1500</v>
      </c>
      <c r="G12" s="2">
        <v>83.21</v>
      </c>
      <c r="H12" s="2">
        <v>83.21</v>
      </c>
      <c r="I12" s="2">
        <v>83.21</v>
      </c>
      <c r="J12" s="2">
        <v>1416.79</v>
      </c>
      <c r="K12" s="2">
        <v>1500</v>
      </c>
      <c r="L12" s="2">
        <f t="shared" si="0"/>
        <v>30</v>
      </c>
      <c r="M12" s="2">
        <f t="shared" si="1"/>
        <v>1530</v>
      </c>
      <c r="N12" s="2">
        <f t="shared" si="2"/>
        <v>244.8</v>
      </c>
      <c r="O12" s="2">
        <f t="shared" si="3"/>
        <v>1774.8</v>
      </c>
      <c r="P12" s="2">
        <v>12</v>
      </c>
      <c r="Q12" s="2" t="s">
        <v>88</v>
      </c>
    </row>
    <row r="13" spans="2:17" outlineLevel="2" x14ac:dyDescent="0.25">
      <c r="B13" s="2" t="s">
        <v>27</v>
      </c>
      <c r="C13" s="2" t="s">
        <v>28</v>
      </c>
      <c r="D13" s="2">
        <v>0</v>
      </c>
      <c r="E13" s="2">
        <v>1500</v>
      </c>
      <c r="F13" s="2">
        <v>1500</v>
      </c>
      <c r="G13" s="2">
        <v>83.21</v>
      </c>
      <c r="H13" s="2">
        <v>83.21</v>
      </c>
      <c r="I13" s="2">
        <v>83.21</v>
      </c>
      <c r="J13" s="2">
        <v>1416.79</v>
      </c>
      <c r="K13" s="2">
        <v>1500</v>
      </c>
      <c r="L13" s="2">
        <f t="shared" si="0"/>
        <v>30</v>
      </c>
      <c r="M13" s="2">
        <f t="shared" si="1"/>
        <v>1530</v>
      </c>
      <c r="N13" s="2">
        <f t="shared" si="2"/>
        <v>244.8</v>
      </c>
      <c r="O13" s="2">
        <f t="shared" si="3"/>
        <v>1774.8</v>
      </c>
      <c r="P13" s="2">
        <v>12</v>
      </c>
      <c r="Q13" s="2" t="s">
        <v>88</v>
      </c>
    </row>
    <row r="14" spans="2:17" outlineLevel="2" x14ac:dyDescent="0.25">
      <c r="B14" s="2" t="s">
        <v>29</v>
      </c>
      <c r="C14" s="2" t="s">
        <v>30</v>
      </c>
      <c r="D14" s="2">
        <v>0</v>
      </c>
      <c r="E14" s="2">
        <v>1500</v>
      </c>
      <c r="F14" s="2">
        <v>1500</v>
      </c>
      <c r="G14" s="2">
        <v>83.21</v>
      </c>
      <c r="H14" s="2">
        <v>83.21</v>
      </c>
      <c r="I14" s="2">
        <v>83.21</v>
      </c>
      <c r="J14" s="2">
        <v>1416.79</v>
      </c>
      <c r="K14" s="2">
        <v>1500</v>
      </c>
      <c r="L14" s="2">
        <f t="shared" si="0"/>
        <v>30</v>
      </c>
      <c r="M14" s="2">
        <f t="shared" si="1"/>
        <v>1530</v>
      </c>
      <c r="N14" s="2">
        <f t="shared" si="2"/>
        <v>244.8</v>
      </c>
      <c r="O14" s="2">
        <f t="shared" si="3"/>
        <v>1774.8</v>
      </c>
      <c r="P14" s="2">
        <v>12</v>
      </c>
      <c r="Q14" s="2" t="s">
        <v>88</v>
      </c>
    </row>
    <row r="15" spans="2:17" outlineLevel="2" x14ac:dyDescent="0.25">
      <c r="B15" s="2" t="s">
        <v>31</v>
      </c>
      <c r="C15" s="2" t="s">
        <v>32</v>
      </c>
      <c r="D15" s="2">
        <v>0</v>
      </c>
      <c r="E15" s="2">
        <v>1500</v>
      </c>
      <c r="F15" s="2">
        <v>1500</v>
      </c>
      <c r="G15" s="2">
        <v>83.21</v>
      </c>
      <c r="H15" s="2">
        <v>83.21</v>
      </c>
      <c r="I15" s="2">
        <v>83.21</v>
      </c>
      <c r="J15" s="2">
        <v>1416.79</v>
      </c>
      <c r="K15" s="2">
        <v>1500</v>
      </c>
      <c r="L15" s="2">
        <f t="shared" si="0"/>
        <v>30</v>
      </c>
      <c r="M15" s="2">
        <f t="shared" si="1"/>
        <v>1530</v>
      </c>
      <c r="N15" s="2">
        <f t="shared" si="2"/>
        <v>244.8</v>
      </c>
      <c r="O15" s="2">
        <f t="shared" si="3"/>
        <v>1774.8</v>
      </c>
      <c r="P15" s="2">
        <v>12</v>
      </c>
      <c r="Q15" s="2" t="s">
        <v>88</v>
      </c>
    </row>
    <row r="16" spans="2:17" outlineLevel="2" x14ac:dyDescent="0.25">
      <c r="B16" s="2" t="s">
        <v>35</v>
      </c>
      <c r="C16" s="2" t="s">
        <v>36</v>
      </c>
      <c r="D16" s="2">
        <v>0</v>
      </c>
      <c r="E16" s="2">
        <v>1500</v>
      </c>
      <c r="F16" s="2">
        <v>1500</v>
      </c>
      <c r="G16" s="2">
        <v>83.21</v>
      </c>
      <c r="H16" s="2">
        <v>83.21</v>
      </c>
      <c r="I16" s="2">
        <v>83.21</v>
      </c>
      <c r="J16" s="2">
        <v>1416.79</v>
      </c>
      <c r="K16" s="2">
        <v>1500</v>
      </c>
      <c r="L16" s="2">
        <f t="shared" si="0"/>
        <v>30</v>
      </c>
      <c r="M16" s="2">
        <f t="shared" si="1"/>
        <v>1530</v>
      </c>
      <c r="N16" s="2">
        <f t="shared" si="2"/>
        <v>244.8</v>
      </c>
      <c r="O16" s="2">
        <f t="shared" si="3"/>
        <v>1774.8</v>
      </c>
      <c r="P16" s="2">
        <v>12</v>
      </c>
      <c r="Q16" s="2" t="s">
        <v>88</v>
      </c>
    </row>
    <row r="17" spans="2:17" outlineLevel="2" x14ac:dyDescent="0.25">
      <c r="B17" s="2" t="s">
        <v>37</v>
      </c>
      <c r="C17" s="2" t="s">
        <v>38</v>
      </c>
      <c r="D17" s="2">
        <v>0</v>
      </c>
      <c r="E17" s="2">
        <v>1500</v>
      </c>
      <c r="F17" s="2">
        <v>1500</v>
      </c>
      <c r="G17" s="2">
        <v>83.21</v>
      </c>
      <c r="H17" s="2">
        <v>83.21</v>
      </c>
      <c r="I17" s="2">
        <v>83.21</v>
      </c>
      <c r="J17" s="2">
        <v>1416.79</v>
      </c>
      <c r="K17" s="2">
        <v>1500</v>
      </c>
      <c r="L17" s="2">
        <f t="shared" si="0"/>
        <v>30</v>
      </c>
      <c r="M17" s="2">
        <f t="shared" si="1"/>
        <v>1530</v>
      </c>
      <c r="N17" s="2">
        <f t="shared" si="2"/>
        <v>244.8</v>
      </c>
      <c r="O17" s="2">
        <f t="shared" si="3"/>
        <v>1774.8</v>
      </c>
      <c r="P17" s="2">
        <v>12</v>
      </c>
      <c r="Q17" s="2" t="s">
        <v>88</v>
      </c>
    </row>
    <row r="18" spans="2:17" outlineLevel="2" x14ac:dyDescent="0.25">
      <c r="B18" s="2" t="s">
        <v>39</v>
      </c>
      <c r="C18" s="2" t="s">
        <v>40</v>
      </c>
      <c r="D18" s="2">
        <v>0</v>
      </c>
      <c r="E18" s="2">
        <v>1500</v>
      </c>
      <c r="F18" s="2">
        <v>1500</v>
      </c>
      <c r="G18" s="2">
        <v>83.21</v>
      </c>
      <c r="H18" s="2">
        <v>83.21</v>
      </c>
      <c r="I18" s="2">
        <v>83.21</v>
      </c>
      <c r="J18" s="2">
        <v>1416.79</v>
      </c>
      <c r="K18" s="2">
        <v>1500</v>
      </c>
      <c r="L18" s="2">
        <f t="shared" si="0"/>
        <v>30</v>
      </c>
      <c r="M18" s="2">
        <f t="shared" si="1"/>
        <v>1530</v>
      </c>
      <c r="N18" s="2">
        <f t="shared" si="2"/>
        <v>244.8</v>
      </c>
      <c r="O18" s="2">
        <f t="shared" si="3"/>
        <v>1774.8</v>
      </c>
      <c r="P18" s="2">
        <v>12</v>
      </c>
      <c r="Q18" s="2" t="s">
        <v>88</v>
      </c>
    </row>
    <row r="19" spans="2:17" outlineLevel="2" x14ac:dyDescent="0.25">
      <c r="B19" s="2" t="s">
        <v>41</v>
      </c>
      <c r="C19" s="2" t="s">
        <v>42</v>
      </c>
      <c r="D19" s="2">
        <v>0</v>
      </c>
      <c r="E19" s="2">
        <v>1500</v>
      </c>
      <c r="F19" s="2">
        <v>1500</v>
      </c>
      <c r="G19" s="2">
        <v>83.21</v>
      </c>
      <c r="H19" s="2">
        <v>83.21</v>
      </c>
      <c r="I19" s="2">
        <v>83.21</v>
      </c>
      <c r="J19" s="2">
        <v>1416.79</v>
      </c>
      <c r="K19" s="2">
        <v>1500</v>
      </c>
      <c r="L19" s="2">
        <f t="shared" si="0"/>
        <v>30</v>
      </c>
      <c r="M19" s="2">
        <f t="shared" si="1"/>
        <v>1530</v>
      </c>
      <c r="N19" s="2">
        <f t="shared" si="2"/>
        <v>244.8</v>
      </c>
      <c r="O19" s="2">
        <f t="shared" si="3"/>
        <v>1774.8</v>
      </c>
      <c r="P19" s="2">
        <v>12</v>
      </c>
      <c r="Q19" s="2" t="s">
        <v>88</v>
      </c>
    </row>
    <row r="20" spans="2:17" outlineLevel="2" x14ac:dyDescent="0.25">
      <c r="B20" s="2" t="s">
        <v>43</v>
      </c>
      <c r="C20" s="2" t="s">
        <v>44</v>
      </c>
      <c r="D20" s="2">
        <v>0</v>
      </c>
      <c r="E20" s="2">
        <v>1500</v>
      </c>
      <c r="F20" s="2">
        <v>1500</v>
      </c>
      <c r="G20" s="2">
        <v>83.21</v>
      </c>
      <c r="H20" s="2">
        <v>83.21</v>
      </c>
      <c r="I20" s="2">
        <v>83.21</v>
      </c>
      <c r="J20" s="2">
        <v>1416.79</v>
      </c>
      <c r="K20" s="2">
        <v>1500</v>
      </c>
      <c r="L20" s="2">
        <f t="shared" si="0"/>
        <v>30</v>
      </c>
      <c r="M20" s="2">
        <f t="shared" si="1"/>
        <v>1530</v>
      </c>
      <c r="N20" s="2">
        <f t="shared" si="2"/>
        <v>244.8</v>
      </c>
      <c r="O20" s="2">
        <f t="shared" si="3"/>
        <v>1774.8</v>
      </c>
      <c r="P20" s="2">
        <v>12</v>
      </c>
      <c r="Q20" s="2" t="s">
        <v>88</v>
      </c>
    </row>
    <row r="21" spans="2:17" outlineLevel="2" x14ac:dyDescent="0.25">
      <c r="B21" s="2" t="s">
        <v>45</v>
      </c>
      <c r="C21" s="2" t="s">
        <v>46</v>
      </c>
      <c r="D21" s="2">
        <v>0</v>
      </c>
      <c r="E21" s="2">
        <v>800</v>
      </c>
      <c r="F21" s="2">
        <v>800</v>
      </c>
      <c r="G21" s="2">
        <v>38.409999999999997</v>
      </c>
      <c r="H21" s="2">
        <v>38.409999999999997</v>
      </c>
      <c r="I21" s="2">
        <v>38.409999999999997</v>
      </c>
      <c r="J21" s="2">
        <v>761.59</v>
      </c>
      <c r="K21" s="2">
        <v>800</v>
      </c>
      <c r="L21" s="2">
        <f t="shared" si="0"/>
        <v>16</v>
      </c>
      <c r="M21" s="2">
        <f t="shared" si="1"/>
        <v>816</v>
      </c>
      <c r="N21" s="2">
        <f t="shared" si="2"/>
        <v>130.56</v>
      </c>
      <c r="O21" s="2">
        <f t="shared" si="3"/>
        <v>946.56</v>
      </c>
      <c r="P21" s="2">
        <v>12</v>
      </c>
      <c r="Q21" s="2" t="s">
        <v>88</v>
      </c>
    </row>
    <row r="22" spans="2:17" outlineLevel="2" x14ac:dyDescent="0.25">
      <c r="B22" s="2" t="s">
        <v>47</v>
      </c>
      <c r="C22" s="2" t="s">
        <v>48</v>
      </c>
      <c r="D22" s="2">
        <v>0</v>
      </c>
      <c r="E22" s="2">
        <v>1500</v>
      </c>
      <c r="F22" s="2">
        <v>1500</v>
      </c>
      <c r="G22" s="2">
        <v>83.21</v>
      </c>
      <c r="H22" s="2">
        <v>83.21</v>
      </c>
      <c r="I22" s="2">
        <v>83.21</v>
      </c>
      <c r="J22" s="2">
        <v>1416.79</v>
      </c>
      <c r="K22" s="2">
        <v>1500</v>
      </c>
      <c r="L22" s="2">
        <f t="shared" si="0"/>
        <v>30</v>
      </c>
      <c r="M22" s="2">
        <f t="shared" si="1"/>
        <v>1530</v>
      </c>
      <c r="N22" s="2">
        <f t="shared" si="2"/>
        <v>244.8</v>
      </c>
      <c r="O22" s="2">
        <f t="shared" si="3"/>
        <v>1774.8</v>
      </c>
      <c r="P22" s="2">
        <v>12</v>
      </c>
      <c r="Q22" s="2" t="s">
        <v>88</v>
      </c>
    </row>
    <row r="23" spans="2:17" outlineLevel="2" x14ac:dyDescent="0.25">
      <c r="B23" s="2" t="s">
        <v>49</v>
      </c>
      <c r="C23" s="2" t="s">
        <v>50</v>
      </c>
      <c r="D23" s="2">
        <v>0</v>
      </c>
      <c r="E23" s="2">
        <v>3000</v>
      </c>
      <c r="F23" s="2">
        <v>3000</v>
      </c>
      <c r="G23" s="2">
        <v>205.07</v>
      </c>
      <c r="H23" s="2">
        <v>205.07</v>
      </c>
      <c r="I23" s="2">
        <v>205.07</v>
      </c>
      <c r="J23" s="2">
        <v>2794.93</v>
      </c>
      <c r="K23" s="2">
        <v>3000</v>
      </c>
      <c r="L23" s="2">
        <f t="shared" si="0"/>
        <v>60</v>
      </c>
      <c r="M23" s="2">
        <f t="shared" si="1"/>
        <v>3060</v>
      </c>
      <c r="N23" s="2">
        <f t="shared" si="2"/>
        <v>489.6</v>
      </c>
      <c r="O23" s="2">
        <f t="shared" si="3"/>
        <v>3549.6</v>
      </c>
      <c r="P23" s="2">
        <v>12</v>
      </c>
      <c r="Q23" s="2" t="s">
        <v>88</v>
      </c>
    </row>
    <row r="24" spans="2:17" outlineLevel="2" x14ac:dyDescent="0.25">
      <c r="B24" s="2" t="s">
        <v>51</v>
      </c>
      <c r="C24" s="2" t="s">
        <v>52</v>
      </c>
      <c r="D24" s="2">
        <v>0</v>
      </c>
      <c r="E24" s="2">
        <v>1500</v>
      </c>
      <c r="F24" s="2">
        <v>1500</v>
      </c>
      <c r="G24" s="2">
        <v>83.21</v>
      </c>
      <c r="H24" s="2">
        <v>83.21</v>
      </c>
      <c r="I24" s="2">
        <v>83.21</v>
      </c>
      <c r="J24" s="2">
        <v>1416.79</v>
      </c>
      <c r="K24" s="2">
        <v>1500</v>
      </c>
      <c r="L24" s="2">
        <f t="shared" si="0"/>
        <v>30</v>
      </c>
      <c r="M24" s="2">
        <f t="shared" si="1"/>
        <v>1530</v>
      </c>
      <c r="N24" s="2">
        <f t="shared" si="2"/>
        <v>244.8</v>
      </c>
      <c r="O24" s="2">
        <f t="shared" si="3"/>
        <v>1774.8</v>
      </c>
      <c r="P24" s="2">
        <v>12</v>
      </c>
      <c r="Q24" s="2" t="s">
        <v>88</v>
      </c>
    </row>
    <row r="25" spans="2:17" outlineLevel="2" x14ac:dyDescent="0.25">
      <c r="B25" s="2" t="s">
        <v>53</v>
      </c>
      <c r="C25" s="2" t="s">
        <v>54</v>
      </c>
      <c r="D25" s="2">
        <v>0</v>
      </c>
      <c r="E25" s="2">
        <v>1500</v>
      </c>
      <c r="F25" s="2">
        <v>1500</v>
      </c>
      <c r="G25" s="2">
        <v>83.21</v>
      </c>
      <c r="H25" s="2">
        <v>83.21</v>
      </c>
      <c r="I25" s="2">
        <v>83.21</v>
      </c>
      <c r="J25" s="2">
        <v>1416.79</v>
      </c>
      <c r="K25" s="2">
        <v>1500</v>
      </c>
      <c r="L25" s="2">
        <f t="shared" si="0"/>
        <v>30</v>
      </c>
      <c r="M25" s="2">
        <f t="shared" si="1"/>
        <v>1530</v>
      </c>
      <c r="N25" s="2">
        <f t="shared" si="2"/>
        <v>244.8</v>
      </c>
      <c r="O25" s="2">
        <f t="shared" si="3"/>
        <v>1774.8</v>
      </c>
      <c r="P25" s="2">
        <v>12</v>
      </c>
      <c r="Q25" s="2" t="s">
        <v>88</v>
      </c>
    </row>
    <row r="26" spans="2:17" outlineLevel="2" x14ac:dyDescent="0.25">
      <c r="B26" s="2" t="s">
        <v>55</v>
      </c>
      <c r="C26" s="2" t="s">
        <v>56</v>
      </c>
      <c r="D26" s="2">
        <v>0</v>
      </c>
      <c r="E26" s="2">
        <v>1500</v>
      </c>
      <c r="F26" s="2">
        <v>1500</v>
      </c>
      <c r="G26" s="2">
        <v>83.21</v>
      </c>
      <c r="H26" s="2">
        <v>83.21</v>
      </c>
      <c r="I26" s="2">
        <v>83.21</v>
      </c>
      <c r="J26" s="2">
        <v>1416.79</v>
      </c>
      <c r="K26" s="2">
        <v>1500</v>
      </c>
      <c r="L26" s="2">
        <f t="shared" si="0"/>
        <v>30</v>
      </c>
      <c r="M26" s="2">
        <f t="shared" si="1"/>
        <v>1530</v>
      </c>
      <c r="N26" s="2">
        <f t="shared" si="2"/>
        <v>244.8</v>
      </c>
      <c r="O26" s="2">
        <f t="shared" si="3"/>
        <v>1774.8</v>
      </c>
      <c r="P26" s="2">
        <v>12</v>
      </c>
      <c r="Q26" s="2" t="s">
        <v>88</v>
      </c>
    </row>
    <row r="27" spans="2:17" outlineLevel="2" x14ac:dyDescent="0.25">
      <c r="B27" s="2" t="s">
        <v>57</v>
      </c>
      <c r="C27" s="2" t="s">
        <v>58</v>
      </c>
      <c r="D27" s="2">
        <v>0</v>
      </c>
      <c r="E27" s="2">
        <v>1500</v>
      </c>
      <c r="F27" s="2">
        <v>1500</v>
      </c>
      <c r="G27" s="2">
        <v>83.21</v>
      </c>
      <c r="H27" s="2">
        <v>83.21</v>
      </c>
      <c r="I27" s="2">
        <v>83.21</v>
      </c>
      <c r="J27" s="2">
        <v>1416.79</v>
      </c>
      <c r="K27" s="2">
        <v>1500</v>
      </c>
      <c r="L27" s="2">
        <f t="shared" si="0"/>
        <v>30</v>
      </c>
      <c r="M27" s="2">
        <f t="shared" si="1"/>
        <v>1530</v>
      </c>
      <c r="N27" s="2">
        <f t="shared" si="2"/>
        <v>244.8</v>
      </c>
      <c r="O27" s="2">
        <f t="shared" si="3"/>
        <v>1774.8</v>
      </c>
      <c r="P27" s="2">
        <v>12</v>
      </c>
      <c r="Q27" s="2" t="s">
        <v>88</v>
      </c>
    </row>
    <row r="28" spans="2:17" outlineLevel="2" x14ac:dyDescent="0.25">
      <c r="B28" s="2" t="s">
        <v>59</v>
      </c>
      <c r="C28" s="2" t="s">
        <v>60</v>
      </c>
      <c r="D28" s="2">
        <v>0</v>
      </c>
      <c r="E28" s="2">
        <v>1500</v>
      </c>
      <c r="F28" s="2">
        <v>1500</v>
      </c>
      <c r="G28" s="2">
        <v>83.21</v>
      </c>
      <c r="H28" s="2">
        <v>83.21</v>
      </c>
      <c r="I28" s="2">
        <v>83.21</v>
      </c>
      <c r="J28" s="2">
        <v>1416.79</v>
      </c>
      <c r="K28" s="2">
        <v>1500</v>
      </c>
      <c r="L28" s="2">
        <f t="shared" si="0"/>
        <v>30</v>
      </c>
      <c r="M28" s="2">
        <f t="shared" si="1"/>
        <v>1530</v>
      </c>
      <c r="N28" s="2">
        <f t="shared" si="2"/>
        <v>244.8</v>
      </c>
      <c r="O28" s="2">
        <f t="shared" si="3"/>
        <v>1774.8</v>
      </c>
      <c r="P28" s="2">
        <v>12</v>
      </c>
      <c r="Q28" s="2" t="s">
        <v>88</v>
      </c>
    </row>
    <row r="29" spans="2:17" outlineLevel="2" x14ac:dyDescent="0.25">
      <c r="B29" s="2" t="s">
        <v>61</v>
      </c>
      <c r="C29" s="2" t="s">
        <v>62</v>
      </c>
      <c r="D29" s="2">
        <v>0</v>
      </c>
      <c r="E29" s="2">
        <v>750</v>
      </c>
      <c r="F29" s="2">
        <v>750</v>
      </c>
      <c r="G29" s="2">
        <v>35.21</v>
      </c>
      <c r="H29" s="2">
        <v>35.21</v>
      </c>
      <c r="I29" s="2">
        <v>35.21</v>
      </c>
      <c r="J29" s="2">
        <v>714.79</v>
      </c>
      <c r="K29" s="2">
        <v>750</v>
      </c>
      <c r="L29" s="2">
        <f t="shared" si="0"/>
        <v>15</v>
      </c>
      <c r="M29" s="2">
        <f t="shared" si="1"/>
        <v>765</v>
      </c>
      <c r="N29" s="2">
        <f t="shared" si="2"/>
        <v>122.4</v>
      </c>
      <c r="O29" s="2">
        <f t="shared" si="3"/>
        <v>887.4</v>
      </c>
      <c r="P29" s="2">
        <v>12</v>
      </c>
      <c r="Q29" s="2" t="s">
        <v>88</v>
      </c>
    </row>
    <row r="30" spans="2:17" outlineLevel="2" x14ac:dyDescent="0.25">
      <c r="B30" s="2" t="s">
        <v>63</v>
      </c>
      <c r="C30" s="2" t="s">
        <v>64</v>
      </c>
      <c r="D30" s="2">
        <v>0</v>
      </c>
      <c r="E30" s="2">
        <v>1500</v>
      </c>
      <c r="F30" s="2">
        <v>1500</v>
      </c>
      <c r="G30" s="2">
        <v>83.21</v>
      </c>
      <c r="H30" s="2">
        <v>83.21</v>
      </c>
      <c r="I30" s="2">
        <v>83.21</v>
      </c>
      <c r="J30" s="2">
        <v>1416.79</v>
      </c>
      <c r="K30" s="2">
        <v>1500</v>
      </c>
      <c r="L30" s="2">
        <f t="shared" si="0"/>
        <v>30</v>
      </c>
      <c r="M30" s="2">
        <f t="shared" si="1"/>
        <v>1530</v>
      </c>
      <c r="N30" s="2">
        <f t="shared" si="2"/>
        <v>244.8</v>
      </c>
      <c r="O30" s="2">
        <f t="shared" si="3"/>
        <v>1774.8</v>
      </c>
      <c r="P30" s="2">
        <v>12</v>
      </c>
      <c r="Q30" s="2" t="s">
        <v>88</v>
      </c>
    </row>
    <row r="31" spans="2:17" outlineLevel="2" x14ac:dyDescent="0.25">
      <c r="B31" s="2" t="s">
        <v>65</v>
      </c>
      <c r="C31" s="2" t="s">
        <v>66</v>
      </c>
      <c r="D31" s="2">
        <v>0</v>
      </c>
      <c r="E31" s="2">
        <v>1500</v>
      </c>
      <c r="F31" s="2">
        <v>1500</v>
      </c>
      <c r="G31" s="2">
        <v>83.21</v>
      </c>
      <c r="H31" s="2">
        <v>83.21</v>
      </c>
      <c r="I31" s="2">
        <v>83.21</v>
      </c>
      <c r="J31" s="2">
        <v>1416.79</v>
      </c>
      <c r="K31" s="2">
        <v>1500</v>
      </c>
      <c r="L31" s="2">
        <f t="shared" si="0"/>
        <v>30</v>
      </c>
      <c r="M31" s="2">
        <f t="shared" si="1"/>
        <v>1530</v>
      </c>
      <c r="N31" s="2">
        <f t="shared" si="2"/>
        <v>244.8</v>
      </c>
      <c r="O31" s="2">
        <f t="shared" si="3"/>
        <v>1774.8</v>
      </c>
      <c r="P31" s="2">
        <v>12</v>
      </c>
      <c r="Q31" s="2" t="s">
        <v>88</v>
      </c>
    </row>
    <row r="32" spans="2:17" outlineLevel="2" x14ac:dyDescent="0.25">
      <c r="B32" s="2" t="s">
        <v>67</v>
      </c>
      <c r="C32" s="2" t="s">
        <v>68</v>
      </c>
      <c r="D32" s="2">
        <v>0</v>
      </c>
      <c r="E32" s="2">
        <v>1500</v>
      </c>
      <c r="F32" s="2">
        <v>1500</v>
      </c>
      <c r="G32" s="2">
        <v>83.21</v>
      </c>
      <c r="H32" s="2">
        <v>83.21</v>
      </c>
      <c r="I32" s="2">
        <v>83.21</v>
      </c>
      <c r="J32" s="2">
        <v>1416.79</v>
      </c>
      <c r="K32" s="2">
        <v>1500</v>
      </c>
      <c r="L32" s="2">
        <f t="shared" si="0"/>
        <v>30</v>
      </c>
      <c r="M32" s="2">
        <f t="shared" si="1"/>
        <v>1530</v>
      </c>
      <c r="N32" s="2">
        <f t="shared" si="2"/>
        <v>244.8</v>
      </c>
      <c r="O32" s="2">
        <f t="shared" si="3"/>
        <v>1774.8</v>
      </c>
      <c r="P32" s="2">
        <v>12</v>
      </c>
      <c r="Q32" s="2" t="s">
        <v>88</v>
      </c>
    </row>
    <row r="33" spans="1:17" outlineLevel="2" x14ac:dyDescent="0.25">
      <c r="B33" s="2" t="s">
        <v>69</v>
      </c>
      <c r="C33" s="2" t="s">
        <v>70</v>
      </c>
      <c r="D33" s="2">
        <v>0</v>
      </c>
      <c r="E33" s="2">
        <v>1500</v>
      </c>
      <c r="F33" s="2">
        <v>1500</v>
      </c>
      <c r="G33" s="2">
        <v>83.21</v>
      </c>
      <c r="H33" s="2">
        <v>83.21</v>
      </c>
      <c r="I33" s="2">
        <v>83.21</v>
      </c>
      <c r="J33" s="2">
        <v>1416.79</v>
      </c>
      <c r="K33" s="2">
        <v>1500</v>
      </c>
      <c r="L33" s="2">
        <f t="shared" si="0"/>
        <v>30</v>
      </c>
      <c r="M33" s="2">
        <f t="shared" si="1"/>
        <v>1530</v>
      </c>
      <c r="N33" s="2">
        <f t="shared" si="2"/>
        <v>244.8</v>
      </c>
      <c r="O33" s="2">
        <f t="shared" si="3"/>
        <v>1774.8</v>
      </c>
      <c r="P33" s="2">
        <v>12</v>
      </c>
      <c r="Q33" s="2" t="s">
        <v>88</v>
      </c>
    </row>
    <row r="34" spans="1:17" outlineLevel="2" x14ac:dyDescent="0.25">
      <c r="B34" s="2" t="s">
        <v>71</v>
      </c>
      <c r="C34" s="2" t="s">
        <v>72</v>
      </c>
      <c r="D34" s="2">
        <v>0</v>
      </c>
      <c r="E34" s="2">
        <v>1500</v>
      </c>
      <c r="F34" s="2">
        <v>1500</v>
      </c>
      <c r="G34" s="2">
        <v>83.21</v>
      </c>
      <c r="H34" s="2">
        <v>83.21</v>
      </c>
      <c r="I34" s="2">
        <v>83.21</v>
      </c>
      <c r="J34" s="2">
        <v>1416.79</v>
      </c>
      <c r="K34" s="2">
        <v>1500</v>
      </c>
      <c r="L34" s="2">
        <f t="shared" si="0"/>
        <v>30</v>
      </c>
      <c r="M34" s="2">
        <f t="shared" si="1"/>
        <v>1530</v>
      </c>
      <c r="N34" s="2">
        <f t="shared" si="2"/>
        <v>244.8</v>
      </c>
      <c r="O34" s="2">
        <f t="shared" si="3"/>
        <v>1774.8</v>
      </c>
      <c r="P34" s="2">
        <v>12</v>
      </c>
      <c r="Q34" s="2" t="s">
        <v>88</v>
      </c>
    </row>
    <row r="35" spans="1:17" outlineLevel="2" x14ac:dyDescent="0.25">
      <c r="B35" s="2" t="s">
        <v>73</v>
      </c>
      <c r="C35" s="2" t="s">
        <v>74</v>
      </c>
      <c r="D35" s="2">
        <v>0</v>
      </c>
      <c r="E35" s="2">
        <v>1500</v>
      </c>
      <c r="F35" s="2">
        <v>1500</v>
      </c>
      <c r="G35" s="2">
        <v>83.21</v>
      </c>
      <c r="H35" s="2">
        <v>83.21</v>
      </c>
      <c r="I35" s="2">
        <v>83.21</v>
      </c>
      <c r="J35" s="2">
        <v>1416.79</v>
      </c>
      <c r="K35" s="2">
        <v>1500</v>
      </c>
      <c r="L35" s="2">
        <f t="shared" si="0"/>
        <v>30</v>
      </c>
      <c r="M35" s="2">
        <f t="shared" si="1"/>
        <v>1530</v>
      </c>
      <c r="N35" s="2">
        <f t="shared" si="2"/>
        <v>244.8</v>
      </c>
      <c r="O35" s="2">
        <f t="shared" si="3"/>
        <v>1774.8</v>
      </c>
      <c r="P35" s="2">
        <v>12</v>
      </c>
      <c r="Q35" s="2" t="s">
        <v>88</v>
      </c>
    </row>
    <row r="36" spans="1:17" outlineLevel="2" x14ac:dyDescent="0.25">
      <c r="B36" s="2" t="s">
        <v>75</v>
      </c>
      <c r="C36" s="2" t="s">
        <v>76</v>
      </c>
      <c r="D36" s="2">
        <v>0</v>
      </c>
      <c r="E36" s="2">
        <v>750</v>
      </c>
      <c r="F36" s="2">
        <v>750</v>
      </c>
      <c r="G36" s="2">
        <v>35.21</v>
      </c>
      <c r="H36" s="2">
        <v>35.21</v>
      </c>
      <c r="I36" s="2">
        <v>35.21</v>
      </c>
      <c r="J36" s="2">
        <v>714.79</v>
      </c>
      <c r="K36" s="2">
        <v>750</v>
      </c>
      <c r="L36" s="2">
        <f t="shared" si="0"/>
        <v>15</v>
      </c>
      <c r="M36" s="2">
        <f t="shared" si="1"/>
        <v>765</v>
      </c>
      <c r="N36" s="2">
        <f t="shared" si="2"/>
        <v>122.4</v>
      </c>
      <c r="O36" s="2">
        <f t="shared" si="3"/>
        <v>887.4</v>
      </c>
      <c r="P36" s="2">
        <v>12</v>
      </c>
      <c r="Q36" s="2" t="s">
        <v>88</v>
      </c>
    </row>
    <row r="37" spans="1:17" outlineLevel="2" x14ac:dyDescent="0.25">
      <c r="B37" s="2" t="s">
        <v>79</v>
      </c>
      <c r="C37" s="2" t="s">
        <v>80</v>
      </c>
      <c r="D37" s="2">
        <v>0</v>
      </c>
      <c r="E37" s="2">
        <v>1500</v>
      </c>
      <c r="F37" s="2">
        <v>1500</v>
      </c>
      <c r="G37" s="2">
        <v>83.21</v>
      </c>
      <c r="H37" s="2">
        <v>83.21</v>
      </c>
      <c r="I37" s="2">
        <v>83.21</v>
      </c>
      <c r="J37" s="2">
        <v>1416.79</v>
      </c>
      <c r="K37" s="2">
        <v>1500</v>
      </c>
      <c r="L37" s="2">
        <f t="shared" si="0"/>
        <v>30</v>
      </c>
      <c r="M37" s="2">
        <f t="shared" si="1"/>
        <v>1530</v>
      </c>
      <c r="N37" s="2">
        <f t="shared" si="2"/>
        <v>244.8</v>
      </c>
      <c r="O37" s="2">
        <f t="shared" si="3"/>
        <v>1774.8</v>
      </c>
      <c r="P37" s="2">
        <v>0</v>
      </c>
      <c r="Q37" s="2" t="s">
        <v>88</v>
      </c>
    </row>
    <row r="38" spans="1:17" outlineLevel="2" x14ac:dyDescent="0.25">
      <c r="B38" s="2" t="s">
        <v>84</v>
      </c>
      <c r="C38" s="2" t="s">
        <v>86</v>
      </c>
      <c r="E38" s="2">
        <v>1500</v>
      </c>
      <c r="F38" s="2">
        <v>1500</v>
      </c>
      <c r="H38" s="2">
        <v>83.21</v>
      </c>
      <c r="I38" s="2">
        <v>83.21</v>
      </c>
      <c r="J38" s="2">
        <v>1416.79</v>
      </c>
      <c r="K38" s="2">
        <v>1500</v>
      </c>
      <c r="L38" s="2">
        <f t="shared" si="0"/>
        <v>30</v>
      </c>
      <c r="M38" s="2">
        <f t="shared" si="1"/>
        <v>1530</v>
      </c>
      <c r="N38" s="2">
        <f t="shared" si="2"/>
        <v>244.8</v>
      </c>
      <c r="O38" s="2">
        <f t="shared" si="3"/>
        <v>1774.8</v>
      </c>
      <c r="Q38" s="2" t="s">
        <v>88</v>
      </c>
    </row>
    <row r="39" spans="1:17" outlineLevel="2" x14ac:dyDescent="0.25">
      <c r="B39" s="2" t="s">
        <v>85</v>
      </c>
      <c r="C39" s="2" t="s">
        <v>87</v>
      </c>
      <c r="E39" s="2">
        <v>750</v>
      </c>
      <c r="F39" s="2">
        <v>750</v>
      </c>
      <c r="H39" s="2">
        <v>35.21</v>
      </c>
      <c r="I39" s="2">
        <v>35.21</v>
      </c>
      <c r="J39" s="2">
        <v>714.79</v>
      </c>
      <c r="K39" s="2">
        <v>750</v>
      </c>
      <c r="L39" s="2">
        <f t="shared" si="0"/>
        <v>15</v>
      </c>
      <c r="M39" s="2">
        <f t="shared" si="1"/>
        <v>765</v>
      </c>
      <c r="N39" s="2">
        <f t="shared" si="2"/>
        <v>122.4</v>
      </c>
      <c r="O39" s="2">
        <f t="shared" si="3"/>
        <v>887.4</v>
      </c>
      <c r="Q39" s="2" t="s">
        <v>88</v>
      </c>
    </row>
    <row r="40" spans="1:17" s="13" customFormat="1" outlineLevel="1" x14ac:dyDescent="0.25">
      <c r="A40" s="12" t="s">
        <v>90</v>
      </c>
      <c r="B40" s="13">
        <f t="shared" ref="B40:Q40" si="4">SUBTOTAL(9,B9:B39)</f>
        <v>0</v>
      </c>
      <c r="C40" s="13">
        <f t="shared" si="4"/>
        <v>0</v>
      </c>
      <c r="D40" s="13">
        <f t="shared" si="4"/>
        <v>0</v>
      </c>
      <c r="E40" s="13">
        <f t="shared" si="4"/>
        <v>45050</v>
      </c>
      <c r="F40" s="13">
        <f t="shared" si="4"/>
        <v>45050</v>
      </c>
      <c r="G40" s="13">
        <f t="shared" si="4"/>
        <v>2394.1500000000005</v>
      </c>
      <c r="H40" s="13">
        <f t="shared" si="4"/>
        <v>2512.5700000000006</v>
      </c>
      <c r="I40" s="13">
        <f t="shared" si="4"/>
        <v>2512.5700000000006</v>
      </c>
      <c r="J40" s="13">
        <f t="shared" si="4"/>
        <v>42537.430000000015</v>
      </c>
      <c r="K40" s="13">
        <f t="shared" si="4"/>
        <v>45050</v>
      </c>
      <c r="L40" s="13">
        <f t="shared" si="4"/>
        <v>901</v>
      </c>
      <c r="M40" s="13">
        <f t="shared" si="4"/>
        <v>45951</v>
      </c>
      <c r="N40" s="13">
        <f t="shared" si="4"/>
        <v>7352.1600000000017</v>
      </c>
      <c r="O40" s="13">
        <f t="shared" si="4"/>
        <v>53303.160000000025</v>
      </c>
      <c r="P40" s="13">
        <f t="shared" si="4"/>
        <v>336</v>
      </c>
      <c r="Q40" s="13">
        <f t="shared" si="4"/>
        <v>0</v>
      </c>
    </row>
    <row r="41" spans="1:17" outlineLevel="2" x14ac:dyDescent="0.25">
      <c r="B41" s="2" t="s">
        <v>33</v>
      </c>
      <c r="C41" s="2" t="s">
        <v>34</v>
      </c>
      <c r="D41" s="2">
        <v>12732.52</v>
      </c>
      <c r="E41" s="2">
        <v>0</v>
      </c>
      <c r="F41" s="2">
        <v>12732.52</v>
      </c>
      <c r="G41" s="2">
        <v>2098.3200000000002</v>
      </c>
      <c r="H41" s="2">
        <v>2098.3200000000002</v>
      </c>
      <c r="I41" s="2">
        <v>2098.3200000000002</v>
      </c>
      <c r="J41" s="2">
        <v>10634.2</v>
      </c>
      <c r="K41" s="2">
        <v>12732.52</v>
      </c>
      <c r="L41" s="2">
        <f>+K41*2%</f>
        <v>254.65040000000002</v>
      </c>
      <c r="M41" s="2">
        <f>+K41+L41</f>
        <v>12987.170400000001</v>
      </c>
      <c r="N41" s="2">
        <f>+M41*16%</f>
        <v>2077.9472640000004</v>
      </c>
      <c r="O41" s="2">
        <f>+M41+N41</f>
        <v>15065.117664000001</v>
      </c>
      <c r="P41" s="2">
        <v>12</v>
      </c>
      <c r="Q41" s="2" t="s">
        <v>89</v>
      </c>
    </row>
    <row r="42" spans="1:17" s="15" customFormat="1" outlineLevel="1" x14ac:dyDescent="0.25">
      <c r="A42" s="14" t="s">
        <v>91</v>
      </c>
      <c r="B42" s="15">
        <f t="shared" ref="B42:Q42" si="5">SUBTOTAL(9,B41:B41)</f>
        <v>0</v>
      </c>
      <c r="C42" s="15">
        <f t="shared" si="5"/>
        <v>0</v>
      </c>
      <c r="D42" s="15">
        <f t="shared" si="5"/>
        <v>12732.52</v>
      </c>
      <c r="E42" s="15">
        <f t="shared" si="5"/>
        <v>0</v>
      </c>
      <c r="F42" s="15">
        <f t="shared" si="5"/>
        <v>12732.52</v>
      </c>
      <c r="G42" s="15">
        <f t="shared" si="5"/>
        <v>2098.3200000000002</v>
      </c>
      <c r="H42" s="15">
        <f t="shared" si="5"/>
        <v>2098.3200000000002</v>
      </c>
      <c r="I42" s="15">
        <f t="shared" si="5"/>
        <v>2098.3200000000002</v>
      </c>
      <c r="J42" s="15">
        <f t="shared" si="5"/>
        <v>10634.2</v>
      </c>
      <c r="K42" s="15">
        <f t="shared" si="5"/>
        <v>12732.52</v>
      </c>
      <c r="L42" s="15">
        <f t="shared" si="5"/>
        <v>254.65040000000002</v>
      </c>
      <c r="M42" s="15">
        <f t="shared" si="5"/>
        <v>12987.170400000001</v>
      </c>
      <c r="N42" s="15">
        <f t="shared" si="5"/>
        <v>2077.9472640000004</v>
      </c>
      <c r="O42" s="15">
        <f t="shared" si="5"/>
        <v>15065.117664000001</v>
      </c>
      <c r="P42" s="15">
        <f t="shared" si="5"/>
        <v>12</v>
      </c>
      <c r="Q42" s="15">
        <f t="shared" si="5"/>
        <v>0</v>
      </c>
    </row>
    <row r="43" spans="1:17" s="4" customFormat="1" outlineLevel="1" x14ac:dyDescent="0.25">
      <c r="B43" s="6" t="s">
        <v>77</v>
      </c>
      <c r="D43" s="4" t="s">
        <v>78</v>
      </c>
      <c r="E43" s="4" t="s">
        <v>78</v>
      </c>
      <c r="F43" s="4" t="s">
        <v>78</v>
      </c>
      <c r="G43" s="4" t="s">
        <v>78</v>
      </c>
      <c r="H43" s="4" t="s">
        <v>78</v>
      </c>
      <c r="I43" s="4" t="s">
        <v>78</v>
      </c>
      <c r="J43" s="4" t="s">
        <v>78</v>
      </c>
      <c r="K43" s="4" t="s">
        <v>78</v>
      </c>
      <c r="L43" s="4" t="s">
        <v>78</v>
      </c>
      <c r="M43" s="4" t="s">
        <v>78</v>
      </c>
      <c r="N43" s="4" t="s">
        <v>78</v>
      </c>
      <c r="O43" s="4" t="s">
        <v>78</v>
      </c>
      <c r="P43" s="4" t="s">
        <v>78</v>
      </c>
    </row>
    <row r="44" spans="1:17" outlineLevel="1" x14ac:dyDescent="0.25">
      <c r="D44" s="7">
        <f>+D40+D42</f>
        <v>12732.52</v>
      </c>
      <c r="E44" s="7">
        <f t="shared" ref="E44:Q44" si="6">+E40+E42</f>
        <v>45050</v>
      </c>
      <c r="F44" s="7">
        <f t="shared" si="6"/>
        <v>57782.520000000004</v>
      </c>
      <c r="G44" s="7">
        <f t="shared" si="6"/>
        <v>4492.4700000000012</v>
      </c>
      <c r="H44" s="7">
        <f t="shared" si="6"/>
        <v>4610.8900000000012</v>
      </c>
      <c r="I44" s="7">
        <f t="shared" si="6"/>
        <v>4610.8900000000012</v>
      </c>
      <c r="J44" s="7">
        <f t="shared" si="6"/>
        <v>53171.630000000019</v>
      </c>
      <c r="K44" s="7">
        <f t="shared" si="6"/>
        <v>57782.520000000004</v>
      </c>
      <c r="L44" s="7">
        <f t="shared" si="6"/>
        <v>1155.6504</v>
      </c>
      <c r="M44" s="7">
        <f t="shared" si="6"/>
        <v>58938.170400000003</v>
      </c>
      <c r="N44" s="7">
        <f t="shared" si="6"/>
        <v>9430.107264000002</v>
      </c>
      <c r="O44" s="7">
        <f t="shared" si="6"/>
        <v>68368.277664000023</v>
      </c>
      <c r="P44" s="7">
        <f t="shared" si="6"/>
        <v>348</v>
      </c>
      <c r="Q44" s="7">
        <f t="shared" si="6"/>
        <v>0</v>
      </c>
    </row>
    <row r="45" spans="1:17" x14ac:dyDescent="0.25">
      <c r="D45" s="2" t="s">
        <v>81</v>
      </c>
      <c r="E45" s="2" t="s">
        <v>81</v>
      </c>
      <c r="F45" s="2" t="s">
        <v>81</v>
      </c>
      <c r="G45" s="2" t="s">
        <v>81</v>
      </c>
      <c r="H45" s="2" t="s">
        <v>81</v>
      </c>
      <c r="I45" s="2" t="s">
        <v>81</v>
      </c>
      <c r="J45" s="2" t="s">
        <v>81</v>
      </c>
      <c r="K45" s="2" t="s">
        <v>81</v>
      </c>
      <c r="L45" s="2" t="s">
        <v>81</v>
      </c>
      <c r="M45" s="2" t="s">
        <v>81</v>
      </c>
      <c r="N45" s="2" t="s">
        <v>81</v>
      </c>
      <c r="O45" s="2" t="s">
        <v>81</v>
      </c>
      <c r="P45" s="2" t="s">
        <v>81</v>
      </c>
    </row>
    <row r="46" spans="1:17" x14ac:dyDescent="0.25">
      <c r="B46" s="2" t="s">
        <v>81</v>
      </c>
      <c r="C46" s="2" t="s">
        <v>81</v>
      </c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</row>
  </sheetData>
  <sortState ref="B9:Q42">
    <sortCondition ref="Q9:Q42"/>
  </sortState>
  <mergeCells count="5">
    <mergeCell ref="C1:F1"/>
    <mergeCell ref="C2:F2"/>
    <mergeCell ref="C3:F3"/>
    <mergeCell ref="C4:F4"/>
    <mergeCell ref="K7:O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HG-LAP-04</dc:creator>
  <cp:lastModifiedBy>HG-LAP-04</cp:lastModifiedBy>
  <dcterms:created xsi:type="dcterms:W3CDTF">2019-01-11T19:17:37Z</dcterms:created>
  <dcterms:modified xsi:type="dcterms:W3CDTF">2019-01-15T20:38:42Z</dcterms:modified>
</cp:coreProperties>
</file>