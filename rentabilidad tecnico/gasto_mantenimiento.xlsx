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5DC3D044-3782-4DEA-ACE7-FD9AD5E5CB28}" xr6:coauthVersionLast="41" xr6:coauthVersionMax="41" xr10:uidLastSave="{00000000-0000-0000-0000-000000000000}"/>
  <bookViews>
    <workbookView xWindow="-120" yWindow="-120" windowWidth="20730" windowHeight="11160" xr2:uid="{42EBE677-CF3B-4B92-811F-624E21F3F523}"/>
  </bookViews>
  <sheets>
    <sheet name="gasto_manten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Sarahí Moreno Quiroga</author>
  </authors>
  <commentList>
    <comment ref="N46" authorId="0" shapeId="0" xr:uid="{35372766-0564-41C5-B9E5-37097B355ECE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DESCUENTO APLICADO
</t>
        </r>
      </text>
    </comment>
    <comment ref="N47" authorId="0" shapeId="0" xr:uid="{6DFCB972-BA86-4ED0-A07F-0B454F6D1790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DESCUENTO APLICADO 50% TOTAL
</t>
        </r>
      </text>
    </comment>
    <comment ref="N49" authorId="0" shapeId="0" xr:uid="{E3A3471E-E65F-4B44-9A82-CAE47AED8D72}">
      <text>
        <r>
          <rPr>
            <b/>
            <sz val="9"/>
            <color indexed="81"/>
            <rFont val="Tahoma"/>
            <family val="2"/>
          </rPr>
          <t xml:space="preserve">Sarahí Moreno Quiroga
DESCUENTO APLICADO A ROGELIO
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G58" authorId="0" shapeId="0" xr:uid="{64303B4B-EBC3-4BEE-88C5-90342A1B6058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AUN NO SE ENVIA, YA QUE AUN NO SE LE PAGA 
</t>
        </r>
      </text>
    </comment>
    <comment ref="N60" authorId="0" shapeId="0" xr:uid="{5DD24EFF-3C3F-407B-A0FF-7073F116DBE2}">
      <text>
        <r>
          <rPr>
            <b/>
            <sz val="9"/>
            <color indexed="81"/>
            <rFont val="Tahoma"/>
            <family val="2"/>
          </rPr>
          <t>Sarahí Moreno Quiroga:</t>
        </r>
        <r>
          <rPr>
            <sz val="9"/>
            <color indexed="81"/>
            <rFont val="Tahoma"/>
            <family val="2"/>
          </rPr>
          <t xml:space="preserve">
SE DESCUENTA SOLO 1015.08
</t>
        </r>
      </text>
    </comment>
  </commentList>
</comments>
</file>

<file path=xl/sharedStrings.xml><?xml version="1.0" encoding="utf-8"?>
<sst xmlns="http://schemas.openxmlformats.org/spreadsheetml/2006/main" count="635" uniqueCount="201">
  <si>
    <t>USUARIO</t>
  </si>
  <si>
    <t>COSTO</t>
  </si>
  <si>
    <t>DESCUENTO ENTREGADO A NOMINAS</t>
  </si>
  <si>
    <t>DESCUENTO FIRMADO</t>
  </si>
  <si>
    <t>FACTURA PDF Y XML</t>
  </si>
  <si>
    <t xml:space="preserve">FACTURAS ENTREGADAS A PAGOS </t>
  </si>
  <si>
    <t>MODELO</t>
  </si>
  <si>
    <t>AÑO</t>
  </si>
  <si>
    <t>KM ACTUAL</t>
  </si>
  <si>
    <t>PLACAS</t>
  </si>
  <si>
    <t>ZONA</t>
  </si>
  <si>
    <t>% GASTO DE MTTO</t>
  </si>
  <si>
    <t>REPARACIÓN</t>
  </si>
  <si>
    <t xml:space="preserve">ENRIQUE MACIAS </t>
  </si>
  <si>
    <t>SI</t>
  </si>
  <si>
    <t>CRUZE</t>
  </si>
  <si>
    <t>JJS-7378</t>
  </si>
  <si>
    <t>GDL</t>
  </si>
  <si>
    <t xml:space="preserve">CAMBIO DE BOMBA DE AGUA Y ANTICONGELANTE </t>
  </si>
  <si>
    <t>JOSE LUIS MEJIA</t>
  </si>
  <si>
    <t>N/A</t>
  </si>
  <si>
    <t>MATIZ</t>
  </si>
  <si>
    <t>822-YUP</t>
  </si>
  <si>
    <t>QRO</t>
  </si>
  <si>
    <t>BOMBA DE AGUA, BANDA DE TIEMPO, POLEA Y ANTICONGELANTE</t>
  </si>
  <si>
    <t xml:space="preserve">JOSE LUIS MEJIA </t>
  </si>
  <si>
    <t xml:space="preserve">BATERIA </t>
  </si>
  <si>
    <t xml:space="preserve">VICTOR ESCAMILLA </t>
  </si>
  <si>
    <t>I10</t>
  </si>
  <si>
    <t>SRZ-1696</t>
  </si>
  <si>
    <t>MVA</t>
  </si>
  <si>
    <t xml:space="preserve">CAMBIO DE CLUTCH </t>
  </si>
  <si>
    <t xml:space="preserve">RICARDO GARCIA </t>
  </si>
  <si>
    <t>MARCH</t>
  </si>
  <si>
    <t>JMN-2948</t>
  </si>
  <si>
    <t xml:space="preserve">CAMBIO DE ACEITE  </t>
  </si>
  <si>
    <t>JUAN ESCOBEDO</t>
  </si>
  <si>
    <t>JLA-5222</t>
  </si>
  <si>
    <t>MTY</t>
  </si>
  <si>
    <t xml:space="preserve">CAMBIO DE CABLES DE PALANCA DE CAMBIOS </t>
  </si>
  <si>
    <t xml:space="preserve">RENE CASTELLON </t>
  </si>
  <si>
    <t>CHEVY</t>
  </si>
  <si>
    <t>JJM-4242</t>
  </si>
  <si>
    <t>PVTA</t>
  </si>
  <si>
    <t xml:space="preserve">CAMBIO DE FRENOS </t>
  </si>
  <si>
    <t>SERVICIO MAYOR, AJUSTE DE FRENOS, CAMBIO DE TORNILLO DE ESTABILIZACION</t>
  </si>
  <si>
    <t>HUGO ARROYO</t>
  </si>
  <si>
    <t>JLA-5223</t>
  </si>
  <si>
    <t xml:space="preserve">AFINACION  MAYOR </t>
  </si>
  <si>
    <t xml:space="preserve">FRANK DE LA TORRE </t>
  </si>
  <si>
    <t>SRM-7573</t>
  </si>
  <si>
    <t xml:space="preserve">RECTIFICACION DE DISCOS Y CAMBIO DE BALATAS </t>
  </si>
  <si>
    <t>MONCLOVA</t>
  </si>
  <si>
    <t>CAMBIO DE BANDA DE TIEMPO</t>
  </si>
  <si>
    <t>SEBASTIAN ARZATE</t>
  </si>
  <si>
    <t>SRZ-1699</t>
  </si>
  <si>
    <t>TCA</t>
  </si>
  <si>
    <t>CAMBIO DE 2 LLANTAS Y AFINACION MAYOR</t>
  </si>
  <si>
    <t xml:space="preserve">CAMBIO DE DISCOS </t>
  </si>
  <si>
    <t xml:space="preserve">CAMBIO DE BOMBA DE AGUA   </t>
  </si>
  <si>
    <t xml:space="preserve">MARCO FLORES </t>
  </si>
  <si>
    <t>ATOD</t>
  </si>
  <si>
    <t>433-XDH</t>
  </si>
  <si>
    <t xml:space="preserve">CAMBIO DE BATERIA </t>
  </si>
  <si>
    <t>CARLOS GUTIERREZ</t>
  </si>
  <si>
    <t xml:space="preserve">TOMAS MARTINEZ </t>
  </si>
  <si>
    <t>JMN-2934</t>
  </si>
  <si>
    <t xml:space="preserve">CAMBIO DE BANDA Y ACEITE </t>
  </si>
  <si>
    <t xml:space="preserve">CESAR GUERRERO </t>
  </si>
  <si>
    <t>MARCHI</t>
  </si>
  <si>
    <t>JMN-2945</t>
  </si>
  <si>
    <t>TMPS</t>
  </si>
  <si>
    <t xml:space="preserve">MANTENIMIENTO MAYOR  </t>
  </si>
  <si>
    <t xml:space="preserve">JORGE TREVIÑO </t>
  </si>
  <si>
    <t>JMN-2947</t>
  </si>
  <si>
    <t>MANTENIMIENTO 70000KM</t>
  </si>
  <si>
    <t>DANIEL HUERAMO</t>
  </si>
  <si>
    <t>JKD-9192</t>
  </si>
  <si>
    <t>MOR</t>
  </si>
  <si>
    <t xml:space="preserve">MANTENIMIENTO MAYOR Y MNTTO VALVULA </t>
  </si>
  <si>
    <t xml:space="preserve">MIGUEL CASTILLO </t>
  </si>
  <si>
    <t>JLD-4543</t>
  </si>
  <si>
    <t>TOL</t>
  </si>
  <si>
    <t xml:space="preserve">CAMBIO DE BANDAS Y ACEITE </t>
  </si>
  <si>
    <t xml:space="preserve">RAUL NAJERA </t>
  </si>
  <si>
    <t>JLA-5228</t>
  </si>
  <si>
    <t>LEON</t>
  </si>
  <si>
    <t xml:space="preserve">CAMBIO DE CLUTCH, Y COLLARIN </t>
  </si>
  <si>
    <t>RUBEN MEDELLIN</t>
  </si>
  <si>
    <t>JMN-2943</t>
  </si>
  <si>
    <t xml:space="preserve">CAMBIO DE HORQUILLAS, TRANSMISION Y ACEITE </t>
  </si>
  <si>
    <t xml:space="preserve">CESAR MARTINEZ MALO </t>
  </si>
  <si>
    <t>JKK-3272</t>
  </si>
  <si>
    <t>CAMBIO DE DISCOS Y MANTENIMIENTO</t>
  </si>
  <si>
    <t>PVLLA</t>
  </si>
  <si>
    <t>CARLOS TORRES</t>
  </si>
  <si>
    <t>JMN-3027</t>
  </si>
  <si>
    <t>CDMX</t>
  </si>
  <si>
    <t>VERIFICACION</t>
  </si>
  <si>
    <t xml:space="preserve">PABLO BENAVIDES </t>
  </si>
  <si>
    <t>ATITTUDE</t>
  </si>
  <si>
    <t>GLD</t>
  </si>
  <si>
    <t>AFINACION MAYOR Y HOLOGRAMA</t>
  </si>
  <si>
    <t xml:space="preserve">SALVADOR CHAVEZ </t>
  </si>
  <si>
    <t>JMN-3030</t>
  </si>
  <si>
    <t xml:space="preserve">MTY </t>
  </si>
  <si>
    <t xml:space="preserve">CAMBIO DE ACEITES, FILTROS Y BANDAS </t>
  </si>
  <si>
    <t>CAMBIO DE 2 LLANTAS</t>
  </si>
  <si>
    <t>JESUS GUTIERREZ</t>
  </si>
  <si>
    <t>JNS-5916</t>
  </si>
  <si>
    <t xml:space="preserve">AFINACION MAYOR Y HOLOGRAMA </t>
  </si>
  <si>
    <t xml:space="preserve">MARIO MARTINEZ </t>
  </si>
  <si>
    <t>FHE-3951</t>
  </si>
  <si>
    <t>TORREON</t>
  </si>
  <si>
    <t xml:space="preserve">AFINACION MAYOR  </t>
  </si>
  <si>
    <t>ALBERTO TENORIO</t>
  </si>
  <si>
    <t>GBF-2881</t>
  </si>
  <si>
    <t>DURANGO</t>
  </si>
  <si>
    <t xml:space="preserve">CAMBIO DE BANDA </t>
  </si>
  <si>
    <t>JMN-2944</t>
  </si>
  <si>
    <t xml:space="preserve">CESAR PEREZ </t>
  </si>
  <si>
    <t>JMN-2942</t>
  </si>
  <si>
    <t xml:space="preserve">CAMBIO 4 LLANTAS </t>
  </si>
  <si>
    <t xml:space="preserve">ARMANDO SERRANO </t>
  </si>
  <si>
    <t>977-ZEX</t>
  </si>
  <si>
    <t>VICTOR MENDEZ</t>
  </si>
  <si>
    <t xml:space="preserve">MATIZ </t>
  </si>
  <si>
    <t>SRM-7576</t>
  </si>
  <si>
    <t>CHIHUAHUA</t>
  </si>
  <si>
    <t xml:space="preserve">CAMBIO DE ACEITE </t>
  </si>
  <si>
    <t xml:space="preserve">MORELIA </t>
  </si>
  <si>
    <t>CAMBIO DE PARABRISAS</t>
  </si>
  <si>
    <t xml:space="preserve">ATOS </t>
  </si>
  <si>
    <t xml:space="preserve">MAZATLAN </t>
  </si>
  <si>
    <t>MANTENIMIENTO MAYOR</t>
  </si>
  <si>
    <t xml:space="preserve">BARRY VLADIMIR </t>
  </si>
  <si>
    <t>JLA-5230</t>
  </si>
  <si>
    <t>TEPATITLAN</t>
  </si>
  <si>
    <t xml:space="preserve">AJUSTE DE COMPUTADORA  Y AJUSTE DE FRENOS, CAMBIO DE TORNILLOS </t>
  </si>
  <si>
    <t xml:space="preserve">CAMBIO DE 4 LLANTAS </t>
  </si>
  <si>
    <t>TOLUCA</t>
  </si>
  <si>
    <t xml:space="preserve">CAMBIO DE BALATAS Y AJUSTE DE FRENOS </t>
  </si>
  <si>
    <t>JOSE JUAN GARCIA</t>
  </si>
  <si>
    <t>JMN-2940</t>
  </si>
  <si>
    <t>QUERETARO</t>
  </si>
  <si>
    <t>SINIESTRO CHOQUE</t>
  </si>
  <si>
    <t xml:space="preserve">ALBERTO TENORIO </t>
  </si>
  <si>
    <t xml:space="preserve">CAMBIO DE DISCOS, FRENOS, AFINACION MAYOR Y HOLOGRAMA </t>
  </si>
  <si>
    <t>ELVIS CERRO</t>
  </si>
  <si>
    <t>N01-APP</t>
  </si>
  <si>
    <t xml:space="preserve">CAMBIO DE CLUTCH Y SOPORTES </t>
  </si>
  <si>
    <t>JMN-2946</t>
  </si>
  <si>
    <t xml:space="preserve">AFINACION MAYOR </t>
  </si>
  <si>
    <t xml:space="preserve">JOSE LUIS NIETO </t>
  </si>
  <si>
    <t>JMN-3028</t>
  </si>
  <si>
    <t xml:space="preserve">CAMBIO DE SOPORTES Y AFINACION </t>
  </si>
  <si>
    <t xml:space="preserve">AFINACION MAYOR, CAMBIO DE BUJIAS Y FILTROS </t>
  </si>
  <si>
    <t>SALVADOR CHAVEZ</t>
  </si>
  <si>
    <t xml:space="preserve">JUAN ESCOBEDO </t>
  </si>
  <si>
    <t xml:space="preserve">CAMBIO DE ACEITES Y FILTROS </t>
  </si>
  <si>
    <t xml:space="preserve">CAMBIO DE BASE DE CLUTCH </t>
  </si>
  <si>
    <t xml:space="preserve">ANDRES ALVARO </t>
  </si>
  <si>
    <t>114-ZEX</t>
  </si>
  <si>
    <t xml:space="preserve">CAMBIO DE SENSOR, TERMOSTATO Y MANGUERAS </t>
  </si>
  <si>
    <t xml:space="preserve">MARTIN MORGADO </t>
  </si>
  <si>
    <t>SRZ-1698</t>
  </si>
  <si>
    <t xml:space="preserve">CAMBIO DE CHICOTE DE VELOCIDADES </t>
  </si>
  <si>
    <t>CAMBIO DE CLUTCH</t>
  </si>
  <si>
    <t xml:space="preserve">FRANCISCO CABALLERO </t>
  </si>
  <si>
    <t>I1O</t>
  </si>
  <si>
    <t>JLA-5225</t>
  </si>
  <si>
    <t xml:space="preserve">CAMBIO DE 2 LLANTAS </t>
  </si>
  <si>
    <t xml:space="preserve">LIMPIEZA Y PROGRAMACION DE CUERPO DE ACELERACION </t>
  </si>
  <si>
    <t>MARCO ROGEL</t>
  </si>
  <si>
    <t xml:space="preserve">CIVIC </t>
  </si>
  <si>
    <t>855-ZKV</t>
  </si>
  <si>
    <t xml:space="preserve">AFINACION MENOR </t>
  </si>
  <si>
    <t>JOSE NIEVES ARREOLA</t>
  </si>
  <si>
    <t>AFINACION MAYOR</t>
  </si>
  <si>
    <t xml:space="preserve">SI </t>
  </si>
  <si>
    <t>N\A</t>
  </si>
  <si>
    <t>BEAT</t>
  </si>
  <si>
    <t>JRJ-2121</t>
  </si>
  <si>
    <t>CAMBIO DE RADIADOR Y ANTICONGELANTE</t>
  </si>
  <si>
    <t>RENE CASTELLON</t>
  </si>
  <si>
    <t>PTO. VALLARTA</t>
  </si>
  <si>
    <t>SOLDADURA DE CHASIS</t>
  </si>
  <si>
    <t>TLC</t>
  </si>
  <si>
    <t xml:space="preserve">AFINACION Y CAMBIO DE ACEITE </t>
  </si>
  <si>
    <t>RICARDO GARCIA</t>
  </si>
  <si>
    <t xml:space="preserve">CAMBIO DE 2 LLANTAS Y ACEITE </t>
  </si>
  <si>
    <t>TPTLN</t>
  </si>
  <si>
    <t>AFINACION MAYOR Y CAMBIO DE ACEITE SINTETICO</t>
  </si>
  <si>
    <t>TOMAS MARTINEZ</t>
  </si>
  <si>
    <t xml:space="preserve">CAMBIO DE 2 LLANTAS  </t>
  </si>
  <si>
    <t xml:space="preserve">DANIEL HUERAMO </t>
  </si>
  <si>
    <t xml:space="preserve">CAMBIO DE ACEITE SINTETICO Y BUJIAS </t>
  </si>
  <si>
    <t>CESAR CASILLAS</t>
  </si>
  <si>
    <t xml:space="preserve">REPARACION DE MOTOR </t>
  </si>
  <si>
    <t>GASTO MANTENIMIENTO</t>
  </si>
  <si>
    <t>FECHA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</si>
</sst>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44" fontId="0" fillId="4" borderId="0" xfId="2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44" fontId="0" fillId="0" borderId="0" xfId="2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4" borderId="0" xfId="0" applyNumberFormat="1" applyFont="1" applyFill="1" applyBorder="1" applyAlignment="1">
      <alignment horizontal="center"/>
    </xf>
    <xf numFmtId="164" fontId="6" fillId="4" borderId="0" xfId="0" applyNumberFormat="1" applyFont="1" applyFill="1" applyBorder="1" applyAlignment="1">
      <alignment horizontal="center"/>
    </xf>
    <xf numFmtId="9" fontId="0" fillId="4" borderId="0" xfId="3" applyNumberFormat="1" applyFont="1" applyFill="1" applyAlignment="1">
      <alignment horizontal="center"/>
    </xf>
    <xf numFmtId="9" fontId="0" fillId="0" borderId="0" xfId="3" applyNumberFormat="1" applyFont="1" applyAlignment="1">
      <alignment horizontal="center"/>
    </xf>
    <xf numFmtId="0" fontId="6" fillId="4" borderId="0" xfId="0" applyFont="1" applyFill="1" applyBorder="1" applyAlignment="1">
      <alignment horizontal="center" vertical="center"/>
    </xf>
    <xf numFmtId="3" fontId="0" fillId="4" borderId="0" xfId="0" applyNumberFormat="1" applyFont="1" applyFill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4" fontId="2" fillId="2" borderId="1" xfId="2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0" fillId="3" borderId="0" xfId="0" applyFont="1" applyFill="1" applyAlignment="1"/>
    <xf numFmtId="0" fontId="0" fillId="4" borderId="0" xfId="0" applyFont="1" applyFill="1" applyAlignment="1"/>
    <xf numFmtId="9" fontId="0" fillId="4" borderId="0" xfId="3" applyNumberFormat="1" applyFont="1" applyFill="1" applyAlignment="1"/>
    <xf numFmtId="44" fontId="3" fillId="2" borderId="1" xfId="2" applyNumberFormat="1" applyFont="1" applyFill="1" applyBorder="1" applyAlignment="1">
      <alignment horizontal="center" vertical="center"/>
    </xf>
    <xf numFmtId="9" fontId="2" fillId="2" borderId="1" xfId="3" applyNumberFormat="1" applyFont="1" applyFill="1" applyBorder="1" applyAlignment="1">
      <alignment horizontal="center" vertical="center"/>
    </xf>
    <xf numFmtId="0" fontId="0" fillId="0" borderId="0" xfId="0" applyFont="1" applyAlignment="1"/>
    <xf numFmtId="9" fontId="0" fillId="0" borderId="0" xfId="3" applyNumberFormat="1" applyFont="1" applyAlignment="1"/>
    <xf numFmtId="44" fontId="0" fillId="4" borderId="0" xfId="2" applyNumberFormat="1" applyFont="1" applyFill="1" applyAlignment="1"/>
    <xf numFmtId="44" fontId="0" fillId="0" borderId="0" xfId="2" applyNumberFormat="1" applyFont="1" applyAlignment="1"/>
    <xf numFmtId="3" fontId="0" fillId="4" borderId="0" xfId="0" applyNumberFormat="1" applyFont="1" applyFill="1" applyAlignment="1"/>
    <xf numFmtId="3" fontId="0" fillId="0" borderId="0" xfId="0" applyNumberFormat="1" applyFont="1" applyAlignment="1"/>
    <xf numFmtId="44" fontId="0" fillId="0" borderId="0" xfId="2" applyNumberFormat="1" applyFont="1" applyAlignment="1">
      <alignment horizontal="left" vertical="center"/>
    </xf>
    <xf numFmtId="14" fontId="2" fillId="2" borderId="1" xfId="2" applyNumberFormat="1" applyFont="1" applyFill="1" applyBorder="1" applyAlignment="1">
      <alignment horizontal="center" vertical="center"/>
    </xf>
    <xf numFmtId="14" fontId="0" fillId="4" borderId="0" xfId="0" applyNumberFormat="1" applyFont="1" applyFill="1" applyAlignment="1"/>
    <xf numFmtId="14" fontId="0" fillId="0" borderId="0" xfId="0" applyNumberFormat="1" applyFont="1" applyAlignment="1"/>
    <xf numFmtId="14" fontId="0" fillId="6" borderId="0" xfId="0" applyNumberFormat="1" applyFont="1" applyFill="1" applyAlignment="1"/>
    <xf numFmtId="14" fontId="0" fillId="5" borderId="0" xfId="0" applyNumberFormat="1" applyFont="1" applyFill="1" applyAlignment="1"/>
    <xf numFmtId="14" fontId="0" fillId="4" borderId="0" xfId="0" applyNumberFormat="1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/>
    <xf numFmtId="0" fontId="0" fillId="3" borderId="2" xfId="0" applyFont="1" applyFill="1" applyBorder="1" applyAlignment="1"/>
    <xf numFmtId="0" fontId="0" fillId="4" borderId="2" xfId="0" applyFont="1" applyFill="1" applyBorder="1" applyAlignme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0" tint="-0.14999847407452621"/>
          <bgColor theme="0" tint="-0.1499984740745262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0" tint="-0.14999847407452621"/>
          <bgColor theme="0" tint="-0.1499984740745262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textRotation="0" wrapText="0" indent="0" justifyLastLine="0" shrinkToFit="0" readingOrder="0"/>
    </dxf>
    <dxf>
      <border outline="0">
        <top style="thin">
          <color indexed="64"/>
        </top>
      </border>
    </dxf>
    <dxf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01679-39CE-4163-8DC4-1E5F2F165719}" name="Tabla2" displayName="Tabla2" ref="A1:O77" totalsRowShown="0" headerRowDxfId="18" dataDxfId="16" headerRowBorderDxfId="17" tableBorderDxfId="15">
  <autoFilter ref="A1:O77" xr:uid="{CA3E4A5A-CA0C-4671-AC2E-0C658FB8745B}">
    <filterColumn colId="0">
      <filters>
        <filter val="VICTOR ESCAMILLA"/>
      </filters>
    </filterColumn>
  </autoFilter>
  <tableColumns count="15">
    <tableColumn id="1" xr3:uid="{7B2A6A40-563D-4EC0-B0FF-D723B86240D6}" name="USUARIO" dataDxfId="14"/>
    <tableColumn id="2" xr3:uid="{9F012FE2-2D2C-41B7-A90F-9559630DA657}" name="COSTO" dataDxfId="13" dataCellStyle="Moneda"/>
    <tableColumn id="3" xr3:uid="{9DBD1199-8A01-4358-BD3F-9ABD7883A793}" name="GASTO MANTENIMIENTO" dataDxfId="12" dataCellStyle="Moneda">
      <calculatedColumnFormula>B2/1.16</calculatedColumnFormula>
    </tableColumn>
    <tableColumn id="4" xr3:uid="{61BA0395-2DD3-4BA4-BA89-6AE554866AD4}" name="DESCUENTO ENTREGADO A NOMINAS" dataDxfId="11"/>
    <tableColumn id="5" xr3:uid="{05AC491F-D295-4A68-8C66-0C0DECE32161}" name="DESCUENTO FIRMADO" dataDxfId="10"/>
    <tableColumn id="6" xr3:uid="{DDC1BBEE-1D55-4474-A3D9-CA56702D2707}" name="FACTURA PDF Y XML" dataDxfId="9"/>
    <tableColumn id="7" xr3:uid="{2C4D5431-2F97-4070-AD58-8532220660EC}" name="FACTURAS ENTREGADAS A PAGOS " dataDxfId="8"/>
    <tableColumn id="8" xr3:uid="{01864520-8009-4831-85AC-4250FBED5421}" name="FECHA DEPOSITO" dataDxfId="7"/>
    <tableColumn id="9" xr3:uid="{0EF7D2D1-8A57-48BD-B79C-9AA33E6F0002}" name="MODELO" dataDxfId="6"/>
    <tableColumn id="10" xr3:uid="{2E87A954-8523-43A7-96A9-C70629578188}" name="AÑO" dataDxfId="5"/>
    <tableColumn id="11" xr3:uid="{68EA2EFC-F707-4FA8-A1CB-5FFEB1F5A85A}" name="KM ACTUAL" dataDxfId="4"/>
    <tableColumn id="12" xr3:uid="{7A945405-E13B-4085-9016-FE00F4853A8C}" name="PLACAS" dataDxfId="3"/>
    <tableColumn id="13" xr3:uid="{03611F3A-500B-46BA-B1F8-7EBDA59E846F}" name="ZONA" dataDxfId="2"/>
    <tableColumn id="14" xr3:uid="{2E2067EF-BB44-4FED-A21A-EC4EA25B6DD5}" name="% GASTO DE MTTO" dataDxfId="1" dataCellStyle="Porcentaje"/>
    <tableColumn id="15" xr3:uid="{00A4E7E7-1400-4F26-9E16-915871CFC1F5}" name="REPARACIÓ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D069-844C-4496-A5FC-9B931BFAEF2F}">
  <dimension ref="A1:O77"/>
  <sheetViews>
    <sheetView tabSelected="1" topLeftCell="J12" workbookViewId="0">
      <selection activeCell="X12" sqref="X12"/>
    </sheetView>
  </sheetViews>
  <sheetFormatPr baseColWidth="10" defaultRowHeight="15" x14ac:dyDescent="0.25"/>
  <cols>
    <col min="3" max="3" width="19.7109375" customWidth="1"/>
    <col min="4" max="4" width="33.140625" customWidth="1"/>
    <col min="5" max="5" width="23.7109375" customWidth="1"/>
    <col min="6" max="6" width="22" customWidth="1"/>
    <col min="7" max="7" width="30.5703125" customWidth="1"/>
    <col min="8" max="8" width="29.28515625" style="51" customWidth="1"/>
    <col min="11" max="11" width="14.42578125" customWidth="1"/>
    <col min="14" max="14" width="19.7109375" customWidth="1"/>
    <col min="15" max="15" width="14.7109375" customWidth="1"/>
  </cols>
  <sheetData>
    <row r="1" spans="1:15" x14ac:dyDescent="0.25">
      <c r="A1" s="29" t="s">
        <v>0</v>
      </c>
      <c r="B1" s="30" t="s">
        <v>1</v>
      </c>
      <c r="C1" s="30" t="s">
        <v>199</v>
      </c>
      <c r="D1" s="35" t="s">
        <v>2</v>
      </c>
      <c r="E1" s="30" t="s">
        <v>3</v>
      </c>
      <c r="F1" s="30" t="s">
        <v>4</v>
      </c>
      <c r="G1" s="35" t="s">
        <v>5</v>
      </c>
      <c r="H1" s="44" t="s">
        <v>200</v>
      </c>
      <c r="I1" s="29" t="s">
        <v>6</v>
      </c>
      <c r="J1" s="29" t="s">
        <v>7</v>
      </c>
      <c r="K1" s="31" t="s">
        <v>8</v>
      </c>
      <c r="L1" s="29" t="s">
        <v>9</v>
      </c>
      <c r="M1" s="29" t="s">
        <v>10</v>
      </c>
      <c r="N1" s="36" t="s">
        <v>11</v>
      </c>
      <c r="O1" s="29" t="s">
        <v>12</v>
      </c>
    </row>
    <row r="2" spans="1:15" hidden="1" x14ac:dyDescent="0.25">
      <c r="A2" s="32" t="s">
        <v>13</v>
      </c>
      <c r="B2" s="1">
        <v>1696</v>
      </c>
      <c r="C2" s="40">
        <f t="shared" ref="C2:C36" si="0">B2/1.16</f>
        <v>1462.0689655172414</v>
      </c>
      <c r="D2" s="2" t="s">
        <v>14</v>
      </c>
      <c r="E2" s="3" t="s">
        <v>14</v>
      </c>
      <c r="F2" s="3" t="s">
        <v>14</v>
      </c>
      <c r="G2" s="4" t="s">
        <v>14</v>
      </c>
      <c r="H2" s="45">
        <v>43469</v>
      </c>
      <c r="I2" s="33" t="s">
        <v>15</v>
      </c>
      <c r="J2" s="33">
        <v>2012</v>
      </c>
      <c r="K2" s="2">
        <v>89812</v>
      </c>
      <c r="L2" s="5" t="s">
        <v>16</v>
      </c>
      <c r="M2" s="6" t="s">
        <v>17</v>
      </c>
      <c r="N2" s="34">
        <v>0.6</v>
      </c>
      <c r="O2" s="6" t="s">
        <v>18</v>
      </c>
    </row>
    <row r="3" spans="1:15" hidden="1" x14ac:dyDescent="0.25">
      <c r="A3" s="37" t="s">
        <v>19</v>
      </c>
      <c r="B3" s="7">
        <v>2980</v>
      </c>
      <c r="C3" s="40">
        <f t="shared" si="0"/>
        <v>2568.9655172413795</v>
      </c>
      <c r="D3" s="8" t="s">
        <v>20</v>
      </c>
      <c r="E3" s="9" t="s">
        <v>20</v>
      </c>
      <c r="F3" s="9" t="s">
        <v>20</v>
      </c>
      <c r="G3" s="10" t="s">
        <v>14</v>
      </c>
      <c r="H3" s="46">
        <v>43469</v>
      </c>
      <c r="I3" s="37" t="s">
        <v>21</v>
      </c>
      <c r="J3" s="37">
        <v>2013</v>
      </c>
      <c r="K3" s="8">
        <v>174980</v>
      </c>
      <c r="L3" s="11" t="s">
        <v>22</v>
      </c>
      <c r="M3" s="12" t="s">
        <v>23</v>
      </c>
      <c r="N3" s="38">
        <v>0</v>
      </c>
      <c r="O3" s="12" t="s">
        <v>24</v>
      </c>
    </row>
    <row r="4" spans="1:15" hidden="1" x14ac:dyDescent="0.25">
      <c r="A4" s="32" t="s">
        <v>25</v>
      </c>
      <c r="B4" s="1">
        <v>1469</v>
      </c>
      <c r="C4" s="40">
        <f t="shared" si="0"/>
        <v>1266.3793103448277</v>
      </c>
      <c r="D4" s="2" t="s">
        <v>20</v>
      </c>
      <c r="E4" s="3" t="s">
        <v>20</v>
      </c>
      <c r="F4" s="3" t="s">
        <v>20</v>
      </c>
      <c r="G4" s="13" t="s">
        <v>14</v>
      </c>
      <c r="H4" s="45">
        <v>43469</v>
      </c>
      <c r="I4" s="33" t="s">
        <v>21</v>
      </c>
      <c r="J4" s="33">
        <v>2013</v>
      </c>
      <c r="K4" s="2">
        <v>174980</v>
      </c>
      <c r="L4" s="5" t="s">
        <v>22</v>
      </c>
      <c r="M4" s="6" t="s">
        <v>23</v>
      </c>
      <c r="N4" s="34">
        <v>0</v>
      </c>
      <c r="O4" s="6" t="s">
        <v>26</v>
      </c>
    </row>
    <row r="5" spans="1:15" x14ac:dyDescent="0.25">
      <c r="A5" s="37" t="s">
        <v>27</v>
      </c>
      <c r="B5" s="7">
        <v>3734.03</v>
      </c>
      <c r="C5" s="40">
        <f t="shared" si="0"/>
        <v>3218.9913793103451</v>
      </c>
      <c r="D5" s="8" t="s">
        <v>14</v>
      </c>
      <c r="E5" s="9"/>
      <c r="F5" s="9" t="s">
        <v>14</v>
      </c>
      <c r="G5" s="10" t="s">
        <v>14</v>
      </c>
      <c r="H5" s="46">
        <v>43469</v>
      </c>
      <c r="I5" s="37" t="s">
        <v>28</v>
      </c>
      <c r="J5" s="37">
        <v>2014</v>
      </c>
      <c r="K5" s="8">
        <v>234556</v>
      </c>
      <c r="L5" s="14" t="s">
        <v>29</v>
      </c>
      <c r="M5" s="12" t="s">
        <v>30</v>
      </c>
      <c r="N5" s="38">
        <v>0.3</v>
      </c>
      <c r="O5" s="12" t="s">
        <v>31</v>
      </c>
    </row>
    <row r="6" spans="1:15" hidden="1" x14ac:dyDescent="0.25">
      <c r="A6" s="32" t="s">
        <v>32</v>
      </c>
      <c r="B6" s="1">
        <v>385</v>
      </c>
      <c r="C6" s="40">
        <f t="shared" si="0"/>
        <v>331.89655172413796</v>
      </c>
      <c r="D6" s="2" t="s">
        <v>14</v>
      </c>
      <c r="E6" s="3" t="s">
        <v>14</v>
      </c>
      <c r="F6" s="3" t="s">
        <v>14</v>
      </c>
      <c r="G6" s="4" t="s">
        <v>14</v>
      </c>
      <c r="H6" s="45">
        <v>43469</v>
      </c>
      <c r="I6" s="33" t="s">
        <v>33</v>
      </c>
      <c r="J6" s="33">
        <v>2016</v>
      </c>
      <c r="K6" s="2">
        <v>100090</v>
      </c>
      <c r="L6" s="5" t="s">
        <v>34</v>
      </c>
      <c r="M6" s="6" t="s">
        <v>17</v>
      </c>
      <c r="N6" s="34">
        <v>0.3</v>
      </c>
      <c r="O6" s="6" t="s">
        <v>35</v>
      </c>
    </row>
    <row r="7" spans="1:15" hidden="1" x14ac:dyDescent="0.25">
      <c r="A7" s="37" t="s">
        <v>36</v>
      </c>
      <c r="B7" s="7">
        <v>4210</v>
      </c>
      <c r="C7" s="40">
        <f t="shared" si="0"/>
        <v>3629.3103448275865</v>
      </c>
      <c r="D7" s="8" t="s">
        <v>20</v>
      </c>
      <c r="E7" s="9" t="s">
        <v>20</v>
      </c>
      <c r="F7" s="9" t="s">
        <v>20</v>
      </c>
      <c r="G7" s="10" t="s">
        <v>14</v>
      </c>
      <c r="H7" s="47">
        <v>43476</v>
      </c>
      <c r="I7" s="37" t="s">
        <v>28</v>
      </c>
      <c r="J7" s="37">
        <v>2014</v>
      </c>
      <c r="K7" s="8">
        <v>58420</v>
      </c>
      <c r="L7" s="9" t="s">
        <v>37</v>
      </c>
      <c r="M7" s="12" t="s">
        <v>38</v>
      </c>
      <c r="N7" s="38">
        <v>0</v>
      </c>
      <c r="O7" s="12" t="s">
        <v>39</v>
      </c>
    </row>
    <row r="8" spans="1:15" hidden="1" x14ac:dyDescent="0.25">
      <c r="A8" s="32" t="s">
        <v>40</v>
      </c>
      <c r="B8" s="1">
        <v>1266</v>
      </c>
      <c r="C8" s="40">
        <f t="shared" si="0"/>
        <v>1091.3793103448277</v>
      </c>
      <c r="D8" s="2" t="s">
        <v>14</v>
      </c>
      <c r="E8" s="3" t="s">
        <v>14</v>
      </c>
      <c r="F8" s="3" t="s">
        <v>14</v>
      </c>
      <c r="G8" s="4" t="s">
        <v>14</v>
      </c>
      <c r="H8" s="48">
        <v>43476</v>
      </c>
      <c r="I8" s="33" t="s">
        <v>41</v>
      </c>
      <c r="J8" s="33">
        <v>2011</v>
      </c>
      <c r="K8" s="2">
        <v>195357</v>
      </c>
      <c r="L8" s="5" t="s">
        <v>42</v>
      </c>
      <c r="M8" s="6" t="s">
        <v>43</v>
      </c>
      <c r="N8" s="34">
        <v>0.6</v>
      </c>
      <c r="O8" s="6" t="s">
        <v>44</v>
      </c>
    </row>
    <row r="9" spans="1:15" hidden="1" x14ac:dyDescent="0.25">
      <c r="A9" s="33" t="s">
        <v>135</v>
      </c>
      <c r="B9" s="7">
        <v>1317.76</v>
      </c>
      <c r="C9" s="40">
        <f t="shared" si="0"/>
        <v>1136</v>
      </c>
      <c r="D9" s="8"/>
      <c r="E9" s="9" t="s">
        <v>14</v>
      </c>
      <c r="F9" s="9" t="s">
        <v>14</v>
      </c>
      <c r="G9" s="10" t="s">
        <v>14</v>
      </c>
      <c r="H9" s="47">
        <v>43476</v>
      </c>
      <c r="I9" s="37"/>
      <c r="J9" s="37"/>
      <c r="K9" s="8">
        <v>123096</v>
      </c>
      <c r="L9" s="9"/>
      <c r="M9" s="12"/>
      <c r="N9" s="38"/>
      <c r="O9" s="12" t="s">
        <v>45</v>
      </c>
    </row>
    <row r="10" spans="1:15" hidden="1" x14ac:dyDescent="0.25">
      <c r="A10" s="32" t="s">
        <v>46</v>
      </c>
      <c r="B10" s="1">
        <v>1789.01</v>
      </c>
      <c r="C10" s="40">
        <f t="shared" si="0"/>
        <v>1542.25</v>
      </c>
      <c r="D10" s="2" t="s">
        <v>14</v>
      </c>
      <c r="E10" s="3"/>
      <c r="F10" s="3" t="s">
        <v>14</v>
      </c>
      <c r="G10" s="4" t="s">
        <v>14</v>
      </c>
      <c r="H10" s="48">
        <v>43476</v>
      </c>
      <c r="I10" s="33" t="s">
        <v>28</v>
      </c>
      <c r="J10" s="33">
        <v>2014</v>
      </c>
      <c r="K10" s="2">
        <v>142454</v>
      </c>
      <c r="L10" s="5" t="s">
        <v>47</v>
      </c>
      <c r="M10" s="6" t="s">
        <v>17</v>
      </c>
      <c r="N10" s="34">
        <v>0.6</v>
      </c>
      <c r="O10" s="6" t="s">
        <v>48</v>
      </c>
    </row>
    <row r="11" spans="1:15" hidden="1" x14ac:dyDescent="0.25">
      <c r="A11" s="37" t="s">
        <v>49</v>
      </c>
      <c r="B11" s="7">
        <v>1516</v>
      </c>
      <c r="C11" s="40">
        <f t="shared" si="0"/>
        <v>1306.8965517241379</v>
      </c>
      <c r="D11" s="8"/>
      <c r="E11" s="9"/>
      <c r="F11" s="9"/>
      <c r="G11" s="10"/>
      <c r="H11" s="46">
        <v>43476</v>
      </c>
      <c r="I11" s="37" t="s">
        <v>21</v>
      </c>
      <c r="J11" s="37">
        <v>2013</v>
      </c>
      <c r="K11" s="8"/>
      <c r="L11" s="11" t="s">
        <v>50</v>
      </c>
      <c r="M11" s="12" t="s">
        <v>17</v>
      </c>
      <c r="N11" s="38"/>
      <c r="O11" s="12" t="s">
        <v>51</v>
      </c>
    </row>
    <row r="12" spans="1:15" x14ac:dyDescent="0.25">
      <c r="A12" s="32" t="s">
        <v>27</v>
      </c>
      <c r="B12" s="1">
        <v>986</v>
      </c>
      <c r="C12" s="40">
        <f t="shared" si="0"/>
        <v>850.00000000000011</v>
      </c>
      <c r="D12" s="2" t="s">
        <v>14</v>
      </c>
      <c r="E12" s="3"/>
      <c r="F12" s="3" t="s">
        <v>14</v>
      </c>
      <c r="G12" s="4" t="s">
        <v>14</v>
      </c>
      <c r="H12" s="45">
        <v>43479</v>
      </c>
      <c r="I12" s="33" t="s">
        <v>28</v>
      </c>
      <c r="J12" s="33">
        <v>2014</v>
      </c>
      <c r="K12" s="2"/>
      <c r="L12" s="15" t="s">
        <v>29</v>
      </c>
      <c r="M12" s="6" t="s">
        <v>52</v>
      </c>
      <c r="N12" s="34">
        <v>0.3</v>
      </c>
      <c r="O12" s="6" t="s">
        <v>53</v>
      </c>
    </row>
    <row r="13" spans="1:15" hidden="1" x14ac:dyDescent="0.25">
      <c r="A13" s="37" t="s">
        <v>54</v>
      </c>
      <c r="B13" s="7">
        <v>3700</v>
      </c>
      <c r="C13" s="40">
        <f t="shared" si="0"/>
        <v>3189.6551724137935</v>
      </c>
      <c r="D13" s="8" t="s">
        <v>14</v>
      </c>
      <c r="E13" s="9"/>
      <c r="F13" s="9" t="s">
        <v>14</v>
      </c>
      <c r="G13" s="10"/>
      <c r="H13" s="46">
        <v>43479</v>
      </c>
      <c r="I13" s="37" t="s">
        <v>28</v>
      </c>
      <c r="J13" s="37">
        <v>2014</v>
      </c>
      <c r="K13" s="8">
        <v>118271</v>
      </c>
      <c r="L13" s="16" t="s">
        <v>55</v>
      </c>
      <c r="M13" s="12" t="s">
        <v>56</v>
      </c>
      <c r="N13" s="38">
        <v>0.3</v>
      </c>
      <c r="O13" s="12" t="s">
        <v>57</v>
      </c>
    </row>
    <row r="14" spans="1:15" hidden="1" x14ac:dyDescent="0.25">
      <c r="A14" s="32" t="s">
        <v>40</v>
      </c>
      <c r="B14" s="1">
        <v>794</v>
      </c>
      <c r="C14" s="40">
        <f t="shared" si="0"/>
        <v>684.48275862068965</v>
      </c>
      <c r="D14" s="2" t="s">
        <v>14</v>
      </c>
      <c r="E14" s="3"/>
      <c r="F14" s="3" t="s">
        <v>14</v>
      </c>
      <c r="G14" s="4" t="s">
        <v>14</v>
      </c>
      <c r="H14" s="45">
        <v>43483</v>
      </c>
      <c r="I14" s="33" t="s">
        <v>41</v>
      </c>
      <c r="J14" s="33">
        <v>2011</v>
      </c>
      <c r="K14" s="2">
        <v>195357</v>
      </c>
      <c r="L14" s="3" t="s">
        <v>42</v>
      </c>
      <c r="M14" s="6" t="s">
        <v>43</v>
      </c>
      <c r="N14" s="34">
        <v>0.6</v>
      </c>
      <c r="O14" s="6" t="s">
        <v>58</v>
      </c>
    </row>
    <row r="15" spans="1:15" hidden="1" x14ac:dyDescent="0.25">
      <c r="A15" s="37" t="s">
        <v>54</v>
      </c>
      <c r="B15" s="7">
        <v>1530</v>
      </c>
      <c r="C15" s="40">
        <f t="shared" si="0"/>
        <v>1318.9655172413793</v>
      </c>
      <c r="D15" s="8" t="s">
        <v>14</v>
      </c>
      <c r="E15" s="9"/>
      <c r="F15" s="9" t="s">
        <v>14</v>
      </c>
      <c r="G15" s="10"/>
      <c r="H15" s="46">
        <v>43483</v>
      </c>
      <c r="I15" s="37" t="s">
        <v>28</v>
      </c>
      <c r="J15" s="37">
        <v>2014</v>
      </c>
      <c r="K15" s="8">
        <v>118271</v>
      </c>
      <c r="L15" s="16" t="s">
        <v>55</v>
      </c>
      <c r="M15" s="12" t="s">
        <v>56</v>
      </c>
      <c r="N15" s="38">
        <v>0.3</v>
      </c>
      <c r="O15" s="12" t="s">
        <v>59</v>
      </c>
    </row>
    <row r="16" spans="1:15" hidden="1" x14ac:dyDescent="0.25">
      <c r="A16" s="32" t="s">
        <v>60</v>
      </c>
      <c r="B16" s="1">
        <v>1180</v>
      </c>
      <c r="C16" s="40">
        <f t="shared" si="0"/>
        <v>1017.2413793103449</v>
      </c>
      <c r="D16" s="2" t="s">
        <v>14</v>
      </c>
      <c r="E16" s="3"/>
      <c r="F16" s="3" t="s">
        <v>14</v>
      </c>
      <c r="G16" s="4"/>
      <c r="H16" s="45">
        <v>43483</v>
      </c>
      <c r="I16" s="33" t="s">
        <v>61</v>
      </c>
      <c r="J16" s="33">
        <v>2010</v>
      </c>
      <c r="K16" s="2"/>
      <c r="L16" s="5" t="s">
        <v>62</v>
      </c>
      <c r="M16" s="6"/>
      <c r="N16" s="34">
        <v>0.3</v>
      </c>
      <c r="O16" s="6" t="s">
        <v>63</v>
      </c>
    </row>
    <row r="17" spans="1:15" hidden="1" x14ac:dyDescent="0.25">
      <c r="A17" s="37" t="s">
        <v>64</v>
      </c>
      <c r="B17" s="7">
        <v>745</v>
      </c>
      <c r="C17" s="40">
        <f t="shared" si="0"/>
        <v>642.24137931034488</v>
      </c>
      <c r="D17" s="8"/>
      <c r="E17" s="9"/>
      <c r="F17" s="9"/>
      <c r="G17" s="10"/>
      <c r="H17" s="46">
        <v>43483</v>
      </c>
      <c r="I17" s="37"/>
      <c r="J17" s="37"/>
      <c r="K17" s="8"/>
      <c r="L17" s="9"/>
      <c r="M17" s="12"/>
      <c r="N17" s="38"/>
      <c r="O17" s="12"/>
    </row>
    <row r="18" spans="1:15" hidden="1" x14ac:dyDescent="0.25">
      <c r="A18" s="33" t="s">
        <v>65</v>
      </c>
      <c r="B18" s="39">
        <v>2010</v>
      </c>
      <c r="C18" s="40">
        <f t="shared" si="0"/>
        <v>1732.7586206896553</v>
      </c>
      <c r="D18" s="2" t="s">
        <v>14</v>
      </c>
      <c r="E18" s="2" t="s">
        <v>14</v>
      </c>
      <c r="F18" s="2" t="s">
        <v>14</v>
      </c>
      <c r="G18" s="2" t="s">
        <v>14</v>
      </c>
      <c r="H18" s="49">
        <v>43508</v>
      </c>
      <c r="I18" s="2" t="s">
        <v>33</v>
      </c>
      <c r="J18" s="2">
        <v>2016</v>
      </c>
      <c r="K18" s="2">
        <v>110714</v>
      </c>
      <c r="L18" s="17" t="s">
        <v>66</v>
      </c>
      <c r="M18" s="2" t="s">
        <v>38</v>
      </c>
      <c r="N18" s="34">
        <v>0.3</v>
      </c>
      <c r="O18" s="33" t="s">
        <v>67</v>
      </c>
    </row>
    <row r="19" spans="1:15" hidden="1" x14ac:dyDescent="0.25">
      <c r="A19" s="37" t="s">
        <v>68</v>
      </c>
      <c r="B19" s="40">
        <v>2877.12</v>
      </c>
      <c r="C19" s="40">
        <f t="shared" si="0"/>
        <v>2480.2758620689656</v>
      </c>
      <c r="D19" s="8" t="s">
        <v>14</v>
      </c>
      <c r="E19" s="8" t="s">
        <v>14</v>
      </c>
      <c r="F19" s="8" t="s">
        <v>14</v>
      </c>
      <c r="G19" s="8" t="s">
        <v>14</v>
      </c>
      <c r="H19" s="50">
        <v>43508</v>
      </c>
      <c r="I19" s="8" t="s">
        <v>69</v>
      </c>
      <c r="J19" s="8">
        <v>2016</v>
      </c>
      <c r="K19" s="8">
        <v>39129</v>
      </c>
      <c r="L19" s="18" t="s">
        <v>70</v>
      </c>
      <c r="M19" s="8" t="s">
        <v>71</v>
      </c>
      <c r="N19" s="38">
        <v>0.6</v>
      </c>
      <c r="O19" s="37" t="s">
        <v>72</v>
      </c>
    </row>
    <row r="20" spans="1:15" hidden="1" x14ac:dyDescent="0.25">
      <c r="A20" s="33" t="s">
        <v>73</v>
      </c>
      <c r="B20" s="39">
        <v>1550</v>
      </c>
      <c r="C20" s="40">
        <f t="shared" si="0"/>
        <v>1336.2068965517242</v>
      </c>
      <c r="D20" s="2" t="s">
        <v>14</v>
      </c>
      <c r="E20" s="2" t="s">
        <v>14</v>
      </c>
      <c r="F20" s="2" t="s">
        <v>14</v>
      </c>
      <c r="G20" s="2" t="s">
        <v>14</v>
      </c>
      <c r="H20" s="49">
        <v>43518</v>
      </c>
      <c r="I20" s="2" t="s">
        <v>33</v>
      </c>
      <c r="J20" s="2">
        <v>2016</v>
      </c>
      <c r="K20" s="2">
        <v>73388</v>
      </c>
      <c r="L20" s="17" t="s">
        <v>74</v>
      </c>
      <c r="M20" s="2"/>
      <c r="N20" s="34">
        <v>0.6</v>
      </c>
      <c r="O20" s="33" t="s">
        <v>75</v>
      </c>
    </row>
    <row r="21" spans="1:15" hidden="1" x14ac:dyDescent="0.25">
      <c r="A21" s="37" t="s">
        <v>76</v>
      </c>
      <c r="B21" s="40">
        <v>2150</v>
      </c>
      <c r="C21" s="40">
        <f t="shared" si="0"/>
        <v>1853.4482758620691</v>
      </c>
      <c r="D21" s="8" t="s">
        <v>14</v>
      </c>
      <c r="E21" s="8" t="s">
        <v>14</v>
      </c>
      <c r="F21" s="8" t="s">
        <v>14</v>
      </c>
      <c r="G21" s="8" t="s">
        <v>14</v>
      </c>
      <c r="H21" s="50">
        <v>43518</v>
      </c>
      <c r="I21" s="8" t="s">
        <v>21</v>
      </c>
      <c r="J21" s="8">
        <v>2012</v>
      </c>
      <c r="K21" s="8">
        <v>210637</v>
      </c>
      <c r="L21" s="19" t="s">
        <v>77</v>
      </c>
      <c r="M21" s="8" t="s">
        <v>78</v>
      </c>
      <c r="N21" s="38">
        <v>0.6</v>
      </c>
      <c r="O21" s="37" t="s">
        <v>79</v>
      </c>
    </row>
    <row r="22" spans="1:15" hidden="1" x14ac:dyDescent="0.25">
      <c r="A22" s="33" t="s">
        <v>80</v>
      </c>
      <c r="B22" s="39">
        <v>2310</v>
      </c>
      <c r="C22" s="40">
        <f t="shared" si="0"/>
        <v>1991.3793103448277</v>
      </c>
      <c r="D22" s="2" t="s">
        <v>20</v>
      </c>
      <c r="E22" s="2" t="s">
        <v>20</v>
      </c>
      <c r="F22" s="2" t="s">
        <v>20</v>
      </c>
      <c r="G22" s="2" t="s">
        <v>14</v>
      </c>
      <c r="H22" s="49">
        <v>43518</v>
      </c>
      <c r="I22" s="2" t="s">
        <v>28</v>
      </c>
      <c r="J22" s="2">
        <v>2014</v>
      </c>
      <c r="K22" s="2">
        <v>79492</v>
      </c>
      <c r="L22" s="5" t="s">
        <v>81</v>
      </c>
      <c r="M22" s="2" t="s">
        <v>82</v>
      </c>
      <c r="N22" s="34">
        <v>0</v>
      </c>
      <c r="O22" s="33" t="s">
        <v>83</v>
      </c>
    </row>
    <row r="23" spans="1:15" hidden="1" x14ac:dyDescent="0.25">
      <c r="A23" s="37" t="s">
        <v>84</v>
      </c>
      <c r="B23" s="40">
        <v>3932.4</v>
      </c>
      <c r="C23" s="40">
        <f t="shared" si="0"/>
        <v>3390.0000000000005</v>
      </c>
      <c r="D23" s="8" t="s">
        <v>20</v>
      </c>
      <c r="E23" s="8" t="s">
        <v>20</v>
      </c>
      <c r="F23" s="8" t="s">
        <v>20</v>
      </c>
      <c r="G23" s="8" t="s">
        <v>14</v>
      </c>
      <c r="H23" s="50">
        <v>43518</v>
      </c>
      <c r="I23" s="8" t="s">
        <v>28</v>
      </c>
      <c r="J23" s="8">
        <v>2014</v>
      </c>
      <c r="K23" s="8"/>
      <c r="L23" s="16" t="s">
        <v>85</v>
      </c>
      <c r="M23" s="8" t="s">
        <v>86</v>
      </c>
      <c r="N23" s="38">
        <v>0.6</v>
      </c>
      <c r="O23" s="37" t="s">
        <v>87</v>
      </c>
    </row>
    <row r="24" spans="1:15" hidden="1" x14ac:dyDescent="0.25">
      <c r="A24" s="33" t="s">
        <v>88</v>
      </c>
      <c r="B24" s="39">
        <v>6333.11</v>
      </c>
      <c r="C24" s="40">
        <f t="shared" si="0"/>
        <v>5459.5775862068967</v>
      </c>
      <c r="D24" s="2" t="s">
        <v>14</v>
      </c>
      <c r="E24" s="2" t="s">
        <v>14</v>
      </c>
      <c r="F24" s="2" t="s">
        <v>14</v>
      </c>
      <c r="G24" s="2" t="s">
        <v>14</v>
      </c>
      <c r="H24" s="49">
        <v>43518</v>
      </c>
      <c r="I24" s="2" t="s">
        <v>33</v>
      </c>
      <c r="J24" s="2">
        <v>2016</v>
      </c>
      <c r="K24" s="2">
        <v>157190</v>
      </c>
      <c r="L24" s="17" t="s">
        <v>89</v>
      </c>
      <c r="M24" s="2" t="s">
        <v>38</v>
      </c>
      <c r="N24" s="34">
        <v>0.6</v>
      </c>
      <c r="O24" s="33" t="s">
        <v>90</v>
      </c>
    </row>
    <row r="25" spans="1:15" hidden="1" x14ac:dyDescent="0.25">
      <c r="A25" s="37" t="s">
        <v>91</v>
      </c>
      <c r="B25" s="40">
        <v>1780.52</v>
      </c>
      <c r="C25" s="40">
        <f t="shared" si="0"/>
        <v>1534.9310344827586</v>
      </c>
      <c r="D25" s="8" t="s">
        <v>20</v>
      </c>
      <c r="E25" s="8"/>
      <c r="F25" s="8" t="s">
        <v>20</v>
      </c>
      <c r="G25" s="8" t="s">
        <v>14</v>
      </c>
      <c r="H25" s="50">
        <v>43518</v>
      </c>
      <c r="I25" s="8" t="s">
        <v>21</v>
      </c>
      <c r="J25" s="8">
        <v>2013</v>
      </c>
      <c r="K25" s="8">
        <v>181907</v>
      </c>
      <c r="L25" s="14" t="s">
        <v>92</v>
      </c>
      <c r="M25" s="8" t="s">
        <v>38</v>
      </c>
      <c r="N25" s="38">
        <v>0.6</v>
      </c>
      <c r="O25" s="37" t="s">
        <v>63</v>
      </c>
    </row>
    <row r="26" spans="1:15" hidden="1" x14ac:dyDescent="0.25">
      <c r="A26" s="33" t="s">
        <v>54</v>
      </c>
      <c r="B26" s="39">
        <v>2500</v>
      </c>
      <c r="C26" s="40">
        <f t="shared" si="0"/>
        <v>2155.1724137931037</v>
      </c>
      <c r="D26" s="2" t="s">
        <v>14</v>
      </c>
      <c r="E26" s="2" t="s">
        <v>14</v>
      </c>
      <c r="F26" s="2" t="s">
        <v>14</v>
      </c>
      <c r="G26" s="2" t="s">
        <v>14</v>
      </c>
      <c r="H26" s="49">
        <v>43518</v>
      </c>
      <c r="I26" s="2" t="s">
        <v>28</v>
      </c>
      <c r="J26" s="2">
        <v>2014</v>
      </c>
      <c r="K26" s="2">
        <v>119650</v>
      </c>
      <c r="L26" s="20" t="s">
        <v>55</v>
      </c>
      <c r="M26" s="2" t="s">
        <v>82</v>
      </c>
      <c r="N26" s="34">
        <v>0.3</v>
      </c>
      <c r="O26" s="33" t="s">
        <v>93</v>
      </c>
    </row>
    <row r="27" spans="1:15" hidden="1" x14ac:dyDescent="0.25">
      <c r="A27" s="37" t="s">
        <v>40</v>
      </c>
      <c r="B27" s="40">
        <v>928</v>
      </c>
      <c r="C27" s="40">
        <f t="shared" si="0"/>
        <v>800</v>
      </c>
      <c r="D27" s="8" t="s">
        <v>14</v>
      </c>
      <c r="E27" s="8" t="s">
        <v>14</v>
      </c>
      <c r="F27" s="8" t="s">
        <v>14</v>
      </c>
      <c r="G27" s="8" t="s">
        <v>14</v>
      </c>
      <c r="H27" s="50">
        <v>43518</v>
      </c>
      <c r="I27" s="8" t="s">
        <v>41</v>
      </c>
      <c r="J27" s="8">
        <v>2011</v>
      </c>
      <c r="K27" s="8">
        <v>183715</v>
      </c>
      <c r="L27" s="11" t="s">
        <v>42</v>
      </c>
      <c r="M27" s="8" t="s">
        <v>94</v>
      </c>
      <c r="N27" s="38">
        <v>0.6</v>
      </c>
      <c r="O27" s="37" t="s">
        <v>26</v>
      </c>
    </row>
    <row r="28" spans="1:15" hidden="1" x14ac:dyDescent="0.25">
      <c r="A28" s="33" t="s">
        <v>95</v>
      </c>
      <c r="B28" s="39">
        <v>422.5</v>
      </c>
      <c r="C28" s="40">
        <f t="shared" si="0"/>
        <v>364.22413793103453</v>
      </c>
      <c r="D28" s="2" t="s">
        <v>14</v>
      </c>
      <c r="E28" s="2"/>
      <c r="F28" s="2" t="s">
        <v>14</v>
      </c>
      <c r="G28" s="2" t="s">
        <v>14</v>
      </c>
      <c r="H28" s="49">
        <v>43518</v>
      </c>
      <c r="I28" s="2" t="s">
        <v>33</v>
      </c>
      <c r="J28" s="21">
        <v>2016</v>
      </c>
      <c r="K28" s="2">
        <v>59500</v>
      </c>
      <c r="L28" s="22" t="s">
        <v>96</v>
      </c>
      <c r="M28" s="2" t="s">
        <v>97</v>
      </c>
      <c r="N28" s="34">
        <v>0.6</v>
      </c>
      <c r="O28" s="33" t="s">
        <v>98</v>
      </c>
    </row>
    <row r="29" spans="1:15" hidden="1" x14ac:dyDescent="0.25">
      <c r="A29" s="37" t="s">
        <v>99</v>
      </c>
      <c r="B29" s="40">
        <v>1991</v>
      </c>
      <c r="C29" s="40">
        <f t="shared" si="0"/>
        <v>1716.3793103448277</v>
      </c>
      <c r="D29" s="8" t="s">
        <v>20</v>
      </c>
      <c r="E29" s="8" t="s">
        <v>20</v>
      </c>
      <c r="F29" s="8" t="s">
        <v>20</v>
      </c>
      <c r="G29" s="8" t="s">
        <v>14</v>
      </c>
      <c r="H29" s="50">
        <v>43518</v>
      </c>
      <c r="I29" s="8" t="s">
        <v>100</v>
      </c>
      <c r="J29" s="8"/>
      <c r="K29" s="8">
        <v>98000</v>
      </c>
      <c r="L29" s="8"/>
      <c r="M29" s="8" t="s">
        <v>101</v>
      </c>
      <c r="N29" s="38">
        <v>0</v>
      </c>
      <c r="O29" s="37" t="s">
        <v>102</v>
      </c>
    </row>
    <row r="30" spans="1:15" hidden="1" x14ac:dyDescent="0.25">
      <c r="A30" s="33" t="s">
        <v>103</v>
      </c>
      <c r="B30" s="39">
        <v>2910</v>
      </c>
      <c r="C30" s="40">
        <f t="shared" si="0"/>
        <v>2508.6206896551726</v>
      </c>
      <c r="D30" s="2" t="s">
        <v>20</v>
      </c>
      <c r="E30" s="2"/>
      <c r="F30" s="2" t="s">
        <v>14</v>
      </c>
      <c r="G30" s="2" t="s">
        <v>20</v>
      </c>
      <c r="H30" s="49">
        <v>43525</v>
      </c>
      <c r="I30" s="2" t="s">
        <v>33</v>
      </c>
      <c r="J30" s="2">
        <v>2016</v>
      </c>
      <c r="K30" s="2">
        <v>94275</v>
      </c>
      <c r="L30" s="17" t="s">
        <v>104</v>
      </c>
      <c r="M30" s="2" t="s">
        <v>105</v>
      </c>
      <c r="N30" s="23">
        <v>0</v>
      </c>
      <c r="O30" s="33" t="s">
        <v>106</v>
      </c>
    </row>
    <row r="31" spans="1:15" hidden="1" x14ac:dyDescent="0.25">
      <c r="A31" s="37" t="s">
        <v>103</v>
      </c>
      <c r="B31" s="40">
        <v>1740</v>
      </c>
      <c r="C31" s="40">
        <f t="shared" si="0"/>
        <v>1500</v>
      </c>
      <c r="D31" s="8" t="s">
        <v>20</v>
      </c>
      <c r="E31" s="8"/>
      <c r="F31" s="8" t="s">
        <v>14</v>
      </c>
      <c r="G31" s="8" t="s">
        <v>20</v>
      </c>
      <c r="H31" s="50">
        <v>43525</v>
      </c>
      <c r="I31" s="8" t="s">
        <v>33</v>
      </c>
      <c r="J31" s="8">
        <v>2016</v>
      </c>
      <c r="K31" s="8">
        <v>94275</v>
      </c>
      <c r="L31" s="18" t="s">
        <v>104</v>
      </c>
      <c r="M31" s="8" t="s">
        <v>105</v>
      </c>
      <c r="N31" s="24">
        <v>0</v>
      </c>
      <c r="O31" s="37" t="s">
        <v>107</v>
      </c>
    </row>
    <row r="32" spans="1:15" hidden="1" x14ac:dyDescent="0.25">
      <c r="A32" s="33" t="s">
        <v>108</v>
      </c>
      <c r="B32" s="39">
        <v>1723</v>
      </c>
      <c r="C32" s="40">
        <f t="shared" si="0"/>
        <v>1485.344827586207</v>
      </c>
      <c r="D32" s="2" t="s">
        <v>14</v>
      </c>
      <c r="E32" s="2"/>
      <c r="F32" s="2" t="s">
        <v>14</v>
      </c>
      <c r="G32" s="2" t="s">
        <v>14</v>
      </c>
      <c r="H32" s="49">
        <v>43529</v>
      </c>
      <c r="I32" s="2" t="s">
        <v>28</v>
      </c>
      <c r="J32" s="2">
        <v>2014</v>
      </c>
      <c r="K32" s="2">
        <v>134938</v>
      </c>
      <c r="L32" s="5" t="s">
        <v>109</v>
      </c>
      <c r="M32" s="2" t="s">
        <v>17</v>
      </c>
      <c r="N32" s="23">
        <v>0.6</v>
      </c>
      <c r="O32" s="33" t="s">
        <v>110</v>
      </c>
    </row>
    <row r="33" spans="1:15" hidden="1" x14ac:dyDescent="0.25">
      <c r="A33" s="37" t="s">
        <v>111</v>
      </c>
      <c r="B33" s="40">
        <v>1437</v>
      </c>
      <c r="C33" s="40">
        <f t="shared" si="0"/>
        <v>1238.793103448276</v>
      </c>
      <c r="D33" s="8" t="s">
        <v>14</v>
      </c>
      <c r="E33" s="8"/>
      <c r="F33" s="8" t="s">
        <v>14</v>
      </c>
      <c r="G33" s="8" t="s">
        <v>14</v>
      </c>
      <c r="H33" s="50">
        <v>43529</v>
      </c>
      <c r="I33" s="8" t="s">
        <v>21</v>
      </c>
      <c r="J33" s="8">
        <v>2013</v>
      </c>
      <c r="K33" s="8">
        <v>134649</v>
      </c>
      <c r="L33" s="11" t="s">
        <v>112</v>
      </c>
      <c r="M33" s="8" t="s">
        <v>113</v>
      </c>
      <c r="N33" s="24">
        <v>0.6</v>
      </c>
      <c r="O33" s="37" t="s">
        <v>114</v>
      </c>
    </row>
    <row r="34" spans="1:15" hidden="1" x14ac:dyDescent="0.25">
      <c r="A34" s="33" t="s">
        <v>115</v>
      </c>
      <c r="B34" s="39">
        <v>210</v>
      </c>
      <c r="C34" s="40">
        <f t="shared" si="0"/>
        <v>181.0344827586207</v>
      </c>
      <c r="D34" s="2" t="s">
        <v>14</v>
      </c>
      <c r="E34" s="2"/>
      <c r="F34" s="2" t="s">
        <v>14</v>
      </c>
      <c r="G34" s="2" t="s">
        <v>14</v>
      </c>
      <c r="H34" s="49">
        <v>43529</v>
      </c>
      <c r="I34" s="2" t="s">
        <v>21</v>
      </c>
      <c r="J34" s="2">
        <v>2012</v>
      </c>
      <c r="K34" s="2">
        <v>120205</v>
      </c>
      <c r="L34" s="15" t="s">
        <v>116</v>
      </c>
      <c r="M34" s="2" t="s">
        <v>117</v>
      </c>
      <c r="N34" s="23">
        <v>0.3</v>
      </c>
      <c r="O34" s="33" t="s">
        <v>118</v>
      </c>
    </row>
    <row r="35" spans="1:15" hidden="1" x14ac:dyDescent="0.25">
      <c r="A35" s="37" t="s">
        <v>177</v>
      </c>
      <c r="B35" s="40">
        <v>400</v>
      </c>
      <c r="C35" s="40">
        <f t="shared" si="0"/>
        <v>344.82758620689657</v>
      </c>
      <c r="D35" s="8" t="s">
        <v>14</v>
      </c>
      <c r="E35" s="8"/>
      <c r="F35" s="8" t="s">
        <v>14</v>
      </c>
      <c r="G35" s="8" t="s">
        <v>14</v>
      </c>
      <c r="H35" s="50">
        <v>43529</v>
      </c>
      <c r="I35" s="8" t="s">
        <v>33</v>
      </c>
      <c r="J35" s="8">
        <v>2016</v>
      </c>
      <c r="K35" s="8">
        <v>217205</v>
      </c>
      <c r="L35" s="11" t="s">
        <v>119</v>
      </c>
      <c r="M35" s="8" t="s">
        <v>17</v>
      </c>
      <c r="N35" s="24">
        <v>0.3</v>
      </c>
      <c r="O35" s="37" t="s">
        <v>35</v>
      </c>
    </row>
    <row r="36" spans="1:15" hidden="1" x14ac:dyDescent="0.25">
      <c r="A36" s="33" t="s">
        <v>120</v>
      </c>
      <c r="B36" s="39">
        <v>4359.99</v>
      </c>
      <c r="C36" s="40">
        <f t="shared" si="0"/>
        <v>3758.6120689655172</v>
      </c>
      <c r="D36" s="2" t="s">
        <v>14</v>
      </c>
      <c r="E36" s="2"/>
      <c r="F36" s="2" t="s">
        <v>14</v>
      </c>
      <c r="G36" s="2" t="s">
        <v>14</v>
      </c>
      <c r="H36" s="49">
        <v>43553</v>
      </c>
      <c r="I36" s="2" t="s">
        <v>33</v>
      </c>
      <c r="J36" s="2">
        <v>2016</v>
      </c>
      <c r="K36" s="2">
        <v>90483</v>
      </c>
      <c r="L36" s="17" t="s">
        <v>121</v>
      </c>
      <c r="M36" s="2" t="s">
        <v>105</v>
      </c>
      <c r="N36" s="23">
        <v>0.6</v>
      </c>
      <c r="O36" s="33" t="s">
        <v>122</v>
      </c>
    </row>
    <row r="37" spans="1:15" hidden="1" x14ac:dyDescent="0.25">
      <c r="A37" s="37" t="s">
        <v>123</v>
      </c>
      <c r="B37" s="40">
        <v>1798</v>
      </c>
      <c r="C37" s="40">
        <f>B37/1.16</f>
        <v>1550</v>
      </c>
      <c r="D37" s="8" t="s">
        <v>20</v>
      </c>
      <c r="E37" s="8"/>
      <c r="F37" s="8" t="s">
        <v>14</v>
      </c>
      <c r="G37" s="8" t="s">
        <v>20</v>
      </c>
      <c r="H37" s="50">
        <v>43553</v>
      </c>
      <c r="I37" s="8" t="s">
        <v>28</v>
      </c>
      <c r="J37" s="8">
        <v>2014</v>
      </c>
      <c r="K37" s="8">
        <v>91833</v>
      </c>
      <c r="L37" s="11" t="s">
        <v>124</v>
      </c>
      <c r="M37" s="8" t="s">
        <v>97</v>
      </c>
      <c r="N37" s="24">
        <v>0</v>
      </c>
      <c r="O37" s="37" t="s">
        <v>107</v>
      </c>
    </row>
    <row r="38" spans="1:15" hidden="1" x14ac:dyDescent="0.25">
      <c r="A38" s="33" t="s">
        <v>123</v>
      </c>
      <c r="B38" s="39">
        <v>551</v>
      </c>
      <c r="C38" s="39">
        <v>551</v>
      </c>
      <c r="D38" s="2" t="s">
        <v>20</v>
      </c>
      <c r="E38" s="2"/>
      <c r="F38" s="2" t="s">
        <v>14</v>
      </c>
      <c r="G38" s="2" t="s">
        <v>20</v>
      </c>
      <c r="H38" s="49">
        <v>43553</v>
      </c>
      <c r="I38" s="2" t="s">
        <v>28</v>
      </c>
      <c r="J38" s="2">
        <v>2014</v>
      </c>
      <c r="K38" s="2">
        <v>91833</v>
      </c>
      <c r="L38" s="5" t="s">
        <v>124</v>
      </c>
      <c r="M38" s="2" t="s">
        <v>97</v>
      </c>
      <c r="N38" s="23">
        <v>0</v>
      </c>
      <c r="O38" s="33" t="s">
        <v>98</v>
      </c>
    </row>
    <row r="39" spans="1:15" hidden="1" x14ac:dyDescent="0.25">
      <c r="A39" s="33" t="s">
        <v>125</v>
      </c>
      <c r="B39" s="39">
        <v>385</v>
      </c>
      <c r="C39" s="39">
        <v>331.9</v>
      </c>
      <c r="D39" s="2" t="s">
        <v>20</v>
      </c>
      <c r="E39" s="2" t="s">
        <v>20</v>
      </c>
      <c r="F39" s="2" t="s">
        <v>20</v>
      </c>
      <c r="G39" s="2" t="s">
        <v>14</v>
      </c>
      <c r="H39" s="49">
        <v>43560</v>
      </c>
      <c r="I39" s="2" t="s">
        <v>126</v>
      </c>
      <c r="J39" s="15">
        <v>2013</v>
      </c>
      <c r="K39" s="41">
        <v>128661</v>
      </c>
      <c r="L39" s="15" t="s">
        <v>127</v>
      </c>
      <c r="M39" s="33" t="s">
        <v>128</v>
      </c>
      <c r="N39" s="34">
        <v>0</v>
      </c>
      <c r="O39" s="33" t="s">
        <v>129</v>
      </c>
    </row>
    <row r="40" spans="1:15" hidden="1" x14ac:dyDescent="0.25">
      <c r="A40" s="37" t="s">
        <v>76</v>
      </c>
      <c r="B40" s="40">
        <v>452.5</v>
      </c>
      <c r="C40" s="40">
        <v>390.08</v>
      </c>
      <c r="D40" s="8" t="s">
        <v>14</v>
      </c>
      <c r="E40" s="8"/>
      <c r="F40" s="8" t="s">
        <v>14</v>
      </c>
      <c r="G40" s="8" t="s">
        <v>14</v>
      </c>
      <c r="H40" s="50">
        <v>43560</v>
      </c>
      <c r="I40" s="8" t="s">
        <v>126</v>
      </c>
      <c r="J40" s="8">
        <v>2012</v>
      </c>
      <c r="K40" s="42">
        <v>220459</v>
      </c>
      <c r="L40" s="19" t="s">
        <v>77</v>
      </c>
      <c r="M40" s="37" t="s">
        <v>130</v>
      </c>
      <c r="N40" s="38">
        <v>0.6</v>
      </c>
      <c r="O40" s="37" t="s">
        <v>131</v>
      </c>
    </row>
    <row r="41" spans="1:15" hidden="1" x14ac:dyDescent="0.25">
      <c r="A41" s="33" t="s">
        <v>60</v>
      </c>
      <c r="B41" s="39">
        <v>1025.5</v>
      </c>
      <c r="C41" s="39">
        <v>884.05</v>
      </c>
      <c r="D41" s="2" t="s">
        <v>20</v>
      </c>
      <c r="E41" s="2" t="s">
        <v>20</v>
      </c>
      <c r="F41" s="2" t="s">
        <v>20</v>
      </c>
      <c r="G41" s="2" t="s">
        <v>14</v>
      </c>
      <c r="H41" s="49">
        <v>43560</v>
      </c>
      <c r="I41" s="2" t="s">
        <v>132</v>
      </c>
      <c r="J41" s="2">
        <v>2010</v>
      </c>
      <c r="K41" s="41">
        <v>159201</v>
      </c>
      <c r="L41" s="5" t="s">
        <v>62</v>
      </c>
      <c r="M41" s="33" t="s">
        <v>133</v>
      </c>
      <c r="N41" s="34">
        <v>0</v>
      </c>
      <c r="O41" s="33" t="s">
        <v>134</v>
      </c>
    </row>
    <row r="42" spans="1:15" hidden="1" x14ac:dyDescent="0.25">
      <c r="A42" s="37" t="s">
        <v>32</v>
      </c>
      <c r="B42" s="40">
        <v>1169.57</v>
      </c>
      <c r="C42" s="40">
        <v>1008.25</v>
      </c>
      <c r="D42" s="8" t="s">
        <v>14</v>
      </c>
      <c r="E42" s="8" t="s">
        <v>14</v>
      </c>
      <c r="F42" s="8" t="s">
        <v>14</v>
      </c>
      <c r="G42" s="8" t="s">
        <v>14</v>
      </c>
      <c r="H42" s="50">
        <v>43560</v>
      </c>
      <c r="I42" s="8" t="s">
        <v>33</v>
      </c>
      <c r="J42" s="8">
        <v>2016</v>
      </c>
      <c r="K42" s="42">
        <v>111000</v>
      </c>
      <c r="L42" s="11" t="s">
        <v>34</v>
      </c>
      <c r="M42" s="37" t="s">
        <v>17</v>
      </c>
      <c r="N42" s="38">
        <v>0.3</v>
      </c>
      <c r="O42" s="37" t="s">
        <v>63</v>
      </c>
    </row>
    <row r="43" spans="1:15" hidden="1" x14ac:dyDescent="0.25">
      <c r="A43" s="33" t="s">
        <v>135</v>
      </c>
      <c r="B43" s="39">
        <v>1843</v>
      </c>
      <c r="C43" s="39">
        <v>1588.8</v>
      </c>
      <c r="D43" s="2" t="s">
        <v>14</v>
      </c>
      <c r="E43" s="2"/>
      <c r="F43" s="2" t="s">
        <v>14</v>
      </c>
      <c r="G43" s="2" t="s">
        <v>14</v>
      </c>
      <c r="H43" s="49">
        <v>43560</v>
      </c>
      <c r="I43" s="2" t="s">
        <v>28</v>
      </c>
      <c r="J43" s="2">
        <v>2014</v>
      </c>
      <c r="K43" s="41">
        <v>129345</v>
      </c>
      <c r="L43" s="25" t="s">
        <v>136</v>
      </c>
      <c r="M43" s="33" t="s">
        <v>137</v>
      </c>
      <c r="N43" s="34">
        <v>0.3</v>
      </c>
      <c r="O43" s="33" t="s">
        <v>138</v>
      </c>
    </row>
    <row r="44" spans="1:15" hidden="1" x14ac:dyDescent="0.25">
      <c r="A44" s="37" t="s">
        <v>125</v>
      </c>
      <c r="B44" s="40">
        <v>2892</v>
      </c>
      <c r="C44" s="40">
        <v>2493.11</v>
      </c>
      <c r="D44" s="8" t="s">
        <v>20</v>
      </c>
      <c r="E44" s="8" t="s">
        <v>20</v>
      </c>
      <c r="F44" s="8" t="s">
        <v>20</v>
      </c>
      <c r="G44" s="8" t="s">
        <v>14</v>
      </c>
      <c r="H44" s="50">
        <v>43560</v>
      </c>
      <c r="I44" s="8" t="s">
        <v>126</v>
      </c>
      <c r="J44" s="8">
        <v>2013</v>
      </c>
      <c r="K44" s="42">
        <v>128661</v>
      </c>
      <c r="L44" s="37" t="s">
        <v>127</v>
      </c>
      <c r="M44" s="37" t="s">
        <v>128</v>
      </c>
      <c r="N44" s="38">
        <v>0</v>
      </c>
      <c r="O44" s="37" t="s">
        <v>139</v>
      </c>
    </row>
    <row r="45" spans="1:15" hidden="1" x14ac:dyDescent="0.25">
      <c r="A45" s="33" t="s">
        <v>54</v>
      </c>
      <c r="B45" s="39">
        <v>1350</v>
      </c>
      <c r="C45" s="39">
        <v>1163.8</v>
      </c>
      <c r="D45" s="2" t="s">
        <v>14</v>
      </c>
      <c r="E45" s="2"/>
      <c r="F45" s="2" t="s">
        <v>14</v>
      </c>
      <c r="G45" s="2" t="s">
        <v>14</v>
      </c>
      <c r="H45" s="49">
        <v>43567</v>
      </c>
      <c r="I45" s="2" t="s">
        <v>28</v>
      </c>
      <c r="J45" s="2">
        <v>2014</v>
      </c>
      <c r="K45" s="41">
        <v>126700</v>
      </c>
      <c r="L45" s="20" t="s">
        <v>55</v>
      </c>
      <c r="M45" s="33" t="s">
        <v>140</v>
      </c>
      <c r="N45" s="34">
        <v>0.3</v>
      </c>
      <c r="O45" s="33" t="s">
        <v>141</v>
      </c>
    </row>
    <row r="46" spans="1:15" hidden="1" x14ac:dyDescent="0.25">
      <c r="A46" s="37" t="s">
        <v>142</v>
      </c>
      <c r="B46" s="40">
        <v>4620</v>
      </c>
      <c r="C46" s="40">
        <v>4620</v>
      </c>
      <c r="D46" s="8" t="s">
        <v>14</v>
      </c>
      <c r="E46" s="8"/>
      <c r="F46" s="8" t="s">
        <v>14</v>
      </c>
      <c r="G46" s="8" t="s">
        <v>14</v>
      </c>
      <c r="H46" s="50">
        <v>43572</v>
      </c>
      <c r="I46" s="8" t="s">
        <v>33</v>
      </c>
      <c r="J46" s="8">
        <v>2016</v>
      </c>
      <c r="K46" s="42">
        <v>80228</v>
      </c>
      <c r="L46" s="18" t="s">
        <v>143</v>
      </c>
      <c r="M46" s="37" t="s">
        <v>144</v>
      </c>
      <c r="N46" s="38">
        <v>0.5</v>
      </c>
      <c r="O46" s="37" t="s">
        <v>145</v>
      </c>
    </row>
    <row r="47" spans="1:15" hidden="1" x14ac:dyDescent="0.25">
      <c r="A47" s="33" t="s">
        <v>146</v>
      </c>
      <c r="B47" s="39">
        <v>2560</v>
      </c>
      <c r="C47" s="39">
        <v>2560</v>
      </c>
      <c r="D47" s="2" t="s">
        <v>14</v>
      </c>
      <c r="E47" s="2"/>
      <c r="F47" s="2" t="s">
        <v>14</v>
      </c>
      <c r="G47" s="2" t="s">
        <v>14</v>
      </c>
      <c r="H47" s="49">
        <v>43572</v>
      </c>
      <c r="I47" s="2" t="s">
        <v>126</v>
      </c>
      <c r="J47" s="2">
        <v>2012</v>
      </c>
      <c r="K47" s="41">
        <v>121600</v>
      </c>
      <c r="L47" s="15" t="s">
        <v>116</v>
      </c>
      <c r="M47" s="33" t="s">
        <v>117</v>
      </c>
      <c r="N47" s="34">
        <v>0.5</v>
      </c>
      <c r="O47" s="33" t="s">
        <v>145</v>
      </c>
    </row>
    <row r="48" spans="1:15" hidden="1" x14ac:dyDescent="0.25">
      <c r="A48" s="52" t="s">
        <v>46</v>
      </c>
      <c r="B48" s="40">
        <v>3115.6</v>
      </c>
      <c r="C48" s="40">
        <v>2685.86</v>
      </c>
      <c r="D48" s="8" t="s">
        <v>20</v>
      </c>
      <c r="E48" s="8" t="s">
        <v>20</v>
      </c>
      <c r="F48" s="8" t="s">
        <v>20</v>
      </c>
      <c r="G48" s="8" t="s">
        <v>14</v>
      </c>
      <c r="H48" s="50">
        <v>43580</v>
      </c>
      <c r="I48" s="8" t="s">
        <v>28</v>
      </c>
      <c r="J48" s="8">
        <v>2014</v>
      </c>
      <c r="K48" s="42">
        <v>152605</v>
      </c>
      <c r="L48" s="37" t="s">
        <v>47</v>
      </c>
      <c r="M48" s="37" t="s">
        <v>17</v>
      </c>
      <c r="N48" s="38">
        <v>0</v>
      </c>
      <c r="O48" s="37" t="s">
        <v>147</v>
      </c>
    </row>
    <row r="49" spans="1:15" hidden="1" x14ac:dyDescent="0.25">
      <c r="A49" s="33" t="s">
        <v>148</v>
      </c>
      <c r="B49" s="39">
        <v>8820</v>
      </c>
      <c r="C49" s="39">
        <v>7603.45</v>
      </c>
      <c r="D49" s="2" t="s">
        <v>14</v>
      </c>
      <c r="E49" s="2"/>
      <c r="F49" s="2" t="s">
        <v>14</v>
      </c>
      <c r="G49" s="2" t="s">
        <v>14</v>
      </c>
      <c r="H49" s="49">
        <v>43580</v>
      </c>
      <c r="I49" s="2" t="s">
        <v>126</v>
      </c>
      <c r="J49" s="2">
        <v>2012</v>
      </c>
      <c r="K49" s="41">
        <v>163669</v>
      </c>
      <c r="L49" s="5" t="s">
        <v>149</v>
      </c>
      <c r="M49" s="33" t="s">
        <v>140</v>
      </c>
      <c r="N49" s="34">
        <v>0.3</v>
      </c>
      <c r="O49" s="33" t="s">
        <v>150</v>
      </c>
    </row>
    <row r="50" spans="1:15" hidden="1" x14ac:dyDescent="0.25">
      <c r="A50" s="37" t="s">
        <v>46</v>
      </c>
      <c r="B50" s="40">
        <v>1277</v>
      </c>
      <c r="C50" s="43">
        <v>1100.8599999999999</v>
      </c>
      <c r="D50" s="8" t="s">
        <v>14</v>
      </c>
      <c r="E50" s="8"/>
      <c r="F50" s="8" t="s">
        <v>14</v>
      </c>
      <c r="G50" s="8" t="s">
        <v>14</v>
      </c>
      <c r="H50" s="50">
        <v>43580</v>
      </c>
      <c r="I50" s="8" t="s">
        <v>33</v>
      </c>
      <c r="J50" s="8">
        <v>2016</v>
      </c>
      <c r="K50" s="42">
        <v>79908</v>
      </c>
      <c r="L50" s="8" t="s">
        <v>151</v>
      </c>
      <c r="M50" s="38" t="s">
        <v>17</v>
      </c>
      <c r="N50" s="38">
        <v>0.6</v>
      </c>
      <c r="O50" s="37" t="s">
        <v>152</v>
      </c>
    </row>
    <row r="51" spans="1:15" hidden="1" x14ac:dyDescent="0.25">
      <c r="A51" s="33" t="s">
        <v>153</v>
      </c>
      <c r="B51" s="39">
        <v>5940</v>
      </c>
      <c r="C51" s="39">
        <v>5121</v>
      </c>
      <c r="D51" s="2" t="s">
        <v>14</v>
      </c>
      <c r="E51" s="2"/>
      <c r="F51" s="2" t="s">
        <v>14</v>
      </c>
      <c r="G51" s="2" t="s">
        <v>14</v>
      </c>
      <c r="H51" s="49">
        <v>43588</v>
      </c>
      <c r="I51" s="2" t="s">
        <v>33</v>
      </c>
      <c r="J51" s="2">
        <v>2016</v>
      </c>
      <c r="K51" s="2">
        <v>220040</v>
      </c>
      <c r="L51" s="22" t="s">
        <v>154</v>
      </c>
      <c r="M51" s="2" t="s">
        <v>130</v>
      </c>
      <c r="N51" s="23">
        <v>0.3</v>
      </c>
      <c r="O51" s="33" t="s">
        <v>155</v>
      </c>
    </row>
    <row r="52" spans="1:15" hidden="1" x14ac:dyDescent="0.25">
      <c r="A52" s="37" t="s">
        <v>120</v>
      </c>
      <c r="B52" s="40">
        <v>2354</v>
      </c>
      <c r="C52" s="40">
        <v>2029.31</v>
      </c>
      <c r="D52" s="8" t="s">
        <v>14</v>
      </c>
      <c r="E52" s="8"/>
      <c r="F52" s="8" t="s">
        <v>14</v>
      </c>
      <c r="G52" s="8" t="s">
        <v>14</v>
      </c>
      <c r="H52" s="50">
        <v>43588</v>
      </c>
      <c r="I52" s="8" t="s">
        <v>33</v>
      </c>
      <c r="J52" s="8">
        <v>2016</v>
      </c>
      <c r="K52" s="8">
        <v>94836</v>
      </c>
      <c r="L52" s="18" t="s">
        <v>121</v>
      </c>
      <c r="M52" s="8" t="s">
        <v>38</v>
      </c>
      <c r="N52" s="24">
        <v>0.6</v>
      </c>
      <c r="O52" s="37" t="s">
        <v>156</v>
      </c>
    </row>
    <row r="53" spans="1:15" hidden="1" x14ac:dyDescent="0.25">
      <c r="A53" s="33" t="s">
        <v>157</v>
      </c>
      <c r="B53" s="39">
        <v>1479.9</v>
      </c>
      <c r="C53" s="39">
        <v>1275.78</v>
      </c>
      <c r="D53" s="2" t="s">
        <v>20</v>
      </c>
      <c r="E53" s="2" t="s">
        <v>20</v>
      </c>
      <c r="F53" s="2" t="s">
        <v>20</v>
      </c>
      <c r="G53" s="2" t="s">
        <v>14</v>
      </c>
      <c r="H53" s="49">
        <v>43588</v>
      </c>
      <c r="I53" s="2" t="s">
        <v>33</v>
      </c>
      <c r="J53" s="2">
        <v>2016</v>
      </c>
      <c r="K53" s="2">
        <v>102050</v>
      </c>
      <c r="L53" s="17" t="s">
        <v>104</v>
      </c>
      <c r="M53" s="2" t="s">
        <v>38</v>
      </c>
      <c r="N53" s="23">
        <v>0</v>
      </c>
      <c r="O53" s="33" t="s">
        <v>63</v>
      </c>
    </row>
    <row r="54" spans="1:15" hidden="1" x14ac:dyDescent="0.25">
      <c r="A54" s="37" t="s">
        <v>158</v>
      </c>
      <c r="B54" s="40">
        <v>1998.55</v>
      </c>
      <c r="C54" s="40">
        <v>1722.88</v>
      </c>
      <c r="D54" s="8" t="s">
        <v>20</v>
      </c>
      <c r="E54" s="8" t="s">
        <v>20</v>
      </c>
      <c r="F54" s="8" t="s">
        <v>20</v>
      </c>
      <c r="G54" s="8" t="s">
        <v>14</v>
      </c>
      <c r="H54" s="50">
        <v>43588</v>
      </c>
      <c r="I54" s="8" t="s">
        <v>28</v>
      </c>
      <c r="J54" s="8">
        <v>2014</v>
      </c>
      <c r="K54" s="8">
        <v>76838</v>
      </c>
      <c r="L54" s="16" t="s">
        <v>37</v>
      </c>
      <c r="M54" s="8" t="s">
        <v>38</v>
      </c>
      <c r="N54" s="24">
        <v>0</v>
      </c>
      <c r="O54" s="37" t="s">
        <v>159</v>
      </c>
    </row>
    <row r="55" spans="1:15" hidden="1" x14ac:dyDescent="0.25">
      <c r="A55" s="37" t="s">
        <v>91</v>
      </c>
      <c r="B55" s="39">
        <v>3642.4</v>
      </c>
      <c r="C55" s="39">
        <v>3140</v>
      </c>
      <c r="D55" s="2" t="s">
        <v>20</v>
      </c>
      <c r="E55" s="2" t="s">
        <v>20</v>
      </c>
      <c r="F55" s="2" t="s">
        <v>20</v>
      </c>
      <c r="G55" s="2" t="s">
        <v>14</v>
      </c>
      <c r="H55" s="49">
        <v>43595</v>
      </c>
      <c r="I55" s="2" t="s">
        <v>21</v>
      </c>
      <c r="J55" s="2">
        <v>2013</v>
      </c>
      <c r="K55" s="2">
        <v>187904</v>
      </c>
      <c r="L55" s="15" t="s">
        <v>92</v>
      </c>
      <c r="M55" s="2" t="s">
        <v>38</v>
      </c>
      <c r="N55" s="23">
        <v>0</v>
      </c>
      <c r="O55" s="33" t="s">
        <v>160</v>
      </c>
    </row>
    <row r="56" spans="1:15" hidden="1" x14ac:dyDescent="0.25">
      <c r="A56" s="37" t="s">
        <v>161</v>
      </c>
      <c r="B56" s="40">
        <v>2500</v>
      </c>
      <c r="C56" s="40">
        <v>2155.6</v>
      </c>
      <c r="D56" s="8" t="s">
        <v>14</v>
      </c>
      <c r="E56" s="8"/>
      <c r="F56" s="8" t="s">
        <v>14</v>
      </c>
      <c r="G56" s="8" t="s">
        <v>14</v>
      </c>
      <c r="H56" s="50">
        <v>43595</v>
      </c>
      <c r="I56" s="8" t="s">
        <v>28</v>
      </c>
      <c r="J56" s="8">
        <v>2014</v>
      </c>
      <c r="K56" s="8">
        <v>162888</v>
      </c>
      <c r="L56" s="11" t="s">
        <v>162</v>
      </c>
      <c r="M56" s="8" t="s">
        <v>38</v>
      </c>
      <c r="N56" s="24">
        <v>0.3</v>
      </c>
      <c r="O56" s="37" t="s">
        <v>163</v>
      </c>
    </row>
    <row r="57" spans="1:15" hidden="1" x14ac:dyDescent="0.25">
      <c r="A57" s="33" t="s">
        <v>13</v>
      </c>
      <c r="B57" s="39">
        <v>1493</v>
      </c>
      <c r="C57" s="39">
        <v>1287.06</v>
      </c>
      <c r="D57" s="2" t="s">
        <v>14</v>
      </c>
      <c r="E57" s="2"/>
      <c r="F57" s="2" t="s">
        <v>14</v>
      </c>
      <c r="G57" s="2" t="s">
        <v>14</v>
      </c>
      <c r="H57" s="49">
        <v>43595</v>
      </c>
      <c r="I57" s="2" t="s">
        <v>15</v>
      </c>
      <c r="J57" s="2">
        <v>2012</v>
      </c>
      <c r="K57" s="2">
        <v>86033</v>
      </c>
      <c r="L57" s="5" t="s">
        <v>16</v>
      </c>
      <c r="M57" s="2" t="s">
        <v>17</v>
      </c>
      <c r="N57" s="23">
        <v>0.6</v>
      </c>
      <c r="O57" s="33" t="s">
        <v>152</v>
      </c>
    </row>
    <row r="58" spans="1:15" hidden="1" x14ac:dyDescent="0.25">
      <c r="A58" s="37" t="s">
        <v>164</v>
      </c>
      <c r="B58" s="40">
        <v>1379.74</v>
      </c>
      <c r="C58" s="40">
        <v>1189.43</v>
      </c>
      <c r="D58" s="8" t="s">
        <v>14</v>
      </c>
      <c r="E58" s="8" t="s">
        <v>14</v>
      </c>
      <c r="F58" s="8" t="s">
        <v>14</v>
      </c>
      <c r="G58" s="8" t="s">
        <v>14</v>
      </c>
      <c r="H58" s="50">
        <v>43595</v>
      </c>
      <c r="I58" s="8" t="s">
        <v>28</v>
      </c>
      <c r="J58" s="8">
        <v>2014</v>
      </c>
      <c r="K58" s="8">
        <v>121220</v>
      </c>
      <c r="L58" s="11" t="s">
        <v>165</v>
      </c>
      <c r="M58" s="8" t="s">
        <v>17</v>
      </c>
      <c r="N58" s="24">
        <v>0.6</v>
      </c>
      <c r="O58" s="37" t="s">
        <v>63</v>
      </c>
    </row>
    <row r="59" spans="1:15" hidden="1" x14ac:dyDescent="0.25">
      <c r="A59" s="33" t="s">
        <v>54</v>
      </c>
      <c r="B59" s="39">
        <v>2500</v>
      </c>
      <c r="C59" s="39">
        <v>2155.17</v>
      </c>
      <c r="D59" s="2" t="s">
        <v>14</v>
      </c>
      <c r="E59" s="2"/>
      <c r="F59" s="2" t="s">
        <v>14</v>
      </c>
      <c r="G59" s="2" t="s">
        <v>14</v>
      </c>
      <c r="H59" s="49">
        <v>43595</v>
      </c>
      <c r="I59" s="2" t="s">
        <v>28</v>
      </c>
      <c r="J59" s="2">
        <v>2014</v>
      </c>
      <c r="K59" s="2">
        <v>128440</v>
      </c>
      <c r="L59" s="20" t="s">
        <v>55</v>
      </c>
      <c r="M59" s="2" t="s">
        <v>140</v>
      </c>
      <c r="N59" s="23">
        <v>0.3</v>
      </c>
      <c r="O59" s="33" t="s">
        <v>166</v>
      </c>
    </row>
    <row r="60" spans="1:15" hidden="1" x14ac:dyDescent="0.25">
      <c r="A60" s="37" t="s">
        <v>108</v>
      </c>
      <c r="B60" s="40">
        <v>3525.03</v>
      </c>
      <c r="C60" s="40">
        <v>3038.82</v>
      </c>
      <c r="D60" s="8" t="s">
        <v>14</v>
      </c>
      <c r="E60" s="8"/>
      <c r="F60" s="8" t="s">
        <v>14</v>
      </c>
      <c r="G60" s="8" t="s">
        <v>14</v>
      </c>
      <c r="H60" s="50">
        <v>43595</v>
      </c>
      <c r="I60" s="8" t="s">
        <v>28</v>
      </c>
      <c r="J60" s="8">
        <v>2014</v>
      </c>
      <c r="K60" s="8">
        <v>138175</v>
      </c>
      <c r="L60" s="11" t="s">
        <v>109</v>
      </c>
      <c r="M60" s="8" t="s">
        <v>17</v>
      </c>
      <c r="N60" s="24">
        <v>0.6</v>
      </c>
      <c r="O60" s="37" t="s">
        <v>167</v>
      </c>
    </row>
    <row r="61" spans="1:15" hidden="1" x14ac:dyDescent="0.25">
      <c r="A61" s="33" t="s">
        <v>168</v>
      </c>
      <c r="B61" s="39">
        <v>1592</v>
      </c>
      <c r="C61" s="39">
        <v>1372.41</v>
      </c>
      <c r="D61" s="2" t="s">
        <v>14</v>
      </c>
      <c r="E61" s="2"/>
      <c r="F61" s="2" t="s">
        <v>14</v>
      </c>
      <c r="G61" s="2" t="s">
        <v>14</v>
      </c>
      <c r="H61" s="49">
        <v>43595</v>
      </c>
      <c r="I61" s="2" t="s">
        <v>169</v>
      </c>
      <c r="J61" s="2">
        <v>2014</v>
      </c>
      <c r="K61" s="2">
        <v>127597</v>
      </c>
      <c r="L61" s="5" t="s">
        <v>170</v>
      </c>
      <c r="M61" s="2" t="s">
        <v>17</v>
      </c>
      <c r="N61" s="23">
        <v>0.6</v>
      </c>
      <c r="O61" s="33" t="s">
        <v>171</v>
      </c>
    </row>
    <row r="62" spans="1:15" hidden="1" x14ac:dyDescent="0.25">
      <c r="A62" s="37" t="s">
        <v>135</v>
      </c>
      <c r="B62" s="40">
        <v>1125.2</v>
      </c>
      <c r="C62" s="40">
        <v>970</v>
      </c>
      <c r="D62" s="8" t="s">
        <v>14</v>
      </c>
      <c r="E62" s="8"/>
      <c r="F62" s="8" t="s">
        <v>14</v>
      </c>
      <c r="G62" s="8" t="s">
        <v>14</v>
      </c>
      <c r="H62" s="50">
        <v>43595</v>
      </c>
      <c r="I62" s="8" t="s">
        <v>28</v>
      </c>
      <c r="J62" s="8">
        <v>2014</v>
      </c>
      <c r="K62" s="8">
        <v>132733</v>
      </c>
      <c r="L62" s="19" t="s">
        <v>136</v>
      </c>
      <c r="M62" s="8" t="s">
        <v>137</v>
      </c>
      <c r="N62" s="24">
        <v>0.3</v>
      </c>
      <c r="O62" s="37" t="s">
        <v>172</v>
      </c>
    </row>
    <row r="63" spans="1:15" hidden="1" x14ac:dyDescent="0.25">
      <c r="A63" s="33" t="s">
        <v>173</v>
      </c>
      <c r="B63" s="39">
        <v>1402.68</v>
      </c>
      <c r="C63" s="39">
        <v>1209.21</v>
      </c>
      <c r="D63" s="2" t="s">
        <v>14</v>
      </c>
      <c r="E63" s="2" t="s">
        <v>14</v>
      </c>
      <c r="F63" s="2" t="s">
        <v>14</v>
      </c>
      <c r="G63" s="2" t="s">
        <v>14</v>
      </c>
      <c r="H63" s="49">
        <v>43602</v>
      </c>
      <c r="I63" s="2" t="s">
        <v>174</v>
      </c>
      <c r="J63" s="2">
        <v>2013</v>
      </c>
      <c r="K63" s="2">
        <v>86901</v>
      </c>
      <c r="L63" s="5" t="s">
        <v>175</v>
      </c>
      <c r="M63" s="2" t="s">
        <v>17</v>
      </c>
      <c r="N63" s="23">
        <v>0.6</v>
      </c>
      <c r="O63" s="33" t="s">
        <v>176</v>
      </c>
    </row>
    <row r="64" spans="1:15" hidden="1" x14ac:dyDescent="0.25">
      <c r="A64" s="37" t="s">
        <v>177</v>
      </c>
      <c r="B64" s="40">
        <v>1477</v>
      </c>
      <c r="C64" s="40">
        <v>1273.28</v>
      </c>
      <c r="D64" s="8" t="s">
        <v>14</v>
      </c>
      <c r="E64" s="8" t="s">
        <v>14</v>
      </c>
      <c r="F64" s="8" t="s">
        <v>14</v>
      </c>
      <c r="G64" s="8" t="s">
        <v>14</v>
      </c>
      <c r="H64" s="50">
        <v>43615</v>
      </c>
      <c r="I64" s="8" t="s">
        <v>33</v>
      </c>
      <c r="J64" s="8">
        <v>2016</v>
      </c>
      <c r="K64" s="8">
        <v>227530</v>
      </c>
      <c r="L64" s="8" t="s">
        <v>119</v>
      </c>
      <c r="M64" s="8" t="s">
        <v>17</v>
      </c>
      <c r="N64" s="24">
        <v>0.3</v>
      </c>
      <c r="O64" s="37" t="s">
        <v>178</v>
      </c>
    </row>
    <row r="65" spans="1:15" hidden="1" x14ac:dyDescent="0.25">
      <c r="A65" s="33" t="s">
        <v>177</v>
      </c>
      <c r="B65" s="39">
        <v>290</v>
      </c>
      <c r="C65" s="39">
        <f t="shared" ref="C65:C77" si="1">B65/1.16</f>
        <v>250.00000000000003</v>
      </c>
      <c r="D65" s="2" t="s">
        <v>14</v>
      </c>
      <c r="E65" s="2"/>
      <c r="F65" s="2" t="s">
        <v>14</v>
      </c>
      <c r="G65" s="2" t="s">
        <v>179</v>
      </c>
      <c r="H65" s="45">
        <v>43623</v>
      </c>
      <c r="I65" s="2" t="s">
        <v>33</v>
      </c>
      <c r="J65" s="2">
        <v>2016</v>
      </c>
      <c r="K65" s="26">
        <v>234058</v>
      </c>
      <c r="L65" s="5" t="s">
        <v>119</v>
      </c>
      <c r="M65" s="2" t="s">
        <v>17</v>
      </c>
      <c r="N65" s="23">
        <v>0.3</v>
      </c>
      <c r="O65" s="33" t="s">
        <v>44</v>
      </c>
    </row>
    <row r="66" spans="1:15" hidden="1" x14ac:dyDescent="0.25">
      <c r="A66" s="53" t="s">
        <v>177</v>
      </c>
      <c r="B66" s="40">
        <v>1219</v>
      </c>
      <c r="C66" s="40">
        <f t="shared" si="1"/>
        <v>1050.8620689655172</v>
      </c>
      <c r="D66" s="8" t="s">
        <v>180</v>
      </c>
      <c r="E66" s="8" t="s">
        <v>180</v>
      </c>
      <c r="F66" s="8" t="s">
        <v>180</v>
      </c>
      <c r="G66" s="8" t="s">
        <v>179</v>
      </c>
      <c r="H66" s="46">
        <v>43623</v>
      </c>
      <c r="I66" s="8" t="s">
        <v>181</v>
      </c>
      <c r="J66" s="8">
        <v>2018</v>
      </c>
      <c r="K66" s="27">
        <v>12786</v>
      </c>
      <c r="L66" s="8" t="s">
        <v>182</v>
      </c>
      <c r="M66" s="8" t="s">
        <v>17</v>
      </c>
      <c r="N66" s="24">
        <v>0</v>
      </c>
      <c r="O66" s="37" t="s">
        <v>129</v>
      </c>
    </row>
    <row r="67" spans="1:15" hidden="1" x14ac:dyDescent="0.25">
      <c r="A67" s="33" t="s">
        <v>108</v>
      </c>
      <c r="B67" s="39">
        <v>3485</v>
      </c>
      <c r="C67" s="39">
        <f t="shared" si="1"/>
        <v>3004.3103448275865</v>
      </c>
      <c r="D67" s="2" t="s">
        <v>14</v>
      </c>
      <c r="E67" s="2"/>
      <c r="F67" s="2" t="s">
        <v>14</v>
      </c>
      <c r="G67" s="2" t="s">
        <v>14</v>
      </c>
      <c r="H67" s="45">
        <v>43623</v>
      </c>
      <c r="I67" s="2" t="s">
        <v>28</v>
      </c>
      <c r="J67" s="2">
        <v>2014</v>
      </c>
      <c r="K67" s="26">
        <v>138210</v>
      </c>
      <c r="L67" s="5" t="s">
        <v>109</v>
      </c>
      <c r="M67" s="2" t="s">
        <v>17</v>
      </c>
      <c r="N67" s="23">
        <v>0.6</v>
      </c>
      <c r="O67" s="33" t="s">
        <v>183</v>
      </c>
    </row>
    <row r="68" spans="1:15" hidden="1" x14ac:dyDescent="0.25">
      <c r="A68" s="37" t="s">
        <v>184</v>
      </c>
      <c r="B68" s="40">
        <v>928</v>
      </c>
      <c r="C68" s="40">
        <f t="shared" si="1"/>
        <v>800</v>
      </c>
      <c r="D68" s="8" t="s">
        <v>14</v>
      </c>
      <c r="E68" s="8" t="s">
        <v>14</v>
      </c>
      <c r="F68" s="8" t="s">
        <v>14</v>
      </c>
      <c r="G68" s="8" t="s">
        <v>14</v>
      </c>
      <c r="H68" s="46">
        <v>43623</v>
      </c>
      <c r="I68" s="8" t="s">
        <v>41</v>
      </c>
      <c r="J68" s="8">
        <v>2011</v>
      </c>
      <c r="K68" s="27">
        <v>189200</v>
      </c>
      <c r="L68" s="11" t="s">
        <v>42</v>
      </c>
      <c r="M68" s="28" t="s">
        <v>185</v>
      </c>
      <c r="N68" s="24">
        <v>0.6</v>
      </c>
      <c r="O68" s="37" t="s">
        <v>186</v>
      </c>
    </row>
    <row r="69" spans="1:15" hidden="1" x14ac:dyDescent="0.25">
      <c r="A69" s="33" t="s">
        <v>80</v>
      </c>
      <c r="B69" s="39">
        <v>1350</v>
      </c>
      <c r="C69" s="39">
        <f t="shared" si="1"/>
        <v>1163.793103448276</v>
      </c>
      <c r="D69" s="2" t="s">
        <v>180</v>
      </c>
      <c r="E69" s="2" t="s">
        <v>180</v>
      </c>
      <c r="F69" s="2" t="s">
        <v>180</v>
      </c>
      <c r="G69" s="2" t="s">
        <v>14</v>
      </c>
      <c r="H69" s="45">
        <v>43623</v>
      </c>
      <c r="I69" s="2" t="s">
        <v>28</v>
      </c>
      <c r="J69" s="2">
        <v>2014</v>
      </c>
      <c r="K69" s="26">
        <v>85979</v>
      </c>
      <c r="L69" s="5" t="s">
        <v>81</v>
      </c>
      <c r="M69" s="2" t="s">
        <v>187</v>
      </c>
      <c r="N69" s="23">
        <v>0</v>
      </c>
      <c r="O69" s="33" t="s">
        <v>188</v>
      </c>
    </row>
    <row r="70" spans="1:15" hidden="1" x14ac:dyDescent="0.25">
      <c r="A70" s="37" t="s">
        <v>189</v>
      </c>
      <c r="B70" s="40">
        <v>1425</v>
      </c>
      <c r="C70" s="40">
        <f t="shared" si="1"/>
        <v>1228.4482758620691</v>
      </c>
      <c r="D70" s="8" t="s">
        <v>14</v>
      </c>
      <c r="E70" s="8"/>
      <c r="F70" s="8" t="s">
        <v>14</v>
      </c>
      <c r="G70" s="8" t="s">
        <v>14</v>
      </c>
      <c r="H70" s="46">
        <v>43623</v>
      </c>
      <c r="I70" s="8" t="s">
        <v>33</v>
      </c>
      <c r="J70" s="8">
        <v>2016</v>
      </c>
      <c r="K70" s="27">
        <v>113597</v>
      </c>
      <c r="L70" s="11" t="s">
        <v>34</v>
      </c>
      <c r="M70" s="8" t="s">
        <v>17</v>
      </c>
      <c r="N70" s="24">
        <v>0.3</v>
      </c>
      <c r="O70" s="37" t="s">
        <v>190</v>
      </c>
    </row>
    <row r="71" spans="1:15" hidden="1" x14ac:dyDescent="0.25">
      <c r="A71" s="33" t="s">
        <v>135</v>
      </c>
      <c r="B71" s="39">
        <v>1425</v>
      </c>
      <c r="C71" s="39">
        <f t="shared" si="1"/>
        <v>1228.4482758620691</v>
      </c>
      <c r="D71" s="2" t="s">
        <v>14</v>
      </c>
      <c r="E71" s="2"/>
      <c r="F71" s="2" t="s">
        <v>14</v>
      </c>
      <c r="G71" s="2" t="s">
        <v>14</v>
      </c>
      <c r="H71" s="45">
        <v>43623</v>
      </c>
      <c r="I71" s="2" t="s">
        <v>28</v>
      </c>
      <c r="J71" s="2">
        <v>2014</v>
      </c>
      <c r="K71" s="26">
        <v>134792</v>
      </c>
      <c r="L71" s="25" t="s">
        <v>136</v>
      </c>
      <c r="M71" s="2" t="s">
        <v>191</v>
      </c>
      <c r="N71" s="23">
        <v>0.3</v>
      </c>
      <c r="O71" s="33" t="s">
        <v>192</v>
      </c>
    </row>
    <row r="72" spans="1:15" hidden="1" x14ac:dyDescent="0.25">
      <c r="A72" s="37" t="s">
        <v>193</v>
      </c>
      <c r="B72" s="40">
        <v>1900</v>
      </c>
      <c r="C72" s="40">
        <f t="shared" si="1"/>
        <v>1637.9310344827588</v>
      </c>
      <c r="D72" s="8" t="s">
        <v>14</v>
      </c>
      <c r="E72" s="8" t="s">
        <v>14</v>
      </c>
      <c r="F72" s="8" t="s">
        <v>14</v>
      </c>
      <c r="G72" s="8" t="s">
        <v>14</v>
      </c>
      <c r="H72" s="46">
        <v>43623</v>
      </c>
      <c r="I72" s="8" t="s">
        <v>33</v>
      </c>
      <c r="J72" s="8">
        <v>2016</v>
      </c>
      <c r="K72" s="27">
        <v>123674</v>
      </c>
      <c r="L72" s="18" t="s">
        <v>66</v>
      </c>
      <c r="M72" s="8" t="s">
        <v>38</v>
      </c>
      <c r="N72" s="24">
        <v>0.3</v>
      </c>
      <c r="O72" s="37" t="s">
        <v>194</v>
      </c>
    </row>
    <row r="73" spans="1:15" hidden="1" x14ac:dyDescent="0.25">
      <c r="A73" s="33" t="s">
        <v>195</v>
      </c>
      <c r="B73" s="39">
        <v>1800</v>
      </c>
      <c r="C73" s="39">
        <f t="shared" si="1"/>
        <v>1551.7241379310346</v>
      </c>
      <c r="D73" s="2" t="s">
        <v>14</v>
      </c>
      <c r="E73" s="2"/>
      <c r="F73" s="2" t="s">
        <v>14</v>
      </c>
      <c r="G73" s="2" t="s">
        <v>14</v>
      </c>
      <c r="H73" s="45">
        <v>43637</v>
      </c>
      <c r="I73" s="2" t="s">
        <v>21</v>
      </c>
      <c r="J73" s="2">
        <v>2012</v>
      </c>
      <c r="K73" s="26">
        <v>226094</v>
      </c>
      <c r="L73" s="25" t="s">
        <v>77</v>
      </c>
      <c r="M73" s="2" t="s">
        <v>78</v>
      </c>
      <c r="N73" s="23">
        <v>0.6</v>
      </c>
      <c r="O73" s="33" t="s">
        <v>114</v>
      </c>
    </row>
    <row r="74" spans="1:15" hidden="1" x14ac:dyDescent="0.25">
      <c r="A74" s="37" t="s">
        <v>103</v>
      </c>
      <c r="B74" s="40">
        <v>2216</v>
      </c>
      <c r="C74" s="40">
        <f t="shared" si="1"/>
        <v>1910.344827586207</v>
      </c>
      <c r="D74" s="8" t="s">
        <v>180</v>
      </c>
      <c r="E74" s="8" t="s">
        <v>180</v>
      </c>
      <c r="F74" s="8" t="s">
        <v>180</v>
      </c>
      <c r="G74" s="8" t="s">
        <v>14</v>
      </c>
      <c r="H74" s="46">
        <v>43637</v>
      </c>
      <c r="I74" s="8" t="s">
        <v>33</v>
      </c>
      <c r="J74" s="8">
        <v>2016</v>
      </c>
      <c r="K74" s="27">
        <v>105820</v>
      </c>
      <c r="L74" s="18" t="s">
        <v>104</v>
      </c>
      <c r="M74" s="8" t="s">
        <v>38</v>
      </c>
      <c r="N74" s="24">
        <v>0</v>
      </c>
      <c r="O74" s="37" t="s">
        <v>196</v>
      </c>
    </row>
    <row r="75" spans="1:15" hidden="1" x14ac:dyDescent="0.25">
      <c r="A75" s="33" t="s">
        <v>108</v>
      </c>
      <c r="B75" s="39">
        <v>1856</v>
      </c>
      <c r="C75" s="39">
        <f t="shared" si="1"/>
        <v>1600</v>
      </c>
      <c r="D75" s="2" t="s">
        <v>14</v>
      </c>
      <c r="E75" s="2"/>
      <c r="F75" s="2" t="s">
        <v>14</v>
      </c>
      <c r="G75" s="2" t="s">
        <v>14</v>
      </c>
      <c r="H75" s="45">
        <v>43637</v>
      </c>
      <c r="I75" s="2" t="s">
        <v>28</v>
      </c>
      <c r="J75" s="2">
        <v>2014</v>
      </c>
      <c r="K75" s="26">
        <v>138934</v>
      </c>
      <c r="L75" s="5" t="s">
        <v>109</v>
      </c>
      <c r="M75" s="2" t="s">
        <v>17</v>
      </c>
      <c r="N75" s="23">
        <v>0.6</v>
      </c>
      <c r="O75" s="33" t="s">
        <v>166</v>
      </c>
    </row>
    <row r="76" spans="1:15" hidden="1" x14ac:dyDescent="0.25">
      <c r="A76" s="37" t="s">
        <v>123</v>
      </c>
      <c r="B76" s="40">
        <v>2030</v>
      </c>
      <c r="C76" s="40">
        <f t="shared" si="1"/>
        <v>1750.0000000000002</v>
      </c>
      <c r="D76" s="8" t="s">
        <v>14</v>
      </c>
      <c r="E76" s="8"/>
      <c r="F76" s="8" t="s">
        <v>14</v>
      </c>
      <c r="G76" s="8" t="s">
        <v>14</v>
      </c>
      <c r="H76" s="46">
        <v>43637</v>
      </c>
      <c r="I76" s="8" t="s">
        <v>28</v>
      </c>
      <c r="J76" s="8">
        <v>2014</v>
      </c>
      <c r="K76" s="27">
        <v>115439</v>
      </c>
      <c r="L76" s="11" t="s">
        <v>124</v>
      </c>
      <c r="M76" s="8" t="s">
        <v>97</v>
      </c>
      <c r="N76" s="24">
        <v>0.6</v>
      </c>
      <c r="O76" s="37" t="s">
        <v>171</v>
      </c>
    </row>
    <row r="77" spans="1:15" hidden="1" x14ac:dyDescent="0.25">
      <c r="A77" s="33" t="s">
        <v>197</v>
      </c>
      <c r="B77" s="39">
        <v>9451</v>
      </c>
      <c r="C77" s="39">
        <f t="shared" si="1"/>
        <v>8147.4137931034493</v>
      </c>
      <c r="D77" s="2" t="s">
        <v>180</v>
      </c>
      <c r="E77" s="2" t="s">
        <v>180</v>
      </c>
      <c r="F77" s="2" t="s">
        <v>180</v>
      </c>
      <c r="G77" s="2" t="s">
        <v>14</v>
      </c>
      <c r="H77" s="45">
        <v>43637</v>
      </c>
      <c r="I77" s="2"/>
      <c r="J77" s="2"/>
      <c r="K77" s="2"/>
      <c r="L77" s="2"/>
      <c r="M77" s="2" t="s">
        <v>17</v>
      </c>
      <c r="N77" s="23"/>
      <c r="O77" s="33" t="s">
        <v>198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gasto_mantenimiento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2019-07-29T16:18:04Z</dcterms:created>
  <dcterms:modified xsi:type="dcterms:W3CDTF">2019-08-22T17:07:47Z</dcterms:modified>
</cp:coreProperties>
</file>